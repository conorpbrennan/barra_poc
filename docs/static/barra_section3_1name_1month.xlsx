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 Raw" sheetId="1" state="visible" r:id="rId1"/>
    <sheet name="3b-d Exposures" sheetId="2" state="visible" r:id="rId2"/>
    <sheet name="3e 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11" fontId="0" fillId="2" borderId="0" pivotButton="0" quotePrefix="0" xfId="0"/>
    <xf numFmtId="165" fontId="1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</cols>
  <sheetData>
    <row r="1">
      <c r="A1" s="1" t="inlineStr">
        <is>
          <t>§3a · Raw descriptors — cross-section at month-end M (model inputs, pre-z-score)</t>
        </is>
      </c>
    </row>
    <row r="2">
      <c r="A2" t="inlineStr">
        <is>
          <t>Month-end M</t>
        </is>
      </c>
      <c r="B2" s="2" t="n">
        <v>45626</v>
      </c>
    </row>
    <row r="3">
      <c r="A3" t="inlineStr">
        <is>
          <t>Worked name</t>
        </is>
      </c>
      <c r="B3" t="inlineStr">
        <is>
          <t>baba  (Alibaba Group Holding Ltd)</t>
        </is>
      </c>
    </row>
    <row r="5">
      <c r="A5" s="1" t="inlineStr">
        <is>
          <t>Position</t>
        </is>
      </c>
      <c r="B5" s="1" t="inlineStr">
        <is>
          <t>Ticker</t>
        </is>
      </c>
      <c r="C5" s="1" t="inlineStr">
        <is>
          <t>Beta</t>
        </is>
      </c>
      <c r="D5" s="1" t="inlineStr">
        <is>
          <t>Momentum</t>
        </is>
      </c>
      <c r="E5" s="1" t="inlineStr">
        <is>
          <t>Size</t>
        </is>
      </c>
      <c r="F5" s="1" t="inlineStr">
        <is>
          <t>Value</t>
        </is>
      </c>
      <c r="G5" s="1" t="inlineStr">
        <is>
          <t>Growth</t>
        </is>
      </c>
      <c r="H5" s="1" t="inlineStr">
        <is>
          <t>Leverage</t>
        </is>
      </c>
      <c r="I5" s="1" t="inlineStr">
        <is>
          <t>Liquidity</t>
        </is>
      </c>
      <c r="J5" s="1" t="inlineStr">
        <is>
          <t>ResidVol</t>
        </is>
      </c>
      <c r="K5" s="1" t="inlineStr">
        <is>
          <t>EarnYield</t>
        </is>
      </c>
      <c r="L5" s="1" t="inlineStr">
        <is>
          <t>NonLinSize</t>
        </is>
      </c>
      <c r="M5" s="1" t="inlineStr">
        <is>
          <t>mcap</t>
        </is>
      </c>
    </row>
    <row r="6">
      <c r="A6" t="inlineStr">
        <is>
          <t>BBG000C2V3D6</t>
        </is>
      </c>
      <c r="B6" t="inlineStr">
        <is>
          <t>a</t>
        </is>
      </c>
      <c r="C6" s="3" t="n">
        <v>0.8736146440141096</v>
      </c>
      <c r="D6" s="3" t="n">
        <v>0.02655427388130716</v>
      </c>
      <c r="E6" s="3" t="n">
        <v>24.39102667440115</v>
      </c>
      <c r="F6" s="3" t="n">
        <v>0.1354556409411378</v>
      </c>
      <c r="H6" s="3" t="n">
        <v>1.985296889352442</v>
      </c>
      <c r="I6" s="3" t="n">
        <v>19.24872695845441</v>
      </c>
      <c r="J6" s="3" t="n">
        <v>0.2377217587781863</v>
      </c>
      <c r="K6" s="3" t="n">
        <v>0.03089563158129627</v>
      </c>
      <c r="L6" s="3" t="n">
        <v>14510.76281599777</v>
      </c>
      <c r="M6" s="4" t="n">
        <v>39164112790.03014</v>
      </c>
    </row>
    <row r="7">
      <c r="A7" t="inlineStr">
        <is>
          <t>BBG00B3T3HD3</t>
        </is>
      </c>
      <c r="B7" t="inlineStr">
        <is>
          <t>aa</t>
        </is>
      </c>
      <c r="C7" s="3" t="n">
        <v>1.803322737467095</v>
      </c>
      <c r="D7" s="3" t="n">
        <v>0.5101852882025693</v>
      </c>
      <c r="E7" s="3" t="n">
        <v>22.82801863087453</v>
      </c>
      <c r="F7" s="3" t="n">
        <v>0.5180940214764959</v>
      </c>
      <c r="H7" s="3" t="n">
        <v>3.420842153982394</v>
      </c>
      <c r="I7" s="3" t="n">
        <v>19.09371548734259</v>
      </c>
      <c r="J7" s="3" t="n">
        <v>0.4685323230167722</v>
      </c>
      <c r="K7" s="3" t="n">
        <v>0.01096882190846498</v>
      </c>
      <c r="L7" s="3" t="n">
        <v>11896.10133420475</v>
      </c>
      <c r="M7" s="4" t="n">
        <v>8205074413.650146</v>
      </c>
    </row>
    <row r="8">
      <c r="A8" t="inlineStr">
        <is>
          <t>BBG005P7Q881</t>
        </is>
      </c>
      <c r="B8" t="inlineStr">
        <is>
          <t>aal</t>
        </is>
      </c>
      <c r="C8" s="3" t="n">
        <v>1.473347796554305</v>
      </c>
      <c r="D8" s="3" t="n">
        <v>0.07803695008362865</v>
      </c>
      <c r="E8" s="3" t="n">
        <v>22.97892098268591</v>
      </c>
      <c r="F8" s="3" t="n">
        <v>-0.5764267233048815</v>
      </c>
      <c r="H8" s="3" t="n">
        <v>-11.46509091117547</v>
      </c>
      <c r="I8" s="3" t="n">
        <v>19.81572241361956</v>
      </c>
      <c r="J8" s="3" t="n">
        <v>0.3752394912791653</v>
      </c>
      <c r="K8" s="3" t="n">
        <v>0.0841583016025127</v>
      </c>
      <c r="L8" s="3" t="n">
        <v>12133.5782485796</v>
      </c>
      <c r="M8" s="4" t="n">
        <v>9541542362.730698</v>
      </c>
    </row>
    <row r="9">
      <c r="A9" t="inlineStr">
        <is>
          <t>BBG00P2HLNY3</t>
        </is>
      </c>
      <c r="B9" t="inlineStr">
        <is>
          <t>aami</t>
        </is>
      </c>
      <c r="C9" s="3" t="n">
        <v>1.060991974715128</v>
      </c>
      <c r="D9" s="3" t="n">
        <v>0.5150867904160454</v>
      </c>
      <c r="I9" s="3" t="n">
        <v>15.50742980155439</v>
      </c>
      <c r="J9" s="3" t="n">
        <v>0.2605627349955884</v>
      </c>
    </row>
    <row r="10">
      <c r="A10" t="inlineStr">
        <is>
          <t>BBG000D6VW15</t>
        </is>
      </c>
      <c r="B10" t="inlineStr">
        <is>
          <t>aaoi</t>
        </is>
      </c>
      <c r="C10" s="3" t="n">
        <v>3.785299812727677</v>
      </c>
      <c r="D10" s="3" t="n">
        <v>0.1788679158912514</v>
      </c>
      <c r="E10" s="3" t="n">
        <v>21.34283298948943</v>
      </c>
      <c r="F10" s="3" t="n">
        <v>0.1003668440771507</v>
      </c>
      <c r="H10" s="3" t="n">
        <v>2.198311998250281</v>
      </c>
      <c r="I10" s="3" t="n">
        <v>18.0754373519883</v>
      </c>
      <c r="J10" s="3" t="n">
        <v>1.079999981309708</v>
      </c>
      <c r="K10" s="3" t="n">
        <v>-0.03608048495190375</v>
      </c>
      <c r="L10" s="3" t="n">
        <v>9722.013010681332</v>
      </c>
      <c r="M10" s="4" t="n">
        <v>1858123582.687103</v>
      </c>
    </row>
    <row r="11">
      <c r="A11" t="inlineStr">
        <is>
          <t>BBG000F7RCJ1</t>
        </is>
      </c>
      <c r="B11" t="inlineStr">
        <is>
          <t>aap</t>
        </is>
      </c>
      <c r="C11" s="3" t="n">
        <v>1.025517001328218</v>
      </c>
      <c r="D11" s="3" t="n">
        <v>-0.2844784180351779</v>
      </c>
      <c r="E11" s="3" t="n">
        <v>21.59465238897978</v>
      </c>
      <c r="F11" s="3" t="n">
        <v>1.087426695709361</v>
      </c>
      <c r="H11" s="3" t="n">
        <v>4.796946126028033</v>
      </c>
      <c r="I11" s="3" t="n">
        <v>18.52454077270231</v>
      </c>
      <c r="J11" s="3" t="n">
        <v>0.4491092290049057</v>
      </c>
      <c r="K11" s="3" t="n">
        <v>-0.002516083516722156</v>
      </c>
      <c r="L11" s="3" t="n">
        <v>10070.21290873624</v>
      </c>
      <c r="M11" s="4" t="n">
        <v>2390222724.132263</v>
      </c>
    </row>
    <row r="12">
      <c r="A12" t="inlineStr">
        <is>
          <t>BBG000B9XRY4</t>
        </is>
      </c>
      <c r="B12" t="inlineStr">
        <is>
          <t>aapl</t>
        </is>
      </c>
      <c r="C12" s="3" t="n">
        <v>0.9900668625780008</v>
      </c>
      <c r="D12" s="3" t="n">
        <v>0.1938262745782047</v>
      </c>
      <c r="E12" s="3" t="n">
        <v>28.90209078706296</v>
      </c>
      <c r="F12" s="3" t="n">
        <v>0.01421508633590206</v>
      </c>
      <c r="H12" s="3" t="n">
        <v>6.95814256380332</v>
      </c>
      <c r="I12" s="3" t="n">
        <v>23.1152945506645</v>
      </c>
      <c r="J12" s="3" t="n">
        <v>0.1907151351733559</v>
      </c>
      <c r="K12" s="3" t="n">
        <v>0.02721014167885263</v>
      </c>
      <c r="L12" s="3" t="n">
        <v>24142.80811779726</v>
      </c>
      <c r="M12" s="4" t="n">
        <v>3564663541438.156</v>
      </c>
    </row>
    <row r="13">
      <c r="A13" t="inlineStr">
        <is>
          <t>BBG0025Y4RY4</t>
        </is>
      </c>
      <c r="B13" t="inlineStr">
        <is>
          <t>abbv</t>
        </is>
      </c>
      <c r="C13" s="3" t="n">
        <v>0.2186457261861818</v>
      </c>
      <c r="D13" s="3" t="n">
        <v>0.4841103247133387</v>
      </c>
      <c r="E13" s="3" t="n">
        <v>26.45108829407404</v>
      </c>
      <c r="F13" s="3" t="n">
        <v>0.01962906650325194</v>
      </c>
      <c r="G13" s="3" t="n">
        <v>0.006308775403163214</v>
      </c>
      <c r="H13" s="3" t="n">
        <v>22.33272546048861</v>
      </c>
      <c r="I13" s="3" t="n">
        <v>20.75452445506862</v>
      </c>
      <c r="J13" s="3" t="n">
        <v>0.2342783365757574</v>
      </c>
      <c r="K13" s="3" t="n">
        <v>0.005785888634413454</v>
      </c>
      <c r="L13" s="3" t="n">
        <v>18506.77033874697</v>
      </c>
      <c r="M13" s="4" t="n">
        <v>307299381709.3162</v>
      </c>
    </row>
    <row r="14">
      <c r="A14" t="inlineStr">
        <is>
          <t>BBG001Y2XS07</t>
        </is>
      </c>
      <c r="B14" t="inlineStr">
        <is>
          <t>abnb</t>
        </is>
      </c>
      <c r="C14" s="3" t="n">
        <v>1.40017581161453</v>
      </c>
      <c r="D14" s="3" t="n">
        <v>0.06688299187252666</v>
      </c>
      <c r="H14" s="3" t="n">
        <v>2.614614994603012</v>
      </c>
      <c r="I14" s="3" t="n">
        <v>20.17548296920431</v>
      </c>
      <c r="J14" s="3" t="n">
        <v>0.2922337403815947</v>
      </c>
    </row>
    <row r="15">
      <c r="A15" t="inlineStr">
        <is>
          <t>BBG000KMVDV1</t>
        </is>
      </c>
      <c r="B15" t="inlineStr">
        <is>
          <t>abr</t>
        </is>
      </c>
      <c r="C15" s="3" t="n">
        <v>0.9442901751712709</v>
      </c>
      <c r="D15" s="3" t="n">
        <v>0.2973769060891218</v>
      </c>
      <c r="E15" s="3" t="n">
        <v>21.55310382422155</v>
      </c>
      <c r="F15" s="3" t="n">
        <v>1.323033068032696</v>
      </c>
      <c r="H15" s="3" t="n">
        <v>4.575834679214004</v>
      </c>
      <c r="I15" s="3" t="n">
        <v>17.19537341945379</v>
      </c>
      <c r="J15" s="3" t="n">
        <v>0.3708043639652014</v>
      </c>
      <c r="K15" s="3" t="n">
        <v>0.005288773276371562</v>
      </c>
      <c r="L15" s="3" t="n">
        <v>10012.19876903436</v>
      </c>
      <c r="M15" s="4" t="n">
        <v>2292947222.542132</v>
      </c>
    </row>
    <row r="16">
      <c r="A16" t="inlineStr">
        <is>
          <t>BBG000B9ZXB4</t>
        </is>
      </c>
      <c r="B16" t="inlineStr">
        <is>
          <t>abt</t>
        </is>
      </c>
      <c r="C16" s="3" t="n">
        <v>0.1796690502549575</v>
      </c>
      <c r="D16" s="3" t="n">
        <v>0.108758569722297</v>
      </c>
      <c r="E16" s="3" t="n">
        <v>26.02107016647342</v>
      </c>
      <c r="F16" s="3" t="n">
        <v>0.1990821102973853</v>
      </c>
      <c r="H16" s="3" t="n">
        <v>1.868428987791023</v>
      </c>
      <c r="I16" s="3" t="n">
        <v>20.1531920116848</v>
      </c>
      <c r="J16" s="3" t="n">
        <v>0.177007308038079</v>
      </c>
      <c r="K16" s="3" t="n">
        <v>0.008234223377965028</v>
      </c>
      <c r="L16" s="3" t="n">
        <v>17618.76493521163</v>
      </c>
      <c r="M16" s="4" t="n">
        <v>199897418910.9929</v>
      </c>
    </row>
    <row r="17">
      <c r="A17" t="inlineStr">
        <is>
          <t>BBG00VY1KB95</t>
        </is>
      </c>
      <c r="B17" t="inlineStr">
        <is>
          <t>abx</t>
        </is>
      </c>
      <c r="C17" s="3" t="n">
        <v>0.5893863400130924</v>
      </c>
      <c r="D17" s="3" t="n">
        <v>0.2521739018944456</v>
      </c>
      <c r="H17" s="3" t="n">
        <v>-5.092019890475716</v>
      </c>
      <c r="I17" s="3" t="n">
        <v>14.11363482375671</v>
      </c>
      <c r="J17" s="3" t="n">
        <v>0.611631614748126</v>
      </c>
    </row>
    <row r="18">
      <c r="A18" t="inlineStr">
        <is>
          <t>BBG000BHG9K0</t>
        </is>
      </c>
      <c r="B18" t="inlineStr">
        <is>
          <t>acad</t>
        </is>
      </c>
      <c r="C18" s="3" t="n">
        <v>1.184259949060925</v>
      </c>
      <c r="D18" s="3" t="n">
        <v>-0.3451526165646375</v>
      </c>
      <c r="E18" s="3" t="n">
        <v>21.72224768439751</v>
      </c>
      <c r="F18" s="3" t="n">
        <v>0.1589955875034544</v>
      </c>
      <c r="H18" s="3" t="n">
        <v>2.262551673373669</v>
      </c>
      <c r="I18" s="3" t="n">
        <v>16.85851827782045</v>
      </c>
      <c r="J18" s="3" t="n">
        <v>0.5477454665020476</v>
      </c>
      <c r="K18" s="3" t="n">
        <v>-0.03943376335336569</v>
      </c>
      <c r="L18" s="3" t="n">
        <v>10249.77386919044</v>
      </c>
      <c r="M18" s="4" t="n">
        <v>2715515610.341225</v>
      </c>
    </row>
    <row r="19">
      <c r="A19" t="inlineStr">
        <is>
          <t>acgl</t>
        </is>
      </c>
      <c r="B19" t="inlineStr">
        <is>
          <t>acgl</t>
        </is>
      </c>
      <c r="C19" s="3" t="n">
        <v>0.3346883740021093</v>
      </c>
      <c r="D19" s="3" t="n">
        <v>0.1776794344289154</v>
      </c>
      <c r="E19" s="3" t="n">
        <v>24.35808719162351</v>
      </c>
      <c r="F19" s="3" t="n">
        <v>0.4843108599546299</v>
      </c>
      <c r="H19" s="3" t="n">
        <v>4.013294828964567</v>
      </c>
      <c r="I19" s="3" t="n">
        <v>19.03910994902341</v>
      </c>
      <c r="J19" s="3" t="n">
        <v>0.2264581973072764</v>
      </c>
      <c r="K19" s="3" t="n">
        <v>0.01907899263047989</v>
      </c>
      <c r="L19" s="3" t="n">
        <v>14452.05288682003</v>
      </c>
      <c r="M19" s="4" t="n">
        <v>37895082512.15964</v>
      </c>
    </row>
    <row r="20">
      <c r="A20" t="inlineStr">
        <is>
          <t>BBG000FPNN38</t>
        </is>
      </c>
      <c r="B20" t="inlineStr">
        <is>
          <t>achc</t>
        </is>
      </c>
      <c r="C20" s="3" t="n">
        <v>0.7237781266822343</v>
      </c>
      <c r="D20" s="3" t="n">
        <v>-0.4151253613353061</v>
      </c>
      <c r="E20" s="3" t="n">
        <v>22.05138325298624</v>
      </c>
      <c r="F20" s="3" t="n">
        <v>0.7187628273430879</v>
      </c>
      <c r="G20" s="3" t="n">
        <v>0.02398736527788414</v>
      </c>
      <c r="H20" s="3" t="n">
        <v>2.164174311162593</v>
      </c>
      <c r="I20" s="3" t="n">
        <v>18.30843289332163</v>
      </c>
      <c r="J20" s="3" t="n">
        <v>0.4281104903105605</v>
      </c>
      <c r="K20" s="3" t="n">
        <v>-0.05768784460626657</v>
      </c>
      <c r="L20" s="3" t="n">
        <v>10722.78287475345</v>
      </c>
      <c r="M20" s="4" t="n">
        <v>3773931950.97226</v>
      </c>
    </row>
    <row r="21">
      <c r="A21" t="inlineStr">
        <is>
          <t>BBG009KG1750</t>
        </is>
      </c>
      <c r="B21" t="inlineStr">
        <is>
          <t>aci</t>
        </is>
      </c>
      <c r="C21" s="3" t="n">
        <v>0.3372176062222365</v>
      </c>
      <c r="D21" s="3" t="n">
        <v>-0.1484214723204645</v>
      </c>
      <c r="E21" s="3" t="n">
        <v>23.1172024335733</v>
      </c>
      <c r="F21" s="3" t="n">
        <v>0.2507634563103647</v>
      </c>
      <c r="H21" s="3" t="n">
        <v>9.543621470593768</v>
      </c>
      <c r="I21" s="3" t="n">
        <v>17.89350346599005</v>
      </c>
      <c r="J21" s="3" t="n">
        <v>0.1632085136542851</v>
      </c>
      <c r="K21" s="3" t="n">
        <v>0.01327973899659984</v>
      </c>
      <c r="L21" s="3" t="n">
        <v>12353.94968434161</v>
      </c>
      <c r="M21" s="4" t="n">
        <v>10956540638.63561</v>
      </c>
    </row>
    <row r="22">
      <c r="A22" t="inlineStr">
        <is>
          <t>acn</t>
        </is>
      </c>
      <c r="B22" t="inlineStr">
        <is>
          <t>acn</t>
        </is>
      </c>
      <c r="C22" s="3" t="n">
        <v>0.6924610022583462</v>
      </c>
      <c r="D22" s="3" t="n">
        <v>0.05169935759372124</v>
      </c>
      <c r="E22" s="3" t="n">
        <v>26.14235064516351</v>
      </c>
      <c r="F22" s="3" t="n">
        <v>0.1138501130755741</v>
      </c>
      <c r="H22" s="3" t="n">
        <v>1.994536493145248</v>
      </c>
      <c r="I22" s="3" t="n">
        <v>20.54702910155453</v>
      </c>
      <c r="J22" s="3" t="n">
        <v>0.2184599884015307</v>
      </c>
      <c r="K22" s="3" t="n">
        <v>0.008707086814650933</v>
      </c>
      <c r="L22" s="3" t="n">
        <v>17866.27056202518</v>
      </c>
      <c r="M22" s="4" t="n">
        <v>225672494350.8063</v>
      </c>
    </row>
    <row r="23">
      <c r="A23" t="inlineStr">
        <is>
          <t>BBG000KF9J02</t>
        </is>
      </c>
      <c r="B23" t="inlineStr">
        <is>
          <t>actg</t>
        </is>
      </c>
      <c r="C23" s="3" t="n">
        <v>1.094290684972905</v>
      </c>
      <c r="D23" s="3" t="n">
        <v>0.2417582007310148</v>
      </c>
      <c r="E23" s="3" t="n">
        <v>19.90913714427683</v>
      </c>
      <c r="F23" s="3" t="n">
        <v>1.21929415344052</v>
      </c>
      <c r="G23" s="3" t="n">
        <v>0.3081142530563563</v>
      </c>
      <c r="H23" s="3" t="n">
        <v>1.309886738612297</v>
      </c>
      <c r="I23" s="3" t="n">
        <v>14.08723598124424</v>
      </c>
      <c r="J23" s="3" t="n">
        <v>0.3393339252601928</v>
      </c>
      <c r="K23" s="3" t="n">
        <v>-0.01737147348629201</v>
      </c>
      <c r="L23" s="3" t="n">
        <v>7891.459186476153</v>
      </c>
      <c r="M23" s="4" t="n">
        <v>443025169.3215036</v>
      </c>
    </row>
    <row r="24">
      <c r="A24" t="inlineStr">
        <is>
          <t>BBG000BB5006</t>
        </is>
      </c>
      <c r="B24" t="inlineStr">
        <is>
          <t>adbe</t>
        </is>
      </c>
      <c r="C24" s="3" t="n">
        <v>1.210158508188364</v>
      </c>
      <c r="D24" s="3" t="n">
        <v>-0.2175578485929379</v>
      </c>
      <c r="E24" s="3" t="n">
        <v>26.14871081022922</v>
      </c>
      <c r="F24" s="3" t="n">
        <v>0.06186804888487329</v>
      </c>
      <c r="H24" s="3" t="n">
        <v>2.122980570626789</v>
      </c>
      <c r="I24" s="3" t="n">
        <v>21.14359923579523</v>
      </c>
      <c r="J24" s="3" t="n">
        <v>0.3100826610798333</v>
      </c>
      <c r="K24" s="3" t="n">
        <v>0.00741483128048727</v>
      </c>
      <c r="L24" s="3" t="n">
        <v>17879.31377446648</v>
      </c>
      <c r="M24" s="4" t="n">
        <v>227112382775.8789</v>
      </c>
    </row>
    <row r="25">
      <c r="A25" t="inlineStr">
        <is>
          <t>BBG000BC9DK0</t>
        </is>
      </c>
      <c r="B25" t="inlineStr">
        <is>
          <t>adc</t>
        </is>
      </c>
      <c r="C25" s="3" t="n">
        <v>0.09170359275365825</v>
      </c>
      <c r="D25" s="3" t="n">
        <v>0.3093347441271037</v>
      </c>
      <c r="E25" s="3" t="n">
        <v>22.73344902071339</v>
      </c>
      <c r="F25" s="3" t="n">
        <v>0.6965077906058388</v>
      </c>
      <c r="G25" s="3" t="n">
        <v>-0.0119243861569911</v>
      </c>
      <c r="H25" s="3" t="n">
        <v>1.495387665263943</v>
      </c>
      <c r="I25" s="3" t="n">
        <v>18.02555786722058</v>
      </c>
      <c r="J25" s="3" t="n">
        <v>0.1795182007845616</v>
      </c>
      <c r="K25" s="3" t="n">
        <v>0.01661208826998682</v>
      </c>
      <c r="L25" s="3" t="n">
        <v>11748.867067873</v>
      </c>
      <c r="M25" s="4" t="n">
        <v>7464684630.133278</v>
      </c>
    </row>
    <row r="26">
      <c r="A26" t="inlineStr">
        <is>
          <t>BBG00RBFBL50</t>
        </is>
      </c>
      <c r="B26" t="inlineStr">
        <is>
          <t>adea</t>
        </is>
      </c>
      <c r="C26" s="3" t="n">
        <v>1.423450386733364</v>
      </c>
      <c r="D26" s="3" t="n">
        <v>0.3699252588261559</v>
      </c>
      <c r="E26" s="3" t="n">
        <v>20.9853948280925</v>
      </c>
      <c r="F26" s="3" t="n">
        <v>0.2743891642410333</v>
      </c>
      <c r="H26" s="3" t="n">
        <v>3.100077944994762</v>
      </c>
      <c r="I26" s="3" t="n">
        <v>15.45098327815216</v>
      </c>
      <c r="J26" s="3" t="n">
        <v>0.3838696444771324</v>
      </c>
      <c r="K26" s="3" t="n">
        <v>0.01486041892578505</v>
      </c>
      <c r="L26" s="3" t="n">
        <v>9241.690793046862</v>
      </c>
      <c r="M26" s="4" t="n">
        <v>1299694179.659155</v>
      </c>
    </row>
    <row r="27">
      <c r="A27" t="inlineStr">
        <is>
          <t>BBG000BB6G37</t>
        </is>
      </c>
      <c r="B27" t="inlineStr">
        <is>
          <t>adi</t>
        </is>
      </c>
      <c r="C27" s="3" t="n">
        <v>1.689370440498597</v>
      </c>
      <c r="D27" s="3" t="n">
        <v>0.2378814094450734</v>
      </c>
      <c r="E27" s="3" t="n">
        <v>25.38096545291716</v>
      </c>
      <c r="F27" s="3" t="n">
        <v>0.3374512655547351</v>
      </c>
      <c r="H27" s="3" t="n">
        <v>1.371975555113463</v>
      </c>
      <c r="I27" s="3" t="n">
        <v>20.26171702276756</v>
      </c>
      <c r="J27" s="3" t="n">
        <v>0.2429819569069949</v>
      </c>
      <c r="K27" s="3" t="n">
        <v>0.0260790722974151</v>
      </c>
      <c r="L27" s="3" t="n">
        <v>16350.25061624111</v>
      </c>
      <c r="M27" s="4" t="n">
        <v>105393357885.9073</v>
      </c>
    </row>
    <row r="28">
      <c r="A28" t="inlineStr">
        <is>
          <t>BBG000BB6WG8</t>
        </is>
      </c>
      <c r="B28" t="inlineStr">
        <is>
          <t>adm</t>
        </is>
      </c>
      <c r="C28" s="3" t="n">
        <v>0.4152702610897479</v>
      </c>
      <c r="D28" s="3" t="n">
        <v>-0.231414214642092</v>
      </c>
      <c r="I28" s="3" t="n">
        <v>18.84190947304446</v>
      </c>
      <c r="J28" s="3" t="n">
        <v>0.3338235779895247</v>
      </c>
    </row>
    <row r="29">
      <c r="A29" t="inlineStr">
        <is>
          <t>BBG000JG0547</t>
        </is>
      </c>
      <c r="B29" t="inlineStr">
        <is>
          <t>adp</t>
        </is>
      </c>
      <c r="C29" s="3" t="n">
        <v>0.3829760974412816</v>
      </c>
      <c r="D29" s="3" t="n">
        <v>0.2867481165004302</v>
      </c>
      <c r="E29" s="3" t="n">
        <v>25.51674644655676</v>
      </c>
      <c r="F29" s="3" t="n">
        <v>0.04430553061282445</v>
      </c>
      <c r="H29" s="3" t="n">
        <v>9.256889651636524</v>
      </c>
      <c r="I29" s="3" t="n">
        <v>19.91518393487002</v>
      </c>
      <c r="J29" s="3" t="n">
        <v>0.1426403051851449</v>
      </c>
      <c r="K29" s="3" t="n">
        <v>0.007118904574778696</v>
      </c>
      <c r="L29" s="3" t="n">
        <v>16614.06458924265</v>
      </c>
      <c r="M29" s="4" t="n">
        <v>120720820312.3859</v>
      </c>
    </row>
    <row r="30">
      <c r="A30" t="inlineStr">
        <is>
          <t>BBG000BM7HL0</t>
        </is>
      </c>
      <c r="B30" t="inlineStr">
        <is>
          <t>adsk</t>
        </is>
      </c>
      <c r="C30" s="3" t="n">
        <v>1.412129884679534</v>
      </c>
      <c r="D30" s="3" t="n">
        <v>0.2992720656920824</v>
      </c>
      <c r="E30" s="3" t="n">
        <v>24.86255984305833</v>
      </c>
      <c r="F30" s="3" t="n">
        <v>0.01824454096135601</v>
      </c>
      <c r="H30" s="3" t="n">
        <v>8.698689948734769</v>
      </c>
      <c r="I30" s="3" t="n">
        <v>19.82232378350627</v>
      </c>
      <c r="J30" s="3" t="n">
        <v>0.2125395333036881</v>
      </c>
      <c r="K30" s="3" t="n">
        <v>0.002565389602426478</v>
      </c>
      <c r="L30" s="3" t="n">
        <v>15368.71384427325</v>
      </c>
      <c r="M30" s="4" t="n">
        <v>62758498687.74414</v>
      </c>
    </row>
    <row r="31">
      <c r="A31" t="inlineStr">
        <is>
          <t>BBG000BP9WJ1</t>
        </is>
      </c>
      <c r="B31" t="inlineStr">
        <is>
          <t>adt</t>
        </is>
      </c>
      <c r="C31" s="3" t="n">
        <v>1.086045415612417</v>
      </c>
      <c r="D31" s="3" t="n">
        <v>0.2628615628575566</v>
      </c>
      <c r="E31" s="3" t="n">
        <v>22.42923110995235</v>
      </c>
      <c r="F31" s="3" t="n">
        <v>0.6161855341849409</v>
      </c>
      <c r="H31" s="3" t="n">
        <v>4.740306345393627</v>
      </c>
      <c r="I31" s="3" t="n">
        <v>17.61174087267519</v>
      </c>
      <c r="J31" s="3" t="n">
        <v>0.3668482386506752</v>
      </c>
      <c r="K31" s="3" t="n">
        <v>0.05649410368860962</v>
      </c>
      <c r="L31" s="3" t="n">
        <v>11283.48244972925</v>
      </c>
      <c r="M31" s="4" t="n">
        <v>5506698569.079683</v>
      </c>
    </row>
    <row r="32">
      <c r="A32" t="inlineStr">
        <is>
          <t>BBG000B9X8C0</t>
        </is>
      </c>
      <c r="B32" t="inlineStr">
        <is>
          <t>aee</t>
        </is>
      </c>
      <c r="C32" s="3" t="n">
        <v>0.05985105794025462</v>
      </c>
      <c r="D32" s="3" t="n">
        <v>0.1621872701853755</v>
      </c>
      <c r="E32" s="3" t="n">
        <v>23.89985094896033</v>
      </c>
      <c r="F32" s="3" t="n">
        <v>0.4937663380407374</v>
      </c>
      <c r="H32" s="3" t="n">
        <v>3.659088988112982</v>
      </c>
      <c r="I32" s="3" t="n">
        <v>18.60712498735523</v>
      </c>
      <c r="J32" s="3" t="n">
        <v>0.1960620065978679</v>
      </c>
      <c r="K32" s="3" t="n">
        <v>-0.002503674493572572</v>
      </c>
      <c r="L32" s="3" t="n">
        <v>13651.66358325979</v>
      </c>
      <c r="M32" s="4" t="n">
        <v>23964776631.91769</v>
      </c>
    </row>
    <row r="33">
      <c r="A33" t="inlineStr">
        <is>
          <t>BBG000FKMP26</t>
        </is>
      </c>
      <c r="B33" t="inlineStr">
        <is>
          <t>aeis</t>
        </is>
      </c>
      <c r="C33" s="3" t="n">
        <v>2.011986490514538</v>
      </c>
      <c r="D33" s="3" t="n">
        <v>0.1450206982340638</v>
      </c>
      <c r="E33" s="3" t="n">
        <v>22.18631386421025</v>
      </c>
      <c r="F33" s="3" t="n">
        <v>0.2468722546387618</v>
      </c>
      <c r="G33" s="3" t="n">
        <v>0.009175529557180484</v>
      </c>
      <c r="H33" s="3" t="n">
        <v>2.05657682169984</v>
      </c>
      <c r="I33" s="3" t="n">
        <v>17.01970907343197</v>
      </c>
      <c r="J33" s="3" t="n">
        <v>0.2486634809649929</v>
      </c>
      <c r="K33" s="3" t="n">
        <v>0.00757587643998635</v>
      </c>
      <c r="L33" s="3" t="n">
        <v>10920.82524681542</v>
      </c>
      <c r="M33" s="4" t="n">
        <v>4319104231.91684</v>
      </c>
    </row>
    <row r="34">
      <c r="A34" t="inlineStr">
        <is>
          <t>BBG000DLVDK3</t>
        </is>
      </c>
      <c r="B34" t="inlineStr">
        <is>
          <t>aem</t>
        </is>
      </c>
      <c r="C34" s="3" t="n">
        <v>0.8098852489520447</v>
      </c>
      <c r="D34" s="3" t="n">
        <v>0.637873871417957</v>
      </c>
      <c r="E34" s="3" t="n">
        <v>23.38191715602472</v>
      </c>
      <c r="F34" s="3" t="n">
        <v>0.2388601942206</v>
      </c>
      <c r="H34" s="3" t="n">
        <v>1.541206821880515</v>
      </c>
      <c r="I34" s="3" t="n">
        <v>19.05352645675498</v>
      </c>
      <c r="J34" s="3" t="n">
        <v>0.2850788960476848</v>
      </c>
      <c r="L34" s="3" t="n">
        <v>12783.22262259088</v>
      </c>
      <c r="M34" s="4" t="n">
        <v>14277020961.52375</v>
      </c>
    </row>
    <row r="35">
      <c r="A35" t="inlineStr">
        <is>
          <t>BBG000BGXZB5</t>
        </is>
      </c>
      <c r="B35" t="inlineStr">
        <is>
          <t>aeo</t>
        </is>
      </c>
      <c r="C35" s="3" t="n">
        <v>1.23042082894123</v>
      </c>
      <c r="D35" s="3" t="n">
        <v>0.0540349175955892</v>
      </c>
      <c r="E35" s="3" t="n">
        <v>21.97896663499014</v>
      </c>
      <c r="F35" s="3" t="n">
        <v>0.4612190248157198</v>
      </c>
      <c r="G35" s="3" t="n">
        <v>0.06923220911033123</v>
      </c>
      <c r="H35" s="3" t="n">
        <v>2.197574945400432</v>
      </c>
      <c r="I35" s="3" t="n">
        <v>18.16479040606163</v>
      </c>
      <c r="J35" s="3" t="n">
        <v>0.3335176585336532</v>
      </c>
      <c r="K35" s="3" t="n">
        <v>0.01383643400392554</v>
      </c>
      <c r="L35" s="3" t="n">
        <v>10617.48874326175</v>
      </c>
      <c r="M35" s="4" t="n">
        <v>3510297521.1954</v>
      </c>
    </row>
    <row r="36">
      <c r="A36" t="inlineStr">
        <is>
          <t>BBG000BB9KF2</t>
        </is>
      </c>
      <c r="B36" t="inlineStr">
        <is>
          <t>aep</t>
        </is>
      </c>
      <c r="C36" s="3" t="n">
        <v>0.02915425298727363</v>
      </c>
      <c r="D36" s="3" t="n">
        <v>0.2794494096165818</v>
      </c>
      <c r="E36" s="3" t="n">
        <v>24.64761707670232</v>
      </c>
      <c r="F36" s="3" t="n">
        <v>0.5258253779304477</v>
      </c>
      <c r="H36" s="3" t="n">
        <v>3.761415464930406</v>
      </c>
      <c r="I36" s="3" t="n">
        <v>19.40007012022937</v>
      </c>
      <c r="J36" s="3" t="n">
        <v>0.1889129219656597</v>
      </c>
      <c r="K36" s="3" t="n">
        <v>0.01899833439613604</v>
      </c>
      <c r="L36" s="3" t="n">
        <v>14973.55129146416</v>
      </c>
      <c r="M36" s="4" t="n">
        <v>50620227011.93195</v>
      </c>
    </row>
    <row r="37">
      <c r="A37" t="inlineStr">
        <is>
          <t>BBG000C23KJ3</t>
        </is>
      </c>
      <c r="B37" t="inlineStr">
        <is>
          <t>aes</t>
        </is>
      </c>
      <c r="C37" s="3" t="n">
        <v>0.7507664910896094</v>
      </c>
      <c r="D37" s="3" t="n">
        <v>-0.01290003209013135</v>
      </c>
      <c r="E37" s="3" t="n">
        <v>22.86661279387187</v>
      </c>
      <c r="F37" s="3" t="n">
        <v>0.3857910442825356</v>
      </c>
      <c r="G37" s="3" t="n">
        <v>-0.02035782215882076</v>
      </c>
      <c r="H37" s="3" t="n">
        <v>15.22158054248584</v>
      </c>
      <c r="I37" s="3" t="n">
        <v>18.96423864881364</v>
      </c>
      <c r="J37" s="3" t="n">
        <v>0.3725298937022906</v>
      </c>
      <c r="K37" s="3" t="n">
        <v>0.04022076844647712</v>
      </c>
      <c r="L37" s="3" t="n">
        <v>11956.53978875625</v>
      </c>
      <c r="M37" s="4" t="n">
        <v>8527932538.539605</v>
      </c>
    </row>
    <row r="38">
      <c r="A38" t="inlineStr">
        <is>
          <t>BBG000BBBNC6</t>
        </is>
      </c>
      <c r="B38" t="inlineStr">
        <is>
          <t>afl</t>
        </is>
      </c>
      <c r="C38" s="3" t="n">
        <v>0.2868043788932543</v>
      </c>
      <c r="D38" s="3" t="n">
        <v>0.2884466886836878</v>
      </c>
      <c r="E38" s="3" t="n">
        <v>24.83943562856969</v>
      </c>
      <c r="F38" s="3" t="n">
        <v>0.3585061769909912</v>
      </c>
      <c r="H38" s="3" t="n">
        <v>5.842256083427689</v>
      </c>
      <c r="I38" s="3" t="n">
        <v>19.25836512798842</v>
      </c>
      <c r="J38" s="3" t="n">
        <v>0.198771681490144</v>
      </c>
      <c r="K38" s="3" t="n">
        <v>0.03064057796525234</v>
      </c>
      <c r="L38" s="3" t="n">
        <v>15325.87123287433</v>
      </c>
      <c r="M38" s="4" t="n">
        <v>61323908514.39624</v>
      </c>
    </row>
    <row r="39">
      <c r="A39" t="inlineStr">
        <is>
          <t>BBG00Y7BP8Y1</t>
        </is>
      </c>
      <c r="B39" t="inlineStr">
        <is>
          <t>afrm</t>
        </is>
      </c>
      <c r="C39" s="3" t="n">
        <v>2.743453891137149</v>
      </c>
      <c r="D39" s="3" t="n">
        <v>0.2743388162908971</v>
      </c>
      <c r="E39" s="3" t="n">
        <v>22.14573503234449</v>
      </c>
      <c r="F39" s="3" t="n">
        <v>0.6837072056622834</v>
      </c>
      <c r="G39" s="3" t="n">
        <v>0.2057800842659774</v>
      </c>
      <c r="H39" s="3" t="n">
        <v>3.575701479780552</v>
      </c>
      <c r="I39" s="3" t="n">
        <v>20.04754278297906</v>
      </c>
      <c r="J39" s="3" t="n">
        <v>0.7351878393617496</v>
      </c>
      <c r="K39" s="3" t="n">
        <v>-0.04141995862220533</v>
      </c>
      <c r="L39" s="3" t="n">
        <v>10861.01211636384</v>
      </c>
      <c r="M39" s="4" t="n">
        <v>4147348420.248947</v>
      </c>
    </row>
    <row r="40">
      <c r="A40" t="inlineStr">
        <is>
          <t>BBG000QY4ZD0</t>
        </is>
      </c>
      <c r="B40" t="inlineStr">
        <is>
          <t>agio</t>
        </is>
      </c>
      <c r="C40" s="3" t="n">
        <v>1.430871394034357</v>
      </c>
      <c r="D40" s="3" t="n">
        <v>0.9986505272193156</v>
      </c>
      <c r="E40" s="3" t="n">
        <v>21.9432172744259</v>
      </c>
      <c r="F40" s="3" t="n">
        <v>0.3060286051606437</v>
      </c>
      <c r="H40" s="3" t="n">
        <v>0.9040950242404966</v>
      </c>
      <c r="I40" s="3" t="n">
        <v>17.14720856401106</v>
      </c>
      <c r="J40" s="3" t="n">
        <v>0.5093535109923465</v>
      </c>
      <c r="K40" s="3" t="n">
        <v>-0.02392011925692654</v>
      </c>
      <c r="L40" s="3" t="n">
        <v>10565.76410172608</v>
      </c>
      <c r="M40" s="4" t="n">
        <v>3387023246.241531</v>
      </c>
    </row>
    <row r="41">
      <c r="A41" t="inlineStr">
        <is>
          <t>BBG000TJ8XZ7</t>
        </is>
      </c>
      <c r="B41" t="inlineStr">
        <is>
          <t>agnc</t>
        </is>
      </c>
      <c r="C41" s="3" t="n">
        <v>0.7204037126810471</v>
      </c>
      <c r="D41" s="3" t="n">
        <v>0.207914808409656</v>
      </c>
      <c r="E41" s="3" t="n">
        <v>22.65366891935387</v>
      </c>
      <c r="F41" s="3" t="n">
        <v>1.141855967239637</v>
      </c>
      <c r="H41" s="3" t="n">
        <v>9.097331637980009</v>
      </c>
      <c r="I41" s="3" t="n">
        <v>18.78314375119501</v>
      </c>
      <c r="J41" s="3" t="n">
        <v>0.1825638141355802</v>
      </c>
      <c r="K41" s="3" t="n">
        <v>-0.03728805382218382</v>
      </c>
      <c r="L41" s="3" t="n">
        <v>11625.60725425991</v>
      </c>
      <c r="M41" s="4" t="n">
        <v>6892287840.718968</v>
      </c>
    </row>
    <row r="42">
      <c r="A42" t="inlineStr">
        <is>
          <t>BBG000BR74W6</t>
        </is>
      </c>
      <c r="B42" t="inlineStr">
        <is>
          <t>agys</t>
        </is>
      </c>
      <c r="C42" s="3" t="n">
        <v>1.340044923005191</v>
      </c>
      <c r="D42" s="3" t="n">
        <v>0.1620397859338383</v>
      </c>
      <c r="E42" s="3" t="n">
        <v>22.04602213078735</v>
      </c>
      <c r="F42" s="3" t="n">
        <v>0.06771115754687354</v>
      </c>
      <c r="H42" s="3" t="n">
        <v>1.378717472179291</v>
      </c>
      <c r="I42" s="3" t="n">
        <v>17.01284160480888</v>
      </c>
      <c r="J42" s="3" t="n">
        <v>0.3664563656978594</v>
      </c>
      <c r="K42" s="3" t="n">
        <v>0.00121078805627133</v>
      </c>
      <c r="L42" s="3" t="n">
        <v>10714.96402179025</v>
      </c>
      <c r="M42" s="4" t="n">
        <v>3753753578.298187</v>
      </c>
    </row>
    <row r="43">
      <c r="A43" t="inlineStr">
        <is>
          <t>BBG000BBDZG3</t>
        </is>
      </c>
      <c r="B43" t="inlineStr">
        <is>
          <t>aig</t>
        </is>
      </c>
      <c r="C43" s="3" t="n">
        <v>0.7099751654959874</v>
      </c>
      <c r="D43" s="3" t="n">
        <v>0.1775385547417123</v>
      </c>
      <c r="E43" s="3" t="n">
        <v>24.56098244103693</v>
      </c>
      <c r="F43" s="3" t="n">
        <v>0.9702632786809572</v>
      </c>
      <c r="H43" s="3" t="n">
        <v>11.97420013739261</v>
      </c>
      <c r="I43" s="3" t="n">
        <v>19.4919382122909</v>
      </c>
      <c r="J43" s="3" t="n">
        <v>0.1806320444814969</v>
      </c>
      <c r="K43" s="3" t="n">
        <v>-0.04959137786193218</v>
      </c>
      <c r="L43" s="3" t="n">
        <v>14816.21269355373</v>
      </c>
      <c r="M43" s="4" t="n">
        <v>46419359558.01487</v>
      </c>
    </row>
    <row r="44">
      <c r="A44" t="inlineStr">
        <is>
          <t>BBG000BN06C9</t>
        </is>
      </c>
      <c r="B44" t="inlineStr">
        <is>
          <t>aii</t>
        </is>
      </c>
    </row>
    <row r="45">
      <c r="A45" t="inlineStr">
        <is>
          <t>BBG000BBGQF1</t>
        </is>
      </c>
      <c r="B45" t="inlineStr">
        <is>
          <t>air</t>
        </is>
      </c>
      <c r="C45" s="3" t="n">
        <v>1.240967328375344</v>
      </c>
      <c r="D45" s="3" t="n">
        <v>-0.1529581792500294</v>
      </c>
      <c r="E45" s="3" t="n">
        <v>21.62288740583563</v>
      </c>
      <c r="F45" s="3" t="n">
        <v>0.3437220699623822</v>
      </c>
      <c r="H45" s="3" t="n">
        <v>1.79268725382477</v>
      </c>
      <c r="I45" s="3" t="n">
        <v>16.76642789108186</v>
      </c>
      <c r="J45" s="3" t="n">
        <v>0.2992822366615992</v>
      </c>
      <c r="K45" s="3" t="n">
        <v>0.02965014661017354</v>
      </c>
      <c r="L45" s="3" t="n">
        <v>10109.76500059002</v>
      </c>
      <c r="M45" s="4" t="n">
        <v>2458672495.91732</v>
      </c>
    </row>
    <row r="46">
      <c r="A46" t="inlineStr">
        <is>
          <t>BBG0026ZDGG4</t>
        </is>
      </c>
      <c r="B46" t="inlineStr">
        <is>
          <t>airg</t>
        </is>
      </c>
      <c r="C46" s="3" t="n">
        <v>0.552504405162476</v>
      </c>
      <c r="D46" s="3" t="n">
        <v>2.862500037252901</v>
      </c>
      <c r="E46" s="3" t="n">
        <v>18.42693064886187</v>
      </c>
      <c r="F46" s="3" t="n">
        <v>0.3684798244671772</v>
      </c>
      <c r="H46" s="3" t="n">
        <v>1.166536282895</v>
      </c>
      <c r="I46" s="3" t="n">
        <v>12.74993868220413</v>
      </c>
      <c r="J46" s="3" t="n">
        <v>0.5851783891516671</v>
      </c>
      <c r="K46" s="3" t="n">
        <v>-0.02191261935192766</v>
      </c>
      <c r="L46" s="3" t="n">
        <v>6256.896975311354</v>
      </c>
      <c r="M46" s="4" t="n">
        <v>100626946.6317091</v>
      </c>
    </row>
    <row r="47">
      <c r="A47" t="inlineStr">
        <is>
          <t>BBG01FRGW2W5</t>
        </is>
      </c>
      <c r="B47" t="inlineStr">
        <is>
          <t>airo</t>
        </is>
      </c>
    </row>
    <row r="48">
      <c r="A48" t="inlineStr">
        <is>
          <t>aiz</t>
        </is>
      </c>
      <c r="B48" t="inlineStr">
        <is>
          <t>aiz</t>
        </is>
      </c>
      <c r="C48" s="3" t="n">
        <v>0.5048362865882383</v>
      </c>
      <c r="D48" s="3" t="n">
        <v>0.1548219781431037</v>
      </c>
      <c r="E48" s="3" t="n">
        <v>23.15204563156565</v>
      </c>
      <c r="F48" s="3" t="n">
        <v>0.3954154247458849</v>
      </c>
      <c r="H48" s="3" t="n">
        <v>7.876125722720436</v>
      </c>
      <c r="I48" s="3" t="n">
        <v>18.09401598705178</v>
      </c>
      <c r="J48" s="3" t="n">
        <v>0.1829579544138848</v>
      </c>
      <c r="K48" s="3" t="n">
        <v>0.04926386109908048</v>
      </c>
      <c r="L48" s="3" t="n">
        <v>12409.89506557784</v>
      </c>
      <c r="M48" s="4" t="n">
        <v>11345030362.65601</v>
      </c>
    </row>
    <row r="49">
      <c r="A49" t="inlineStr">
        <is>
          <t>BBG000BBHXQ3</t>
        </is>
      </c>
      <c r="B49" t="inlineStr">
        <is>
          <t>ajg</t>
        </is>
      </c>
      <c r="C49" s="3" t="n">
        <v>0.3020751476348127</v>
      </c>
      <c r="D49" s="3" t="n">
        <v>0.1370984278460725</v>
      </c>
      <c r="E49" s="3" t="n">
        <v>24.9331079208529</v>
      </c>
      <c r="F49" s="3" t="n">
        <v>0.1809167192371157</v>
      </c>
      <c r="H49" s="3" t="n">
        <v>4.366702232077585</v>
      </c>
      <c r="I49" s="3" t="n">
        <v>19.39147475518161</v>
      </c>
      <c r="J49" s="3" t="n">
        <v>0.1821856660630627</v>
      </c>
      <c r="K49" s="3" t="n">
        <v>0.004168033740139393</v>
      </c>
      <c r="L49" s="3" t="n">
        <v>15499.91264355617</v>
      </c>
      <c r="M49" s="4" t="n">
        <v>67345903967.28516</v>
      </c>
    </row>
    <row r="50">
      <c r="A50" t="inlineStr">
        <is>
          <t>BBG000BJQWD2</t>
        </is>
      </c>
      <c r="B50" t="inlineStr">
        <is>
          <t>akam</t>
        </is>
      </c>
      <c r="C50" s="3" t="n">
        <v>0.7307909324167894</v>
      </c>
      <c r="D50" s="3" t="n">
        <v>-0.1250757128098546</v>
      </c>
      <c r="E50" s="3" t="n">
        <v>23.37116543822895</v>
      </c>
      <c r="F50" s="3" t="n">
        <v>0.3366299421768193</v>
      </c>
      <c r="H50" s="3" t="n">
        <v>2.143249508033092</v>
      </c>
      <c r="I50" s="3" t="n">
        <v>18.91789217432699</v>
      </c>
      <c r="J50" s="3" t="n">
        <v>0.278524236860365</v>
      </c>
      <c r="K50" s="3" t="n">
        <v>0.02584283452411633</v>
      </c>
      <c r="L50" s="3" t="n">
        <v>12765.59638461902</v>
      </c>
      <c r="M50" s="4" t="n">
        <v>14124340719.41798</v>
      </c>
    </row>
    <row r="51">
      <c r="A51" t="inlineStr">
        <is>
          <t>BBG00ZQS8KZ1</t>
        </is>
      </c>
      <c r="B51" t="inlineStr">
        <is>
          <t>akts</t>
        </is>
      </c>
    </row>
    <row r="52">
      <c r="A52" t="inlineStr">
        <is>
          <t>BBG00TDKHW99</t>
        </is>
      </c>
      <c r="B52" t="inlineStr">
        <is>
          <t>alab</t>
        </is>
      </c>
      <c r="C52" s="3" t="n">
        <v>2.679876796509411</v>
      </c>
      <c r="E52" s="3" t="n">
        <v>23.51911752673861</v>
      </c>
      <c r="F52" s="3" t="n">
        <v>-0.007160351398084493</v>
      </c>
      <c r="H52" s="3" t="n">
        <v>-8.383491739723796</v>
      </c>
      <c r="I52" s="3" t="n">
        <v>19.64490087531431</v>
      </c>
      <c r="J52" s="3" t="n">
        <v>0.8542115122925305</v>
      </c>
      <c r="K52" s="3" t="n">
        <v>-0.0004636501864683832</v>
      </c>
      <c r="L52" s="3" t="n">
        <v>13009.57373573918</v>
      </c>
      <c r="M52" s="4" t="n">
        <v>16376570572.25</v>
      </c>
    </row>
    <row r="53">
      <c r="A53" t="inlineStr">
        <is>
          <t>BBG000BJ26K7</t>
        </is>
      </c>
      <c r="B53" t="inlineStr">
        <is>
          <t>alb</t>
        </is>
      </c>
      <c r="C53" s="3" t="n">
        <v>1.964718996722151</v>
      </c>
      <c r="D53" s="3" t="n">
        <v>-0.2075725156606553</v>
      </c>
      <c r="E53" s="3" t="n">
        <v>23.23470157978111</v>
      </c>
      <c r="F53" s="3" t="n">
        <v>0.8310411061690849</v>
      </c>
      <c r="H53" s="3" t="n">
        <v>1.704508966353566</v>
      </c>
      <c r="I53" s="3" t="n">
        <v>19.26602415014334</v>
      </c>
      <c r="J53" s="3" t="n">
        <v>0.5338776245549089</v>
      </c>
      <c r="K53" s="3" t="n">
        <v>0.1778159087464183</v>
      </c>
      <c r="L53" s="3" t="n">
        <v>12543.28518898668</v>
      </c>
      <c r="M53" s="4" t="n">
        <v>12322609463.17786</v>
      </c>
    </row>
    <row r="54">
      <c r="A54" t="inlineStr">
        <is>
          <t>BBG000BRNLL2</t>
        </is>
      </c>
      <c r="B54" t="inlineStr">
        <is>
          <t>algn</t>
        </is>
      </c>
      <c r="C54" s="3" t="n">
        <v>1.472509249009781</v>
      </c>
      <c r="D54" s="3" t="n">
        <v>-0.04101966392553258</v>
      </c>
      <c r="E54" s="3" t="n">
        <v>23.57841293238843</v>
      </c>
      <c r="F54" s="3" t="n">
        <v>0.2093746012252036</v>
      </c>
      <c r="H54" s="3" t="n">
        <v>1.749710647428646</v>
      </c>
      <c r="I54" s="3" t="n">
        <v>19.00796402466956</v>
      </c>
      <c r="J54" s="3" t="n">
        <v>0.3461448126010275</v>
      </c>
      <c r="K54" s="3" t="n">
        <v>0.01827445048995933</v>
      </c>
      <c r="L54" s="3" t="n">
        <v>13108.21958331493</v>
      </c>
      <c r="M54" s="4" t="n">
        <v>17376993095.15228</v>
      </c>
    </row>
    <row r="55">
      <c r="A55" t="inlineStr">
        <is>
          <t>BBG00ZJ0DSR6</t>
        </is>
      </c>
      <c r="B55" t="inlineStr">
        <is>
          <t>alhc</t>
        </is>
      </c>
      <c r="C55" s="3" t="n">
        <v>0.7676032774041321</v>
      </c>
      <c r="D55" s="3" t="n">
        <v>0.6533332824707032</v>
      </c>
      <c r="E55" s="3" t="n">
        <v>21.60591195016913</v>
      </c>
      <c r="F55" s="3" t="n">
        <v>0.04738782293906241</v>
      </c>
      <c r="H55" s="3" t="n">
        <v>5.167001264364895</v>
      </c>
      <c r="I55" s="3" t="n">
        <v>16.84120370173473</v>
      </c>
      <c r="J55" s="3" t="n">
        <v>0.7004207956512033</v>
      </c>
      <c r="K55" s="3" t="n">
        <v>-0.04010445313840651</v>
      </c>
      <c r="L55" s="3" t="n">
        <v>10085.97310345418</v>
      </c>
      <c r="M55" s="4" t="n">
        <v>2417287666.916369</v>
      </c>
    </row>
    <row r="56">
      <c r="A56" t="inlineStr">
        <is>
          <t>BBG00H00J2N1</t>
        </is>
      </c>
      <c r="B56" t="inlineStr">
        <is>
          <t>alit</t>
        </is>
      </c>
      <c r="C56" s="3" t="n">
        <v>0.9429260901788216</v>
      </c>
      <c r="D56" s="3" t="n">
        <v>-0.09411767854220843</v>
      </c>
      <c r="E56" s="3" t="n">
        <v>21.95097107714487</v>
      </c>
      <c r="F56" s="3" t="n">
        <v>1.266190793187291</v>
      </c>
      <c r="H56" s="3" t="n">
        <v>2.494678389057224</v>
      </c>
      <c r="I56" s="3" t="n">
        <v>17.38268249063703</v>
      </c>
      <c r="J56" s="3" t="n">
        <v>0.3658779531036355</v>
      </c>
      <c r="K56" s="3" t="n">
        <v>-0.02167934259506236</v>
      </c>
      <c r="L56" s="3" t="n">
        <v>10576.96853928514</v>
      </c>
      <c r="M56" s="4" t="n">
        <v>3413387636.356405</v>
      </c>
    </row>
    <row r="57">
      <c r="A57" t="inlineStr">
        <is>
          <t>BBG000BBL0Y1</t>
        </is>
      </c>
      <c r="B57" t="inlineStr">
        <is>
          <t>alk</t>
        </is>
      </c>
      <c r="C57" s="3" t="n">
        <v>1.069815758700245</v>
      </c>
      <c r="D57" s="3" t="n">
        <v>0.2671250491214141</v>
      </c>
      <c r="E57" s="3" t="n">
        <v>22.62197709668733</v>
      </c>
      <c r="F57" s="3" t="n">
        <v>0.5917076809003479</v>
      </c>
      <c r="G57" s="3" t="n">
        <v>0.0007702380035430334</v>
      </c>
      <c r="H57" s="3" t="n">
        <v>4.950392304492434</v>
      </c>
      <c r="I57" s="3" t="n">
        <v>18.46912515622363</v>
      </c>
      <c r="J57" s="3" t="n">
        <v>0.3363679517786124</v>
      </c>
      <c r="K57" s="3" t="n">
        <v>0.03534371366552318</v>
      </c>
      <c r="L57" s="3" t="n">
        <v>11576.88382323725</v>
      </c>
      <c r="M57" s="4" t="n">
        <v>6677283609.697975</v>
      </c>
    </row>
    <row r="58">
      <c r="A58" t="inlineStr">
        <is>
          <t>BBG005HTCT54</t>
        </is>
      </c>
      <c r="B58" t="inlineStr">
        <is>
          <t>alkt</t>
        </is>
      </c>
      <c r="C58" s="3" t="n">
        <v>1.551096774851704</v>
      </c>
      <c r="D58" s="3" t="n">
        <v>0.6078172979513048</v>
      </c>
      <c r="E58" s="3" t="n">
        <v>22.10117591223105</v>
      </c>
      <c r="F58" s="3" t="n">
        <v>0.08421462777974034</v>
      </c>
      <c r="H58" s="3" t="n">
        <v>1.263876827551065</v>
      </c>
      <c r="I58" s="3" t="n">
        <v>17.08423810624248</v>
      </c>
      <c r="J58" s="3" t="n">
        <v>0.3413314631702887</v>
      </c>
      <c r="K58" s="3" t="n">
        <v>-0.01265566513157758</v>
      </c>
      <c r="L58" s="3" t="n">
        <v>10795.58407355755</v>
      </c>
      <c r="M58" s="4" t="n">
        <v>3966603056.05658</v>
      </c>
    </row>
    <row r="59">
      <c r="A59" t="inlineStr">
        <is>
          <t>BBG000BVMGF2</t>
        </is>
      </c>
      <c r="B59" t="inlineStr">
        <is>
          <t>all</t>
        </is>
      </c>
      <c r="C59" s="3" t="n">
        <v>0.1531467248464941</v>
      </c>
      <c r="D59" s="3" t="n">
        <v>0.3750635840276457</v>
      </c>
      <c r="E59" s="3" t="n">
        <v>24.69935982780113</v>
      </c>
      <c r="F59" s="3" t="n">
        <v>0.3916268067214138</v>
      </c>
      <c r="G59" s="3" t="n">
        <v>0.01223756040440027</v>
      </c>
      <c r="H59" s="3" t="n">
        <v>5.448244479309851</v>
      </c>
      <c r="I59" s="3" t="n">
        <v>19.45300330002337</v>
      </c>
      <c r="J59" s="3" t="n">
        <v>0.2073246170584934</v>
      </c>
      <c r="K59" s="3" t="n">
        <v>-0.03145845451318728</v>
      </c>
      <c r="L59" s="3" t="n">
        <v>15068.05134239701</v>
      </c>
      <c r="M59" s="4" t="n">
        <v>53308403922.56233</v>
      </c>
    </row>
    <row r="60">
      <c r="A60" t="inlineStr">
        <is>
          <t>alle</t>
        </is>
      </c>
      <c r="B60" t="inlineStr">
        <is>
          <t>alle</t>
        </is>
      </c>
      <c r="C60" s="3" t="n">
        <v>0.7391586416239105</v>
      </c>
      <c r="D60" s="3" t="n">
        <v>0.3357775897300759</v>
      </c>
      <c r="E60" s="3" t="n">
        <v>23.21623355648536</v>
      </c>
      <c r="F60" s="3" t="n">
        <v>0.1089763174176924</v>
      </c>
      <c r="H60" s="3" t="n">
        <v>3.270499883736251</v>
      </c>
      <c r="I60" s="3" t="n">
        <v>18.54655919313625</v>
      </c>
      <c r="J60" s="3" t="n">
        <v>0.1984654562653539</v>
      </c>
      <c r="K60" s="3" t="n">
        <v>0.03992684617518426</v>
      </c>
      <c r="L60" s="3" t="n">
        <v>12513.39899417963</v>
      </c>
      <c r="M60" s="4" t="n">
        <v>12097123770.82947</v>
      </c>
    </row>
    <row r="61">
      <c r="A61" t="inlineStr">
        <is>
          <t>BBG000BC2R71</t>
        </is>
      </c>
      <c r="B61" t="inlineStr">
        <is>
          <t>ally</t>
        </is>
      </c>
      <c r="C61" s="3" t="n">
        <v>1.289203858261315</v>
      </c>
      <c r="D61" s="3" t="n">
        <v>0.2266847768787317</v>
      </c>
      <c r="E61" s="3" t="n">
        <v>23.17693728108404</v>
      </c>
      <c r="F61" s="3" t="n">
        <v>1.105582683254823</v>
      </c>
      <c r="H61" s="3" t="n">
        <v>15.27272727153957</v>
      </c>
      <c r="I61" s="3" t="n">
        <v>18.75471955029369</v>
      </c>
      <c r="J61" s="3" t="n">
        <v>0.3278571267332669</v>
      </c>
      <c r="K61" s="3" t="n">
        <v>0.06946969500504684</v>
      </c>
      <c r="L61" s="3" t="n">
        <v>12449.96517371989</v>
      </c>
      <c r="M61" s="4" t="n">
        <v>11630970884.09314</v>
      </c>
    </row>
    <row r="62">
      <c r="A62" t="inlineStr">
        <is>
          <t>BBG000BFGNJ5</t>
        </is>
      </c>
      <c r="B62" t="inlineStr">
        <is>
          <t>alny</t>
        </is>
      </c>
      <c r="C62" s="3" t="n">
        <v>0.5439175183140832</v>
      </c>
      <c r="D62" s="3" t="n">
        <v>0.5844873482192607</v>
      </c>
      <c r="E62" s="3" t="n">
        <v>24.20884118042335</v>
      </c>
      <c r="F62" s="3" t="n">
        <v>-9.396100169848606e-05</v>
      </c>
      <c r="H62" s="3" t="n">
        <v>-1371.05978841206</v>
      </c>
      <c r="I62" s="3" t="n">
        <v>19.1922910834742</v>
      </c>
      <c r="J62" s="3" t="n">
        <v>0.4984929677640855</v>
      </c>
      <c r="K62" s="3" t="n">
        <v>-0.009263507011925212</v>
      </c>
      <c r="L62" s="3" t="n">
        <v>14188.02692228629</v>
      </c>
      <c r="M62" s="4" t="n">
        <v>32641201609.87445</v>
      </c>
    </row>
    <row r="63">
      <c r="A63" t="inlineStr">
        <is>
          <t>BBG007GNPYY7</t>
        </is>
      </c>
      <c r="B63" t="inlineStr">
        <is>
          <t>alrm</t>
        </is>
      </c>
      <c r="C63" s="3" t="n">
        <v>1.163069967808417</v>
      </c>
      <c r="D63" s="3" t="n">
        <v>-0.02110862189508811</v>
      </c>
      <c r="E63" s="3" t="n">
        <v>21.89258852672296</v>
      </c>
      <c r="F63" s="3" t="n">
        <v>0.2004679722468943</v>
      </c>
      <c r="G63" s="3" t="n">
        <v>0.6739261460159878</v>
      </c>
      <c r="H63" s="3" t="n">
        <v>2.230258924549035</v>
      </c>
      <c r="I63" s="3" t="n">
        <v>16.99183205329154</v>
      </c>
      <c r="J63" s="3" t="n">
        <v>0.2575993861040838</v>
      </c>
      <c r="K63" s="3" t="n">
        <v>0.00281973064551443</v>
      </c>
      <c r="L63" s="3" t="n">
        <v>10492.79875839449</v>
      </c>
      <c r="M63" s="4" t="n">
        <v>3219811087.850876</v>
      </c>
    </row>
    <row r="64">
      <c r="A64" t="inlineStr">
        <is>
          <t>BBG001KY3845</t>
        </is>
      </c>
      <c r="B64" t="inlineStr">
        <is>
          <t>alsn</t>
        </is>
      </c>
      <c r="C64" s="3" t="n">
        <v>1.021260940333766</v>
      </c>
      <c r="D64" s="3" t="n">
        <v>1.017328155886924</v>
      </c>
      <c r="E64" s="3" t="n">
        <v>23.03540941990671</v>
      </c>
      <c r="F64" s="3" t="n">
        <v>0.1605579503502504</v>
      </c>
      <c r="H64" s="3" t="n">
        <v>3.099938307773018</v>
      </c>
      <c r="I64" s="3" t="n">
        <v>17.87499051985778</v>
      </c>
      <c r="J64" s="3" t="n">
        <v>0.2518988722005256</v>
      </c>
      <c r="K64" s="3" t="n">
        <v>0.01564969534567524</v>
      </c>
      <c r="L64" s="3" t="n">
        <v>12223.28130785349</v>
      </c>
      <c r="M64" s="4" t="n">
        <v>10096043181.31428</v>
      </c>
    </row>
    <row r="65">
      <c r="A65" t="inlineStr">
        <is>
          <t>BBG000BBPFB9</t>
        </is>
      </c>
      <c r="B65" t="inlineStr">
        <is>
          <t>amat</t>
        </is>
      </c>
      <c r="C65" s="3" t="n">
        <v>2.354148620922358</v>
      </c>
      <c r="D65" s="3" t="n">
        <v>0.2189115708915181</v>
      </c>
      <c r="E65" s="3" t="n">
        <v>25.68084976667667</v>
      </c>
      <c r="F65" s="3" t="n">
        <v>0.08572250358620587</v>
      </c>
      <c r="H65" s="3" t="n">
        <v>2.759307856096497</v>
      </c>
      <c r="I65" s="3" t="n">
        <v>20.91206886556783</v>
      </c>
      <c r="J65" s="3" t="n">
        <v>0.3115849198481092</v>
      </c>
      <c r="K65" s="3" t="n">
        <v>0.01198596593525349</v>
      </c>
      <c r="L65" s="3" t="n">
        <v>16936.67565514757</v>
      </c>
      <c r="M65" s="4" t="n">
        <v>142249695118.2897</v>
      </c>
    </row>
    <row r="66">
      <c r="A66" t="inlineStr">
        <is>
          <t>amcr</t>
        </is>
      </c>
      <c r="B66" t="inlineStr">
        <is>
          <t>amcr</t>
        </is>
      </c>
      <c r="C66" s="3" t="n">
        <v>0.451234337155927</v>
      </c>
      <c r="D66" s="3" t="n">
        <v>0.2188704434277717</v>
      </c>
      <c r="E66" s="3" t="n">
        <v>25.00958995178742</v>
      </c>
      <c r="F66" s="3" t="n">
        <v>0.05338469084289551</v>
      </c>
      <c r="H66" s="3" t="n">
        <v>4.257665549018895</v>
      </c>
      <c r="I66" s="3" t="n">
        <v>18.41504277292671</v>
      </c>
      <c r="J66" s="3" t="n">
        <v>0.2171068831120729</v>
      </c>
      <c r="K66" s="3" t="n">
        <v>0.002627280585156671</v>
      </c>
      <c r="L66" s="3" t="n">
        <v>15642.98805802151</v>
      </c>
      <c r="M66" s="4" t="n">
        <v>72698744502.76231</v>
      </c>
    </row>
    <row r="67">
      <c r="A67" t="inlineStr">
        <is>
          <t>BBG000H01H92</t>
        </is>
      </c>
      <c r="B67" t="inlineStr">
        <is>
          <t>amcx</t>
        </is>
      </c>
      <c r="C67" s="3" t="n">
        <v>0.8071440282407</v>
      </c>
      <c r="D67" s="3" t="n">
        <v>-0.4685039039947816</v>
      </c>
      <c r="G67" s="3" t="n">
        <v>0.01185591694363253</v>
      </c>
      <c r="H67" s="3" t="n">
        <v>4.604173838292055</v>
      </c>
      <c r="I67" s="3" t="n">
        <v>16.23042304898975</v>
      </c>
      <c r="J67" s="3" t="n">
        <v>0.7070788383132371</v>
      </c>
    </row>
    <row r="68">
      <c r="A68" t="inlineStr">
        <is>
          <t>BBG000BBQCY0</t>
        </is>
      </c>
      <c r="B68" t="inlineStr">
        <is>
          <t>amd</t>
        </is>
      </c>
      <c r="C68" s="3" t="n">
        <v>2.30681354036326</v>
      </c>
      <c r="D68" s="3" t="n">
        <v>0.1890888326976343</v>
      </c>
      <c r="E68" s="3" t="n">
        <v>26.12871729471458</v>
      </c>
      <c r="F68" s="3" t="n">
        <v>0.2510683162597437</v>
      </c>
      <c r="G68" s="3" t="n">
        <v>0.0668388272823941</v>
      </c>
      <c r="H68" s="3" t="n">
        <v>1.245902812544802</v>
      </c>
      <c r="I68" s="3" t="n">
        <v>22.37841548223607</v>
      </c>
      <c r="J68" s="3" t="n">
        <v>0.3952378607382704</v>
      </c>
      <c r="K68" s="3" t="n">
        <v>0.001343115769012799</v>
      </c>
      <c r="L68" s="3" t="n">
        <v>17838.33312136036</v>
      </c>
      <c r="M68" s="4" t="n">
        <v>222616699838.484</v>
      </c>
    </row>
    <row r="69">
      <c r="A69" t="inlineStr">
        <is>
          <t>BBG000B9XG87</t>
        </is>
      </c>
      <c r="B69" t="inlineStr">
        <is>
          <t>ame</t>
        </is>
      </c>
      <c r="C69" s="3" t="n">
        <v>0.6804902414848863</v>
      </c>
      <c r="D69" s="3" t="n">
        <v>0.1887130608419301</v>
      </c>
      <c r="E69" s="3" t="n">
        <v>24.51933408186545</v>
      </c>
      <c r="F69" s="3" t="n">
        <v>0.1960704987885097</v>
      </c>
      <c r="G69" s="3" t="n">
        <v>0.05981243039937079</v>
      </c>
      <c r="H69" s="3" t="n">
        <v>1.691559669004772</v>
      </c>
      <c r="I69" s="3" t="n">
        <v>19.19983930535071</v>
      </c>
      <c r="J69" s="3" t="n">
        <v>0.1998239072808524</v>
      </c>
      <c r="K69" s="3" t="n">
        <v>0.0217924110327554</v>
      </c>
      <c r="L69" s="3" t="n">
        <v>14740.96832994046</v>
      </c>
      <c r="M69" s="4" t="n">
        <v>44525775441.72363</v>
      </c>
    </row>
    <row r="70">
      <c r="A70" t="inlineStr">
        <is>
          <t>BBG000C060M4</t>
        </is>
      </c>
      <c r="B70" t="inlineStr">
        <is>
          <t>amg</t>
        </is>
      </c>
      <c r="C70" s="3" t="n">
        <v>0.9936322005461089</v>
      </c>
      <c r="D70" s="3" t="n">
        <v>0.4307404450743539</v>
      </c>
      <c r="E70" s="3" t="n">
        <v>22.45791026875366</v>
      </c>
      <c r="F70" s="3" t="n">
        <v>0.585204027158997</v>
      </c>
      <c r="H70" s="3" t="n">
        <v>2.684618399214601</v>
      </c>
      <c r="I70" s="3" t="n">
        <v>17.33392808003233</v>
      </c>
      <c r="J70" s="3" t="n">
        <v>0.2133090727391815</v>
      </c>
      <c r="K70" s="3" t="n">
        <v>0.0841375268068057</v>
      </c>
      <c r="L70" s="3" t="n">
        <v>11326.82072542541</v>
      </c>
      <c r="M70" s="4" t="n">
        <v>5666912470.706177</v>
      </c>
    </row>
    <row r="71">
      <c r="A71" t="inlineStr">
        <is>
          <t>BBG000BBS2Y0</t>
        </is>
      </c>
      <c r="B71" t="inlineStr">
        <is>
          <t>amgn</t>
        </is>
      </c>
      <c r="C71" s="3" t="n">
        <v>0.694297889800166</v>
      </c>
      <c r="D71" s="3" t="n">
        <v>0.2135335049819695</v>
      </c>
      <c r="E71" s="3" t="n">
        <v>25.70102737871255</v>
      </c>
      <c r="F71" s="3" t="n">
        <v>0.03684487001979184</v>
      </c>
      <c r="H71" s="3" t="n">
        <v>16.99382946578275</v>
      </c>
      <c r="I71" s="3" t="n">
        <v>20.45073263847908</v>
      </c>
      <c r="J71" s="3" t="n">
        <v>0.2435885133895973</v>
      </c>
      <c r="K71" s="3" t="n">
        <v>0.009500575122904443</v>
      </c>
      <c r="L71" s="3" t="n">
        <v>16976.62880147822</v>
      </c>
      <c r="M71" s="4" t="n">
        <v>145149107517.2849</v>
      </c>
    </row>
    <row r="72">
      <c r="A72" t="inlineStr">
        <is>
          <t>BBG000G3QLY3</t>
        </is>
      </c>
      <c r="B72" t="inlineStr">
        <is>
          <t>amp</t>
        </is>
      </c>
      <c r="C72" s="3" t="n">
        <v>0.8670977785900178</v>
      </c>
      <c r="D72" s="3" t="n">
        <v>0.4590493254210526</v>
      </c>
      <c r="E72" s="3" t="n">
        <v>24.72362378163416</v>
      </c>
      <c r="F72" s="3" t="n">
        <v>0.07003224659181426</v>
      </c>
      <c r="H72" s="3" t="n">
        <v>45.80156861547671</v>
      </c>
      <c r="I72" s="3" t="n">
        <v>19.1972018089262</v>
      </c>
      <c r="J72" s="3" t="n">
        <v>0.1808697402985603</v>
      </c>
      <c r="K72" s="3" t="n">
        <v>0.03989549420223876</v>
      </c>
      <c r="L72" s="3" t="n">
        <v>15112.50226595024</v>
      </c>
      <c r="M72" s="4" t="n">
        <v>54617696648.00464</v>
      </c>
    </row>
    <row r="73">
      <c r="A73" t="inlineStr">
        <is>
          <t>BBG000B9XYV2</t>
        </is>
      </c>
      <c r="B73" t="inlineStr">
        <is>
          <t>amt</t>
        </is>
      </c>
      <c r="C73" s="3" t="n">
        <v>-0.06599975513714511</v>
      </c>
      <c r="D73" s="3" t="n">
        <v>0.05642916465195746</v>
      </c>
      <c r="E73" s="3" t="n">
        <v>25.25151387361765</v>
      </c>
      <c r="F73" s="3" t="n">
        <v>0.03932883040049147</v>
      </c>
      <c r="H73" s="3" t="n">
        <v>17.24930663776552</v>
      </c>
      <c r="I73" s="3" t="n">
        <v>19.9808133979635</v>
      </c>
      <c r="J73" s="3" t="n">
        <v>0.238821267972717</v>
      </c>
      <c r="K73" s="3" t="n">
        <v>0.009068407306283518</v>
      </c>
      <c r="L73" s="3" t="n">
        <v>16101.34886575339</v>
      </c>
      <c r="M73" s="4" t="n">
        <v>92596193755.99745</v>
      </c>
    </row>
    <row r="74">
      <c r="A74" t="inlineStr">
        <is>
          <t>BBG01NY7B734</t>
        </is>
      </c>
      <c r="B74" t="inlineStr">
        <is>
          <t>amtm</t>
        </is>
      </c>
    </row>
    <row r="75">
      <c r="A75" t="inlineStr">
        <is>
          <t>BBG000BVPV84</t>
        </is>
      </c>
      <c r="B75" t="inlineStr">
        <is>
          <t>amzn</t>
        </is>
      </c>
      <c r="C75" s="3" t="n">
        <v>1.531693208102338</v>
      </c>
      <c r="D75" s="3" t="n">
        <v>0.275925789370006</v>
      </c>
      <c r="E75" s="3" t="n">
        <v>28.41307878370947</v>
      </c>
      <c r="F75" s="3" t="n">
        <v>0.1185521840792145</v>
      </c>
      <c r="H75" s="3" t="n">
        <v>2.255928011073637</v>
      </c>
      <c r="I75" s="3" t="n">
        <v>22.71973964918612</v>
      </c>
      <c r="J75" s="3" t="n">
        <v>0.2020794252299693</v>
      </c>
      <c r="K75" s="3" t="n">
        <v>0.004519284226256353</v>
      </c>
      <c r="L75" s="3" t="n">
        <v>22937.96504745382</v>
      </c>
      <c r="M75" s="4" t="n">
        <v>2185965632035.267</v>
      </c>
    </row>
    <row r="76">
      <c r="A76" t="inlineStr">
        <is>
          <t>BBG000BBXLW4</t>
        </is>
      </c>
      <c r="B76" t="inlineStr">
        <is>
          <t>an</t>
        </is>
      </c>
      <c r="C76" s="3" t="n">
        <v>1.349389287652778</v>
      </c>
      <c r="D76" s="3" t="n">
        <v>0.1493309404171774</v>
      </c>
      <c r="E76" s="3" t="n">
        <v>22.68227685228931</v>
      </c>
      <c r="F76" s="3" t="n">
        <v>0.3078263896397894</v>
      </c>
      <c r="H76" s="3" t="n">
        <v>5.487358004082376</v>
      </c>
      <c r="I76" s="3" t="n">
        <v>18.20440123541048</v>
      </c>
      <c r="J76" s="3" t="n">
        <v>0.2763320083135578</v>
      </c>
      <c r="K76" s="3" t="n">
        <v>0.0407060638919967</v>
      </c>
      <c r="L76" s="3" t="n">
        <v>11669.70670297005</v>
      </c>
      <c r="M76" s="4" t="n">
        <v>7092309409.361877</v>
      </c>
    </row>
    <row r="77">
      <c r="A77" t="inlineStr">
        <is>
          <t>BBG0026ZDHR0</t>
        </is>
      </c>
      <c r="B77" t="inlineStr">
        <is>
          <t>anab</t>
        </is>
      </c>
      <c r="C77" s="3" t="n">
        <v>1.352306775533213</v>
      </c>
      <c r="D77" s="3" t="n">
        <v>0.5297028896633613</v>
      </c>
      <c r="E77" s="3" t="n">
        <v>20.04270560910286</v>
      </c>
      <c r="F77" s="3" t="n">
        <v>0.2931863545083076</v>
      </c>
      <c r="H77" s="3" t="n">
        <v>3.047416618070619</v>
      </c>
      <c r="I77" s="3" t="n">
        <v>16.24607386355623</v>
      </c>
      <c r="J77" s="3" t="n">
        <v>0.6431175716614284</v>
      </c>
      <c r="K77" s="3" t="n">
        <v>-0.07869323203357034</v>
      </c>
      <c r="L77" s="3" t="n">
        <v>8051.356234951536</v>
      </c>
      <c r="M77" s="4" t="n">
        <v>506333249.9078064</v>
      </c>
    </row>
    <row r="78">
      <c r="A78" t="inlineStr">
        <is>
          <t>BBG01XG59BR4</t>
        </is>
      </c>
      <c r="B78" t="inlineStr">
        <is>
          <t>andg</t>
        </is>
      </c>
    </row>
    <row r="79">
      <c r="A79" t="inlineStr">
        <is>
          <t>anet</t>
        </is>
      </c>
      <c r="B79" t="inlineStr">
        <is>
          <t>anet</t>
        </is>
      </c>
      <c r="C79" s="3" t="n">
        <v>2.222730933154733</v>
      </c>
      <c r="D79" s="3" t="n">
        <v>0.7588639143991058</v>
      </c>
      <c r="E79" s="3" t="n">
        <v>24.18750769945597</v>
      </c>
      <c r="F79" s="3" t="n">
        <v>0.1833231251339844</v>
      </c>
      <c r="H79" s="3" t="n">
        <v>1.699785849912168</v>
      </c>
      <c r="I79" s="3" t="n">
        <v>20.39479995481228</v>
      </c>
      <c r="J79" s="3" t="n">
        <v>0.2928034723617954</v>
      </c>
      <c r="K79" s="3" t="n">
        <v>0.01706694842000339</v>
      </c>
      <c r="L79" s="3" t="n">
        <v>14150.55135515845</v>
      </c>
      <c r="M79" s="4" t="n">
        <v>31952226406.43715</v>
      </c>
    </row>
    <row r="80">
      <c r="A80" t="inlineStr">
        <is>
          <t>BBG000H9G7X2</t>
        </is>
      </c>
      <c r="B80" t="inlineStr">
        <is>
          <t>anf</t>
        </is>
      </c>
      <c r="C80" s="3" t="n">
        <v>1.581950868488867</v>
      </c>
      <c r="D80" s="3" t="n">
        <v>0.7365923619194186</v>
      </c>
      <c r="E80" s="3" t="n">
        <v>22.75744378248216</v>
      </c>
      <c r="F80" s="3" t="n">
        <v>0.1577990659566654</v>
      </c>
      <c r="H80" s="3" t="n">
        <v>2.465121346357127</v>
      </c>
      <c r="I80" s="3" t="n">
        <v>19.28223394089942</v>
      </c>
      <c r="J80" s="3" t="n">
        <v>0.5236602610532396</v>
      </c>
      <c r="K80" s="3" t="n">
        <v>0.03230697861006192</v>
      </c>
      <c r="L80" s="3" t="n">
        <v>11786.10852515075</v>
      </c>
      <c r="M80" s="4" t="n">
        <v>7645964141.34375</v>
      </c>
    </row>
    <row r="81">
      <c r="A81" t="inlineStr">
        <is>
          <t>aon</t>
        </is>
      </c>
      <c r="B81" t="inlineStr">
        <is>
          <t>aon</t>
        </is>
      </c>
      <c r="C81" s="3" t="n">
        <v>0.3264198077626808</v>
      </c>
      <c r="D81" s="3" t="n">
        <v>0.1241454380239044</v>
      </c>
      <c r="E81" s="3" t="n">
        <v>25.15345346941707</v>
      </c>
      <c r="F81" s="3" t="n">
        <v>0.07438011608255714</v>
      </c>
      <c r="H81" s="3" t="n">
        <v>7.989269697631443</v>
      </c>
      <c r="I81" s="3" t="n">
        <v>19.64481111049295</v>
      </c>
      <c r="J81" s="3" t="n">
        <v>0.2076228980716293</v>
      </c>
      <c r="K81" s="3" t="n">
        <v>0.02461071746101266</v>
      </c>
      <c r="L81" s="3" t="n">
        <v>15914.49496621999</v>
      </c>
      <c r="M81" s="4" t="n">
        <v>83947166645.92432</v>
      </c>
    </row>
    <row r="82">
      <c r="A82" t="inlineStr">
        <is>
          <t>aos</t>
        </is>
      </c>
      <c r="B82" t="inlineStr">
        <is>
          <t>aos</t>
        </is>
      </c>
      <c r="C82" s="3" t="n">
        <v>0.7964948713936381</v>
      </c>
      <c r="D82" s="3" t="n">
        <v>0.01264405064623575</v>
      </c>
      <c r="E82" s="3" t="n">
        <v>22.42240329303796</v>
      </c>
      <c r="F82" s="3" t="n">
        <v>0.3372322439693329</v>
      </c>
      <c r="G82" s="3" t="n">
        <v>-0.01357267950963226</v>
      </c>
      <c r="H82" s="3" t="n">
        <v>1.71014964123284</v>
      </c>
      <c r="I82" s="3" t="n">
        <v>18.20147204856822</v>
      </c>
      <c r="J82" s="3" t="n">
        <v>0.2177385889157081</v>
      </c>
      <c r="K82" s="3" t="n">
        <v>0.02475669368545201</v>
      </c>
      <c r="L82" s="3" t="n">
        <v>11273.18096837518</v>
      </c>
      <c r="M82" s="4" t="n">
        <v>5469227906.423126</v>
      </c>
    </row>
    <row r="83">
      <c r="A83" t="inlineStr">
        <is>
          <t>apa</t>
        </is>
      </c>
      <c r="B83" t="inlineStr">
        <is>
          <t>apa</t>
        </is>
      </c>
      <c r="C83" s="3" t="n">
        <v>0.5744537860503081</v>
      </c>
      <c r="D83" s="3" t="n">
        <v>-0.3219298097475725</v>
      </c>
      <c r="E83" s="3" t="n">
        <v>22.7813652611779</v>
      </c>
      <c r="F83" s="3" t="n">
        <v>0.3390340380084459</v>
      </c>
      <c r="H83" s="3" t="n">
        <v>5.741619583524813</v>
      </c>
      <c r="I83" s="3" t="n">
        <v>18.80565458737106</v>
      </c>
      <c r="J83" s="3" t="n">
        <v>0.3467663727205592</v>
      </c>
      <c r="L83" s="3" t="n">
        <v>11823.31449777996</v>
      </c>
      <c r="M83" s="4" t="n">
        <v>7831072110.803297</v>
      </c>
    </row>
    <row r="84">
      <c r="A84" t="inlineStr">
        <is>
          <t>BBG000BC4JJ4</t>
        </is>
      </c>
      <c r="B84" t="inlineStr">
        <is>
          <t>apd</t>
        </is>
      </c>
      <c r="C84" s="3" t="n">
        <v>0.3657387097659323</v>
      </c>
      <c r="D84" s="3" t="n">
        <v>0.1786602554771375</v>
      </c>
      <c r="E84" s="3" t="n">
        <v>24.9933380006423</v>
      </c>
      <c r="F84" s="3" t="n">
        <v>0.2381834598728874</v>
      </c>
      <c r="H84" s="3" t="n">
        <v>2.32293017918452</v>
      </c>
      <c r="I84" s="3" t="n">
        <v>19.91457138610933</v>
      </c>
      <c r="J84" s="3" t="n">
        <v>0.2760198597556627</v>
      </c>
      <c r="K84" s="3" t="n">
        <v>0.03215857684381272</v>
      </c>
      <c r="L84" s="3" t="n">
        <v>15612.5120795763</v>
      </c>
      <c r="M84" s="4" t="n">
        <v>71526797070.01392</v>
      </c>
    </row>
    <row r="85">
      <c r="A85" t="inlineStr">
        <is>
          <t>BBG00HXKRGY9</t>
        </is>
      </c>
      <c r="B85" t="inlineStr">
        <is>
          <t>apg</t>
        </is>
      </c>
      <c r="C85" s="3" t="n">
        <v>1.471523653256521</v>
      </c>
      <c r="D85" s="3" t="n">
        <v>0.1248764386891745</v>
      </c>
      <c r="E85" s="3" t="n">
        <v>22.6577806882498</v>
      </c>
      <c r="F85" s="3" t="n">
        <v>0.4287147455544967</v>
      </c>
      <c r="H85" s="3" t="n">
        <v>2.558139534021524</v>
      </c>
      <c r="I85" s="3" t="n">
        <v>17.84487165793379</v>
      </c>
      <c r="J85" s="3" t="n">
        <v>0.2351917480351454</v>
      </c>
      <c r="K85" s="3" t="n">
        <v>0.003756853179783254</v>
      </c>
      <c r="L85" s="3" t="n">
        <v>11631.93874351643</v>
      </c>
      <c r="M85" s="4" t="n">
        <v>6920685678.151302</v>
      </c>
    </row>
    <row r="86">
      <c r="A86" t="inlineStr">
        <is>
          <t>aph</t>
        </is>
      </c>
      <c r="B86" t="inlineStr">
        <is>
          <t>aph</t>
        </is>
      </c>
      <c r="C86" s="3" t="n">
        <v>1.505467292125441</v>
      </c>
      <c r="D86" s="3" t="n">
        <v>0.4856093528745913</v>
      </c>
      <c r="E86" s="3" t="n">
        <v>25.18407371751209</v>
      </c>
      <c r="F86" s="3" t="n">
        <v>0.1092049787477303</v>
      </c>
      <c r="H86" s="3" t="n">
        <v>2.072002115623168</v>
      </c>
      <c r="I86" s="3" t="n">
        <v>19.92823811373619</v>
      </c>
      <c r="J86" s="3" t="n">
        <v>0.1817393359518663</v>
      </c>
      <c r="K86" s="3" t="n">
        <v>0.005937100087644393</v>
      </c>
      <c r="L86" s="3" t="n">
        <v>15972.6856923404</v>
      </c>
      <c r="M86" s="4" t="n">
        <v>86557408904.64896</v>
      </c>
    </row>
    <row r="87">
      <c r="A87" t="inlineStr">
        <is>
          <t>BBG000DSJYS8</t>
        </is>
      </c>
      <c r="B87" t="inlineStr">
        <is>
          <t>apld</t>
        </is>
      </c>
      <c r="C87" s="3" t="n">
        <v>3.204299400637904</v>
      </c>
      <c r="D87" s="3" t="n">
        <v>0.4475374985960363</v>
      </c>
      <c r="E87" s="3" t="n">
        <v>21.50035300352428</v>
      </c>
      <c r="F87" s="3" t="n">
        <v>0.1111870583586922</v>
      </c>
      <c r="H87" s="3" t="n">
        <v>3.877393035744263</v>
      </c>
      <c r="I87" s="3" t="n">
        <v>18.64443948596034</v>
      </c>
      <c r="J87" s="3" t="n">
        <v>1.275113010744688</v>
      </c>
      <c r="K87" s="3" t="n">
        <v>-0.06862770915969425</v>
      </c>
      <c r="L87" s="3" t="n">
        <v>9938.864535674782</v>
      </c>
      <c r="M87" s="4" t="n">
        <v>2175127244.652987</v>
      </c>
    </row>
    <row r="88">
      <c r="A88" t="inlineStr">
        <is>
          <t>BBG00ZNLTFK3</t>
        </is>
      </c>
      <c r="B88" t="inlineStr">
        <is>
          <t>apo</t>
        </is>
      </c>
      <c r="C88" s="3" t="n">
        <v>1.430545831323471</v>
      </c>
      <c r="D88" s="3" t="n">
        <v>0.5759516090277124</v>
      </c>
      <c r="E88" s="3" t="n">
        <v>25.29647877776089</v>
      </c>
      <c r="F88" s="3" t="n">
        <v>0.1844307165008199</v>
      </c>
      <c r="H88" s="3" t="n">
        <v>20.63981413980632</v>
      </c>
      <c r="I88" s="3" t="n">
        <v>19.92419060887382</v>
      </c>
      <c r="J88" s="3" t="n">
        <v>0.2610056407645154</v>
      </c>
      <c r="K88" s="3" t="n">
        <v>0.007041468322989372</v>
      </c>
      <c r="L88" s="3" t="n">
        <v>16187.5162436118</v>
      </c>
      <c r="M88" s="4" t="n">
        <v>96854799128.51807</v>
      </c>
    </row>
    <row r="89">
      <c r="A89" t="inlineStr">
        <is>
          <t>app</t>
        </is>
      </c>
      <c r="B89" t="inlineStr">
        <is>
          <t>app</t>
        </is>
      </c>
      <c r="C89" s="3" t="n">
        <v>2.524090424936362</v>
      </c>
      <c r="D89" s="3" t="n">
        <v>3.51947709334314</v>
      </c>
      <c r="E89" s="3" t="n">
        <v>25.46346373535024</v>
      </c>
      <c r="F89" s="3" t="n">
        <v>0.01662353101244283</v>
      </c>
      <c r="H89" s="3" t="n">
        <v>2.816656214997787</v>
      </c>
      <c r="I89" s="3" t="n">
        <v>20.80959233134967</v>
      </c>
      <c r="J89" s="3" t="n">
        <v>0.6913096958164273</v>
      </c>
      <c r="K89" s="3" t="n">
        <v>-3.947339097188682e-05</v>
      </c>
      <c r="L89" s="3" t="n">
        <v>16510.20395270781</v>
      </c>
      <c r="M89" s="4" t="n">
        <v>114456850266</v>
      </c>
    </row>
    <row r="90">
      <c r="A90" t="inlineStr">
        <is>
          <t>aptv</t>
        </is>
      </c>
      <c r="B90" t="inlineStr">
        <is>
          <t>aptv</t>
        </is>
      </c>
      <c r="C90" s="3" t="n">
        <v>1.326986686870588</v>
      </c>
      <c r="D90" s="3" t="n">
        <v>-0.3139787017945471</v>
      </c>
      <c r="E90" s="3" t="n">
        <v>23.29217153474374</v>
      </c>
      <c r="F90" s="3" t="n">
        <v>0.680533015913847</v>
      </c>
      <c r="H90" s="3" t="n">
        <v>2.788335960055355</v>
      </c>
      <c r="I90" s="3" t="n">
        <v>19.26393362507895</v>
      </c>
      <c r="J90" s="3" t="n">
        <v>0.36111632681137</v>
      </c>
      <c r="K90" s="3" t="n">
        <v>0.1163847839645501</v>
      </c>
      <c r="L90" s="3" t="n">
        <v>12636.59129682362</v>
      </c>
      <c r="M90" s="4" t="n">
        <v>13051534299.76114</v>
      </c>
    </row>
    <row r="91">
      <c r="A91" t="inlineStr">
        <is>
          <t>BBG000PD6X77</t>
        </is>
      </c>
      <c r="B91" t="inlineStr">
        <is>
          <t>arcc</t>
        </is>
      </c>
      <c r="C91" s="3" t="n">
        <v>0.4192983682466093</v>
      </c>
      <c r="D91" s="3" t="n">
        <v>0.1713917901935798</v>
      </c>
      <c r="E91" s="3" t="n">
        <v>23.2458916813235</v>
      </c>
      <c r="F91" s="3" t="n">
        <v>0.9527114918390402</v>
      </c>
      <c r="H91" s="3" t="n">
        <v>2.004716980963214</v>
      </c>
      <c r="I91" s="3" t="n">
        <v>17.95170171640848</v>
      </c>
      <c r="J91" s="3" t="n">
        <v>0.1021925004829336</v>
      </c>
      <c r="K91" s="3" t="n">
        <v>0.03161795213818917</v>
      </c>
      <c r="L91" s="3" t="n">
        <v>12561.41689314715</v>
      </c>
      <c r="M91" s="4" t="n">
        <v>12461275108.72206</v>
      </c>
    </row>
    <row r="92">
      <c r="A92" t="inlineStr">
        <is>
          <t>BBG00DM203B3</t>
        </is>
      </c>
      <c r="B92" t="inlineStr">
        <is>
          <t>ardt</t>
        </is>
      </c>
      <c r="E92" s="3" t="n">
        <v>21.54782292609506</v>
      </c>
      <c r="F92" s="3" t="n">
        <v>0.4410027135086376</v>
      </c>
      <c r="H92" s="3" t="n">
        <v>4.77200234148349</v>
      </c>
      <c r="K92" s="3" t="n">
        <v>0.04215013856065586</v>
      </c>
      <c r="L92" s="3" t="n">
        <v>10004.84106571569</v>
      </c>
      <c r="M92" s="4" t="n">
        <v>2280870318.362103</v>
      </c>
    </row>
    <row r="93">
      <c r="A93" t="inlineStr">
        <is>
          <t>BBG000BC33T9</t>
        </is>
      </c>
      <c r="B93" t="inlineStr">
        <is>
          <t>are</t>
        </is>
      </c>
      <c r="C93" s="3" t="n">
        <v>0.9066327371714096</v>
      </c>
      <c r="D93" s="3" t="n">
        <v>0.06358607612366907</v>
      </c>
      <c r="E93" s="3" t="n">
        <v>23.58976157716925</v>
      </c>
      <c r="F93" s="3" t="n">
        <v>1.050972229526661</v>
      </c>
      <c r="H93" s="3" t="n">
        <v>1.990745147399083</v>
      </c>
      <c r="I93" s="3" t="n">
        <v>18.67877389190722</v>
      </c>
      <c r="J93" s="3" t="n">
        <v>0.267405528670929</v>
      </c>
      <c r="K93" s="3" t="n">
        <v>0.02191675391415504</v>
      </c>
      <c r="L93" s="3" t="n">
        <v>13127.15624461869</v>
      </c>
      <c r="M93" s="4" t="n">
        <v>17575321668.84001</v>
      </c>
    </row>
    <row r="94">
      <c r="A94" t="inlineStr">
        <is>
          <t>BBG0068KVV91</t>
        </is>
      </c>
      <c r="B94" t="inlineStr">
        <is>
          <t>ares</t>
        </is>
      </c>
      <c r="C94" s="3" t="n">
        <v>1.221255533330001</v>
      </c>
      <c r="D94" s="3" t="n">
        <v>0.5347119509434954</v>
      </c>
      <c r="E94" s="3" t="n">
        <v>23.58223461247621</v>
      </c>
      <c r="F94" s="3" t="n">
        <v>0.1085444894569401</v>
      </c>
      <c r="H94" s="3" t="n">
        <v>13.06143078502659</v>
      </c>
      <c r="I94" s="3" t="n">
        <v>19.05384497553128</v>
      </c>
      <c r="J94" s="3" t="n">
        <v>0.2208697851281472</v>
      </c>
      <c r="K94" s="3" t="n">
        <v>0.02343774525924384</v>
      </c>
      <c r="L94" s="3" t="n">
        <v>13114.5945088041</v>
      </c>
      <c r="M94" s="4" t="n">
        <v>17443529463.02789</v>
      </c>
    </row>
    <row r="95">
      <c r="A95" t="inlineStr">
        <is>
          <t>BBG00GHB88X9</t>
        </is>
      </c>
      <c r="B95" t="inlineStr">
        <is>
          <t>argx</t>
        </is>
      </c>
      <c r="C95" s="3" t="n">
        <v>0.7741546818027576</v>
      </c>
      <c r="D95" s="3" t="n">
        <v>0.301125156681874</v>
      </c>
      <c r="I95" s="3" t="n">
        <v>18.87559311216656</v>
      </c>
      <c r="J95" s="3" t="n">
        <v>0.416864808760985</v>
      </c>
    </row>
    <row r="96">
      <c r="A96" t="inlineStr">
        <is>
          <t>BBG01J1GXZF0</t>
        </is>
      </c>
      <c r="B96" t="inlineStr">
        <is>
          <t>arm</t>
        </is>
      </c>
      <c r="C96" s="3" t="n">
        <v>3.404463754129042</v>
      </c>
      <c r="D96" s="3" t="n">
        <v>1.297561025231834</v>
      </c>
      <c r="E96" s="3" t="n">
        <v>25.66280587579843</v>
      </c>
      <c r="F96" s="3" t="n">
        <v>0.04303323447883834</v>
      </c>
      <c r="H96" s="3" t="n">
        <v>1.344976713016471</v>
      </c>
      <c r="I96" s="3" t="n">
        <v>20.52381285309051</v>
      </c>
      <c r="J96" s="3" t="n">
        <v>0.7837043340755075</v>
      </c>
      <c r="K96" s="3" t="n">
        <v>-0.0007873678963193974</v>
      </c>
      <c r="L96" s="3" t="n">
        <v>16901.00056762552</v>
      </c>
      <c r="M96" s="4" t="n">
        <v>139705975457.4892</v>
      </c>
    </row>
    <row r="97">
      <c r="A97" t="inlineStr">
        <is>
          <t>BBG001KY4N87</t>
        </is>
      </c>
      <c r="B97" t="inlineStr">
        <is>
          <t>armk</t>
        </is>
      </c>
      <c r="C97" s="3" t="n">
        <v>0.8615351101010837</v>
      </c>
      <c r="D97" s="3" t="n">
        <v>0.3623665957707689</v>
      </c>
      <c r="E97" s="3" t="n">
        <v>23.07797819111249</v>
      </c>
      <c r="F97" s="3" t="n">
        <v>0.2584572053719489</v>
      </c>
      <c r="H97" s="3" t="n">
        <v>4.654780318481816</v>
      </c>
      <c r="I97" s="3" t="n">
        <v>18.18697074333572</v>
      </c>
      <c r="J97" s="3" t="n">
        <v>0.2070981416250717</v>
      </c>
      <c r="K97" s="3" t="n">
        <v>0.0184605780696111</v>
      </c>
      <c r="L97" s="3" t="n">
        <v>12291.17142473153</v>
      </c>
      <c r="M97" s="4" t="n">
        <v>10535098047.75233</v>
      </c>
    </row>
    <row r="98">
      <c r="A98" t="inlineStr">
        <is>
          <t>BBG001V4SF46</t>
        </is>
      </c>
      <c r="B98" t="inlineStr">
        <is>
          <t>arry</t>
        </is>
      </c>
      <c r="C98" s="3" t="n">
        <v>1.204814345883863</v>
      </c>
      <c r="D98" s="3" t="n">
        <v>-0.5778926892635077</v>
      </c>
      <c r="E98" s="3" t="n">
        <v>20.74261484108309</v>
      </c>
      <c r="F98" s="3" t="n">
        <v>0.2338315375423454</v>
      </c>
      <c r="H98" s="3" t="n">
        <v>6.556644267799311</v>
      </c>
      <c r="I98" s="3" t="n">
        <v>17.56290581368362</v>
      </c>
      <c r="J98" s="3" t="n">
        <v>0.7359859702477322</v>
      </c>
      <c r="K98" s="3" t="n">
        <v>-0.1113161704161842</v>
      </c>
      <c r="L98" s="3" t="n">
        <v>8924.635952289338</v>
      </c>
      <c r="M98" s="4" t="n">
        <v>1019537408.306165</v>
      </c>
    </row>
    <row r="99">
      <c r="A99" t="inlineStr">
        <is>
          <t>BBG000BCFQC3</t>
        </is>
      </c>
      <c r="B99" t="inlineStr">
        <is>
          <t>asb</t>
        </is>
      </c>
      <c r="C99" s="3" t="n">
        <v>1.194944679889486</v>
      </c>
      <c r="D99" s="3" t="n">
        <v>0.3799417533555967</v>
      </c>
      <c r="E99" s="3" t="n">
        <v>22.05530530026228</v>
      </c>
      <c r="F99" s="3" t="n">
        <v>1.088184846485871</v>
      </c>
      <c r="H99" s="3" t="n">
        <v>9.948364900322357</v>
      </c>
      <c r="I99" s="3" t="n">
        <v>17.44868014376746</v>
      </c>
      <c r="J99" s="3" t="n">
        <v>0.3001778638803926</v>
      </c>
      <c r="K99" s="3" t="n">
        <v>0.0219723455289334</v>
      </c>
      <c r="L99" s="3" t="n">
        <v>10728.50533777348</v>
      </c>
      <c r="M99" s="4" t="n">
        <v>3788762554.657894</v>
      </c>
    </row>
    <row r="100">
      <c r="A100" t="inlineStr">
        <is>
          <t>BBG00D0Y81M1</t>
        </is>
      </c>
      <c r="B100" t="inlineStr">
        <is>
          <t>ash</t>
        </is>
      </c>
      <c r="C100" s="3" t="n">
        <v>0.7229680989423409</v>
      </c>
      <c r="D100" s="3" t="n">
        <v>0.07171591332977267</v>
      </c>
      <c r="E100" s="3" t="n">
        <v>21.98146649761247</v>
      </c>
      <c r="F100" s="3" t="n">
        <v>0.8149848638078195</v>
      </c>
      <c r="H100" s="3" t="n">
        <v>1.96827057114077</v>
      </c>
      <c r="I100" s="3" t="n">
        <v>17.36105159311436</v>
      </c>
      <c r="J100" s="3" t="n">
        <v>0.272113500613595</v>
      </c>
      <c r="K100" s="3" t="n">
        <v>0.1435032622813629</v>
      </c>
      <c r="L100" s="3" t="n">
        <v>10621.11201855412</v>
      </c>
      <c r="M100" s="4" t="n">
        <v>3519083760.384186</v>
      </c>
    </row>
    <row r="101">
      <c r="A101" t="inlineStr">
        <is>
          <t>BBG00X7L1C14</t>
        </is>
      </c>
      <c r="B101" t="inlineStr">
        <is>
          <t>aso</t>
        </is>
      </c>
      <c r="C101" s="3" t="n">
        <v>0.9653225875309472</v>
      </c>
      <c r="D101" s="3" t="n">
        <v>0.006904933172140693</v>
      </c>
      <c r="E101" s="3" t="n">
        <v>21.94989786036857</v>
      </c>
      <c r="F101" s="3" t="n">
        <v>0.4775474210866064</v>
      </c>
      <c r="H101" s="3" t="n">
        <v>2.871337449551044</v>
      </c>
      <c r="I101" s="3" t="n">
        <v>18.12985899049584</v>
      </c>
      <c r="J101" s="3" t="n">
        <v>0.3450907204684468</v>
      </c>
      <c r="K101" s="3" t="n">
        <v>0.02755939679612333</v>
      </c>
      <c r="L101" s="3" t="n">
        <v>10575.41724229766</v>
      </c>
      <c r="M101" s="4" t="n">
        <v>3409726296.537048</v>
      </c>
    </row>
    <row r="102">
      <c r="A102" t="inlineStr">
        <is>
          <t>BBG00Q402TR2</t>
        </is>
      </c>
      <c r="B102" t="inlineStr">
        <is>
          <t>asts</t>
        </is>
      </c>
      <c r="C102" s="3" t="n">
        <v>2.307434886651222</v>
      </c>
      <c r="D102" s="3" t="n">
        <v>3.909278336933536</v>
      </c>
      <c r="H102" s="3" t="n">
        <v>56.41374503450199</v>
      </c>
      <c r="I102" s="3" t="n">
        <v>19.63847873626773</v>
      </c>
      <c r="J102" s="3" t="n">
        <v>1.510728581421868</v>
      </c>
    </row>
    <row r="103">
      <c r="A103" t="inlineStr">
        <is>
          <t>BBG005JYTDQ5</t>
        </is>
      </c>
      <c r="B103" t="inlineStr">
        <is>
          <t>athm</t>
        </is>
      </c>
      <c r="C103" s="3" t="n">
        <v>0.5242972574062317</v>
      </c>
      <c r="D103" s="3" t="n">
        <v>0.09545778157039586</v>
      </c>
      <c r="E103" s="3" t="n">
        <v>23.26596243090373</v>
      </c>
      <c r="F103" s="3" t="n">
        <v>1.882047994037103</v>
      </c>
      <c r="H103" s="3" t="n">
        <v>1.288678118351019</v>
      </c>
      <c r="I103" s="3" t="n">
        <v>16.44181203063856</v>
      </c>
      <c r="J103" s="3" t="n">
        <v>0.3490422247210129</v>
      </c>
      <c r="K103" s="3" t="n">
        <v>0.145916884772331</v>
      </c>
      <c r="L103" s="3" t="n">
        <v>12593.98197597763</v>
      </c>
      <c r="M103" s="4" t="n">
        <v>12713909036.28902</v>
      </c>
    </row>
    <row r="104">
      <c r="A104" t="inlineStr">
        <is>
          <t>BBG000LC1FS4</t>
        </is>
      </c>
      <c r="B104" t="inlineStr">
        <is>
          <t>ati</t>
        </is>
      </c>
      <c r="C104" s="3" t="n">
        <v>1.139496431204304</v>
      </c>
      <c r="D104" s="3" t="n">
        <v>0.199317364492972</v>
      </c>
      <c r="E104" s="3" t="n">
        <v>22.87302654086075</v>
      </c>
      <c r="F104" s="3" t="n">
        <v>0.2087196600576544</v>
      </c>
      <c r="H104" s="3" t="n">
        <v>2.827844142666158</v>
      </c>
      <c r="I104" s="3" t="n">
        <v>18.338146341231</v>
      </c>
      <c r="J104" s="3" t="n">
        <v>0.3575054236828276</v>
      </c>
      <c r="K104" s="3" t="n">
        <v>0.03088734056117237</v>
      </c>
      <c r="L104" s="3" t="n">
        <v>11966.60350914045</v>
      </c>
      <c r="M104" s="4" t="n">
        <v>8582804318.943619</v>
      </c>
    </row>
    <row r="105">
      <c r="A105" t="inlineStr">
        <is>
          <t>BBG000BRNGM2</t>
        </is>
      </c>
      <c r="B105" t="inlineStr">
        <is>
          <t>ato</t>
        </is>
      </c>
      <c r="C105" s="3" t="n">
        <v>0.2395269055727062</v>
      </c>
      <c r="D105" s="3" t="n">
        <v>0.2444933865849501</v>
      </c>
      <c r="E105" s="3" t="n">
        <v>23.84746037286772</v>
      </c>
      <c r="F105" s="3" t="n">
        <v>0.4141794484096313</v>
      </c>
      <c r="H105" s="3" t="n">
        <v>2.390566987579739</v>
      </c>
      <c r="I105" s="3" t="n">
        <v>18.54710949308975</v>
      </c>
      <c r="J105" s="3" t="n">
        <v>0.1439865826024471</v>
      </c>
      <c r="K105" s="3" t="n">
        <v>0.03405209021651046</v>
      </c>
      <c r="L105" s="3" t="n">
        <v>13562.08329529673</v>
      </c>
      <c r="M105" s="4" t="n">
        <v>22741570195.60797</v>
      </c>
    </row>
    <row r="106">
      <c r="A106" t="inlineStr">
        <is>
          <t>BBG000BGX2S0</t>
        </is>
      </c>
      <c r="B106" t="inlineStr">
        <is>
          <t>atr</t>
        </is>
      </c>
      <c r="C106" s="3" t="n">
        <v>0.5930426068862481</v>
      </c>
      <c r="D106" s="3" t="n">
        <v>0.3390454096721514</v>
      </c>
      <c r="E106" s="3" t="n">
        <v>23.14627504011684</v>
      </c>
      <c r="F106" s="3" t="n">
        <v>0.2250944120334235</v>
      </c>
      <c r="H106" s="3" t="n">
        <v>1.753396698572791</v>
      </c>
      <c r="I106" s="3" t="n">
        <v>17.60743347922974</v>
      </c>
      <c r="J106" s="3" t="n">
        <v>0.1450069255435456</v>
      </c>
      <c r="K106" s="3" t="n">
        <v>0.01969298727724416</v>
      </c>
      <c r="L106" s="3" t="n">
        <v>12400.61796915077</v>
      </c>
      <c r="M106" s="4" t="n">
        <v>11279751357.83423</v>
      </c>
    </row>
    <row r="107">
      <c r="A107" t="inlineStr">
        <is>
          <t>BBG000BCLBY5</t>
        </is>
      </c>
      <c r="B107" t="inlineStr">
        <is>
          <t>atro</t>
        </is>
      </c>
      <c r="C107" s="3" t="n">
        <v>1.830571315015749</v>
      </c>
      <c r="D107" s="3" t="n">
        <v>0.1710436998606544</v>
      </c>
      <c r="E107" s="3" t="n">
        <v>20.0719614804064</v>
      </c>
      <c r="F107" s="3" t="n">
        <v>0.4785857560917788</v>
      </c>
      <c r="H107" s="3" t="n">
        <v>2.540065235614003</v>
      </c>
      <c r="I107" s="3" t="n">
        <v>15.2736539501021</v>
      </c>
      <c r="J107" s="3" t="n">
        <v>0.3991177295148971</v>
      </c>
      <c r="K107" s="3" t="n">
        <v>-0.06405681552512099</v>
      </c>
      <c r="L107" s="3" t="n">
        <v>8086.664856416682</v>
      </c>
      <c r="M107" s="4" t="n">
        <v>521365285.8351345</v>
      </c>
    </row>
    <row r="108">
      <c r="A108" t="inlineStr">
        <is>
          <t>BBG000BKS4S3</t>
        </is>
      </c>
      <c r="B108" t="inlineStr">
        <is>
          <t>aub</t>
        </is>
      </c>
      <c r="C108" s="3" t="n">
        <v>1.122503819661906</v>
      </c>
      <c r="D108" s="3" t="n">
        <v>0.2715811596967963</v>
      </c>
      <c r="E108" s="3" t="n">
        <v>21.99865489224795</v>
      </c>
      <c r="F108" s="3" t="n">
        <v>0.6672453304799991</v>
      </c>
      <c r="G108" s="3" t="n">
        <v>0.01641381765219552</v>
      </c>
      <c r="H108" s="3" t="n">
        <v>10.38333581977597</v>
      </c>
      <c r="I108" s="3" t="n">
        <v>17.24480621823676</v>
      </c>
      <c r="J108" s="3" t="n">
        <v>0.3049126747268532</v>
      </c>
      <c r="K108" s="3" t="n">
        <v>0.02134441166452506</v>
      </c>
      <c r="L108" s="3" t="n">
        <v>10646.04702295636</v>
      </c>
      <c r="M108" s="4" t="n">
        <v>3580093992.736244</v>
      </c>
    </row>
    <row r="109">
      <c r="A109" t="inlineStr">
        <is>
          <t>BBG00Z92Y6X1</t>
        </is>
      </c>
      <c r="B109" t="inlineStr">
        <is>
          <t>aur</t>
        </is>
      </c>
      <c r="C109" s="3" t="n">
        <v>3.075684114773082</v>
      </c>
      <c r="D109" s="3" t="n">
        <v>1.372146135126067</v>
      </c>
      <c r="E109" s="3" t="n">
        <v>22.14862845769543</v>
      </c>
      <c r="F109" s="3" t="n">
        <v>0.4772362123351853</v>
      </c>
      <c r="H109" s="3" t="n">
        <v>1.141057933933976</v>
      </c>
      <c r="I109" s="3" t="n">
        <v>17.81902634482823</v>
      </c>
      <c r="J109" s="3" t="n">
        <v>0.8462129796005916</v>
      </c>
      <c r="K109" s="3" t="n">
        <v>-0.04568004047540816</v>
      </c>
      <c r="L109" s="3" t="n">
        <v>10865.26977145543</v>
      </c>
      <c r="M109" s="4" t="n">
        <v>4159365840.680601</v>
      </c>
    </row>
    <row r="110">
      <c r="A110" t="inlineStr">
        <is>
          <t>BBG000BLPBL5</t>
        </is>
      </c>
      <c r="B110" t="inlineStr">
        <is>
          <t>avb</t>
        </is>
      </c>
      <c r="C110" s="3" t="n">
        <v>0.532732277954733</v>
      </c>
      <c r="D110" s="3" t="n">
        <v>0.3258118005696879</v>
      </c>
      <c r="E110" s="3" t="n">
        <v>24.1783326479327</v>
      </c>
      <c r="F110" s="3" t="n">
        <v>0.3554432231703374</v>
      </c>
      <c r="H110" s="3" t="n">
        <v>1.817906218325973</v>
      </c>
      <c r="I110" s="3" t="n">
        <v>18.87029348621327</v>
      </c>
      <c r="J110" s="3" t="n">
        <v>0.1805821709014112</v>
      </c>
      <c r="K110" s="3" t="n">
        <v>0.03078056122926578</v>
      </c>
      <c r="L110" s="3" t="n">
        <v>14134.45426945663</v>
      </c>
      <c r="M110" s="4" t="n">
        <v>31660403873.42427</v>
      </c>
    </row>
    <row r="111">
      <c r="A111" t="inlineStr">
        <is>
          <t>BBG00KHY5S69</t>
        </is>
      </c>
      <c r="B111" t="inlineStr">
        <is>
          <t>avgo</t>
        </is>
      </c>
      <c r="C111" s="3" t="n">
        <v>2.556525007218738</v>
      </c>
      <c r="D111" s="3" t="n">
        <v>0.8621623651019432</v>
      </c>
      <c r="E111" s="3" t="n">
        <v>24.88674641001017</v>
      </c>
      <c r="F111" s="3" t="n">
        <v>0.3879155811509772</v>
      </c>
      <c r="H111" s="3" t="n">
        <v>2.009702898760687</v>
      </c>
      <c r="I111" s="3" t="n">
        <v>22.08938887600822</v>
      </c>
      <c r="J111" s="3" t="n">
        <v>0.3372034779209096</v>
      </c>
      <c r="K111" s="3" t="n">
        <v>0.01860178160685493</v>
      </c>
      <c r="L111" s="3" t="n">
        <v>15413.6100443094</v>
      </c>
      <c r="M111" s="4" t="n">
        <v>64294916758.97653</v>
      </c>
    </row>
    <row r="112">
      <c r="A112" t="inlineStr">
        <is>
          <t>BBG00G2HHYD7</t>
        </is>
      </c>
      <c r="B112" t="inlineStr">
        <is>
          <t>avtr</t>
        </is>
      </c>
      <c r="C112" s="3" t="n">
        <v>0.8151132847776253</v>
      </c>
      <c r="D112" s="3" t="n">
        <v>0.05618510467003235</v>
      </c>
      <c r="E112" s="3" t="n">
        <v>23.38588107746911</v>
      </c>
      <c r="F112" s="3" t="n">
        <v>0.3791756518384633</v>
      </c>
      <c r="H112" s="3" t="n">
        <v>2.386881324307842</v>
      </c>
      <c r="I112" s="3" t="n">
        <v>18.74156580250227</v>
      </c>
      <c r="J112" s="3" t="n">
        <v>0.2893544750665804</v>
      </c>
      <c r="K112" s="3" t="n">
        <v>0.01552980682598748</v>
      </c>
      <c r="L112" s="3" t="n">
        <v>12789.72511946937</v>
      </c>
      <c r="M112" s="4" t="n">
        <v>14333726264.51302</v>
      </c>
    </row>
    <row r="113">
      <c r="A113" t="inlineStr">
        <is>
          <t>BBG000BCQ4P6</t>
        </is>
      </c>
      <c r="B113" t="inlineStr">
        <is>
          <t>avy</t>
        </is>
      </c>
      <c r="C113" s="3" t="n">
        <v>0.7419853141154326</v>
      </c>
      <c r="D113" s="3" t="n">
        <v>0.08136425406619097</v>
      </c>
      <c r="E113" s="3" t="n">
        <v>23.49271090760885</v>
      </c>
      <c r="F113" s="3" t="n">
        <v>0.1500898393017882</v>
      </c>
      <c r="H113" s="3" t="n">
        <v>3.530598603312336</v>
      </c>
      <c r="I113" s="3" t="n">
        <v>18.50283265678794</v>
      </c>
      <c r="J113" s="3" t="n">
        <v>0.1507480005711621</v>
      </c>
      <c r="K113" s="3" t="n">
        <v>0.01139200626639998</v>
      </c>
      <c r="L113" s="3" t="n">
        <v>12965.80254151986</v>
      </c>
      <c r="M113" s="4" t="n">
        <v>15949780551.34335</v>
      </c>
    </row>
    <row r="114">
      <c r="A114" t="inlineStr">
        <is>
          <t>BBG000TRJ294</t>
        </is>
      </c>
      <c r="B114" t="inlineStr">
        <is>
          <t>awk</t>
        </is>
      </c>
      <c r="C114" s="3" t="n">
        <v>0.2067908809965679</v>
      </c>
      <c r="D114" s="3" t="n">
        <v>0.06534536816868441</v>
      </c>
      <c r="E114" s="3" t="n">
        <v>23.96933793287354</v>
      </c>
      <c r="F114" s="3" t="n">
        <v>0.3895405747127704</v>
      </c>
      <c r="H114" s="3" t="n">
        <v>3.17677625630291</v>
      </c>
      <c r="I114" s="3" t="n">
        <v>18.82808043180466</v>
      </c>
      <c r="J114" s="3" t="n">
        <v>0.1964128292436029</v>
      </c>
      <c r="K114" s="3" t="n">
        <v>0.01362438304681419</v>
      </c>
      <c r="L114" s="3" t="n">
        <v>13771.08361086811</v>
      </c>
      <c r="M114" s="4" t="n">
        <v>25689236626.99109</v>
      </c>
    </row>
    <row r="115">
      <c r="A115" t="inlineStr">
        <is>
          <t>BBG000BL5Q89</t>
        </is>
      </c>
      <c r="B115" t="inlineStr">
        <is>
          <t>axia</t>
        </is>
      </c>
      <c r="C115" s="3" t="n">
        <v>0.6844509425428448</v>
      </c>
      <c r="D115" s="3" t="n">
        <v>-0.1972764952847211</v>
      </c>
      <c r="I115" s="3" t="n">
        <v>15.50726526553453</v>
      </c>
      <c r="J115" s="3" t="n">
        <v>0.2958260800122573</v>
      </c>
    </row>
    <row r="116">
      <c r="A116" t="inlineStr">
        <is>
          <t>axon</t>
        </is>
      </c>
      <c r="B116" t="inlineStr">
        <is>
          <t>axon</t>
        </is>
      </c>
      <c r="C116" s="3" t="n">
        <v>1.046329804793903</v>
      </c>
      <c r="D116" s="3" t="n">
        <v>0.8423457127760416</v>
      </c>
      <c r="E116" s="3" t="n">
        <v>24.62187511032658</v>
      </c>
      <c r="F116" s="3" t="n">
        <v>0.03091305070730512</v>
      </c>
      <c r="H116" s="3" t="n">
        <v>2.62656108644618</v>
      </c>
      <c r="I116" s="3" t="n">
        <v>19.60359981140301</v>
      </c>
      <c r="J116" s="3" t="n">
        <v>0.4177872122379144</v>
      </c>
      <c r="K116" s="3" t="n">
        <v>0.0002333897240917468</v>
      </c>
      <c r="L116" s="3" t="n">
        <v>14926.68515057272</v>
      </c>
      <c r="M116" s="4" t="n">
        <v>49333791556.47998</v>
      </c>
    </row>
    <row r="117">
      <c r="A117" t="inlineStr">
        <is>
          <t>BBG000BCQZS4</t>
        </is>
      </c>
      <c r="B117" t="inlineStr">
        <is>
          <t>axp</t>
        </is>
      </c>
      <c r="C117" s="3" t="n">
        <v>1.006740055268977</v>
      </c>
      <c r="D117" s="3" t="n">
        <v>0.6004795526674498</v>
      </c>
      <c r="E117" s="3" t="n">
        <v>26.07609239373454</v>
      </c>
      <c r="F117" s="3" t="n">
        <v>0.1264320033643468</v>
      </c>
      <c r="H117" s="3" t="n">
        <v>9.778227165120839</v>
      </c>
      <c r="I117" s="3" t="n">
        <v>20.40008781091849</v>
      </c>
      <c r="J117" s="3" t="n">
        <v>0.2060383291132133</v>
      </c>
      <c r="K117" s="3" t="n">
        <v>0.01187001581973627</v>
      </c>
      <c r="L117" s="3" t="n">
        <v>17730.76743915857</v>
      </c>
      <c r="M117" s="4" t="n">
        <v>211204436292.3041</v>
      </c>
    </row>
    <row r="118">
      <c r="A118" t="inlineStr">
        <is>
          <t>BBG000BJ5HK0</t>
        </is>
      </c>
      <c r="B118" t="inlineStr">
        <is>
          <t>ayi</t>
        </is>
      </c>
      <c r="C118" s="3" t="n">
        <v>1.044217871514071</v>
      </c>
      <c r="D118" s="3" t="n">
        <v>0.6812380873846822</v>
      </c>
      <c r="E118" s="3" t="n">
        <v>23.01189090323924</v>
      </c>
      <c r="F118" s="3" t="n">
        <v>0.2073241423344487</v>
      </c>
      <c r="H118" s="3" t="n">
        <v>1.865786254895678</v>
      </c>
      <c r="I118" s="3" t="n">
        <v>18.16540125686583</v>
      </c>
      <c r="J118" s="3" t="n">
        <v>0.2582651744634631</v>
      </c>
      <c r="K118" s="3" t="n">
        <v>0.03508640413192431</v>
      </c>
      <c r="L118" s="3" t="n">
        <v>12185.88062127898</v>
      </c>
      <c r="M118" s="4" t="n">
        <v>9861369625.224609</v>
      </c>
    </row>
    <row r="119">
      <c r="A119" t="inlineStr">
        <is>
          <t>BBG000C7LMS8</t>
        </is>
      </c>
      <c r="B119" t="inlineStr">
        <is>
          <t>azo</t>
        </is>
      </c>
      <c r="C119" s="3" t="n">
        <v>0.3760479857798488</v>
      </c>
      <c r="D119" s="3" t="n">
        <v>0.1529045142252214</v>
      </c>
      <c r="E119" s="3" t="n">
        <v>24.70441969295179</v>
      </c>
      <c r="F119" s="3" t="n">
        <v>-0.08864722902543477</v>
      </c>
      <c r="H119" s="3" t="n">
        <v>-3.216059874174209</v>
      </c>
      <c r="I119" s="3" t="n">
        <v>19.81537735743363</v>
      </c>
      <c r="J119" s="3" t="n">
        <v>0.2037362802452732</v>
      </c>
      <c r="K119" s="3" t="n">
        <v>0.04969178043363128</v>
      </c>
      <c r="L119" s="3" t="n">
        <v>15077.31367895132</v>
      </c>
      <c r="M119" s="4" t="n">
        <v>53578820817.38379</v>
      </c>
    </row>
    <row r="120">
      <c r="A120" t="inlineStr">
        <is>
          <t>BBG000BCSST7</t>
        </is>
      </c>
      <c r="B120" t="inlineStr">
        <is>
          <t>ba</t>
        </is>
      </c>
      <c r="C120" s="3" t="n">
        <v>0.7504691581065581</v>
      </c>
      <c r="D120" s="3" t="n">
        <v>-0.3553944030949986</v>
      </c>
      <c r="E120" s="3" t="n">
        <v>25.28858388208035</v>
      </c>
      <c r="F120" s="3" t="n">
        <v>-0.2450955112455373</v>
      </c>
      <c r="H120" s="3" t="n">
        <v>-5.846424932313452</v>
      </c>
      <c r="I120" s="3" t="n">
        <v>21.38326566429351</v>
      </c>
      <c r="J120" s="3" t="n">
        <v>0.3289290070062313</v>
      </c>
      <c r="K120" s="3" t="n">
        <v>-0.06420853024732359</v>
      </c>
      <c r="L120" s="3" t="n">
        <v>16172.36486163069</v>
      </c>
      <c r="M120" s="4" t="n">
        <v>96093151115.11957</v>
      </c>
    </row>
    <row r="121">
      <c r="A121" s="5" t="inlineStr">
        <is>
          <t>BBG006G2JVL2</t>
        </is>
      </c>
      <c r="B121" s="5" t="inlineStr">
        <is>
          <t>baba</t>
        </is>
      </c>
      <c r="C121" s="6" t="n">
        <v>0.6476045758683416</v>
      </c>
      <c r="D121" s="6" t="n">
        <v>0.3549036824987115</v>
      </c>
      <c r="E121" s="6" t="n">
        <v>28.13634518404742</v>
      </c>
      <c r="F121" s="6" t="n">
        <v>0.5951918904308495</v>
      </c>
      <c r="G121" s="5" t="n"/>
      <c r="H121" s="6" t="n">
        <v>1.788900444377758</v>
      </c>
      <c r="I121" s="6" t="n">
        <v>21.38506052914148</v>
      </c>
      <c r="J121" s="6" t="n">
        <v>0.3586412623239544</v>
      </c>
      <c r="K121" s="6" t="n">
        <v>0.0482702322060464</v>
      </c>
      <c r="L121" s="6" t="n">
        <v>22274.24796831164</v>
      </c>
      <c r="M121" s="7" t="n">
        <v>1657522583658.292</v>
      </c>
    </row>
    <row r="122">
      <c r="A122" t="inlineStr">
        <is>
          <t>BBG000BCTLF6</t>
        </is>
      </c>
      <c r="B122" t="inlineStr">
        <is>
          <t>bac</t>
        </is>
      </c>
      <c r="C122" s="3" t="n">
        <v>0.8425080338881034</v>
      </c>
      <c r="D122" s="3" t="n">
        <v>0.3987202768575657</v>
      </c>
      <c r="E122" s="3" t="n">
        <v>26.58263450766744</v>
      </c>
      <c r="F122" s="3" t="n">
        <v>0.7794431503579055</v>
      </c>
      <c r="H122" s="3" t="n">
        <v>12.16811678015436</v>
      </c>
      <c r="I122" s="3" t="n">
        <v>21.11516078296505</v>
      </c>
      <c r="J122" s="3" t="n">
        <v>0.2107457797642291</v>
      </c>
      <c r="K122" s="3" t="n">
        <v>0.06667849891109569</v>
      </c>
      <c r="L122" s="3" t="n">
        <v>18784.25867601262</v>
      </c>
      <c r="M122" s="4" t="n">
        <v>350502791478.4724</v>
      </c>
    </row>
    <row r="123">
      <c r="A123" t="inlineStr">
        <is>
          <t>BBG000R2YFG7</t>
        </is>
      </c>
      <c r="B123" t="inlineStr">
        <is>
          <t>bah</t>
        </is>
      </c>
      <c r="C123" s="3" t="n">
        <v>0.535378428697781</v>
      </c>
      <c r="D123" s="3" t="n">
        <v>0.4669304136566339</v>
      </c>
      <c r="E123" s="3" t="n">
        <v>23.62744168609468</v>
      </c>
      <c r="F123" s="3" t="n">
        <v>0.05734524545255659</v>
      </c>
      <c r="G123" s="3" t="n">
        <v>0.1234928483038544</v>
      </c>
      <c r="H123" s="3" t="n">
        <v>6.572352133392621</v>
      </c>
      <c r="I123" s="3" t="n">
        <v>19.06948748153191</v>
      </c>
      <c r="J123" s="3" t="n">
        <v>0.2983145528171738</v>
      </c>
      <c r="K123" s="3" t="n">
        <v>0.01819739307013513</v>
      </c>
      <c r="L123" s="3" t="n">
        <v>13190.16110079315</v>
      </c>
      <c r="M123" s="4" t="n">
        <v>18250196536.49414</v>
      </c>
    </row>
    <row r="124">
      <c r="A124" t="inlineStr">
        <is>
          <t>BBG000BDDNH5</t>
        </is>
      </c>
      <c r="B124" t="inlineStr">
        <is>
          <t>ball</t>
        </is>
      </c>
      <c r="C124" s="3" t="n">
        <v>0.7913736275384474</v>
      </c>
      <c r="D124" s="3" t="n">
        <v>0.08154063298595293</v>
      </c>
      <c r="E124" s="3" t="n">
        <v>23.61847716434669</v>
      </c>
      <c r="F124" s="3" t="n">
        <v>0.3694852940901271</v>
      </c>
      <c r="H124" s="3" t="n">
        <v>2.816699086814799</v>
      </c>
      <c r="I124" s="3" t="n">
        <v>18.41671624315603</v>
      </c>
      <c r="J124" s="3" t="n">
        <v>0.2087260554168473</v>
      </c>
      <c r="K124" s="3" t="n">
        <v>0.02454757901780883</v>
      </c>
      <c r="L124" s="3" t="n">
        <v>13175.15330218845</v>
      </c>
      <c r="M124" s="4" t="n">
        <v>18087323383.43176</v>
      </c>
    </row>
    <row r="125">
      <c r="A125" t="inlineStr">
        <is>
          <t>BBG01BPHNXZ3</t>
        </is>
      </c>
      <c r="B125" t="inlineStr">
        <is>
          <t>bam</t>
        </is>
      </c>
      <c r="C125" s="3" t="n">
        <v>1.27167360563787</v>
      </c>
      <c r="D125" s="3" t="n">
        <v>0.5575755250248906</v>
      </c>
      <c r="H125" s="3" t="n">
        <v>1.296066893373779</v>
      </c>
      <c r="I125" s="3" t="n">
        <v>17.78026874191687</v>
      </c>
      <c r="J125" s="3" t="n">
        <v>0.1955437083555768</v>
      </c>
    </row>
    <row r="126">
      <c r="A126" t="inlineStr">
        <is>
          <t>BBG001K003W2</t>
        </is>
      </c>
      <c r="B126" t="inlineStr">
        <is>
          <t>band</t>
        </is>
      </c>
      <c r="C126" s="3" t="n">
        <v>1.809010482456251</v>
      </c>
      <c r="D126" s="3" t="n">
        <v>0.7759563581938347</v>
      </c>
      <c r="H126" s="3" t="n">
        <v>3.677842172394282</v>
      </c>
      <c r="I126" s="3" t="n">
        <v>15.28538819118764</v>
      </c>
      <c r="J126" s="3" t="n">
        <v>0.7785935632711913</v>
      </c>
    </row>
    <row r="127">
      <c r="A127" t="inlineStr">
        <is>
          <t>BBG000BCVJ77</t>
        </is>
      </c>
      <c r="B127" t="inlineStr">
        <is>
          <t>bax</t>
        </is>
      </c>
      <c r="C127" s="3" t="n">
        <v>0.4842756898851905</v>
      </c>
      <c r="D127" s="3" t="n">
        <v>0.01283726278374453</v>
      </c>
      <c r="E127" s="3" t="n">
        <v>23.54992797519238</v>
      </c>
      <c r="F127" s="3" t="n">
        <v>0.466102375767827</v>
      </c>
      <c r="G127" s="3" t="n">
        <v>0.02840850714065546</v>
      </c>
      <c r="H127" s="3" t="n">
        <v>3.388719511764644</v>
      </c>
      <c r="I127" s="3" t="n">
        <v>18.72275315436867</v>
      </c>
      <c r="J127" s="3" t="n">
        <v>0.2601069892047153</v>
      </c>
      <c r="K127" s="3" t="n">
        <v>0.1427556946108017</v>
      </c>
      <c r="L127" s="3" t="n">
        <v>13060.7690399514</v>
      </c>
      <c r="M127" s="4" t="n">
        <v>16888993510.41941</v>
      </c>
    </row>
    <row r="128">
      <c r="A128" t="inlineStr">
        <is>
          <t>BBG000BF7BV7</t>
        </is>
      </c>
      <c r="B128" t="inlineStr">
        <is>
          <t>bbby</t>
        </is>
      </c>
      <c r="C128" s="3" t="n">
        <v>1.512668798799705</v>
      </c>
      <c r="D128" s="3" t="n">
        <v>-0.6664932322365748</v>
      </c>
      <c r="E128" s="3" t="n">
        <v>19.47914450624251</v>
      </c>
      <c r="F128" s="3" t="n">
        <v>1.791098901229867</v>
      </c>
      <c r="G128" s="3" t="n">
        <v>-0.3263197959164414</v>
      </c>
      <c r="H128" s="3" t="n">
        <v>0.8298164979352004</v>
      </c>
      <c r="I128" s="3" t="n">
        <v>16.74943643313996</v>
      </c>
      <c r="J128" s="3" t="n">
        <v>0.7525363461808868</v>
      </c>
      <c r="K128" s="3" t="n">
        <v>-0.211767055821294</v>
      </c>
      <c r="L128" s="3" t="n">
        <v>7391.109531094778</v>
      </c>
      <c r="M128" s="4" t="n">
        <v>288194023.1521893</v>
      </c>
    </row>
    <row r="129">
      <c r="A129" t="inlineStr">
        <is>
          <t>BBG00JNGG9Q2</t>
        </is>
      </c>
      <c r="B129" t="inlineStr">
        <is>
          <t>bbnx</t>
        </is>
      </c>
    </row>
    <row r="130">
      <c r="A130" t="inlineStr">
        <is>
          <t>BBG000BCWCG1</t>
        </is>
      </c>
      <c r="B130" t="inlineStr">
        <is>
          <t>bby</t>
        </is>
      </c>
      <c r="C130" s="3" t="n">
        <v>0.6257623467791751</v>
      </c>
      <c r="D130" s="3" t="n">
        <v>0.332379145375606</v>
      </c>
      <c r="E130" s="3" t="n">
        <v>23.6065288002942</v>
      </c>
      <c r="F130" s="3" t="n">
        <v>0.1738425398378299</v>
      </c>
      <c r="H130" s="3" t="n">
        <v>4.817186995552885</v>
      </c>
      <c r="I130" s="3" t="n">
        <v>19.33891280807697</v>
      </c>
      <c r="J130" s="3" t="n">
        <v>0.3218107920305176</v>
      </c>
      <c r="K130" s="3" t="n">
        <v>0.03004616797325867</v>
      </c>
      <c r="L130" s="3" t="n">
        <v>13155.16785998039</v>
      </c>
      <c r="M130" s="4" t="n">
        <v>17872495435.95337</v>
      </c>
    </row>
    <row r="131">
      <c r="A131" t="inlineStr">
        <is>
          <t>BBG00Z15DGK7</t>
        </is>
      </c>
      <c r="B131" t="inlineStr">
        <is>
          <t>bcax</t>
        </is>
      </c>
      <c r="E131" s="3" t="n">
        <v>20.8466339313782</v>
      </c>
      <c r="F131" s="3" t="n">
        <v>-0.1211976546438012</v>
      </c>
      <c r="H131" s="3" t="n">
        <v>-3.822982866604305</v>
      </c>
      <c r="K131" s="3" t="n">
        <v>-0.008210018279580964</v>
      </c>
      <c r="L131" s="3" t="n">
        <v>9059.574916380183</v>
      </c>
      <c r="M131" s="4" t="n">
        <v>1131300768.828987</v>
      </c>
    </row>
    <row r="132">
      <c r="A132" t="inlineStr">
        <is>
          <t>BBG000BLYWX6</t>
        </is>
      </c>
      <c r="B132" t="inlineStr">
        <is>
          <t>bcrx</t>
        </is>
      </c>
      <c r="C132" s="3" t="n">
        <v>1.650390100420965</v>
      </c>
      <c r="D132" s="3" t="n">
        <v>0.3622449103716459</v>
      </c>
      <c r="E132" s="3" t="n">
        <v>21.16377260703522</v>
      </c>
      <c r="F132" s="3" t="n">
        <v>-0.1896350718048844</v>
      </c>
      <c r="H132" s="3" t="n">
        <v>-1.667545839460503</v>
      </c>
      <c r="I132" s="3" t="n">
        <v>16.52204877803324</v>
      </c>
      <c r="J132" s="3" t="n">
        <v>0.6437942114547294</v>
      </c>
      <c r="K132" s="3" t="n">
        <v>-0.03433099211658605</v>
      </c>
      <c r="L132" s="3" t="n">
        <v>9479.365304138488</v>
      </c>
      <c r="M132" s="4" t="n">
        <v>1553494282.5</v>
      </c>
    </row>
    <row r="133">
      <c r="A133" t="inlineStr">
        <is>
          <t>BBG000Q4XNV1</t>
        </is>
      </c>
      <c r="B133" t="inlineStr">
        <is>
          <t>bdc</t>
        </is>
      </c>
      <c r="C133" s="3" t="n">
        <v>1.442346141274152</v>
      </c>
      <c r="D133" s="3" t="n">
        <v>0.7177902274483505</v>
      </c>
      <c r="E133" s="3" t="n">
        <v>22.31752444304033</v>
      </c>
      <c r="F133" s="3" t="n">
        <v>0.2508207344475462</v>
      </c>
      <c r="H133" s="3" t="n">
        <v>2.704356581422642</v>
      </c>
      <c r="I133" s="3" t="n">
        <v>17.23697961014942</v>
      </c>
      <c r="J133" s="3" t="n">
        <v>0.2878506090704118</v>
      </c>
      <c r="K133" s="3" t="n">
        <v>0.01090264487116586</v>
      </c>
      <c r="L133" s="3" t="n">
        <v>11115.7317416188</v>
      </c>
      <c r="M133" s="4" t="n">
        <v>4924676592.108047</v>
      </c>
    </row>
    <row r="134">
      <c r="A134" t="inlineStr">
        <is>
          <t>BBG000BCZYD3</t>
        </is>
      </c>
      <c r="B134" t="inlineStr">
        <is>
          <t>bdx</t>
        </is>
      </c>
      <c r="C134" s="3" t="n">
        <v>0.365323773431614</v>
      </c>
      <c r="D134" s="3" t="n">
        <v>0.005151687713817354</v>
      </c>
      <c r="E134" s="3" t="n">
        <v>24.60446321051312</v>
      </c>
      <c r="F134" s="3" t="n">
        <v>0.5320712168083928</v>
      </c>
      <c r="H134" s="3" t="n">
        <v>2.220731896331961</v>
      </c>
      <c r="I134" s="3" t="n">
        <v>19.58702716546798</v>
      </c>
      <c r="J134" s="3" t="n">
        <v>0.1768381879624726</v>
      </c>
      <c r="K134" s="3" t="n">
        <v>0.0351675230523457</v>
      </c>
      <c r="L134" s="3" t="n">
        <v>14895.04033962558</v>
      </c>
      <c r="M134" s="4" t="n">
        <v>48482231672.30164</v>
      </c>
    </row>
    <row r="135">
      <c r="A135" t="inlineStr">
        <is>
          <t>BBG000BD0TF8</t>
        </is>
      </c>
      <c r="B135" t="inlineStr">
        <is>
          <t>ben</t>
        </is>
      </c>
      <c r="C135" s="3" t="n">
        <v>0.9045736428085107</v>
      </c>
      <c r="D135" s="3" t="n">
        <v>-0.1187906933424032</v>
      </c>
      <c r="E135" s="3" t="n">
        <v>23.11337897089591</v>
      </c>
      <c r="F135" s="3" t="n">
        <v>1.091818251101443</v>
      </c>
      <c r="H135" s="3" t="n">
        <v>2.52760365510094</v>
      </c>
      <c r="I135" s="3" t="n">
        <v>18.18470786404225</v>
      </c>
      <c r="J135" s="3" t="n">
        <v>0.2779506162748058</v>
      </c>
      <c r="K135" s="3" t="n">
        <v>0.04258465902306396</v>
      </c>
      <c r="L135" s="3" t="n">
        <v>12347.82086485664</v>
      </c>
      <c r="M135" s="4" t="n">
        <v>10914728698.5597</v>
      </c>
    </row>
    <row r="136">
      <c r="A136" t="inlineStr">
        <is>
          <t>BBG000MBSFT5</t>
        </is>
      </c>
      <c r="B136" t="inlineStr">
        <is>
          <t>beta</t>
        </is>
      </c>
    </row>
    <row r="137">
      <c r="A137" t="inlineStr">
        <is>
          <t>bf-b</t>
        </is>
      </c>
      <c r="B137" t="inlineStr">
        <is>
          <t>bf-b</t>
        </is>
      </c>
      <c r="C137" s="3" t="n">
        <v>0.2930792870997693</v>
      </c>
      <c r="D137" s="3" t="n">
        <v>-0.2401262103552662</v>
      </c>
      <c r="E137" s="3" t="n">
        <v>23.66034994248466</v>
      </c>
      <c r="F137" s="3" t="n">
        <v>0.1732697017885318</v>
      </c>
      <c r="H137" s="3" t="n">
        <v>2.510709913552414</v>
      </c>
      <c r="I137" s="3" t="n">
        <v>18.40252162595343</v>
      </c>
      <c r="J137" s="3" t="n">
        <v>0.2576778509774113</v>
      </c>
      <c r="K137" s="3" t="n">
        <v>0.01033892039435854</v>
      </c>
      <c r="L137" s="3" t="n">
        <v>13245.35159348174</v>
      </c>
      <c r="M137" s="4" t="n">
        <v>18860770037.07886</v>
      </c>
    </row>
    <row r="138">
      <c r="A138" t="inlineStr">
        <is>
          <t>BBG003LFWP05</t>
        </is>
      </c>
      <c r="B138" t="inlineStr">
        <is>
          <t>bfam</t>
        </is>
      </c>
      <c r="C138" s="3" t="n">
        <v>0.6600817956604741</v>
      </c>
      <c r="D138" s="3" t="n">
        <v>0.5264180866204995</v>
      </c>
      <c r="E138" s="3" t="n">
        <v>22.62950305545111</v>
      </c>
      <c r="F138" s="3" t="n">
        <v>0.2079738338379582</v>
      </c>
      <c r="H138" s="3" t="n">
        <v>2.78456908114434</v>
      </c>
      <c r="I138" s="3" t="n">
        <v>17.93942535152274</v>
      </c>
      <c r="J138" s="3" t="n">
        <v>0.3225134621322159</v>
      </c>
      <c r="K138" s="3" t="n">
        <v>0.005942423802760118</v>
      </c>
      <c r="L138" s="3" t="n">
        <v>11588.44198266003</v>
      </c>
      <c r="M138" s="4" t="n">
        <v>6727726146.945</v>
      </c>
    </row>
    <row r="139">
      <c r="A139" t="inlineStr">
        <is>
          <t>BBG000BFNR17</t>
        </is>
      </c>
      <c r="B139" t="inlineStr">
        <is>
          <t>bfh</t>
        </is>
      </c>
      <c r="C139" s="3" t="n">
        <v>1.409870405860669</v>
      </c>
      <c r="D139" s="3" t="n">
        <v>0.8021984028525806</v>
      </c>
      <c r="E139" s="3" t="n">
        <v>21.77611236278263</v>
      </c>
      <c r="F139" s="3" t="n">
        <v>0.954708208452551</v>
      </c>
      <c r="H139" s="3" t="n">
        <v>7.944444441540774</v>
      </c>
      <c r="I139" s="3" t="n">
        <v>17.63896961203394</v>
      </c>
      <c r="J139" s="3" t="n">
        <v>0.4405648455655333</v>
      </c>
      <c r="K139" s="3" t="n">
        <v>0.0006978861172898765</v>
      </c>
      <c r="L139" s="3" t="n">
        <v>10326.21222273216</v>
      </c>
      <c r="M139" s="4" t="n">
        <v>2865797083.152733</v>
      </c>
    </row>
    <row r="140">
      <c r="A140" t="inlineStr">
        <is>
          <t>bg</t>
        </is>
      </c>
      <c r="B140" t="inlineStr">
        <is>
          <t>bg</t>
        </is>
      </c>
      <c r="C140" s="3" t="n">
        <v>0.3351650868446618</v>
      </c>
      <c r="D140" s="3" t="n">
        <v>-0.2190101168076802</v>
      </c>
      <c r="E140" s="3" t="n">
        <v>23.2053205131009</v>
      </c>
      <c r="F140" s="3" t="n">
        <v>0.8469955008153313</v>
      </c>
      <c r="H140" s="3" t="n">
        <v>2.493043907006113</v>
      </c>
      <c r="I140" s="3" t="n">
        <v>18.85417293903965</v>
      </c>
      <c r="J140" s="3" t="n">
        <v>0.2395100333314114</v>
      </c>
      <c r="K140" s="3" t="n">
        <v>0.1359705653504237</v>
      </c>
      <c r="L140" s="3" t="n">
        <v>12495.76110929194</v>
      </c>
      <c r="M140" s="4" t="n">
        <v>11965825071.55811</v>
      </c>
    </row>
    <row r="141">
      <c r="A141" t="inlineStr">
        <is>
          <t>BBG01H9FTGX5</t>
        </is>
      </c>
      <c r="B141" t="inlineStr">
        <is>
          <t>bgc</t>
        </is>
      </c>
      <c r="C141" s="3" t="n">
        <v>1.044475654760487</v>
      </c>
      <c r="D141" s="3" t="n">
        <v>0.449916907370022</v>
      </c>
      <c r="H141" s="3" t="n">
        <v>3.588292845317001</v>
      </c>
      <c r="I141" s="3" t="n">
        <v>17.29611404454929</v>
      </c>
      <c r="J141" s="3" t="n">
        <v>0.3407267124596079</v>
      </c>
    </row>
    <row r="142">
      <c r="A142" t="inlineStr">
        <is>
          <t>BBG00DYPZ4T0</t>
        </is>
      </c>
      <c r="B142" t="inlineStr">
        <is>
          <t>bhf</t>
        </is>
      </c>
      <c r="C142" s="3" t="n">
        <v>1.135609318220494</v>
      </c>
      <c r="D142" s="3" t="n">
        <v>-0.09090908424388489</v>
      </c>
      <c r="E142" s="3" t="n">
        <v>21.85545692105553</v>
      </c>
      <c r="F142" s="3" t="n">
        <v>1.593258595612417</v>
      </c>
      <c r="H142" s="3" t="n">
        <v>47.81306897677259</v>
      </c>
      <c r="I142" s="3" t="n">
        <v>16.69314996872017</v>
      </c>
      <c r="J142" s="3" t="n">
        <v>0.3056668847851137</v>
      </c>
      <c r="K142" s="3" t="n">
        <v>-0.09121832542146752</v>
      </c>
      <c r="L142" s="3" t="n">
        <v>10439.49934778747</v>
      </c>
      <c r="M142" s="4" t="n">
        <v>3102446779.21022</v>
      </c>
    </row>
    <row r="143">
      <c r="A143" t="inlineStr">
        <is>
          <t>BBG000QXWHD1</t>
        </is>
      </c>
      <c r="B143" t="inlineStr">
        <is>
          <t>bidu</t>
        </is>
      </c>
      <c r="C143" s="3" t="n">
        <v>0.9145845066274342</v>
      </c>
      <c r="D143" s="3" t="n">
        <v>-0.2311646676101928</v>
      </c>
      <c r="H143" s="3" t="n">
        <v>1.669604229426787</v>
      </c>
      <c r="I143" s="3" t="n">
        <v>19.79010781280487</v>
      </c>
      <c r="J143" s="3" t="n">
        <v>0.3787196394792596</v>
      </c>
    </row>
    <row r="144">
      <c r="A144" t="inlineStr">
        <is>
          <t>BBG000C17X76</t>
        </is>
      </c>
      <c r="B144" t="inlineStr">
        <is>
          <t>biib</t>
        </is>
      </c>
      <c r="C144" s="3" t="n">
        <v>0.6628888058659167</v>
      </c>
      <c r="D144" s="3" t="n">
        <v>-0.2566643940579637</v>
      </c>
      <c r="E144" s="3" t="n">
        <v>23.87383308586589</v>
      </c>
      <c r="F144" s="3" t="n">
        <v>0.6338261271774704</v>
      </c>
      <c r="H144" s="3" t="n">
        <v>1.659128072647599</v>
      </c>
      <c r="I144" s="3" t="n">
        <v>19.34095834520376</v>
      </c>
      <c r="J144" s="3" t="n">
        <v>0.2438139258672163</v>
      </c>
      <c r="K144" s="3" t="n">
        <v>0.1304921028485638</v>
      </c>
      <c r="L144" s="3" t="n">
        <v>13607.12766653593</v>
      </c>
      <c r="M144" s="4" t="n">
        <v>23349305692.50952</v>
      </c>
    </row>
    <row r="145">
      <c r="A145" t="inlineStr">
        <is>
          <t>BBG00K7T3037</t>
        </is>
      </c>
      <c r="B145" t="inlineStr">
        <is>
          <t>bili</t>
        </is>
      </c>
      <c r="C145" s="3" t="n">
        <v>1.005546488346808</v>
      </c>
      <c r="D145" s="3" t="n">
        <v>0.9523390104311602</v>
      </c>
      <c r="H145" s="3" t="n">
        <v>2.304008991008553</v>
      </c>
      <c r="I145" s="3" t="n">
        <v>18.93527103136187</v>
      </c>
      <c r="J145" s="3" t="n">
        <v>0.7217835849584673</v>
      </c>
    </row>
    <row r="146">
      <c r="A146" t="inlineStr">
        <is>
          <t>BBG00QVJV6V4</t>
        </is>
      </c>
      <c r="B146" t="inlineStr">
        <is>
          <t>bill</t>
        </is>
      </c>
      <c r="C146" s="3" t="n">
        <v>1.342336187973723</v>
      </c>
      <c r="D146" s="3" t="n">
        <v>-0.1085993657825566</v>
      </c>
      <c r="E146" s="3" t="n">
        <v>22.95730119982958</v>
      </c>
      <c r="F146" s="3" t="n">
        <v>0.4410309105026104</v>
      </c>
      <c r="H146" s="3" t="n">
        <v>2.196409131513291</v>
      </c>
      <c r="I146" s="3" t="n">
        <v>18.51322694803292</v>
      </c>
      <c r="J146" s="3" t="n">
        <v>0.4644204771524588</v>
      </c>
      <c r="K146" s="3" t="n">
        <v>0.0009544340998897466</v>
      </c>
      <c r="L146" s="3" t="n">
        <v>12099.36272622161</v>
      </c>
      <c r="M146" s="4" t="n">
        <v>9337470235.058716</v>
      </c>
    </row>
    <row r="147">
      <c r="A147" t="inlineStr">
        <is>
          <t>BBG000DY28W5</t>
        </is>
      </c>
      <c r="B147" t="inlineStr">
        <is>
          <t>bio</t>
        </is>
      </c>
      <c r="C147" s="3" t="n">
        <v>0.7480077769504109</v>
      </c>
      <c r="D147" s="3" t="n">
        <v>0.1747015173416842</v>
      </c>
      <c r="E147" s="3" t="n">
        <v>22.96629141308669</v>
      </c>
      <c r="F147" s="3" t="n">
        <v>0.927756696555326</v>
      </c>
      <c r="H147" s="3" t="n">
        <v>1.213054646209701</v>
      </c>
      <c r="I147" s="3" t="n">
        <v>18.41355860166574</v>
      </c>
      <c r="J147" s="3" t="n">
        <v>0.3140844220275037</v>
      </c>
      <c r="K147" s="3" t="n">
        <v>-0.123357709844722</v>
      </c>
      <c r="L147" s="3" t="n">
        <v>12113.58283681595</v>
      </c>
      <c r="M147" s="4" t="n">
        <v>9421794562.655548</v>
      </c>
    </row>
    <row r="148">
      <c r="A148" t="inlineStr">
        <is>
          <t>BBG00HBTB0M9</t>
        </is>
      </c>
      <c r="B148" t="inlineStr">
        <is>
          <t>bioa</t>
        </is>
      </c>
      <c r="E148" s="3" t="n">
        <v>20.32867575289656</v>
      </c>
      <c r="F148" s="3" t="n">
        <v>-0.2272239487996162</v>
      </c>
      <c r="H148" s="3" t="n">
        <v>-2.203103077616434</v>
      </c>
      <c r="K148" s="3" t="n">
        <v>-0.0255016554112212</v>
      </c>
      <c r="L148" s="3" t="n">
        <v>8400.928074610645</v>
      </c>
      <c r="M148" s="4" t="n">
        <v>673956247.0495834</v>
      </c>
    </row>
    <row r="149">
      <c r="A149" t="inlineStr">
        <is>
          <t>BBG00FQ8T4G3</t>
        </is>
      </c>
      <c r="B149" t="inlineStr">
        <is>
          <t>bj</t>
        </is>
      </c>
      <c r="C149" s="3" t="n">
        <v>0.5010131165412548</v>
      </c>
      <c r="D149" s="3" t="n">
        <v>0.3120161188380355</v>
      </c>
      <c r="E149" s="3" t="n">
        <v>23.26649059433345</v>
      </c>
      <c r="F149" s="3" t="n">
        <v>0.08896779253495118</v>
      </c>
      <c r="H149" s="3" t="n">
        <v>6.041430517597519</v>
      </c>
      <c r="I149" s="3" t="n">
        <v>18.62706430771815</v>
      </c>
      <c r="J149" s="3" t="n">
        <v>0.2568826561772852</v>
      </c>
      <c r="K149" s="3" t="n">
        <v>0.00872747940706297</v>
      </c>
      <c r="L149" s="3" t="n">
        <v>12594.83968797676</v>
      </c>
      <c r="M149" s="4" t="n">
        <v>12720625831.71805</v>
      </c>
    </row>
    <row r="150">
      <c r="A150" t="inlineStr">
        <is>
          <t>BBG000J4L211</t>
        </is>
      </c>
      <c r="B150" t="inlineStr">
        <is>
          <t>bkd</t>
        </is>
      </c>
      <c r="C150" s="3" t="n">
        <v>1.028919781124463</v>
      </c>
      <c r="D150" s="3" t="n">
        <v>0.1830188217516189</v>
      </c>
      <c r="E150" s="3" t="n">
        <v>20.84683400111796</v>
      </c>
      <c r="F150" s="3" t="n">
        <v>0.2588333870579151</v>
      </c>
      <c r="H150" s="3" t="n">
        <v>19.0299510749224</v>
      </c>
      <c r="I150" s="3" t="n">
        <v>16.47613121291347</v>
      </c>
      <c r="J150" s="3" t="n">
        <v>0.3969693847676788</v>
      </c>
      <c r="K150" s="3" t="n">
        <v>-0.04312402119278068</v>
      </c>
      <c r="L150" s="3" t="n">
        <v>9059.835759094256</v>
      </c>
      <c r="M150" s="4" t="n">
        <v>1131527130.522903</v>
      </c>
    </row>
    <row r="151">
      <c r="A151" t="inlineStr">
        <is>
          <t>BBG000BLBVN4</t>
        </is>
      </c>
      <c r="B151" t="inlineStr">
        <is>
          <t>bkng</t>
        </is>
      </c>
      <c r="C151" s="3" t="n">
        <v>1.046020008134558</v>
      </c>
      <c r="D151" s="3" t="n">
        <v>0.5068322024537972</v>
      </c>
      <c r="E151" s="3" t="n">
        <v>22.63901499114471</v>
      </c>
      <c r="F151" s="3" t="n">
        <v>-0.09790894229294966</v>
      </c>
      <c r="H151" s="3" t="n">
        <v>-36.60451133323987</v>
      </c>
      <c r="I151" s="3" t="n">
        <v>20.69045055471809</v>
      </c>
      <c r="J151" s="3" t="n">
        <v>0.2256546609380634</v>
      </c>
      <c r="K151" s="3" t="n">
        <v>0.03323235625511749</v>
      </c>
      <c r="L151" s="3" t="n">
        <v>11603.06115311305</v>
      </c>
      <c r="M151" s="4" t="n">
        <v>6792025164.692001</v>
      </c>
    </row>
    <row r="152">
      <c r="A152" t="inlineStr">
        <is>
          <t>bkr</t>
        </is>
      </c>
      <c r="B152" t="inlineStr">
        <is>
          <t>bkr</t>
        </is>
      </c>
      <c r="C152" s="3" t="n">
        <v>0.7649795363737154</v>
      </c>
      <c r="D152" s="3" t="n">
        <v>0.1510376676218206</v>
      </c>
      <c r="E152" s="3" t="n">
        <v>24.46753327722382</v>
      </c>
      <c r="F152" s="3" t="n">
        <v>0.3634985340792145</v>
      </c>
      <c r="H152" s="3" t="n">
        <v>2.404021342894064</v>
      </c>
      <c r="I152" s="3" t="n">
        <v>19.33617228370653</v>
      </c>
      <c r="J152" s="3" t="n">
        <v>0.2558682311452657</v>
      </c>
      <c r="K152" s="3" t="n">
        <v>0.01811815962419822</v>
      </c>
      <c r="L152" s="3" t="n">
        <v>14647.73799021246</v>
      </c>
      <c r="M152" s="4" t="n">
        <v>42278024692.90694</v>
      </c>
    </row>
    <row r="153">
      <c r="A153" t="inlineStr">
        <is>
          <t>BBG000PQPCM6</t>
        </is>
      </c>
      <c r="B153" t="inlineStr">
        <is>
          <t>bku</t>
        </is>
      </c>
      <c r="C153" s="3" t="n">
        <v>1.29240342058368</v>
      </c>
      <c r="D153" s="3" t="n">
        <v>0.3297320450618979</v>
      </c>
      <c r="E153" s="3" t="n">
        <v>21.82121394647941</v>
      </c>
      <c r="F153" s="3" t="n">
        <v>0.8426628265782392</v>
      </c>
      <c r="H153" s="3" t="n">
        <v>14.1648273512891</v>
      </c>
      <c r="I153" s="3" t="n">
        <v>17.19961092442272</v>
      </c>
      <c r="J153" s="3" t="n">
        <v>0.3612962220039666</v>
      </c>
      <c r="K153" s="3" t="n">
        <v>0.05265462716009289</v>
      </c>
      <c r="L153" s="3" t="n">
        <v>10390.50658938333</v>
      </c>
      <c r="M153" s="4" t="n">
        <v>2998008123.149094</v>
      </c>
    </row>
    <row r="154">
      <c r="A154" t="inlineStr">
        <is>
          <t>BBG0029KJVB0</t>
        </is>
      </c>
      <c r="B154" t="inlineStr">
        <is>
          <t>bl</t>
        </is>
      </c>
      <c r="C154" s="3" t="n">
        <v>1.279732489701352</v>
      </c>
      <c r="D154" s="3" t="n">
        <v>-0.04286948327830542</v>
      </c>
      <c r="E154" s="3" t="n">
        <v>22.07774105942057</v>
      </c>
      <c r="F154" s="3" t="n">
        <v>0.04551598024135041</v>
      </c>
      <c r="H154" s="3" t="n">
        <v>9.611821086108</v>
      </c>
      <c r="I154" s="3" t="n">
        <v>17.40818785675979</v>
      </c>
      <c r="J154" s="3" t="n">
        <v>0.3400194226276461</v>
      </c>
      <c r="K154" s="3" t="n">
        <v>0.02703596887165685</v>
      </c>
      <c r="L154" s="3" t="n">
        <v>10761.27937049327</v>
      </c>
      <c r="M154" s="4" t="n">
        <v>3874727052.330128</v>
      </c>
    </row>
    <row r="155">
      <c r="A155" t="inlineStr">
        <is>
          <t>BBG000BKD3K9</t>
        </is>
      </c>
      <c r="B155" t="inlineStr">
        <is>
          <t>bldr</t>
        </is>
      </c>
      <c r="C155" s="3" t="n">
        <v>1.576661556647644</v>
      </c>
      <c r="D155" s="3" t="n">
        <v>0.2780552763881987</v>
      </c>
      <c r="E155" s="3" t="n">
        <v>23.7894517447843</v>
      </c>
      <c r="F155" s="3" t="n">
        <v>0.2005900647127753</v>
      </c>
      <c r="H155" s="3" t="n">
        <v>2.530788157869856</v>
      </c>
      <c r="I155" s="3" t="n">
        <v>19.34392860286936</v>
      </c>
      <c r="J155" s="3" t="n">
        <v>0.3908147911339824</v>
      </c>
      <c r="K155" s="3" t="n">
        <v>0.01555394277624444</v>
      </c>
      <c r="L155" s="3" t="n">
        <v>13463.35508214333</v>
      </c>
      <c r="M155" s="4" t="n">
        <v>21459896361.08459</v>
      </c>
    </row>
    <row r="156">
      <c r="A156" t="inlineStr">
        <is>
          <t>blk</t>
        </is>
      </c>
      <c r="B156" t="inlineStr">
        <is>
          <t>blk</t>
        </is>
      </c>
      <c r="C156" s="3" t="n">
        <v>0.8399073375503601</v>
      </c>
      <c r="D156" s="3" t="n">
        <v>0.3393720790977668</v>
      </c>
      <c r="E156" s="3" t="n">
        <v>25.75205121078447</v>
      </c>
      <c r="F156" s="3" t="n">
        <v>0.2695823847121286</v>
      </c>
      <c r="H156" s="3" t="n">
        <v>3.225411627489791</v>
      </c>
      <c r="I156" s="3" t="n">
        <v>20.06567311536758</v>
      </c>
      <c r="J156" s="3" t="n">
        <v>0.1517458295758022</v>
      </c>
      <c r="K156" s="3" t="n">
        <v>0.03076321399199312</v>
      </c>
      <c r="L156" s="3" t="n">
        <v>17077.93994288769</v>
      </c>
      <c r="M156" s="4" t="n">
        <v>152747369023.0243</v>
      </c>
    </row>
    <row r="157">
      <c r="A157" t="inlineStr">
        <is>
          <t>BBG00NR7JXT0</t>
        </is>
      </c>
      <c r="B157" t="inlineStr">
        <is>
          <t>blln</t>
        </is>
      </c>
    </row>
    <row r="158">
      <c r="A158" t="inlineStr">
        <is>
          <t>BBG000Q44W43</t>
        </is>
      </c>
      <c r="B158" t="inlineStr">
        <is>
          <t>bma</t>
        </is>
      </c>
      <c r="C158" s="3" t="n">
        <v>1.539645749481903</v>
      </c>
      <c r="D158" s="3" t="n">
        <v>2.084563148071388</v>
      </c>
      <c r="I158" s="3" t="n">
        <v>16.80902980411592</v>
      </c>
      <c r="J158" s="3" t="n">
        <v>0.4989582626724739</v>
      </c>
    </row>
    <row r="159">
      <c r="A159" t="inlineStr">
        <is>
          <t>BBG000CZWZ05</t>
        </is>
      </c>
      <c r="B159" t="inlineStr">
        <is>
          <t>bmrn</t>
        </is>
      </c>
      <c r="C159" s="3" t="n">
        <v>0.6818747730174085</v>
      </c>
      <c r="D159" s="3" t="n">
        <v>-0.2765700695541428</v>
      </c>
      <c r="E159" s="3" t="n">
        <v>23.25570760293311</v>
      </c>
      <c r="F159" s="3" t="n">
        <v>0.3800661464857971</v>
      </c>
      <c r="G159" s="3" t="n">
        <v>0</v>
      </c>
      <c r="H159" s="3" t="n">
        <v>1.430451696992082</v>
      </c>
      <c r="I159" s="3" t="n">
        <v>18.65172693842104</v>
      </c>
      <c r="J159" s="3" t="n">
        <v>0.2996463990759723</v>
      </c>
      <c r="K159" s="3" t="n">
        <v>0.02399167912249511</v>
      </c>
      <c r="L159" s="3" t="n">
        <v>12577.33634574453</v>
      </c>
      <c r="M159" s="4" t="n">
        <v>12584196313.83472</v>
      </c>
    </row>
    <row r="160">
      <c r="A160" t="inlineStr">
        <is>
          <t>BBG000DQLV23</t>
        </is>
      </c>
      <c r="B160" t="inlineStr">
        <is>
          <t>bmy</t>
        </is>
      </c>
      <c r="C160" s="3" t="n">
        <v>0.143132436959684</v>
      </c>
      <c r="D160" s="3" t="n">
        <v>0.1865111953849092</v>
      </c>
      <c r="E160" s="3" t="n">
        <v>25.44114442229552</v>
      </c>
      <c r="F160" s="3" t="n">
        <v>0.1531485378580375</v>
      </c>
      <c r="H160" s="3" t="n">
        <v>5.464356550842122</v>
      </c>
      <c r="I160" s="3" t="n">
        <v>20.12868676657328</v>
      </c>
      <c r="J160" s="3" t="n">
        <v>0.2827594807145224</v>
      </c>
      <c r="K160" s="3" t="n">
        <v>0.01722496680610759</v>
      </c>
      <c r="L160" s="3" t="n">
        <v>16466.82727231406</v>
      </c>
      <c r="M160" s="4" t="n">
        <v>111930549514.8559</v>
      </c>
    </row>
    <row r="161">
      <c r="A161" t="inlineStr">
        <is>
          <t>BBG000BD8PN9</t>
        </is>
      </c>
      <c r="B161" t="inlineStr">
        <is>
          <t>bny</t>
        </is>
      </c>
      <c r="C161" s="3" t="n">
        <v>0.6538564574181935</v>
      </c>
      <c r="D161" s="3" t="n">
        <v>0.6049551561583304</v>
      </c>
      <c r="E161" s="3" t="n">
        <v>24.77939111809719</v>
      </c>
      <c r="F161" s="3" t="n">
        <v>0.7271327944948808</v>
      </c>
      <c r="H161" s="3" t="n">
        <v>9.760835396986073</v>
      </c>
      <c r="I161" s="3" t="n">
        <v>19.45350021824335</v>
      </c>
      <c r="J161" s="3" t="n">
        <v>0.1558660918642566</v>
      </c>
      <c r="K161" s="3" t="n">
        <v>0.0584414455472524</v>
      </c>
      <c r="L161" s="3" t="n">
        <v>15214.99773068576</v>
      </c>
      <c r="M161" s="4" t="n">
        <v>57750111557.60559</v>
      </c>
    </row>
    <row r="162">
      <c r="A162" t="inlineStr">
        <is>
          <t>BBG000BR4RL0</t>
        </is>
      </c>
      <c r="B162" t="inlineStr">
        <is>
          <t>bobs</t>
        </is>
      </c>
    </row>
    <row r="163">
      <c r="A163" t="inlineStr">
        <is>
          <t>BBG00Q4W34T4</t>
        </is>
      </c>
      <c r="B163" t="inlineStr">
        <is>
          <t>bold</t>
        </is>
      </c>
      <c r="C163" s="3" t="n">
        <v>2.217565982579746</v>
      </c>
      <c r="E163" s="3" t="n">
        <v>17.9244007972891</v>
      </c>
      <c r="F163" s="3" t="n">
        <v>2.711652257989063</v>
      </c>
      <c r="H163" s="3" t="n">
        <v>1.060636158413427</v>
      </c>
      <c r="I163" s="3" t="n">
        <v>12.30594671281632</v>
      </c>
      <c r="J163" s="3" t="n">
        <v>0.9274895916137789</v>
      </c>
      <c r="K163" s="3" t="n">
        <v>-0.2163796102232812</v>
      </c>
      <c r="L163" s="3" t="n">
        <v>5758.825765827783</v>
      </c>
      <c r="M163" s="4" t="n">
        <v>60879117.81533957</v>
      </c>
    </row>
    <row r="164">
      <c r="A164" t="inlineStr">
        <is>
          <t>BBG01MF58GZ0</t>
        </is>
      </c>
      <c r="B164" t="inlineStr">
        <is>
          <t>bow</t>
        </is>
      </c>
      <c r="C164" s="3" t="n">
        <v>0.5038020294802459</v>
      </c>
      <c r="E164" s="3" t="n">
        <v>20.90820982325044</v>
      </c>
      <c r="F164" s="3" t="n">
        <v>0.3030966073823743</v>
      </c>
      <c r="H164" s="3" t="n">
        <v>4.243995260813184</v>
      </c>
      <c r="I164" s="3" t="n">
        <v>15.73280648211882</v>
      </c>
      <c r="J164" s="3" t="n">
        <v>0.3580647860427952</v>
      </c>
      <c r="K164" s="3" t="n">
        <v>0.02047706320513437</v>
      </c>
      <c r="L164" s="3" t="n">
        <v>9140.09162529053</v>
      </c>
      <c r="M164" s="4" t="n">
        <v>1203151044.303341</v>
      </c>
    </row>
    <row r="165">
      <c r="A165" t="inlineStr">
        <is>
          <t>BBG000PMSK08</t>
        </is>
      </c>
      <c r="B165" t="inlineStr">
        <is>
          <t>box</t>
        </is>
      </c>
      <c r="C165" s="3" t="n">
        <v>0.6737168058917428</v>
      </c>
      <c r="D165" s="3" t="n">
        <v>0.2136033678368838</v>
      </c>
      <c r="E165" s="3" t="n">
        <v>22.33786565629099</v>
      </c>
      <c r="F165" s="3" t="n">
        <v>-0.08576852621983265</v>
      </c>
      <c r="H165" s="3" t="n">
        <v>-2.599946185467395</v>
      </c>
      <c r="I165" s="3" t="n">
        <v>18.02580360438492</v>
      </c>
      <c r="J165" s="3" t="n">
        <v>0.2789771167773448</v>
      </c>
      <c r="K165" s="3" t="n">
        <v>0.002147088276021116</v>
      </c>
      <c r="L165" s="3" t="n">
        <v>11146.15361269319</v>
      </c>
      <c r="M165" s="4" t="n">
        <v>5025876261.524883</v>
      </c>
    </row>
    <row r="166">
      <c r="A166" t="inlineStr">
        <is>
          <t>BBG000BT4FC2</t>
        </is>
      </c>
      <c r="B166" t="inlineStr">
        <is>
          <t>bp</t>
        </is>
      </c>
      <c r="C166" s="3" t="n">
        <v>0.3930414556237117</v>
      </c>
      <c r="D166" s="3" t="n">
        <v>-0.1593634288143506</v>
      </c>
      <c r="I166" s="3" t="n">
        <v>19.40660201628245</v>
      </c>
      <c r="J166" s="3" t="n">
        <v>0.2034036724282025</v>
      </c>
    </row>
    <row r="167">
      <c r="A167" t="inlineStr">
        <is>
          <t>BBG000BDNB35</t>
        </is>
      </c>
      <c r="B167" t="inlineStr">
        <is>
          <t>bpop</t>
        </is>
      </c>
      <c r="C167" s="3" t="n">
        <v>1.061980562678407</v>
      </c>
      <c r="D167" s="3" t="n">
        <v>0.2448677079285297</v>
      </c>
      <c r="E167" s="3" t="n">
        <v>22.63642656740908</v>
      </c>
      <c r="F167" s="3" t="n">
        <v>0.6738550538075243</v>
      </c>
      <c r="G167" s="3" t="n">
        <v>-0.01005489895401013</v>
      </c>
      <c r="H167" s="3" t="n">
        <v>15.6238627315688</v>
      </c>
      <c r="I167" s="3" t="n">
        <v>17.67447273274048</v>
      </c>
      <c r="J167" s="3" t="n">
        <v>0.2605622819235402</v>
      </c>
      <c r="K167" s="3" t="n">
        <v>0.02292770693826586</v>
      </c>
      <c r="L167" s="3" t="n">
        <v>11599.08171251215</v>
      </c>
      <c r="M167" s="4" t="n">
        <v>6774467258.993156</v>
      </c>
    </row>
    <row r="168">
      <c r="A168" t="inlineStr">
        <is>
          <t>br</t>
        </is>
      </c>
      <c r="B168" t="inlineStr">
        <is>
          <t>br</t>
        </is>
      </c>
      <c r="C168" s="3" t="n">
        <v>0.6662045968403516</v>
      </c>
      <c r="D168" s="3" t="n">
        <v>0.1058570909489491</v>
      </c>
      <c r="E168" s="3" t="n">
        <v>24.00898271318286</v>
      </c>
      <c r="F168" s="3" t="n">
        <v>0.08112050238971096</v>
      </c>
      <c r="H168" s="3" t="n">
        <v>3.697583247072418</v>
      </c>
      <c r="I168" s="3" t="n">
        <v>18.5092961878195</v>
      </c>
      <c r="J168" s="3" t="n">
        <v>0.1611414785103692</v>
      </c>
      <c r="K168" s="3" t="n">
        <v>0.00298561760478689</v>
      </c>
      <c r="L168" s="3" t="n">
        <v>13839.52793872259</v>
      </c>
      <c r="M168" s="4" t="n">
        <v>26728138214.70966</v>
      </c>
    </row>
    <row r="169">
      <c r="A169" t="inlineStr">
        <is>
          <t>BBG016NMK1H8</t>
        </is>
      </c>
      <c r="B169" t="inlineStr">
        <is>
          <t>brcb</t>
        </is>
      </c>
    </row>
    <row r="170">
      <c r="A170" t="inlineStr">
        <is>
          <t>brk-b</t>
        </is>
      </c>
      <c r="B170" t="inlineStr">
        <is>
          <t>brk-b</t>
        </is>
      </c>
      <c r="C170" s="3" t="n">
        <v>0.5120848942161913</v>
      </c>
      <c r="D170" s="3" t="n">
        <v>0.2525555928548178</v>
      </c>
      <c r="E170" s="3" t="n">
        <v>19.93526748642948</v>
      </c>
      <c r="F170" s="3" t="n">
        <v>1383.316698265685</v>
      </c>
      <c r="H170" s="3" t="n">
        <v>1.823728398630637</v>
      </c>
      <c r="I170" s="3" t="n">
        <v>21.30174274915848</v>
      </c>
      <c r="J170" s="3" t="n">
        <v>0.1293733406645502</v>
      </c>
      <c r="K170" s="3" t="n">
        <v>128.9685885595764</v>
      </c>
      <c r="L170" s="3" t="n">
        <v>7922.57213036562</v>
      </c>
      <c r="M170" s="4" t="n">
        <v>454754142.2765808</v>
      </c>
    </row>
    <row r="171">
      <c r="A171" t="inlineStr">
        <is>
          <t>BBG000CL1FG7</t>
        </is>
      </c>
      <c r="B171" t="inlineStr">
        <is>
          <t>brkr</t>
        </is>
      </c>
      <c r="C171" s="3" t="n">
        <v>1.082791553019895</v>
      </c>
      <c r="D171" s="3" t="n">
        <v>-0.1284685789226829</v>
      </c>
      <c r="E171" s="3" t="n">
        <v>22.88899876564604</v>
      </c>
      <c r="F171" s="3" t="n">
        <v>0.2072012124358534</v>
      </c>
      <c r="H171" s="3" t="n">
        <v>2.351909240535745</v>
      </c>
      <c r="I171" s="3" t="n">
        <v>18.21859832875355</v>
      </c>
      <c r="J171" s="3" t="n">
        <v>0.35756056881812</v>
      </c>
      <c r="K171" s="3" t="n">
        <v>0.02542142158108949</v>
      </c>
      <c r="L171" s="3" t="n">
        <v>11991.68984131158</v>
      </c>
      <c r="M171" s="4" t="n">
        <v>8720991438.948364</v>
      </c>
    </row>
    <row r="172">
      <c r="A172" t="inlineStr">
        <is>
          <t>BBG000BWSGF4</t>
        </is>
      </c>
      <c r="B172" t="inlineStr">
        <is>
          <t>bro</t>
        </is>
      </c>
      <c r="C172" s="3" t="n">
        <v>0.4920286447617274</v>
      </c>
      <c r="D172" s="3" t="n">
        <v>0.406448156943676</v>
      </c>
      <c r="E172" s="3" t="n">
        <v>24.18741794837876</v>
      </c>
      <c r="F172" s="3" t="n">
        <v>0.1746138329966551</v>
      </c>
      <c r="G172" s="3" t="n">
        <v>0.05266864219253686</v>
      </c>
      <c r="H172" s="3" t="n">
        <v>1.755825625267831</v>
      </c>
      <c r="I172" s="3" t="n">
        <v>18.86911343109788</v>
      </c>
      <c r="J172" s="3" t="n">
        <v>0.1769179275199214</v>
      </c>
      <c r="K172" s="3" t="n">
        <v>0.01837595564500183</v>
      </c>
      <c r="L172" s="3" t="n">
        <v>14150.39383303624</v>
      </c>
      <c r="M172" s="4" t="n">
        <v>31949358788.38564</v>
      </c>
    </row>
    <row r="173">
      <c r="A173" t="inlineStr">
        <is>
          <t>BBG000C0LW92</t>
        </is>
      </c>
      <c r="B173" t="inlineStr">
        <is>
          <t>bsx</t>
        </is>
      </c>
      <c r="C173" s="3" t="n">
        <v>0.4985088996618573</v>
      </c>
      <c r="D173" s="3" t="n">
        <v>0.5033100297121853</v>
      </c>
      <c r="E173" s="3" t="n">
        <v>25.61824487110778</v>
      </c>
      <c r="F173" s="3" t="n">
        <v>0.1413440729685096</v>
      </c>
      <c r="H173" s="3" t="n">
        <v>2.016202477919295</v>
      </c>
      <c r="I173" s="3" t="n">
        <v>20.05366723187046</v>
      </c>
      <c r="J173" s="3" t="n">
        <v>0.1561416021108327</v>
      </c>
      <c r="K173" s="3" t="n">
        <v>0.00142197256507555</v>
      </c>
      <c r="L173" s="3" t="n">
        <v>16813.11244708556</v>
      </c>
      <c r="M173" s="4" t="n">
        <v>133617205187.4174</v>
      </c>
    </row>
    <row r="174">
      <c r="A174" t="inlineStr">
        <is>
          <t>BBG000BMSRR9</t>
        </is>
      </c>
      <c r="B174" t="inlineStr">
        <is>
          <t>bsy</t>
        </is>
      </c>
      <c r="C174" s="3" t="n">
        <v>1.310202768074114</v>
      </c>
      <c r="D174" s="3" t="n">
        <v>-0.0687058212329007</v>
      </c>
      <c r="H174" s="3" t="n">
        <v>7.96560951868648</v>
      </c>
      <c r="I174" s="3" t="n">
        <v>17.71472961588204</v>
      </c>
      <c r="J174" s="3" t="n">
        <v>0.2476215205754768</v>
      </c>
    </row>
    <row r="175">
      <c r="A175" t="inlineStr">
        <is>
          <t>BBG0132WL1X7</t>
        </is>
      </c>
      <c r="B175" t="inlineStr">
        <is>
          <t>btsg</t>
        </is>
      </c>
      <c r="C175" s="3" t="n">
        <v>0.7464032910110515</v>
      </c>
      <c r="E175" s="3" t="n">
        <v>21.93539724197055</v>
      </c>
      <c r="F175" s="3" t="n">
        <v>0.480495097244552</v>
      </c>
      <c r="H175" s="3" t="n">
        <v>3.583150178209077</v>
      </c>
      <c r="I175" s="3" t="n">
        <v>16.98866950284998</v>
      </c>
      <c r="J175" s="3" t="n">
        <v>0.4085738543241338</v>
      </c>
      <c r="K175" s="3" t="n">
        <v>-0.002448938363596239</v>
      </c>
      <c r="L175" s="3" t="n">
        <v>10554.47197779934</v>
      </c>
      <c r="M175" s="4" t="n">
        <v>3360639908.252079</v>
      </c>
    </row>
    <row r="176">
      <c r="A176" t="inlineStr">
        <is>
          <t>BBG00GBV88T6</t>
        </is>
      </c>
      <c r="B176" t="inlineStr">
        <is>
          <t>btu</t>
        </is>
      </c>
      <c r="C176" s="3" t="n">
        <v>0.8043004209523955</v>
      </c>
      <c r="D176" s="3" t="n">
        <v>0.112933074613927</v>
      </c>
      <c r="E176" s="3" t="n">
        <v>21.765377689986</v>
      </c>
      <c r="F176" s="3" t="n">
        <v>1.28361395559288</v>
      </c>
      <c r="H176" s="3" t="n">
        <v>1.638254608952751</v>
      </c>
      <c r="I176" s="3" t="n">
        <v>18.06755046439225</v>
      </c>
      <c r="J176" s="3" t="n">
        <v>0.3508941182764518</v>
      </c>
      <c r="K176" s="3" t="n">
        <v>0.03572942425784045</v>
      </c>
      <c r="L176" s="3" t="n">
        <v>10310.94863392946</v>
      </c>
      <c r="M176" s="4" t="n">
        <v>2835198217.391968</v>
      </c>
    </row>
    <row r="177">
      <c r="A177" t="inlineStr">
        <is>
          <t>BBG000RYC984</t>
        </is>
      </c>
      <c r="B177" t="inlineStr">
        <is>
          <t>bud</t>
        </is>
      </c>
      <c r="C177" s="3" t="n">
        <v>0.4220478521545603</v>
      </c>
      <c r="D177" s="3" t="n">
        <v>-0.04263152633435441</v>
      </c>
      <c r="I177" s="3" t="n">
        <v>18.25515660424334</v>
      </c>
      <c r="J177" s="3" t="n">
        <v>0.1955949672455069</v>
      </c>
    </row>
    <row r="178">
      <c r="A178" t="inlineStr">
        <is>
          <t>BBG00L1LT6D6</t>
        </is>
      </c>
      <c r="B178" t="inlineStr">
        <is>
          <t>bv</t>
        </is>
      </c>
      <c r="C178" s="3" t="n">
        <v>1.414929557595431</v>
      </c>
      <c r="D178" s="3" t="n">
        <v>1.143978985211869</v>
      </c>
      <c r="E178" s="3" t="n">
        <v>21.20846593599718</v>
      </c>
      <c r="F178" s="3" t="n">
        <v>0.7850415332504453</v>
      </c>
      <c r="G178" s="3" t="n">
        <v>0.00979004126878924</v>
      </c>
      <c r="H178" s="3" t="n">
        <v>2.659609501560723</v>
      </c>
      <c r="I178" s="3" t="n">
        <v>15.91424364261047</v>
      </c>
      <c r="J178" s="3" t="n">
        <v>0.3459454279734567</v>
      </c>
      <c r="K178" s="3" t="n">
        <v>-0.004739919866720324</v>
      </c>
      <c r="L178" s="3" t="n">
        <v>9539.547349774281</v>
      </c>
      <c r="M178" s="4" t="n">
        <v>1624500036.239624</v>
      </c>
    </row>
    <row r="179">
      <c r="A179" t="inlineStr">
        <is>
          <t>BBG000BJ49H3</t>
        </is>
      </c>
      <c r="B179" t="inlineStr">
        <is>
          <t>bwa</t>
        </is>
      </c>
      <c r="C179" s="3" t="n">
        <v>1.129683456837722</v>
      </c>
      <c r="D179" s="3" t="n">
        <v>0.008154026775863077</v>
      </c>
      <c r="E179" s="3" t="n">
        <v>22.71543082826617</v>
      </c>
      <c r="F179" s="3" t="n">
        <v>0.8396771759622403</v>
      </c>
      <c r="H179" s="3" t="n">
        <v>2.458901883941049</v>
      </c>
      <c r="I179" s="3" t="n">
        <v>18.13488698061005</v>
      </c>
      <c r="J179" s="3" t="n">
        <v>0.2718342456559601</v>
      </c>
      <c r="K179" s="3" t="n">
        <v>0.06424430634798817</v>
      </c>
      <c r="L179" s="3" t="n">
        <v>11720.95327348846</v>
      </c>
      <c r="M179" s="4" t="n">
        <v>7331388985.4226</v>
      </c>
    </row>
    <row r="180">
      <c r="A180" t="inlineStr">
        <is>
          <t>BBG000BH0106</t>
        </is>
      </c>
      <c r="B180" t="inlineStr">
        <is>
          <t>bx</t>
        </is>
      </c>
      <c r="C180" s="3" t="n">
        <v>1.379459035204247</v>
      </c>
      <c r="D180" s="3" t="n">
        <v>0.5310578116598974</v>
      </c>
      <c r="E180" s="3" t="n">
        <v>25.5990886197627</v>
      </c>
      <c r="F180" s="3" t="n">
        <v>0.05200408932239154</v>
      </c>
      <c r="H180" s="3" t="n">
        <v>6.238152721228038</v>
      </c>
      <c r="I180" s="3" t="n">
        <v>20.03136756077929</v>
      </c>
      <c r="J180" s="3" t="n">
        <v>0.2435175134905602</v>
      </c>
      <c r="K180" s="3" t="n">
        <v>0.01061076589870023</v>
      </c>
      <c r="L180" s="3" t="n">
        <v>16775.42421733344</v>
      </c>
      <c r="M180" s="4" t="n">
        <v>131081960837.508</v>
      </c>
    </row>
    <row r="181">
      <c r="A181" t="inlineStr">
        <is>
          <t>BBG000BGKJ70</t>
        </is>
      </c>
      <c r="B181" t="inlineStr">
        <is>
          <t>bxmt</t>
        </is>
      </c>
      <c r="C181" s="3" t="n">
        <v>1.140347903017919</v>
      </c>
      <c r="D181" s="3" t="n">
        <v>-0.07547947541391953</v>
      </c>
      <c r="E181" s="3" t="n">
        <v>21.77557985258053</v>
      </c>
      <c r="F181" s="3" t="n">
        <v>1.342258267666874</v>
      </c>
      <c r="H181" s="3" t="n">
        <v>6.2519450682278</v>
      </c>
      <c r="I181" s="3" t="n">
        <v>17.03504649762598</v>
      </c>
      <c r="J181" s="3" t="n">
        <v>0.2746478406765657</v>
      </c>
      <c r="K181" s="3" t="n">
        <v>0.086909361276008</v>
      </c>
      <c r="L181" s="3" t="n">
        <v>10325.45469372975</v>
      </c>
      <c r="M181" s="4" t="n">
        <v>2864271423.219057</v>
      </c>
    </row>
    <row r="182">
      <c r="A182" t="inlineStr">
        <is>
          <t>BBG000BS5CM9</t>
        </is>
      </c>
      <c r="B182" t="inlineStr">
        <is>
          <t>bxp</t>
        </is>
      </c>
      <c r="C182" s="3" t="n">
        <v>1.195604245106886</v>
      </c>
      <c r="D182" s="3" t="n">
        <v>0.5000058590209278</v>
      </c>
      <c r="E182" s="3" t="n">
        <v>23.21003970318282</v>
      </c>
      <c r="F182" s="3" t="n">
        <v>0.4790387786427254</v>
      </c>
      <c r="H182" s="3" t="n">
        <v>4.584924074714961</v>
      </c>
      <c r="I182" s="3" t="n">
        <v>18.30809393919154</v>
      </c>
      <c r="J182" s="3" t="n">
        <v>0.3057864279477372</v>
      </c>
      <c r="K182" s="3" t="n">
        <v>0.006955999509712851</v>
      </c>
      <c r="L182" s="3" t="n">
        <v>12503.38632591187</v>
      </c>
      <c r="M182" s="4" t="n">
        <v>12022427528.3907</v>
      </c>
    </row>
    <row r="183">
      <c r="A183" t="inlineStr">
        <is>
          <t>BBG00MS80PM3</t>
        </is>
      </c>
      <c r="B183" t="inlineStr">
        <is>
          <t>bxsl</t>
        </is>
      </c>
      <c r="C183" s="3" t="n">
        <v>0.3774028279757567</v>
      </c>
      <c r="D183" s="3" t="n">
        <v>0.2155913268796994</v>
      </c>
      <c r="E183" s="3" t="n">
        <v>22.51474343934253</v>
      </c>
      <c r="F183" s="3" t="n">
        <v>0.7673154169540156</v>
      </c>
      <c r="H183" s="3" t="n">
        <v>2.201935646694542</v>
      </c>
      <c r="I183" s="3" t="n">
        <v>17.0004996478023</v>
      </c>
      <c r="J183" s="3" t="n">
        <v>0.1277976633262969</v>
      </c>
      <c r="K183" s="3" t="n">
        <v>0.02528445917942244</v>
      </c>
      <c r="L183" s="3" t="n">
        <v>11413.03127411398</v>
      </c>
      <c r="M183" s="4" t="n">
        <v>5998309036.332726</v>
      </c>
    </row>
    <row r="184">
      <c r="A184" t="inlineStr">
        <is>
          <t>BBG000FY4S11</t>
        </is>
      </c>
      <c r="B184" t="inlineStr">
        <is>
          <t>c</t>
        </is>
      </c>
      <c r="C184" s="3" t="n">
        <v>1.097815902648252</v>
      </c>
      <c r="D184" s="3" t="n">
        <v>0.4311060737966959</v>
      </c>
      <c r="E184" s="3" t="n">
        <v>25.58407534201793</v>
      </c>
      <c r="F184" s="3" t="n">
        <v>1.619183155766924</v>
      </c>
      <c r="H184" s="3" t="n">
        <v>11.62534974143462</v>
      </c>
      <c r="I184" s="3" t="n">
        <v>20.55000540781496</v>
      </c>
      <c r="J184" s="3" t="n">
        <v>0.2285778112631837</v>
      </c>
      <c r="K184" s="3" t="n">
        <v>0.02746097707776105</v>
      </c>
      <c r="L184" s="3" t="n">
        <v>16745.9263204716</v>
      </c>
      <c r="M184" s="4" t="n">
        <v>129128690138.4229</v>
      </c>
    </row>
    <row r="185">
      <c r="A185" t="inlineStr">
        <is>
          <t>BBG000CS0D96</t>
        </is>
      </c>
      <c r="B185" t="inlineStr">
        <is>
          <t>cacc</t>
        </is>
      </c>
      <c r="C185" s="3" t="n">
        <v>1.280620605261877</v>
      </c>
      <c r="D185" s="3" t="n">
        <v>-0.07002188183807445</v>
      </c>
      <c r="E185" s="3" t="n">
        <v>22.51971665418164</v>
      </c>
      <c r="F185" s="3" t="n">
        <v>0.2909153418709605</v>
      </c>
      <c r="H185" s="3" t="n">
        <v>4.951359978929486</v>
      </c>
      <c r="I185" s="3" t="n">
        <v>17.16369214711503</v>
      </c>
      <c r="J185" s="3" t="n">
        <v>0.298263374288155</v>
      </c>
      <c r="K185" s="3" t="n">
        <v>0.01592511422684165</v>
      </c>
      <c r="L185" s="3" t="n">
        <v>11420.59591658866</v>
      </c>
      <c r="M185" s="4" t="n">
        <v>6028214216.65332</v>
      </c>
    </row>
    <row r="186">
      <c r="A186" t="inlineStr">
        <is>
          <t>BBG000BDXGP9</t>
        </is>
      </c>
      <c r="B186" t="inlineStr">
        <is>
          <t>cag</t>
        </is>
      </c>
      <c r="C186" s="3" t="n">
        <v>0.04362011810770356</v>
      </c>
      <c r="D186" s="3" t="n">
        <v>0.0719751811680307</v>
      </c>
      <c r="E186" s="3" t="n">
        <v>23.18850462516637</v>
      </c>
      <c r="F186" s="3" t="n">
        <v>0.7390263978580486</v>
      </c>
      <c r="G186" s="3" t="n">
        <v>-0.002853422106465553</v>
      </c>
      <c r="H186" s="3" t="n">
        <v>2.443511660788961</v>
      </c>
      <c r="I186" s="3" t="n">
        <v>18.71045676126956</v>
      </c>
      <c r="J186" s="3" t="n">
        <v>0.2217790799582257</v>
      </c>
      <c r="K186" s="3" t="n">
        <v>0.03967265312573452</v>
      </c>
      <c r="L186" s="3" t="n">
        <v>12468.61538402713</v>
      </c>
      <c r="M186" s="4" t="n">
        <v>11766291467.3465</v>
      </c>
    </row>
    <row r="187">
      <c r="A187" t="inlineStr">
        <is>
          <t>cah</t>
        </is>
      </c>
      <c r="B187" t="inlineStr">
        <is>
          <t>cah</t>
        </is>
      </c>
      <c r="C187" s="3" t="n">
        <v>0.1248287877696226</v>
      </c>
      <c r="D187" s="3" t="n">
        <v>0.03311348448783646</v>
      </c>
      <c r="E187" s="3" t="n">
        <v>24.09129279176183</v>
      </c>
      <c r="F187" s="3" t="n">
        <v>-0.1129174130886786</v>
      </c>
      <c r="G187" s="3" t="n">
        <v>0.09044301623902262</v>
      </c>
      <c r="H187" s="3" t="n">
        <v>-13.13976198142806</v>
      </c>
      <c r="I187" s="3" t="n">
        <v>19.27540474412239</v>
      </c>
      <c r="J187" s="3" t="n">
        <v>0.2216787888917217</v>
      </c>
      <c r="K187" s="3" t="n">
        <v>-0.0004134906796045602</v>
      </c>
      <c r="L187" s="3" t="n">
        <v>13982.35477994829</v>
      </c>
      <c r="M187" s="4" t="n">
        <v>29021210371.80972</v>
      </c>
    </row>
    <row r="188">
      <c r="A188" t="inlineStr">
        <is>
          <t>BBG00255V2N4</t>
        </is>
      </c>
      <c r="B188" t="inlineStr">
        <is>
          <t>cai</t>
        </is>
      </c>
    </row>
    <row r="189">
      <c r="A189" t="inlineStr">
        <is>
          <t>BBG000PXJB68</t>
        </is>
      </c>
      <c r="B189" t="inlineStr">
        <is>
          <t>calx</t>
        </is>
      </c>
      <c r="C189" s="3" t="n">
        <v>1.130918630559137</v>
      </c>
      <c r="D189" s="3" t="n">
        <v>-0.08318214749365294</v>
      </c>
      <c r="E189" s="3" t="n">
        <v>21.49210392898861</v>
      </c>
      <c r="F189" s="3" t="n">
        <v>0.3332850835860395</v>
      </c>
      <c r="H189" s="3" t="n">
        <v>1.303961710718819</v>
      </c>
      <c r="I189" s="3" t="n">
        <v>16.96081466218089</v>
      </c>
      <c r="J189" s="3" t="n">
        <v>0.427512966267507</v>
      </c>
      <c r="K189" s="3" t="n">
        <v>0.01665261904017748</v>
      </c>
      <c r="L189" s="3" t="n">
        <v>9927.429144474609</v>
      </c>
      <c r="M189" s="4" t="n">
        <v>2157258260.497894</v>
      </c>
    </row>
    <row r="190">
      <c r="A190" t="inlineStr">
        <is>
          <t>BBG000FLPRH1</t>
        </is>
      </c>
      <c r="B190" t="inlineStr">
        <is>
          <t>car</t>
        </is>
      </c>
      <c r="C190" s="3" t="n">
        <v>2.321916851346867</v>
      </c>
      <c r="D190" s="3" t="n">
        <v>-0.5222392645445946</v>
      </c>
      <c r="E190" s="3" t="n">
        <v>22.06681769287263</v>
      </c>
      <c r="F190" s="3" t="n">
        <v>-0.06209831269176508</v>
      </c>
      <c r="H190" s="3" t="n">
        <v>-137.6008409142893</v>
      </c>
      <c r="I190" s="3" t="n">
        <v>17.93437403463298</v>
      </c>
      <c r="J190" s="3" t="n">
        <v>0.5274428336193704</v>
      </c>
      <c r="K190" s="3" t="n">
        <v>0.06183739541154758</v>
      </c>
      <c r="L190" s="3" t="n">
        <v>10745.31425223493</v>
      </c>
      <c r="M190" s="4" t="n">
        <v>3832632315.136368</v>
      </c>
    </row>
    <row r="191">
      <c r="A191" t="inlineStr">
        <is>
          <t>BBG00RP5HYS8</t>
        </is>
      </c>
      <c r="B191" t="inlineStr">
        <is>
          <t>carr</t>
        </is>
      </c>
      <c r="C191" s="3" t="n">
        <v>1.244835520212107</v>
      </c>
      <c r="D191" s="3" t="n">
        <v>0.416469989623224</v>
      </c>
      <c r="E191" s="3" t="n">
        <v>24.90695575157832</v>
      </c>
      <c r="F191" s="3" t="n">
        <v>0.04110810929583436</v>
      </c>
      <c r="H191" s="3" t="n">
        <v>8.157582496048356</v>
      </c>
      <c r="I191" s="3" t="n">
        <v>19.550501982745</v>
      </c>
      <c r="J191" s="3" t="n">
        <v>0.2480605262898213</v>
      </c>
      <c r="K191" s="3" t="n">
        <v>0.001463247494401223</v>
      </c>
      <c r="L191" s="3" t="n">
        <v>15451.19052111602</v>
      </c>
      <c r="M191" s="4" t="n">
        <v>65607493172.4527</v>
      </c>
    </row>
    <row r="192">
      <c r="A192" t="inlineStr">
        <is>
          <t>BBG000HGTH33</t>
        </is>
      </c>
      <c r="B192" t="inlineStr">
        <is>
          <t>cars</t>
        </is>
      </c>
      <c r="C192" s="3" t="n">
        <v>1.182518975683115</v>
      </c>
      <c r="D192" s="3" t="n">
        <v>-0.1412460230707225</v>
      </c>
      <c r="E192" s="3" t="n">
        <v>20.97508967644311</v>
      </c>
      <c r="F192" s="3" t="n">
        <v>0.2988488353803511</v>
      </c>
      <c r="H192" s="3" t="n">
        <v>3.049837413703828</v>
      </c>
      <c r="I192" s="3" t="n">
        <v>16.19707027856986</v>
      </c>
      <c r="J192" s="3" t="n">
        <v>0.30618107269992</v>
      </c>
      <c r="K192" s="3" t="n">
        <v>0.008923564189400022</v>
      </c>
      <c r="L192" s="3" t="n">
        <v>9228.08271950262</v>
      </c>
      <c r="M192" s="4" t="n">
        <v>1286369408.84136</v>
      </c>
    </row>
    <row r="193">
      <c r="A193" t="inlineStr">
        <is>
          <t>BBG00KG5VJF4</t>
        </is>
      </c>
      <c r="B193" t="inlineStr">
        <is>
          <t>cart</t>
        </is>
      </c>
      <c r="C193" s="3" t="n">
        <v>1.079881677487578</v>
      </c>
      <c r="D193" s="3" t="n">
        <v>0.8230672798883061</v>
      </c>
      <c r="E193" s="3" t="n">
        <v>23.14083845277001</v>
      </c>
      <c r="F193" s="3" t="n">
        <v>0.2560035507100525</v>
      </c>
      <c r="H193" s="3" t="n">
        <v>1.645891364329425</v>
      </c>
      <c r="I193" s="3" t="n">
        <v>18.90676369249278</v>
      </c>
      <c r="J193" s="3" t="n">
        <v>0.4087418292036291</v>
      </c>
      <c r="K193" s="3" t="n">
        <v>0.01016170082902019</v>
      </c>
      <c r="L193" s="3" t="n">
        <v>12391.8820655576</v>
      </c>
      <c r="M193" s="4" t="n">
        <v>11218594397.53162</v>
      </c>
    </row>
    <row r="194">
      <c r="A194" t="inlineStr">
        <is>
          <t>BBG000BF0672</t>
        </is>
      </c>
      <c r="B194" t="inlineStr">
        <is>
          <t>casy</t>
        </is>
      </c>
      <c r="C194" s="3" t="n">
        <v>0.7651569397635137</v>
      </c>
      <c r="D194" s="3" t="n">
        <v>0.4367252903674057</v>
      </c>
      <c r="E194" s="3" t="n">
        <v>23.46583942997839</v>
      </c>
      <c r="F194" s="3" t="n">
        <v>0.1713585514392696</v>
      </c>
      <c r="H194" s="3" t="n">
        <v>2.441653705334809</v>
      </c>
      <c r="I194" s="3" t="n">
        <v>18.29934859818487</v>
      </c>
      <c r="J194" s="3" t="n">
        <v>0.2730971945299716</v>
      </c>
      <c r="K194" s="3" t="n">
        <v>0.01089960452380256</v>
      </c>
      <c r="L194" s="3" t="n">
        <v>12921.36170534358</v>
      </c>
      <c r="M194" s="4" t="n">
        <v>15526893624.39899</v>
      </c>
    </row>
    <row r="195">
      <c r="A195" t="inlineStr">
        <is>
          <t>cat</t>
        </is>
      </c>
      <c r="B195" t="inlineStr">
        <is>
          <t>cat</t>
        </is>
      </c>
      <c r="C195" s="3" t="n">
        <v>1.267146195647839</v>
      </c>
      <c r="D195" s="3" t="n">
        <v>0.5245444325529718</v>
      </c>
      <c r="I195" s="3" t="n">
        <v>20.59515305533798</v>
      </c>
      <c r="J195" s="3" t="n">
        <v>0.2163725493919358</v>
      </c>
    </row>
    <row r="196">
      <c r="A196" t="inlineStr">
        <is>
          <t>cb</t>
        </is>
      </c>
      <c r="B196" t="inlineStr">
        <is>
          <t>cb</t>
        </is>
      </c>
      <c r="C196" s="3" t="n">
        <v>0.233598149603902</v>
      </c>
      <c r="D196" s="3" t="n">
        <v>0.2480859459376881</v>
      </c>
      <c r="E196" s="3" t="n">
        <v>25.46429184499517</v>
      </c>
      <c r="F196" s="3" t="n">
        <v>0.4571997852844816</v>
      </c>
      <c r="G196" s="3" t="n">
        <v>0.06877866500203744</v>
      </c>
      <c r="H196" s="3" t="n">
        <v>4.784087220423041</v>
      </c>
      <c r="I196" s="3" t="n">
        <v>19.9180374312389</v>
      </c>
      <c r="J196" s="3" t="n">
        <v>0.1696238823640932</v>
      </c>
      <c r="K196" s="3" t="n">
        <v>0.05000363489029673</v>
      </c>
      <c r="L196" s="3" t="n">
        <v>16511.81481412739</v>
      </c>
      <c r="M196" s="4" t="n">
        <v>114551672343.7544</v>
      </c>
    </row>
    <row r="197">
      <c r="A197" t="inlineStr">
        <is>
          <t>BBG000CQ0CD7</t>
        </is>
      </c>
      <c r="B197" t="inlineStr">
        <is>
          <t>cbc</t>
        </is>
      </c>
    </row>
    <row r="198">
      <c r="A198" t="inlineStr">
        <is>
          <t>BBG00KMSVGN4</t>
        </is>
      </c>
      <c r="B198" t="inlineStr">
        <is>
          <t>cbll</t>
        </is>
      </c>
      <c r="E198" s="3" t="n">
        <v>20.7541635662677</v>
      </c>
      <c r="F198" s="3" t="n">
        <v>-0.1018160116644601</v>
      </c>
      <c r="H198" s="3" t="n">
        <v>-0.4481340092764949</v>
      </c>
      <c r="K198" s="3" t="n">
        <v>-0.00602881565292791</v>
      </c>
      <c r="L198" s="3" t="n">
        <v>8939.550980697015</v>
      </c>
      <c r="M198" s="4" t="n">
        <v>1031380017.558075</v>
      </c>
    </row>
    <row r="199">
      <c r="A199" t="inlineStr">
        <is>
          <t>BBG000QH56C1</t>
        </is>
      </c>
      <c r="B199" t="inlineStr">
        <is>
          <t>cboe</t>
        </is>
      </c>
      <c r="C199" s="3" t="n">
        <v>-0.4809100403658709</v>
      </c>
      <c r="D199" s="3" t="n">
        <v>0.1828666963723471</v>
      </c>
      <c r="E199" s="3" t="n">
        <v>23.83068816389158</v>
      </c>
      <c r="F199" s="3" t="n">
        <v>0.1638575680869433</v>
      </c>
      <c r="H199" s="3" t="n">
        <v>2.37733325991231</v>
      </c>
      <c r="I199" s="3" t="n">
        <v>19.04730464737041</v>
      </c>
      <c r="J199" s="3" t="n">
        <v>0.2007787592389282</v>
      </c>
      <c r="K199" s="3" t="n">
        <v>0.005383814866736157</v>
      </c>
      <c r="L199" s="3" t="n">
        <v>13533.4882814722</v>
      </c>
      <c r="M199" s="4" t="n">
        <v>22363324700.94882</v>
      </c>
    </row>
    <row r="200">
      <c r="A200" t="inlineStr">
        <is>
          <t>BBG000C04224</t>
        </is>
      </c>
      <c r="B200" t="inlineStr">
        <is>
          <t>cbre</t>
        </is>
      </c>
      <c r="C200" s="3" t="n">
        <v>0.8215679432231141</v>
      </c>
      <c r="D200" s="3" t="n">
        <v>0.6586879779543735</v>
      </c>
      <c r="E200" s="3" t="n">
        <v>24.48072546018129</v>
      </c>
      <c r="F200" s="3" t="n">
        <v>0.2028970521501471</v>
      </c>
      <c r="H200" s="3" t="n">
        <v>2.85837551738859</v>
      </c>
      <c r="I200" s="3" t="n">
        <v>19.24418458113408</v>
      </c>
      <c r="J200" s="3" t="n">
        <v>0.2578647388939155</v>
      </c>
      <c r="K200" s="3" t="n">
        <v>0.01122796618548329</v>
      </c>
      <c r="L200" s="3" t="n">
        <v>14671.44367109037</v>
      </c>
      <c r="M200" s="4" t="n">
        <v>42839459261.16699</v>
      </c>
    </row>
    <row r="201">
      <c r="A201" t="inlineStr">
        <is>
          <t>BBG000BF33K1</t>
        </is>
      </c>
      <c r="B201" t="inlineStr">
        <is>
          <t>cbrl</t>
        </is>
      </c>
      <c r="C201" s="3" t="n">
        <v>0.9880198006381998</v>
      </c>
      <c r="D201" s="3" t="n">
        <v>-0.2552079772714888</v>
      </c>
      <c r="E201" s="3" t="n">
        <v>20.89712004206186</v>
      </c>
      <c r="F201" s="3" t="n">
        <v>0.4066159247100562</v>
      </c>
      <c r="H201" s="3" t="n">
        <v>4.467512004407561</v>
      </c>
      <c r="I201" s="3" t="n">
        <v>17.22069563319175</v>
      </c>
      <c r="J201" s="3" t="n">
        <v>0.4818994411381343</v>
      </c>
      <c r="K201" s="3" t="n">
        <v>0.08324354331117877</v>
      </c>
      <c r="L201" s="3" t="n">
        <v>9125.555536738926</v>
      </c>
      <c r="M201" s="4" t="n">
        <v>1189882073.453918</v>
      </c>
    </row>
    <row r="202">
      <c r="A202" t="inlineStr">
        <is>
          <t>BBG005H82GB2</t>
        </is>
      </c>
      <c r="B202" t="inlineStr">
        <is>
          <t>cc</t>
        </is>
      </c>
      <c r="C202" s="3" t="n">
        <v>1.593928962699157</v>
      </c>
      <c r="D202" s="3" t="n">
        <v>-0.3171166920225303</v>
      </c>
      <c r="E202" s="3" t="n">
        <v>21.85508084450268</v>
      </c>
      <c r="F202" s="3" t="n">
        <v>0.2376437930368946</v>
      </c>
      <c r="H202" s="3" t="n">
        <v>10.12618723185049</v>
      </c>
      <c r="I202" s="3" t="n">
        <v>17.1722058581764</v>
      </c>
      <c r="J202" s="3" t="n">
        <v>0.5697550494967749</v>
      </c>
      <c r="K202" s="3" t="n">
        <v>-0.008706081970144035</v>
      </c>
      <c r="L202" s="3" t="n">
        <v>10438.96044575689</v>
      </c>
      <c r="M202" s="4" t="n">
        <v>3101280241.08728</v>
      </c>
    </row>
    <row r="203">
      <c r="A203" t="inlineStr">
        <is>
          <t>BBG00WNSJM49</t>
        </is>
      </c>
      <c r="B203" t="inlineStr">
        <is>
          <t>ccc</t>
        </is>
      </c>
      <c r="C203" s="3" t="n">
        <v>0.685326242684423</v>
      </c>
      <c r="D203" s="3" t="n">
        <v>-0.1087329130634435</v>
      </c>
      <c r="E203" s="3" t="n">
        <v>22.78776246363883</v>
      </c>
      <c r="F203" s="3" t="n">
        <v>0.2261391262132996</v>
      </c>
      <c r="H203" s="3" t="n">
        <v>1.711877557915028</v>
      </c>
      <c r="I203" s="3" t="n">
        <v>17.2485424092513</v>
      </c>
      <c r="J203" s="3" t="n">
        <v>0.198925457037871</v>
      </c>
      <c r="K203" s="3" t="n">
        <v>0.0005242770172724857</v>
      </c>
      <c r="L203" s="3" t="n">
        <v>11833.27755886043</v>
      </c>
      <c r="M203" s="4" t="n">
        <v>7881329647.010204</v>
      </c>
    </row>
    <row r="204">
      <c r="A204" t="inlineStr">
        <is>
          <t>BBG000FV1Z23</t>
        </is>
      </c>
      <c r="B204" t="inlineStr">
        <is>
          <t>cci</t>
        </is>
      </c>
      <c r="C204" s="3" t="n">
        <v>0.1097829209327626</v>
      </c>
      <c r="D204" s="3" t="n">
        <v>-0.02986798798006729</v>
      </c>
      <c r="E204" s="3" t="n">
        <v>24.20151860273267</v>
      </c>
      <c r="F204" s="3" t="n">
        <v>0.2187824757177966</v>
      </c>
      <c r="H204" s="3" t="n">
        <v>3.108415578649838</v>
      </c>
      <c r="I204" s="3" t="n">
        <v>19.33685714462488</v>
      </c>
      <c r="J204" s="3" t="n">
        <v>0.2197836515440981</v>
      </c>
      <c r="K204" s="3" t="n">
        <v>0.003789488150512442</v>
      </c>
      <c r="L204" s="3" t="n">
        <v>14175.15623094338</v>
      </c>
      <c r="M204" s="4" t="n">
        <v>32403056856.00464</v>
      </c>
    </row>
    <row r="205">
      <c r="A205" t="inlineStr">
        <is>
          <t>BBG000DSZTN6</t>
        </is>
      </c>
      <c r="B205" t="inlineStr">
        <is>
          <t>ccj</t>
        </is>
      </c>
      <c r="C205" s="3" t="n">
        <v>1.581436977910119</v>
      </c>
      <c r="D205" s="3" t="n">
        <v>0.1371951801762921</v>
      </c>
      <c r="I205" s="3" t="n">
        <v>19.27876062386693</v>
      </c>
      <c r="J205" s="3" t="n">
        <v>0.400699141665467</v>
      </c>
    </row>
    <row r="206">
      <c r="A206" t="inlineStr">
        <is>
          <t>ccl</t>
        </is>
      </c>
      <c r="B206" t="inlineStr">
        <is>
          <t>ccl</t>
        </is>
      </c>
      <c r="C206" s="3" t="n">
        <v>1.516522543421822</v>
      </c>
      <c r="D206" s="3" t="n">
        <v>0.46082336637372</v>
      </c>
      <c r="E206" s="3" t="n">
        <v>24.09185428073796</v>
      </c>
      <c r="F206" s="3" t="n">
        <v>0.2019801281962665</v>
      </c>
      <c r="H206" s="3" t="n">
        <v>8.4919011068215</v>
      </c>
      <c r="I206" s="3" t="n">
        <v>20.10557156004417</v>
      </c>
      <c r="J206" s="3" t="n">
        <v>0.3838645207282092</v>
      </c>
      <c r="K206" s="3" t="n">
        <v>0.0597503022029876</v>
      </c>
      <c r="L206" s="3" t="n">
        <v>13983.33245114901</v>
      </c>
      <c r="M206" s="4" t="n">
        <v>29037510037.12074</v>
      </c>
    </row>
    <row r="207">
      <c r="A207" t="inlineStr">
        <is>
          <t>BBG000SSC5C9</t>
        </is>
      </c>
      <c r="B207" t="inlineStr">
        <is>
          <t>cco</t>
        </is>
      </c>
      <c r="C207" s="3" t="n">
        <v>1.83063992913472</v>
      </c>
      <c r="D207" s="3" t="n">
        <v>0.01379308984055716</v>
      </c>
      <c r="H207" s="3" t="n">
        <v>-6.103000793372111</v>
      </c>
      <c r="I207" s="3" t="n">
        <v>14.69054671167321</v>
      </c>
      <c r="J207" s="3" t="n">
        <v>0.4970853323838657</v>
      </c>
    </row>
    <row r="208">
      <c r="A208" t="inlineStr">
        <is>
          <t>BBG000D0SMY8</t>
        </is>
      </c>
      <c r="B208" t="inlineStr">
        <is>
          <t>ccoi</t>
        </is>
      </c>
      <c r="C208" s="3" t="n">
        <v>0.6401602568184004</v>
      </c>
      <c r="D208" s="3" t="n">
        <v>0.3139412648929762</v>
      </c>
      <c r="E208" s="3" t="n">
        <v>22.04947745452032</v>
      </c>
      <c r="F208" s="3" t="n">
        <v>0.08589720718157062</v>
      </c>
      <c r="G208" s="3" t="n">
        <v>0.07379919409863933</v>
      </c>
      <c r="H208" s="3" t="n">
        <v>9.902841234966631</v>
      </c>
      <c r="I208" s="3" t="n">
        <v>17.14073775399926</v>
      </c>
      <c r="J208" s="3" t="n">
        <v>0.3102710676735958</v>
      </c>
      <c r="L208" s="3" t="n">
        <v>10720.00295430661</v>
      </c>
      <c r="M208" s="4" t="n">
        <v>3766746446.484253</v>
      </c>
    </row>
    <row r="209">
      <c r="A209" t="inlineStr">
        <is>
          <t>BBG000C13CD9</t>
        </is>
      </c>
      <c r="B209" t="inlineStr">
        <is>
          <t>cdns</t>
        </is>
      </c>
      <c r="C209" s="3" t="n">
        <v>1.891995650591509</v>
      </c>
      <c r="D209" s="3" t="n">
        <v>0.01042926855525672</v>
      </c>
      <c r="E209" s="3" t="n">
        <v>25.15582671354217</v>
      </c>
      <c r="F209" s="3" t="n">
        <v>0.04045641501482046</v>
      </c>
      <c r="G209" s="3" t="n">
        <v>0</v>
      </c>
      <c r="H209" s="3" t="n">
        <v>1.66540530948758</v>
      </c>
      <c r="I209" s="3" t="n">
        <v>20.06190935998192</v>
      </c>
      <c r="J209" s="3" t="n">
        <v>0.2523673824645896</v>
      </c>
      <c r="K209" s="3" t="n">
        <v>0.008523751894988649</v>
      </c>
      <c r="L209" s="3" t="n">
        <v>15919.00001901932</v>
      </c>
      <c r="M209" s="4" t="n">
        <v>84146630360.4126</v>
      </c>
    </row>
    <row r="210">
      <c r="A210" t="inlineStr">
        <is>
          <t>cdw</t>
        </is>
      </c>
      <c r="B210" t="inlineStr">
        <is>
          <t>cdw</t>
        </is>
      </c>
      <c r="C210" s="3" t="n">
        <v>1.025674458333519</v>
      </c>
      <c r="D210" s="3" t="n">
        <v>-0.100383989079353</v>
      </c>
      <c r="E210" s="3" t="n">
        <v>23.8520199929224</v>
      </c>
      <c r="F210" s="3" t="n">
        <v>0.07061346911885703</v>
      </c>
      <c r="H210" s="3" t="n">
        <v>8.911914202261396</v>
      </c>
      <c r="I210" s="3" t="n">
        <v>19.18650432729005</v>
      </c>
      <c r="J210" s="3" t="n">
        <v>0.2390464185639232</v>
      </c>
      <c r="K210" s="3" t="n">
        <v>0.01381015962496863</v>
      </c>
      <c r="L210" s="3" t="n">
        <v>13569.86396923112</v>
      </c>
      <c r="M210" s="4" t="n">
        <v>22845499875.0173</v>
      </c>
    </row>
    <row r="211">
      <c r="A211" t="inlineStr">
        <is>
          <t>BBG000CSMLT2</t>
        </is>
      </c>
      <c r="B211" t="inlineStr">
        <is>
          <t>cdzi</t>
        </is>
      </c>
      <c r="C211" s="3" t="n">
        <v>2.052392917575215</v>
      </c>
      <c r="D211" s="3" t="n">
        <v>0.1135530917998855</v>
      </c>
      <c r="E211" s="3" t="n">
        <v>19.62610480252545</v>
      </c>
      <c r="F211" s="3" t="n">
        <v>0.1576730102532276</v>
      </c>
      <c r="H211" s="3" t="n">
        <v>2.138408592574979</v>
      </c>
      <c r="I211" s="3" t="n">
        <v>14.06475677495105</v>
      </c>
      <c r="J211" s="3" t="n">
        <v>0.6066066215989078</v>
      </c>
      <c r="K211" s="3" t="n">
        <v>-0.03202648768129453</v>
      </c>
      <c r="L211" s="3" t="n">
        <v>7559.661350493968</v>
      </c>
      <c r="M211" s="4" t="n">
        <v>333817434.9420691</v>
      </c>
    </row>
    <row r="212">
      <c r="A212" t="inlineStr">
        <is>
          <t>BBG000JYP7L8</t>
        </is>
      </c>
      <c r="B212" t="inlineStr">
        <is>
          <t>ce</t>
        </is>
      </c>
      <c r="C212" s="3" t="n">
        <v>0.859229581511199</v>
      </c>
      <c r="D212" s="3" t="n">
        <v>-0.07339984492792206</v>
      </c>
      <c r="E212" s="3" t="n">
        <v>22.7995567858235</v>
      </c>
      <c r="F212" s="3" t="n">
        <v>0.8891720105024663</v>
      </c>
      <c r="H212" s="3" t="n">
        <v>3.651389084240391</v>
      </c>
      <c r="I212" s="3" t="n">
        <v>18.941078489294</v>
      </c>
      <c r="J212" s="3" t="n">
        <v>0.3755913416190583</v>
      </c>
      <c r="K212" s="3" t="n">
        <v>0.0145457556364809</v>
      </c>
      <c r="L212" s="3" t="n">
        <v>11851.66081206379</v>
      </c>
      <c r="M212" s="4" t="n">
        <v>7974834919.852844</v>
      </c>
    </row>
    <row r="213">
      <c r="A213" t="inlineStr">
        <is>
          <t>ceg</t>
        </is>
      </c>
      <c r="B213" t="inlineStr">
        <is>
          <t>ceg</t>
        </is>
      </c>
      <c r="C213" s="3" t="n">
        <v>1.619444317594685</v>
      </c>
      <c r="D213" s="3" t="n">
        <v>1.184162859027679</v>
      </c>
      <c r="E213" s="3" t="n">
        <v>25.09985177557793</v>
      </c>
      <c r="F213" s="3" t="n">
        <v>0.1579821991311094</v>
      </c>
      <c r="H213" s="3" t="n">
        <v>4.123627684636148</v>
      </c>
      <c r="I213" s="3" t="n">
        <v>20.54688483747169</v>
      </c>
      <c r="J213" s="3" t="n">
        <v>0.4858938566244227</v>
      </c>
      <c r="K213" s="3" t="n">
        <v>0.01508183285261188</v>
      </c>
      <c r="L213" s="3" t="n">
        <v>15812.97085304992</v>
      </c>
      <c r="M213" s="4" t="n">
        <v>79565926218.11888</v>
      </c>
    </row>
    <row r="214">
      <c r="A214" t="inlineStr">
        <is>
          <t>BBG000BWJFZ4</t>
        </is>
      </c>
      <c r="B214" t="inlineStr">
        <is>
          <t>cf</t>
        </is>
      </c>
      <c r="C214" s="3" t="n">
        <v>0.4246359565974787</v>
      </c>
      <c r="D214" s="3" t="n">
        <v>0.1157531542918617</v>
      </c>
      <c r="E214" s="3" t="n">
        <v>23.43748897728489</v>
      </c>
      <c r="F214" s="3" t="n">
        <v>0.344135767296475</v>
      </c>
      <c r="G214" s="3" t="n">
        <v>0.001332556008994734</v>
      </c>
      <c r="H214" s="3" t="n">
        <v>2.665190604030576</v>
      </c>
      <c r="I214" s="3" t="n">
        <v>18.74768520287579</v>
      </c>
      <c r="J214" s="3" t="n">
        <v>0.2647141771856327</v>
      </c>
      <c r="K214" s="3" t="n">
        <v>0.02440885958259942</v>
      </c>
      <c r="L214" s="3" t="n">
        <v>12874.58510661816</v>
      </c>
      <c r="M214" s="4" t="n">
        <v>15092880465.34612</v>
      </c>
    </row>
    <row r="215">
      <c r="A215" t="inlineStr">
        <is>
          <t>BBG006Q0HY77</t>
        </is>
      </c>
      <c r="B215" t="inlineStr">
        <is>
          <t>cfg</t>
        </is>
      </c>
      <c r="C215" s="3" t="n">
        <v>1.051741293076289</v>
      </c>
      <c r="D215" s="3" t="n">
        <v>0.6143181530173267</v>
      </c>
      <c r="E215" s="3" t="n">
        <v>23.72618745325004</v>
      </c>
      <c r="F215" s="3" t="n">
        <v>1.237669904550643</v>
      </c>
      <c r="H215" s="3" t="n">
        <v>8.902775549137543</v>
      </c>
      <c r="I215" s="3" t="n">
        <v>19.0515126657665</v>
      </c>
      <c r="J215" s="3" t="n">
        <v>0.2980649970046316</v>
      </c>
      <c r="K215" s="3" t="n">
        <v>0.05500313870696746</v>
      </c>
      <c r="L215" s="3" t="n">
        <v>13356.22946895747</v>
      </c>
      <c r="M215" s="4" t="n">
        <v>20144304961.35746</v>
      </c>
    </row>
    <row r="216">
      <c r="A216" t="inlineStr">
        <is>
          <t>BBG000BH3F20</t>
        </is>
      </c>
      <c r="B216" t="inlineStr">
        <is>
          <t>cg</t>
        </is>
      </c>
      <c r="C216" s="3" t="n">
        <v>1.68706432478774</v>
      </c>
      <c r="D216" s="3" t="n">
        <v>0.4956648855942327</v>
      </c>
      <c r="I216" s="3" t="n">
        <v>18.55843344940077</v>
      </c>
      <c r="J216" s="3" t="n">
        <v>0.2840010613272109</v>
      </c>
    </row>
    <row r="217">
      <c r="A217" t="inlineStr">
        <is>
          <t>BBG000BFJT36</t>
        </is>
      </c>
      <c r="B217" t="inlineStr">
        <is>
          <t>chd</t>
        </is>
      </c>
      <c r="C217" s="3" t="n">
        <v>0.02167702191627909</v>
      </c>
      <c r="D217" s="3" t="n">
        <v>0.04265548358900384</v>
      </c>
      <c r="E217" s="3" t="n">
        <v>23.99948725058691</v>
      </c>
      <c r="F217" s="3" t="n">
        <v>0.1385316234814606</v>
      </c>
      <c r="H217" s="3" t="n">
        <v>2.33639610591477</v>
      </c>
      <c r="I217" s="3" t="n">
        <v>18.86922661680818</v>
      </c>
      <c r="J217" s="3" t="n">
        <v>0.1687399904456579</v>
      </c>
      <c r="K217" s="3" t="n">
        <v>0.008354880473893473</v>
      </c>
      <c r="L217" s="3" t="n">
        <v>13823.11398794371</v>
      </c>
      <c r="M217" s="4" t="n">
        <v>26475543328.57658</v>
      </c>
    </row>
    <row r="218">
      <c r="A218" t="inlineStr">
        <is>
          <t>BBG000BGXMG9</t>
        </is>
      </c>
      <c r="B218" t="inlineStr">
        <is>
          <t>chdn</t>
        </is>
      </c>
      <c r="C218" s="3" t="n">
        <v>1.103641713680256</v>
      </c>
      <c r="D218" s="3" t="n">
        <v>0.2101581311161935</v>
      </c>
      <c r="E218" s="3" t="n">
        <v>23.06257289685964</v>
      </c>
      <c r="F218" s="3" t="n">
        <v>0.08566571273972809</v>
      </c>
      <c r="G218" s="3" t="n">
        <v>0</v>
      </c>
      <c r="H218" s="3" t="n">
        <v>8.070777531145744</v>
      </c>
      <c r="I218" s="3" t="n">
        <v>17.95423916426373</v>
      </c>
      <c r="J218" s="3" t="n">
        <v>0.2075314878198501</v>
      </c>
      <c r="K218" s="3" t="n">
        <v>0.007750110615814266</v>
      </c>
      <c r="L218" s="3" t="n">
        <v>12266.57359266421</v>
      </c>
      <c r="M218" s="4" t="n">
        <v>10374045478.54994</v>
      </c>
    </row>
    <row r="219">
      <c r="A219" t="inlineStr">
        <is>
          <t>BBG000BPBTL2</t>
        </is>
      </c>
      <c r="B219" t="inlineStr">
        <is>
          <t>chh</t>
        </is>
      </c>
      <c r="C219" s="3" t="n">
        <v>0.6289686551108354</v>
      </c>
      <c r="D219" s="3" t="n">
        <v>0.2770905818917038</v>
      </c>
      <c r="E219" s="3" t="n">
        <v>22.66756620870973</v>
      </c>
      <c r="F219" s="3" t="n">
        <v>0.00782558731865401</v>
      </c>
      <c r="H219" s="3" t="n">
        <v>46.51672036501947</v>
      </c>
      <c r="I219" s="3" t="n">
        <v>17.59097362923107</v>
      </c>
      <c r="J219" s="3" t="n">
        <v>0.2347005554197606</v>
      </c>
      <c r="K219" s="3" t="n">
        <v>0.03284626120104409</v>
      </c>
      <c r="L219" s="3" t="n">
        <v>11647.01617879003</v>
      </c>
      <c r="M219" s="4" t="n">
        <v>6988740622.931442</v>
      </c>
    </row>
    <row r="220">
      <c r="A220" t="inlineStr">
        <is>
          <t>BBG0063N8V69</t>
        </is>
      </c>
      <c r="B220" t="inlineStr">
        <is>
          <t>chrs</t>
        </is>
      </c>
      <c r="C220" s="3" t="n">
        <v>2.204678587837937</v>
      </c>
      <c r="D220" s="3" t="n">
        <v>-0.650234758337598</v>
      </c>
      <c r="E220" s="3" t="n">
        <v>18.7611475689733</v>
      </c>
      <c r="F220" s="3" t="n">
        <v>-1.243337730212266</v>
      </c>
      <c r="G220" s="3" t="n">
        <v>0.2140722516725695</v>
      </c>
      <c r="H220" s="3" t="n">
        <v>-3.602595520831496</v>
      </c>
      <c r="I220" s="3" t="n">
        <v>14.87360122950347</v>
      </c>
      <c r="J220" s="3" t="n">
        <v>0.910294426389899</v>
      </c>
      <c r="K220" s="3" t="n">
        <v>-1.12577257954189</v>
      </c>
      <c r="L220" s="3" t="n">
        <v>6603.561068128355</v>
      </c>
      <c r="M220" s="4" t="n">
        <v>140560359.836282</v>
      </c>
    </row>
    <row r="221">
      <c r="A221" t="inlineStr">
        <is>
          <t>BBG000BTCH57</t>
        </is>
      </c>
      <c r="B221" t="inlineStr">
        <is>
          <t>chrw</t>
        </is>
      </c>
      <c r="C221" s="3" t="n">
        <v>0.2716864301948465</v>
      </c>
      <c r="D221" s="3" t="n">
        <v>0.2828418475678105</v>
      </c>
      <c r="E221" s="3" t="n">
        <v>23.21300418857492</v>
      </c>
      <c r="F221" s="3" t="n">
        <v>0.1185917800297792</v>
      </c>
      <c r="H221" s="3" t="n">
        <v>3.925439544553726</v>
      </c>
      <c r="I221" s="3" t="n">
        <v>18.70449715998501</v>
      </c>
      <c r="J221" s="3" t="n">
        <v>0.3091921199254667</v>
      </c>
      <c r="K221" s="3" t="n">
        <v>0.024394846164697</v>
      </c>
      <c r="L221" s="3" t="n">
        <v>12508.17789555569</v>
      </c>
      <c r="M221" s="4" t="n">
        <v>12058120719.01044</v>
      </c>
    </row>
    <row r="222">
      <c r="A222" t="inlineStr">
        <is>
          <t>BBG000VPGNR2</t>
        </is>
      </c>
      <c r="B222" t="inlineStr">
        <is>
          <t>chtr</t>
        </is>
      </c>
      <c r="C222" s="3" t="n">
        <v>0.7778779930600591</v>
      </c>
      <c r="D222" s="3" t="n">
        <v>-0.1812411432441543</v>
      </c>
      <c r="E222" s="3" t="n">
        <v>25.40122374019764</v>
      </c>
      <c r="F222" s="3" t="n">
        <v>0.1030774272526511</v>
      </c>
      <c r="G222" s="3" t="n">
        <v>0.02555148682342234</v>
      </c>
      <c r="H222" s="3" t="n">
        <v>13.27737687053244</v>
      </c>
      <c r="I222" s="3" t="n">
        <v>19.94087309770283</v>
      </c>
      <c r="J222" s="3" t="n">
        <v>0.3920872880070135</v>
      </c>
      <c r="K222" s="3" t="n">
        <v>0.01190141682152205</v>
      </c>
      <c r="L222" s="3" t="n">
        <v>16389.43263879211</v>
      </c>
      <c r="M222" s="4" t="n">
        <v>107550220211.8824</v>
      </c>
    </row>
    <row r="223">
      <c r="A223" t="inlineStr">
        <is>
          <t>BBG00P19DKZ6</t>
        </is>
      </c>
      <c r="B223" t="inlineStr">
        <is>
          <t>chwy</t>
        </is>
      </c>
      <c r="C223" s="3" t="n">
        <v>1.161132889672872</v>
      </c>
      <c r="D223" s="3" t="n">
        <v>0.5482203900823566</v>
      </c>
      <c r="G223" s="3" t="n">
        <v>-0.004435110001474563</v>
      </c>
      <c r="H223" s="3" t="n">
        <v>8.669037796081646</v>
      </c>
      <c r="I223" s="3" t="n">
        <v>18.95605889456981</v>
      </c>
      <c r="J223" s="3" t="n">
        <v>0.5895009727320031</v>
      </c>
    </row>
    <row r="224">
      <c r="A224" t="inlineStr">
        <is>
          <t>BBG00QK4M9M3</t>
        </is>
      </c>
      <c r="B224" t="inlineStr">
        <is>
          <t>chym</t>
        </is>
      </c>
    </row>
    <row r="225">
      <c r="A225" t="inlineStr">
        <is>
          <t>BBG00KXRCDP0</t>
        </is>
      </c>
      <c r="B225" t="inlineStr">
        <is>
          <t>ci</t>
        </is>
      </c>
      <c r="C225" s="3" t="n">
        <v>0.2510370591972527</v>
      </c>
      <c r="D225" s="3" t="n">
        <v>0.2178323808715068</v>
      </c>
      <c r="E225" s="3" t="n">
        <v>25.23032683904977</v>
      </c>
      <c r="F225" s="3" t="n">
        <v>0.4643428803833098</v>
      </c>
      <c r="H225" s="3" t="n">
        <v>3.744839054430578</v>
      </c>
      <c r="I225" s="3" t="n">
        <v>20.0500688792662</v>
      </c>
      <c r="J225" s="3" t="n">
        <v>0.2699034739512112</v>
      </c>
      <c r="L225" s="3" t="n">
        <v>16060.85382612042</v>
      </c>
      <c r="M225" s="4" t="n">
        <v>90654991769.84625</v>
      </c>
    </row>
    <row r="226">
      <c r="A226" t="inlineStr">
        <is>
          <t>BBG000BP1152</t>
        </is>
      </c>
      <c r="B226" t="inlineStr">
        <is>
          <t>cien</t>
        </is>
      </c>
      <c r="C226" s="3" t="n">
        <v>1.549700600833178</v>
      </c>
      <c r="D226" s="3" t="n">
        <v>0.3851690389342077</v>
      </c>
      <c r="E226" s="3" t="n">
        <v>23.03277337059517</v>
      </c>
      <c r="F226" s="3" t="n">
        <v>0.2926676966842348</v>
      </c>
      <c r="H226" s="3" t="n">
        <v>1.891793944876346</v>
      </c>
      <c r="I226" s="3" t="n">
        <v>18.62617278509362</v>
      </c>
      <c r="J226" s="3" t="n">
        <v>0.3153355415612936</v>
      </c>
      <c r="K226" s="3" t="n">
        <v>0.004660426551412253</v>
      </c>
      <c r="L226" s="3" t="n">
        <v>12219.0854868098</v>
      </c>
      <c r="M226" s="4" t="n">
        <v>10069464560.30273</v>
      </c>
    </row>
    <row r="227">
      <c r="A227" t="inlineStr">
        <is>
          <t>BBG00XYHY0K2</t>
        </is>
      </c>
      <c r="B227" t="inlineStr">
        <is>
          <t>cifr</t>
        </is>
      </c>
      <c r="C227" s="3" t="n">
        <v>3.746457706173243</v>
      </c>
      <c r="D227" s="3" t="n">
        <v>0.7797833437853054</v>
      </c>
      <c r="E227" s="3" t="n">
        <v>21.56926326303302</v>
      </c>
      <c r="F227" s="3" t="n">
        <v>0.1471449422491232</v>
      </c>
      <c r="H227" s="3" t="n">
        <v>2.261464244539201</v>
      </c>
      <c r="I227" s="3" t="n">
        <v>17.76412525590179</v>
      </c>
      <c r="J227" s="3" t="n">
        <v>1.128772249377603</v>
      </c>
      <c r="K227" s="3" t="n">
        <v>-0.007990813345370912</v>
      </c>
      <c r="L227" s="3" t="n">
        <v>10034.73559456918</v>
      </c>
      <c r="M227" s="4" t="n">
        <v>2330300957.761247</v>
      </c>
    </row>
    <row r="228">
      <c r="A228" t="inlineStr">
        <is>
          <t>cinf</t>
        </is>
      </c>
      <c r="B228" t="inlineStr">
        <is>
          <t>cinf</t>
        </is>
      </c>
      <c r="C228" s="3" t="n">
        <v>0.4289076436075279</v>
      </c>
      <c r="D228" s="3" t="n">
        <v>0.4078366853224342</v>
      </c>
      <c r="E228" s="3" t="n">
        <v>23.90713447347771</v>
      </c>
      <c r="F228" s="3" t="n">
        <v>0.4401001150280148</v>
      </c>
      <c r="H228" s="3" t="n">
        <v>3.483527861117891</v>
      </c>
      <c r="I228" s="3" t="n">
        <v>18.10230958229475</v>
      </c>
      <c r="J228" s="3" t="n">
        <v>0.2067819306540787</v>
      </c>
      <c r="K228" s="3" t="n">
        <v>0.02734055684473737</v>
      </c>
      <c r="L228" s="3" t="n">
        <v>13664.1484977298</v>
      </c>
      <c r="M228" s="4" t="n">
        <v>24139961878.63669</v>
      </c>
    </row>
    <row r="229">
      <c r="A229" t="inlineStr">
        <is>
          <t>BBG000BFQYY3</t>
        </is>
      </c>
      <c r="B229" t="inlineStr">
        <is>
          <t>cl</t>
        </is>
      </c>
      <c r="C229" s="3" t="n">
        <v>0.04907201987214091</v>
      </c>
      <c r="D229" s="3" t="n">
        <v>0.2159024344080493</v>
      </c>
      <c r="E229" s="3" t="n">
        <v>25.05586032564136</v>
      </c>
      <c r="F229" s="3" t="n">
        <v>0.005713041491678185</v>
      </c>
      <c r="H229" s="3" t="n">
        <v>38.56091945158409</v>
      </c>
      <c r="I229" s="3" t="n">
        <v>19.87763785439579</v>
      </c>
      <c r="J229" s="3" t="n">
        <v>0.154868650793927</v>
      </c>
      <c r="K229" s="3" t="n">
        <v>0.009679336964061661</v>
      </c>
      <c r="L229" s="3" t="n">
        <v>15729.97231308132</v>
      </c>
      <c r="M229" s="4" t="n">
        <v>76141578986.94121</v>
      </c>
    </row>
    <row r="230">
      <c r="A230" t="inlineStr">
        <is>
          <t>BBG000PT6BR8</t>
        </is>
      </c>
      <c r="B230" t="inlineStr">
        <is>
          <t>cldt</t>
        </is>
      </c>
      <c r="C230" s="3" t="n">
        <v>1.269482321758654</v>
      </c>
      <c r="D230" s="3" t="n">
        <v>-0.178394919787778</v>
      </c>
      <c r="E230" s="3" t="n">
        <v>19.85366020713018</v>
      </c>
      <c r="F230" s="3" t="n">
        <v>1.826032726450024</v>
      </c>
      <c r="H230" s="3" t="n">
        <v>1.69207561050582</v>
      </c>
      <c r="I230" s="3" t="n">
        <v>14.92020702087241</v>
      </c>
      <c r="J230" s="3" t="n">
        <v>0.2485141600945232</v>
      </c>
      <c r="K230" s="3" t="n">
        <v>0.01014275724844745</v>
      </c>
      <c r="L230" s="3" t="n">
        <v>7825.674034739161</v>
      </c>
      <c r="M230" s="4" t="n">
        <v>419116802.8307037</v>
      </c>
    </row>
    <row r="231">
      <c r="A231" t="inlineStr">
        <is>
          <t>BBG000BC35R6</t>
        </is>
      </c>
      <c r="B231" t="inlineStr">
        <is>
          <t>clfd</t>
        </is>
      </c>
      <c r="C231" s="3" t="n">
        <v>1.843193959243185</v>
      </c>
      <c r="D231" s="3" t="n">
        <v>0.4123427496424283</v>
      </c>
      <c r="E231" s="3" t="n">
        <v>19.89597308811051</v>
      </c>
      <c r="F231" s="3" t="n">
        <v>0.2374577960197941</v>
      </c>
      <c r="H231" s="3" t="n">
        <v>3.424227505930926</v>
      </c>
      <c r="I231" s="3" t="n">
        <v>15.19106351936869</v>
      </c>
      <c r="J231" s="3" t="n">
        <v>0.3863300623513146</v>
      </c>
      <c r="K231" s="3" t="n">
        <v>0.07440682768831833</v>
      </c>
      <c r="L231" s="3" t="n">
        <v>7875.815875898979</v>
      </c>
      <c r="M231" s="4" t="n">
        <v>437231379.650671</v>
      </c>
    </row>
    <row r="232">
      <c r="A232" t="inlineStr">
        <is>
          <t>BBG000BFS7D3</t>
        </is>
      </c>
      <c r="B232" t="inlineStr">
        <is>
          <t>clx</t>
        </is>
      </c>
      <c r="C232" s="3" t="n">
        <v>0.1551503919678652</v>
      </c>
      <c r="D232" s="3" t="n">
        <v>0.1431071078281574</v>
      </c>
      <c r="E232" s="3" t="n">
        <v>23.69264676255326</v>
      </c>
      <c r="F232" s="3" t="n">
        <v>0.003080104843844117</v>
      </c>
      <c r="G232" s="3" t="n">
        <v>0.01148786362794141</v>
      </c>
      <c r="H232" s="3" t="n">
        <v>91.61666513972224</v>
      </c>
      <c r="I232" s="3" t="n">
        <v>19.02313593186312</v>
      </c>
      <c r="J232" s="3" t="n">
        <v>0.2019110154860671</v>
      </c>
      <c r="K232" s="3" t="n">
        <v>0.005082172992342793</v>
      </c>
      <c r="L232" s="3" t="n">
        <v>13299.6661241622</v>
      </c>
      <c r="M232" s="4" t="n">
        <v>19479856381.13443</v>
      </c>
    </row>
    <row r="233">
      <c r="A233" t="inlineStr">
        <is>
          <t>BBG000BFT2L4</t>
        </is>
      </c>
      <c r="B233" t="inlineStr">
        <is>
          <t>cmcsa</t>
        </is>
      </c>
      <c r="C233" s="3" t="n">
        <v>0.4658301440117211</v>
      </c>
      <c r="D233" s="3" t="n">
        <v>0.07382544913190614</v>
      </c>
      <c r="E233" s="3" t="n">
        <v>25.0879215473951</v>
      </c>
      <c r="F233" s="3" t="n">
        <v>1.090962375297203</v>
      </c>
      <c r="H233" s="3" t="n">
        <v>3.14630307548737</v>
      </c>
      <c r="I233" s="3" t="n">
        <v>20.39810871942433</v>
      </c>
      <c r="J233" s="3" t="n">
        <v>0.2136600406076171</v>
      </c>
      <c r="K233" s="3" t="n">
        <v>0.04615737239668837</v>
      </c>
      <c r="L233" s="3" t="n">
        <v>15790.43334590406</v>
      </c>
      <c r="M233" s="4" t="n">
        <v>78622326434.99028</v>
      </c>
    </row>
    <row r="234">
      <c r="A234" t="inlineStr">
        <is>
          <t>BBG000BHLYP4</t>
        </is>
      </c>
      <c r="B234" t="inlineStr">
        <is>
          <t>cme</t>
        </is>
      </c>
      <c r="C234" s="3" t="n">
        <v>0.01560702485975381</v>
      </c>
      <c r="D234" s="3" t="n">
        <v>0.08074197895302571</v>
      </c>
      <c r="E234" s="3" t="n">
        <v>23.41011098417154</v>
      </c>
      <c r="F234" s="3" t="n">
        <v>1.820728848865953</v>
      </c>
      <c r="H234" s="3" t="n">
        <v>5.153549829823825</v>
      </c>
      <c r="I234" s="3" t="n">
        <v>19.80728099078597</v>
      </c>
      <c r="J234" s="3" t="n">
        <v>0.1659677951898832</v>
      </c>
      <c r="K234" s="3" t="n">
        <v>0.2196894824279894</v>
      </c>
      <c r="L234" s="3" t="n">
        <v>12829.52028919903</v>
      </c>
      <c r="M234" s="4" t="n">
        <v>14685272886.64265</v>
      </c>
    </row>
    <row r="235">
      <c r="A235" t="inlineStr">
        <is>
          <t>BBG000QX74T1</t>
        </is>
      </c>
      <c r="B235" t="inlineStr">
        <is>
          <t>cmg</t>
        </is>
      </c>
      <c r="C235" s="3" t="n">
        <v>0.85909393788919</v>
      </c>
      <c r="D235" s="3" t="n">
        <v>0.2662050806278675</v>
      </c>
      <c r="E235" s="3" t="n">
        <v>25.15201767170322</v>
      </c>
      <c r="F235" s="3" t="n">
        <v>0.04427967493081097</v>
      </c>
      <c r="H235" s="3" t="n">
        <v>2.427830551473986</v>
      </c>
      <c r="I235" s="3" t="n">
        <v>20.15109085996799</v>
      </c>
      <c r="J235" s="3" t="n">
        <v>0.2694665961658379</v>
      </c>
      <c r="K235" s="3" t="n">
        <v>0.0034791292453625</v>
      </c>
      <c r="L235" s="3" t="n">
        <v>15911.7698504148</v>
      </c>
      <c r="M235" s="4" t="n">
        <v>83826721983.74557</v>
      </c>
    </row>
    <row r="236">
      <c r="A236" t="inlineStr">
        <is>
          <t>cmi</t>
        </is>
      </c>
      <c r="B236" t="inlineStr">
        <is>
          <t>cmi</t>
        </is>
      </c>
      <c r="C236" s="3" t="n">
        <v>0.7741716769276328</v>
      </c>
      <c r="D236" s="3" t="n">
        <v>0.4946323781063711</v>
      </c>
      <c r="E236" s="3" t="n">
        <v>24.63754557910035</v>
      </c>
      <c r="F236" s="3" t="n">
        <v>0.2058349601470918</v>
      </c>
      <c r="H236" s="3" t="n">
        <v>3.107319437410827</v>
      </c>
      <c r="I236" s="3" t="n">
        <v>19.11756152275941</v>
      </c>
      <c r="J236" s="3" t="n">
        <v>0.2258202253782129</v>
      </c>
      <c r="K236" s="3" t="n">
        <v>0.01007723265867972</v>
      </c>
      <c r="L236" s="3" t="n">
        <v>14955.20333455564</v>
      </c>
      <c r="M236" s="4" t="n">
        <v>50112964252.63696</v>
      </c>
    </row>
    <row r="237">
      <c r="A237" t="inlineStr">
        <is>
          <t>BBG000BFVXX0</t>
        </is>
      </c>
      <c r="B237" t="inlineStr">
        <is>
          <t>cms</t>
        </is>
      </c>
      <c r="C237" s="3" t="n">
        <v>0.02684983209807877</v>
      </c>
      <c r="D237" s="3" t="n">
        <v>0.2576952430146735</v>
      </c>
      <c r="E237" s="3" t="n">
        <v>23.71422514518116</v>
      </c>
      <c r="F237" s="3" t="n">
        <v>0.4074903029009101</v>
      </c>
      <c r="H237" s="3" t="n">
        <v>4.132289482908114</v>
      </c>
      <c r="I237" s="3" t="n">
        <v>18.77403647554553</v>
      </c>
      <c r="J237" s="3" t="n">
        <v>0.16825272526772</v>
      </c>
      <c r="K237" s="3" t="n">
        <v>0.03707654340289381</v>
      </c>
      <c r="L237" s="3" t="n">
        <v>13336.03775569206</v>
      </c>
      <c r="M237" s="4" t="n">
        <v>19904768142.58049</v>
      </c>
    </row>
    <row r="238">
      <c r="A238" t="inlineStr">
        <is>
          <t>BBG000BDXCJ5</t>
        </is>
      </c>
      <c r="B238" t="inlineStr">
        <is>
          <t>cnc</t>
        </is>
      </c>
      <c r="C238" s="3" t="n">
        <v>0.3915187926970243</v>
      </c>
      <c r="D238" s="3" t="n">
        <v>-0.1549945973987782</v>
      </c>
      <c r="E238" s="3" t="n">
        <v>24.13414618702391</v>
      </c>
      <c r="F238" s="3" t="n">
        <v>0.9014621070021537</v>
      </c>
      <c r="H238" s="3" t="n">
        <v>3.015746877979428</v>
      </c>
      <c r="I238" s="3" t="n">
        <v>19.73751537405412</v>
      </c>
      <c r="J238" s="3" t="n">
        <v>0.2963417610757297</v>
      </c>
      <c r="K238" s="3" t="n">
        <v>0.02353764537637</v>
      </c>
      <c r="L238" s="3" t="n">
        <v>14057.10267952822</v>
      </c>
      <c r="M238" s="4" t="n">
        <v>30291900000</v>
      </c>
    </row>
    <row r="239">
      <c r="A239" t="inlineStr">
        <is>
          <t>BBG00C1BZMT9</t>
        </is>
      </c>
      <c r="B239" t="inlineStr">
        <is>
          <t>cndt</t>
        </is>
      </c>
      <c r="C239" s="3" t="n">
        <v>1.515782754218485</v>
      </c>
      <c r="D239" s="3" t="n">
        <v>0.1842105098048072</v>
      </c>
      <c r="E239" s="3" t="n">
        <v>20.20640238173888</v>
      </c>
      <c r="F239" s="3" t="n">
        <v>1.47051866015412</v>
      </c>
      <c r="H239" s="3" t="n">
        <v>3.239452675895721</v>
      </c>
      <c r="I239" s="3" t="n">
        <v>15.2464797933518</v>
      </c>
      <c r="J239" s="3" t="n">
        <v>0.4346650162297582</v>
      </c>
      <c r="K239" s="3" t="n">
        <v>-0.496321007304013</v>
      </c>
      <c r="L239" s="3" t="n">
        <v>8250.24776782044</v>
      </c>
      <c r="M239" s="4" t="n">
        <v>596388214.7796521</v>
      </c>
    </row>
    <row r="240">
      <c r="A240" t="inlineStr">
        <is>
          <t>BBG000QDVR53</t>
        </is>
      </c>
      <c r="B240" t="inlineStr">
        <is>
          <t>cnk</t>
        </is>
      </c>
      <c r="C240" s="3" t="n">
        <v>0.5015578379762955</v>
      </c>
      <c r="D240" s="3" t="n">
        <v>1.087719458522737</v>
      </c>
      <c r="E240" s="3" t="n">
        <v>22.12952597406386</v>
      </c>
      <c r="F240" s="3" t="n">
        <v>0.0477373091238666</v>
      </c>
      <c r="H240" s="3" t="n">
        <v>24.8998972027726</v>
      </c>
      <c r="I240" s="3" t="n">
        <v>18.10062696744487</v>
      </c>
      <c r="J240" s="3" t="n">
        <v>0.3227389806783473</v>
      </c>
      <c r="K240" s="3" t="n">
        <v>-0.04212547966320671</v>
      </c>
      <c r="L240" s="3" t="n">
        <v>10837.18116794031</v>
      </c>
      <c r="M240" s="4" t="n">
        <v>4080665700.004257</v>
      </c>
    </row>
    <row r="241">
      <c r="A241" t="inlineStr">
        <is>
          <t>BBG01163K2X0</t>
        </is>
      </c>
      <c r="B241" t="inlineStr">
        <is>
          <t>cnm</t>
        </is>
      </c>
      <c r="C241" s="3" t="n">
        <v>1.469093020079845</v>
      </c>
      <c r="D241" s="3" t="n">
        <v>0.2640593868780508</v>
      </c>
      <c r="H241" s="3" t="n">
        <v>3.709245739836225</v>
      </c>
      <c r="I241" s="3" t="n">
        <v>18.62341982136266</v>
      </c>
      <c r="J241" s="3" t="n">
        <v>0.3463995112939637</v>
      </c>
    </row>
    <row r="242">
      <c r="A242" t="inlineStr">
        <is>
          <t>BBG000Q1GK24</t>
        </is>
      </c>
      <c r="B242" t="inlineStr">
        <is>
          <t>cno</t>
        </is>
      </c>
      <c r="C242" s="3" t="n">
        <v>0.8894714398255881</v>
      </c>
      <c r="D242" s="3" t="n">
        <v>0.326977526574078</v>
      </c>
      <c r="E242" s="3" t="n">
        <v>22.10954865647083</v>
      </c>
      <c r="F242" s="3" t="n">
        <v>0.6072320083857524</v>
      </c>
      <c r="H242" s="3" t="n">
        <v>14.45201530962493</v>
      </c>
      <c r="I242" s="3" t="n">
        <v>16.99847441341785</v>
      </c>
      <c r="J242" s="3" t="n">
        <v>0.2429936926277623</v>
      </c>
      <c r="K242" s="3" t="n">
        <v>0.05947568644035181</v>
      </c>
      <c r="L242" s="3" t="n">
        <v>10807.85802381589</v>
      </c>
      <c r="M242" s="4" t="n">
        <v>3999953832.884541</v>
      </c>
    </row>
    <row r="243">
      <c r="A243" t="inlineStr">
        <is>
          <t>BBG000FDBX90</t>
        </is>
      </c>
      <c r="B243" t="inlineStr">
        <is>
          <t>cnp</t>
        </is>
      </c>
      <c r="C243" s="3" t="n">
        <v>0.2723896314491916</v>
      </c>
      <c r="D243" s="3" t="n">
        <v>0.06766433760656732</v>
      </c>
      <c r="E243" s="3" t="n">
        <v>23.7452932122457</v>
      </c>
      <c r="F243" s="3" t="n">
        <v>0.4668123142381512</v>
      </c>
      <c r="G243" s="3" t="n">
        <v>0.01732611671021522</v>
      </c>
      <c r="H243" s="3" t="n">
        <v>4.475013040743348</v>
      </c>
      <c r="I243" s="3" t="n">
        <v>18.85719431844557</v>
      </c>
      <c r="J243" s="3" t="n">
        <v>0.2035179295266032</v>
      </c>
      <c r="K243" s="3" t="n">
        <v>0.03754953513590137</v>
      </c>
      <c r="L243" s="3" t="n">
        <v>13388.52118595463</v>
      </c>
      <c r="M243" s="4" t="n">
        <v>20532877362.44948</v>
      </c>
    </row>
    <row r="244">
      <c r="A244" t="inlineStr">
        <is>
          <t>BBG000HW5GX3</t>
        </is>
      </c>
      <c r="B244" t="inlineStr">
        <is>
          <t>cnq</t>
        </is>
      </c>
      <c r="C244" s="3" t="n">
        <v>0.6376419540771395</v>
      </c>
      <c r="D244" s="3" t="n">
        <v>0.06616461393674822</v>
      </c>
      <c r="I244" s="3" t="n">
        <v>18.82139992018013</v>
      </c>
      <c r="J244" s="3" t="n">
        <v>0.2587849517434798</v>
      </c>
    </row>
    <row r="245">
      <c r="A245" t="inlineStr">
        <is>
          <t>BBG000L35KD5</t>
        </is>
      </c>
      <c r="B245" t="inlineStr">
        <is>
          <t>codi</t>
        </is>
      </c>
      <c r="C245" s="3" t="n">
        <v>0.9680048869786695</v>
      </c>
      <c r="D245" s="3" t="n">
        <v>0.1252764825427191</v>
      </c>
      <c r="E245" s="3" t="n">
        <v>21.28044654807053</v>
      </c>
      <c r="F245" s="3" t="n">
        <v>0.7599912428011224</v>
      </c>
      <c r="H245" s="3" t="n">
        <v>2.87694064226347</v>
      </c>
      <c r="I245" s="3" t="n">
        <v>15.25655054542398</v>
      </c>
      <c r="J245" s="3" t="n">
        <v>0.2589492173267962</v>
      </c>
      <c r="K245" s="3" t="n">
        <v>0.01263873885898923</v>
      </c>
      <c r="L245" s="3" t="n">
        <v>9637.007807071455</v>
      </c>
      <c r="M245" s="4" t="n">
        <v>1745743798.770584</v>
      </c>
    </row>
    <row r="246">
      <c r="A246" t="inlineStr">
        <is>
          <t>BBG000BGKTF9</t>
        </is>
      </c>
      <c r="B246" t="inlineStr">
        <is>
          <t>cof</t>
        </is>
      </c>
      <c r="C246" s="3" t="n">
        <v>1.105636248788937</v>
      </c>
      <c r="D246" s="3" t="n">
        <v>0.4771649004928609</v>
      </c>
      <c r="E246" s="3" t="n">
        <v>24.99642042167281</v>
      </c>
      <c r="F246" s="3" t="n">
        <v>0.8056156524912935</v>
      </c>
      <c r="G246" s="3" t="n">
        <v>0.0118732049075545</v>
      </c>
      <c r="H246" s="3" t="n">
        <v>8.415650248120004</v>
      </c>
      <c r="I246" s="3" t="n">
        <v>19.93413974678779</v>
      </c>
      <c r="J246" s="3" t="n">
        <v>0.271484221537006</v>
      </c>
      <c r="K246" s="3" t="n">
        <v>0.02494856521443254</v>
      </c>
      <c r="L246" s="3" t="n">
        <v>15618.28925159423</v>
      </c>
      <c r="M246" s="4" t="n">
        <v>71747612922.42773</v>
      </c>
    </row>
    <row r="247">
      <c r="A247" t="inlineStr">
        <is>
          <t>cohr</t>
        </is>
      </c>
      <c r="B247" t="inlineStr">
        <is>
          <t>cohr</t>
        </is>
      </c>
      <c r="C247" s="3" t="n">
        <v>2.463843999157099</v>
      </c>
      <c r="D247" s="3" t="n">
        <v>1.512639307991744</v>
      </c>
      <c r="E247" s="3" t="n">
        <v>23.46353440759209</v>
      </c>
      <c r="F247" s="3" t="n">
        <v>0.355111064959767</v>
      </c>
      <c r="H247" s="3" t="n">
        <v>2.457936509076689</v>
      </c>
      <c r="I247" s="3" t="n">
        <v>19.29408742743055</v>
      </c>
      <c r="J247" s="3" t="n">
        <v>0.4639255557159375</v>
      </c>
      <c r="K247" s="3" t="n">
        <v>-0.004359522809986646</v>
      </c>
      <c r="L247" s="3" t="n">
        <v>12917.55432791824</v>
      </c>
      <c r="M247" s="4" t="n">
        <v>15491145003.51642</v>
      </c>
    </row>
    <row r="248">
      <c r="A248" t="inlineStr">
        <is>
          <t>BBG00ZGF7771</t>
        </is>
      </c>
      <c r="B248" t="inlineStr">
        <is>
          <t>coin</t>
        </is>
      </c>
      <c r="C248" s="3" t="n">
        <v>3.12288928056869</v>
      </c>
      <c r="D248" s="3" t="n">
        <v>0.4372193573250629</v>
      </c>
      <c r="H248" s="3" t="n">
        <v>37.94679438899497</v>
      </c>
      <c r="I248" s="3" t="n">
        <v>21.79180096362482</v>
      </c>
      <c r="J248" s="3" t="n">
        <v>0.7796212156687068</v>
      </c>
    </row>
    <row r="249">
      <c r="A249" t="inlineStr">
        <is>
          <t>BBG000CTGXS2</t>
        </is>
      </c>
      <c r="B249" t="inlineStr">
        <is>
          <t>colb</t>
        </is>
      </c>
      <c r="C249" s="3" t="n">
        <v>1.222631507127124</v>
      </c>
      <c r="D249" s="3" t="n">
        <v>0.3411625842240376</v>
      </c>
      <c r="E249" s="3" t="n">
        <v>22.51465924332962</v>
      </c>
      <c r="F249" s="3" t="n">
        <v>0.832810471844878</v>
      </c>
      <c r="H249" s="3" t="n">
        <v>10.39204117321483</v>
      </c>
      <c r="I249" s="3" t="n">
        <v>17.55535098887342</v>
      </c>
      <c r="J249" s="3" t="n">
        <v>0.4040233996966967</v>
      </c>
      <c r="K249" s="3" t="n">
        <v>0.0425462384134449</v>
      </c>
      <c r="L249" s="3" t="n">
        <v>11412.90323426255</v>
      </c>
      <c r="M249" s="4" t="n">
        <v>5997804023.887899</v>
      </c>
    </row>
    <row r="250">
      <c r="A250" t="inlineStr">
        <is>
          <t>BBG000QF05R6</t>
        </is>
      </c>
      <c r="B250" t="inlineStr">
        <is>
          <t>cold</t>
        </is>
      </c>
      <c r="C250" s="3" t="n">
        <v>0.4962455901956263</v>
      </c>
      <c r="D250" s="3" t="n">
        <v>-0.06003533487308521</v>
      </c>
      <c r="E250" s="3" t="n">
        <v>22.54663989886029</v>
      </c>
      <c r="F250" s="3" t="n">
        <v>0.5839324648381037</v>
      </c>
      <c r="H250" s="3" t="n">
        <v>2.180577351587685</v>
      </c>
      <c r="I250" s="3" t="n">
        <v>17.60317414322101</v>
      </c>
      <c r="J250" s="3" t="n">
        <v>0.2473343518493498</v>
      </c>
      <c r="K250" s="3" t="n">
        <v>-0.0176617121261998</v>
      </c>
      <c r="L250" s="3" t="n">
        <v>11461.6062792601</v>
      </c>
      <c r="M250" s="4" t="n">
        <v>6192717852.086964</v>
      </c>
    </row>
    <row r="251">
      <c r="A251" t="inlineStr">
        <is>
          <t>BBG00J5SXTH3</t>
        </is>
      </c>
      <c r="B251" t="inlineStr">
        <is>
          <t>comp</t>
        </is>
      </c>
      <c r="C251" s="3" t="n">
        <v>1.793270269079205</v>
      </c>
      <c r="D251" s="3" t="n">
        <v>1.860360280539191</v>
      </c>
      <c r="E251" s="3" t="n">
        <v>22.00920879998766</v>
      </c>
      <c r="F251" s="3" t="n">
        <v>0.1184883223989416</v>
      </c>
      <c r="H251" s="3" t="n">
        <v>2.706554693943189</v>
      </c>
      <c r="I251" s="3" t="n">
        <v>17.18421620628789</v>
      </c>
      <c r="J251" s="3" t="n">
        <v>0.6526057411905102</v>
      </c>
      <c r="K251" s="3" t="n">
        <v>-0.03148080224221936</v>
      </c>
      <c r="L251" s="3" t="n">
        <v>10661.37677529482</v>
      </c>
      <c r="M251" s="4" t="n">
        <v>3618078062.056698</v>
      </c>
    </row>
    <row r="252">
      <c r="A252" t="inlineStr">
        <is>
          <t>BBG01NBZ7QD9</t>
        </is>
      </c>
      <c r="B252" t="inlineStr">
        <is>
          <t>con</t>
        </is>
      </c>
      <c r="E252" s="3" t="n">
        <v>21.72840943943169</v>
      </c>
      <c r="F252" s="3" t="n">
        <v>0.1016652782209364</v>
      </c>
      <c r="H252" s="3" t="n">
        <v>8.931679714408238</v>
      </c>
      <c r="K252" s="3" t="n">
        <v>0.0530801964348068</v>
      </c>
      <c r="L252" s="3" t="n">
        <v>10258.49872769691</v>
      </c>
      <c r="M252" s="4" t="n">
        <v>2732299608.669443</v>
      </c>
    </row>
    <row r="253">
      <c r="A253" t="inlineStr">
        <is>
          <t>BBG000BG3445</t>
        </is>
      </c>
      <c r="B253" t="inlineStr">
        <is>
          <t>coo</t>
        </is>
      </c>
      <c r="C253" s="3" t="n">
        <v>0.6044058648059877</v>
      </c>
      <c r="D253" s="3" t="n">
        <v>0.2427875594588682</v>
      </c>
      <c r="E253" s="3" t="n">
        <v>23.75840121605993</v>
      </c>
      <c r="F253" s="3" t="n">
        <v>0.3809401284611996</v>
      </c>
      <c r="H253" s="3" t="n">
        <v>1.471154573946857</v>
      </c>
      <c r="I253" s="3" t="n">
        <v>18.63156887516885</v>
      </c>
      <c r="J253" s="3" t="n">
        <v>0.2410786411357164</v>
      </c>
      <c r="K253" s="3" t="n">
        <v>0.004100213622427801</v>
      </c>
      <c r="L253" s="3" t="n">
        <v>13410.7058372501</v>
      </c>
      <c r="M253" s="4" t="n">
        <v>20803794107.0476</v>
      </c>
    </row>
    <row r="254">
      <c r="A254" t="inlineStr">
        <is>
          <t>BBG000BQQH30</t>
        </is>
      </c>
      <c r="B254" t="inlineStr">
        <is>
          <t>cop</t>
        </is>
      </c>
      <c r="C254" s="3" t="n">
        <v>0.2544087438025496</v>
      </c>
      <c r="D254" s="3" t="n">
        <v>-0.03239298228205711</v>
      </c>
      <c r="E254" s="3" t="n">
        <v>25.49993069354999</v>
      </c>
      <c r="F254" s="3" t="n">
        <v>0.4151286404518401</v>
      </c>
      <c r="H254" s="3" t="n">
        <v>1.946549240001896</v>
      </c>
      <c r="I254" s="3" t="n">
        <v>20.38070642134273</v>
      </c>
      <c r="J254" s="3" t="n">
        <v>0.2228738793814163</v>
      </c>
      <c r="K254" s="3" t="n">
        <v>0.01734511395706769</v>
      </c>
      <c r="L254" s="3" t="n">
        <v>16581.2398008101</v>
      </c>
      <c r="M254" s="4" t="n">
        <v>118707781631.1299</v>
      </c>
    </row>
    <row r="255">
      <c r="A255" t="inlineStr">
        <is>
          <t>BBG000MDCQC2</t>
        </is>
      </c>
      <c r="B255" t="inlineStr">
        <is>
          <t>cor</t>
        </is>
      </c>
      <c r="C255" s="3" t="n">
        <v>0.1025991781085883</v>
      </c>
      <c r="D255" s="3" t="n">
        <v>0.1289074017938776</v>
      </c>
      <c r="E255" s="3" t="n">
        <v>24.5955949089418</v>
      </c>
      <c r="F255" s="3" t="n">
        <v>0.01344186986058053</v>
      </c>
      <c r="G255" s="3" t="n">
        <v>0.02522494061086267</v>
      </c>
      <c r="H255" s="3" t="n">
        <v>96.8494590860896</v>
      </c>
      <c r="I255" s="3" t="n">
        <v>19.65305111764176</v>
      </c>
      <c r="J255" s="3" t="n">
        <v>0.1776145231275876</v>
      </c>
      <c r="K255" s="3" t="n">
        <v>0.03631927735259757</v>
      </c>
      <c r="L255" s="3" t="n">
        <v>14878.94007727643</v>
      </c>
      <c r="M255" s="4" t="n">
        <v>48054177483.21075</v>
      </c>
    </row>
    <row r="256">
      <c r="A256" t="inlineStr">
        <is>
          <t>BBG01L5GH011</t>
        </is>
      </c>
      <c r="B256" t="inlineStr">
        <is>
          <t>corz</t>
        </is>
      </c>
      <c r="C256" s="3" t="n">
        <v>2.536300219799889</v>
      </c>
      <c r="E256" s="3" t="n">
        <v>22.33131154786987</v>
      </c>
      <c r="F256" s="3" t="n">
        <v>-0.1195545281867038</v>
      </c>
      <c r="H256" s="3" t="n">
        <v>-1.544291649500188</v>
      </c>
      <c r="I256" s="3" t="n">
        <v>18.77559625695691</v>
      </c>
      <c r="J256" s="3" t="n">
        <v>0.8960301105006863</v>
      </c>
      <c r="K256" s="3" t="n">
        <v>-0.09117865073390934</v>
      </c>
      <c r="L256" s="3" t="n">
        <v>11136.34537925058</v>
      </c>
      <c r="M256" s="4" t="n">
        <v>4993043834.761536</v>
      </c>
    </row>
    <row r="257">
      <c r="A257" t="inlineStr">
        <is>
          <t>BBG01L5JV947</t>
        </is>
      </c>
      <c r="B257" t="inlineStr">
        <is>
          <t>corzw</t>
        </is>
      </c>
      <c r="H257" s="3" t="n">
        <v>-1.544291649500188</v>
      </c>
    </row>
    <row r="258">
      <c r="A258" t="inlineStr">
        <is>
          <t>cost</t>
        </is>
      </c>
      <c r="B258" t="inlineStr">
        <is>
          <t>cost</t>
        </is>
      </c>
      <c r="C258" s="3" t="n">
        <v>0.8528862445353802</v>
      </c>
      <c r="D258" s="3" t="n">
        <v>0.5151456292640912</v>
      </c>
      <c r="E258" s="3" t="n">
        <v>26.7804588464633</v>
      </c>
      <c r="F258" s="3" t="n">
        <v>0.05529822169819504</v>
      </c>
      <c r="H258" s="3" t="n">
        <v>2.956184912244679</v>
      </c>
      <c r="I258" s="3" t="n">
        <v>21.21966301255082</v>
      </c>
      <c r="J258" s="3" t="n">
        <v>0.1669871362255546</v>
      </c>
      <c r="K258" s="3" t="n">
        <v>0.01368058621641909</v>
      </c>
      <c r="L258" s="3" t="n">
        <v>19206.75697946668</v>
      </c>
      <c r="M258" s="4" t="n">
        <v>427174677132.8044</v>
      </c>
    </row>
    <row r="259">
      <c r="A259" t="inlineStr">
        <is>
          <t>BBG000F395V1</t>
        </is>
      </c>
      <c r="B259" t="inlineStr">
        <is>
          <t>coty</t>
        </is>
      </c>
      <c r="C259" s="3" t="n">
        <v>0.924308712047631</v>
      </c>
      <c r="D259" s="3" t="n">
        <v>-0.3473683941947667</v>
      </c>
      <c r="E259" s="3" t="n">
        <v>22.58401465225059</v>
      </c>
      <c r="F259" s="3" t="n">
        <v>0.5953287654414445</v>
      </c>
      <c r="H259" s="3" t="n">
        <v>3.157090224149594</v>
      </c>
      <c r="I259" s="3" t="n">
        <v>17.52141007471491</v>
      </c>
      <c r="J259" s="3" t="n">
        <v>0.2967280481576551</v>
      </c>
      <c r="K259" s="3" t="n">
        <v>0.00024888976632602</v>
      </c>
      <c r="L259" s="3" t="n">
        <v>11518.69929229081</v>
      </c>
      <c r="M259" s="4" t="n">
        <v>6428548764.256039</v>
      </c>
    </row>
    <row r="260">
      <c r="A260" t="inlineStr">
        <is>
          <t>BBG002WLDMW5</t>
        </is>
      </c>
      <c r="B260" t="inlineStr">
        <is>
          <t>cour</t>
        </is>
      </c>
      <c r="C260" s="3" t="n">
        <v>1.603038355809945</v>
      </c>
      <c r="D260" s="3" t="n">
        <v>-0.6481012754802462</v>
      </c>
      <c r="E260" s="3" t="n">
        <v>20.95380476857002</v>
      </c>
      <c r="F260" s="3" t="n">
        <v>0.5515658405699703</v>
      </c>
      <c r="H260" s="3" t="n">
        <v>1.325318358240192</v>
      </c>
      <c r="I260" s="3" t="n">
        <v>16.67102625523767</v>
      </c>
      <c r="J260" s="3" t="n">
        <v>0.6119255016933285</v>
      </c>
      <c r="K260" s="3" t="n">
        <v>-0.04599379753082404</v>
      </c>
      <c r="L260" s="3" t="n">
        <v>9200.018052200177</v>
      </c>
      <c r="M260" s="4" t="n">
        <v>1259278491.087633</v>
      </c>
    </row>
    <row r="261">
      <c r="A261" t="inlineStr">
        <is>
          <t>BBG000BCVMH9</t>
        </is>
      </c>
      <c r="B261" t="inlineStr">
        <is>
          <t>cp</t>
        </is>
      </c>
      <c r="C261" s="3" t="n">
        <v>0.7782362882041494</v>
      </c>
      <c r="D261" s="3" t="n">
        <v>0.07900220940208835</v>
      </c>
      <c r="E261" s="3" t="n">
        <v>24.98266756984777</v>
      </c>
      <c r="F261" s="3" t="n">
        <v>0.6237738670641102</v>
      </c>
      <c r="H261" s="3" t="n">
        <v>1.810071812024328</v>
      </c>
      <c r="I261" s="3" t="n">
        <v>19.16949674502463</v>
      </c>
      <c r="J261" s="3" t="n">
        <v>0.1879052439851239</v>
      </c>
      <c r="K261" s="3" t="n">
        <v>0.01182744096986295</v>
      </c>
      <c r="L261" s="3" t="n">
        <v>15592.52421924281</v>
      </c>
      <c r="M261" s="4" t="n">
        <v>70767632839.67345</v>
      </c>
    </row>
    <row r="262">
      <c r="A262" t="inlineStr">
        <is>
          <t>cpay</t>
        </is>
      </c>
      <c r="B262" t="inlineStr">
        <is>
          <t>cpay</t>
        </is>
      </c>
      <c r="C262" s="3" t="n">
        <v>0.8287691640491336</v>
      </c>
      <c r="D262" s="3" t="n">
        <v>0.3709771360528196</v>
      </c>
      <c r="E262" s="3" t="n">
        <v>24.00314010962447</v>
      </c>
      <c r="F262" s="3" t="n">
        <v>0.09564397558264269</v>
      </c>
      <c r="G262" s="3" t="n">
        <v>-0.1324095661679215</v>
      </c>
      <c r="H262" s="3" t="n">
        <v>6.089433255928923</v>
      </c>
      <c r="I262" s="3" t="n">
        <v>18.93107627361844</v>
      </c>
      <c r="J262" s="3" t="n">
        <v>0.2360056612059587</v>
      </c>
      <c r="K262" s="3" t="n">
        <v>0.009020702490666162</v>
      </c>
      <c r="L262" s="3" t="n">
        <v>13829.42681940282</v>
      </c>
      <c r="M262" s="4" t="n">
        <v>26572431608.18152</v>
      </c>
    </row>
    <row r="263">
      <c r="A263" t="inlineStr">
        <is>
          <t>BBG000BG4202</t>
        </is>
      </c>
      <c r="B263" t="inlineStr">
        <is>
          <t>cpb</t>
        </is>
      </c>
      <c r="C263" s="3" t="n">
        <v>-0.1816558793118702</v>
      </c>
      <c r="D263" s="3" t="n">
        <v>0.1994860091321571</v>
      </c>
      <c r="E263" s="3" t="n">
        <v>23.26953839809944</v>
      </c>
      <c r="F263" s="3" t="n">
        <v>0.2869244819288243</v>
      </c>
      <c r="H263" s="3" t="n">
        <v>3.293635617783765</v>
      </c>
      <c r="I263" s="3" t="n">
        <v>18.38498825394611</v>
      </c>
      <c r="J263" s="3" t="n">
        <v>0.2164550026040962</v>
      </c>
      <c r="K263" s="3" t="n">
        <v>0.0672442517057993</v>
      </c>
      <c r="L263" s="3" t="n">
        <v>12599.78993541942</v>
      </c>
      <c r="M263" s="4" t="n">
        <v>12759454944.73782</v>
      </c>
    </row>
    <row r="264">
      <c r="A264" t="inlineStr">
        <is>
          <t>BBG000G4GKH3</t>
        </is>
      </c>
      <c r="B264" t="inlineStr">
        <is>
          <t>cpk</t>
        </is>
      </c>
      <c r="C264" s="3" t="n">
        <v>0.5911049195926956</v>
      </c>
      <c r="D264" s="3" t="n">
        <v>0.2815179233225895</v>
      </c>
      <c r="E264" s="3" t="n">
        <v>28.6980550302882</v>
      </c>
      <c r="F264" s="3" t="n">
        <v>0.0002973181294657628</v>
      </c>
      <c r="H264" s="3" t="n">
        <v>3.823879805070098</v>
      </c>
      <c r="I264" s="3" t="n">
        <v>16.24387970774031</v>
      </c>
      <c r="J264" s="3" t="n">
        <v>0.2105221979779469</v>
      </c>
      <c r="K264" s="3" t="n">
        <v>2.819167099099011e-05</v>
      </c>
      <c r="L264" s="3" t="n">
        <v>23635.0971693952</v>
      </c>
      <c r="M264" s="4" t="n">
        <v>2906745046299.713</v>
      </c>
    </row>
    <row r="265">
      <c r="A265" t="inlineStr">
        <is>
          <t>BBG00XMJRPQ8</t>
        </is>
      </c>
      <c r="B265" t="inlineStr">
        <is>
          <t>cpng</t>
        </is>
      </c>
      <c r="C265" s="3" t="n">
        <v>0.6306919435318054</v>
      </c>
      <c r="D265" s="3" t="n">
        <v>0.6878273145435774</v>
      </c>
      <c r="H265" s="3" t="n">
        <v>3.263878698150189</v>
      </c>
      <c r="I265" s="3" t="n">
        <v>19.0343558612096</v>
      </c>
      <c r="J265" s="3" t="n">
        <v>0.3729996592717582</v>
      </c>
    </row>
    <row r="266">
      <c r="A266" t="inlineStr">
        <is>
          <t>BBG000BM9RH1</t>
        </is>
      </c>
      <c r="B266" t="inlineStr">
        <is>
          <t>cprt</t>
        </is>
      </c>
      <c r="C266" s="3" t="n">
        <v>0.9069140471440127</v>
      </c>
      <c r="D266" s="3" t="n">
        <v>0.02489048127471349</v>
      </c>
      <c r="E266" s="3" t="n">
        <v>24.82899160340071</v>
      </c>
      <c r="F266" s="3" t="n">
        <v>0.09866136729226603</v>
      </c>
      <c r="H266" s="3" t="n">
        <v>0.8866667555939322</v>
      </c>
      <c r="I266" s="3" t="n">
        <v>19.3413794757417</v>
      </c>
      <c r="J266" s="3" t="n">
        <v>0.2015742649485378</v>
      </c>
      <c r="K266" s="3" t="n">
        <v>0.02039556461754884</v>
      </c>
      <c r="L266" s="3" t="n">
        <v>15306.54754580677</v>
      </c>
      <c r="M266" s="4" t="n">
        <v>60686772991.54649</v>
      </c>
    </row>
    <row r="267">
      <c r="A267" t="inlineStr">
        <is>
          <t>cpt</t>
        </is>
      </c>
      <c r="B267" t="inlineStr">
        <is>
          <t>cpt</t>
        </is>
      </c>
      <c r="C267" s="3" t="n">
        <v>0.5541964943389958</v>
      </c>
      <c r="D267" s="3" t="n">
        <v>0.3335879247895828</v>
      </c>
      <c r="E267" s="3" t="n">
        <v>23.26262363465713</v>
      </c>
      <c r="F267" s="3" t="n">
        <v>0.3742690700154193</v>
      </c>
      <c r="H267" s="3" t="n">
        <v>1.886571224185035</v>
      </c>
      <c r="I267" s="3" t="n">
        <v>18.56737397276243</v>
      </c>
      <c r="J267" s="3" t="n">
        <v>0.2055874355840546</v>
      </c>
      <c r="K267" s="3" t="n">
        <v>-0.0003317673380642832</v>
      </c>
      <c r="L267" s="3" t="n">
        <v>12588.56083263129</v>
      </c>
      <c r="M267" s="4" t="n">
        <v>12671530670.2484</v>
      </c>
    </row>
    <row r="268">
      <c r="A268" t="inlineStr">
        <is>
          <t>BBG016HJ8729</t>
        </is>
      </c>
      <c r="B268" t="inlineStr">
        <is>
          <t>crbg</t>
        </is>
      </c>
      <c r="C268" s="3" t="n">
        <v>1.090307560898783</v>
      </c>
      <c r="D268" s="3" t="n">
        <v>0.5667730261378581</v>
      </c>
      <c r="E268" s="3" t="n">
        <v>23.58820968727114</v>
      </c>
      <c r="F268" s="3" t="n">
        <v>0.7754699896103934</v>
      </c>
      <c r="H268" s="3" t="n">
        <v>29.35199882206408</v>
      </c>
      <c r="I268" s="3" t="n">
        <v>18.48806475898069</v>
      </c>
      <c r="J268" s="3" t="n">
        <v>0.2760489851956263</v>
      </c>
      <c r="K268" s="3" t="n">
        <v>0.1197282810237681</v>
      </c>
      <c r="L268" s="3" t="n">
        <v>13124.56564264099</v>
      </c>
      <c r="M268" s="4" t="n">
        <v>17548067857.61158</v>
      </c>
    </row>
    <row r="269">
      <c r="A269" t="inlineStr">
        <is>
          <t>BBG01T61V2V3</t>
        </is>
      </c>
      <c r="B269" t="inlineStr">
        <is>
          <t>crcl</t>
        </is>
      </c>
    </row>
    <row r="270">
      <c r="A270" t="inlineStr">
        <is>
          <t>BBG013THLHZ4</t>
        </is>
      </c>
      <c r="B270" t="inlineStr">
        <is>
          <t>crgy</t>
        </is>
      </c>
      <c r="C270" s="3" t="n">
        <v>0.9387653148729329</v>
      </c>
      <c r="D270" s="3" t="n">
        <v>0.125412748737513</v>
      </c>
      <c r="I270" s="3" t="n">
        <v>17.4088272495896</v>
      </c>
      <c r="J270" s="3" t="n">
        <v>0.39282036261693</v>
      </c>
    </row>
    <row r="271">
      <c r="A271" t="inlineStr">
        <is>
          <t>crh</t>
        </is>
      </c>
      <c r="B271" t="inlineStr">
        <is>
          <t>crh</t>
        </is>
      </c>
      <c r="C271" s="3" t="n">
        <v>1.290101240333376</v>
      </c>
      <c r="D271" s="3" t="n">
        <v>0.5650865838771193</v>
      </c>
      <c r="E271" s="3" t="n">
        <v>24.94928245125919</v>
      </c>
      <c r="F271" s="3" t="n">
        <v>0.3180261862544745</v>
      </c>
      <c r="H271" s="3" t="n">
        <v>2.180778242193193</v>
      </c>
      <c r="I271" s="3" t="n">
        <v>19.68404139134541</v>
      </c>
      <c r="J271" s="3" t="n">
        <v>0.2199065116725765</v>
      </c>
      <c r="K271" s="3" t="n">
        <v>0.04074861181897962</v>
      </c>
      <c r="L271" s="3" t="n">
        <v>15530.09738588304</v>
      </c>
      <c r="M271" s="4" t="n">
        <v>68444049391.15518</v>
      </c>
    </row>
    <row r="272">
      <c r="A272" t="inlineStr">
        <is>
          <t>BBG000CTM4J9</t>
        </is>
      </c>
      <c r="B272" t="inlineStr">
        <is>
          <t>cri</t>
        </is>
      </c>
      <c r="C272" s="3" t="n">
        <v>0.4119234314247509</v>
      </c>
      <c r="D272" s="3" t="n">
        <v>-0.1703937922326897</v>
      </c>
      <c r="E272" s="3" t="n">
        <v>21.34044118789549</v>
      </c>
      <c r="F272" s="3" t="n">
        <v>0.4538814131313539</v>
      </c>
      <c r="G272" s="3" t="n">
        <v>0.01469693007849093</v>
      </c>
      <c r="H272" s="3" t="n">
        <v>2.826857451240018</v>
      </c>
      <c r="I272" s="3" t="n">
        <v>18.02661945174987</v>
      </c>
      <c r="J272" s="3" t="n">
        <v>0.2996527989035213</v>
      </c>
      <c r="K272" s="3" t="n">
        <v>0.06796733266585997</v>
      </c>
      <c r="L272" s="3" t="n">
        <v>9718.744861540508</v>
      </c>
      <c r="M272" s="4" t="n">
        <v>1853684630.40065</v>
      </c>
    </row>
    <row r="273">
      <c r="A273" t="inlineStr">
        <is>
          <t>BBG000BG5BL8</t>
        </is>
      </c>
      <c r="B273" t="inlineStr">
        <is>
          <t>crl</t>
        </is>
      </c>
      <c r="C273" s="3" t="n">
        <v>1.569969350447901</v>
      </c>
      <c r="D273" s="3" t="n">
        <v>-0.09387050856564827</v>
      </c>
      <c r="E273" s="3" t="n">
        <v>23.04360906366715</v>
      </c>
      <c r="F273" s="3" t="n">
        <v>0.3533571886907342</v>
      </c>
      <c r="H273" s="3" t="n">
        <v>2.278362481093802</v>
      </c>
      <c r="I273" s="3" t="n">
        <v>18.75528480112251</v>
      </c>
      <c r="J273" s="3" t="n">
        <v>0.3168014163398112</v>
      </c>
      <c r="K273" s="3" t="n">
        <v>0.006843094016603955</v>
      </c>
      <c r="L273" s="3" t="n">
        <v>12236.33888775326</v>
      </c>
      <c r="M273" s="4" t="n">
        <v>10179167467.83582</v>
      </c>
    </row>
    <row r="274">
      <c r="A274" t="inlineStr">
        <is>
          <t>BBG000BN2DC2</t>
        </is>
      </c>
      <c r="B274" t="inlineStr">
        <is>
          <t>crm</t>
        </is>
      </c>
      <c r="C274" s="3" t="n">
        <v>1.428656508054357</v>
      </c>
      <c r="D274" s="3" t="n">
        <v>0.1618242262275378</v>
      </c>
      <c r="E274" s="3" t="n">
        <v>26.46460767429207</v>
      </c>
      <c r="F274" s="3" t="n">
        <v>0.1914909463762635</v>
      </c>
      <c r="H274" s="3" t="n">
        <v>1.545451497140706</v>
      </c>
      <c r="I274" s="3" t="n">
        <v>21.16383403408435</v>
      </c>
      <c r="J274" s="3" t="n">
        <v>0.3085454238407409</v>
      </c>
      <c r="K274" s="3" t="n">
        <v>0.0006388810369325091</v>
      </c>
      <c r="L274" s="3" t="n">
        <v>18535.16175651096</v>
      </c>
      <c r="M274" s="4" t="n">
        <v>311482088989.2578</v>
      </c>
    </row>
    <row r="275">
      <c r="A275" t="inlineStr">
        <is>
          <t>BBG000BGCQT9</t>
        </is>
      </c>
      <c r="B275" t="inlineStr">
        <is>
          <t>crs</t>
        </is>
      </c>
      <c r="C275" s="3" t="n">
        <v>1.465779371705812</v>
      </c>
      <c r="D275" s="3" t="n">
        <v>1.129057004254929</v>
      </c>
      <c r="E275" s="3" t="n">
        <v>22.98759563720241</v>
      </c>
      <c r="F275" s="3" t="n">
        <v>0.1485037622084791</v>
      </c>
      <c r="H275" s="3" t="n">
        <v>2.277338555742434</v>
      </c>
      <c r="I275" s="3" t="n">
        <v>18.3673600410655</v>
      </c>
      <c r="J275" s="3" t="n">
        <v>0.3896591332226242</v>
      </c>
      <c r="K275" s="3" t="n">
        <v>0.004561194403520767</v>
      </c>
      <c r="L275" s="3" t="n">
        <v>12147.32489123853</v>
      </c>
      <c r="M275" s="4" t="n">
        <v>9624671985.380096</v>
      </c>
    </row>
    <row r="276">
      <c r="A276" t="inlineStr">
        <is>
          <t>BBG005938P44</t>
        </is>
      </c>
      <c r="B276" t="inlineStr">
        <is>
          <t>crto</t>
        </is>
      </c>
      <c r="C276" s="3" t="n">
        <v>0.8239140609809611</v>
      </c>
      <c r="D276" s="3" t="n">
        <v>0.3515248877232189</v>
      </c>
      <c r="E276" s="3" t="n">
        <v>21.5343421149925</v>
      </c>
      <c r="F276" s="3" t="n">
        <v>0.4797543655261745</v>
      </c>
      <c r="H276" s="3" t="n">
        <v>2.252600717621166</v>
      </c>
      <c r="I276" s="3" t="n">
        <v>16.73678197312812</v>
      </c>
      <c r="J276" s="3" t="n">
        <v>0.3982688955338436</v>
      </c>
      <c r="K276" s="3" t="n">
        <v>0.01798670597027379</v>
      </c>
      <c r="L276" s="3" t="n">
        <v>9986.075038533898</v>
      </c>
      <c r="M276" s="4" t="n">
        <v>2250328662.118958</v>
      </c>
    </row>
    <row r="277">
      <c r="A277" t="inlineStr">
        <is>
          <t>BBG000C1DHF5</t>
        </is>
      </c>
      <c r="B277" t="inlineStr">
        <is>
          <t>crus</t>
        </is>
      </c>
      <c r="C277" s="3" t="n">
        <v>1.707391522483313</v>
      </c>
      <c r="D277" s="3" t="n">
        <v>0.4467131392017187</v>
      </c>
      <c r="E277" s="3" t="n">
        <v>22.43714732007514</v>
      </c>
      <c r="F277" s="3" t="n">
        <v>0.2984964994138677</v>
      </c>
      <c r="G277" s="3" t="n">
        <v>0.03395600712635161</v>
      </c>
      <c r="H277" s="3" t="n">
        <v>1.422107394508848</v>
      </c>
      <c r="I277" s="3" t="n">
        <v>18.16436910579158</v>
      </c>
      <c r="J277" s="3" t="n">
        <v>0.3298904030949705</v>
      </c>
      <c r="K277" s="3" t="n">
        <v>0.01358571164025312</v>
      </c>
      <c r="L277" s="3" t="n">
        <v>11295.43390007489</v>
      </c>
      <c r="M277" s="4" t="n">
        <v>5550463750.679855</v>
      </c>
    </row>
    <row r="278">
      <c r="A278" t="inlineStr">
        <is>
          <t>BBG00BLYKS03</t>
        </is>
      </c>
      <c r="B278" t="inlineStr">
        <is>
          <t>crwd</t>
        </is>
      </c>
      <c r="C278" s="3" t="n">
        <v>1.798260239960135</v>
      </c>
      <c r="D278" s="3" t="n">
        <v>0.2526688393437362</v>
      </c>
      <c r="H278" s="3" t="n">
        <v>2.54516956305283</v>
      </c>
      <c r="I278" s="3" t="n">
        <v>20.88838246698878</v>
      </c>
      <c r="J278" s="3" t="n">
        <v>0.3997573159697165</v>
      </c>
    </row>
    <row r="279">
      <c r="A279" t="inlineStr">
        <is>
          <t>BBG011ZTRJ21</t>
        </is>
      </c>
      <c r="B279" t="inlineStr">
        <is>
          <t>crwv</t>
        </is>
      </c>
    </row>
    <row r="280">
      <c r="A280" t="inlineStr">
        <is>
          <t>BBG000C3J3C9</t>
        </is>
      </c>
      <c r="B280" t="inlineStr">
        <is>
          <t>csco</t>
        </is>
      </c>
      <c r="C280" s="3" t="n">
        <v>0.6833640597310371</v>
      </c>
      <c r="D280" s="3" t="n">
        <v>0.1689290591755168</v>
      </c>
      <c r="E280" s="3" t="n">
        <v>26.15012891037465</v>
      </c>
      <c r="F280" s="3" t="n">
        <v>0.1950142349737379</v>
      </c>
      <c r="H280" s="3" t="n">
        <v>2.780713818619243</v>
      </c>
      <c r="I280" s="3" t="n">
        <v>20.65705631033203</v>
      </c>
      <c r="J280" s="3" t="n">
        <v>0.1589737876574118</v>
      </c>
      <c r="K280" s="3" t="n">
        <v>0.01599580156549632</v>
      </c>
      <c r="L280" s="3" t="n">
        <v>17882.22283174768</v>
      </c>
      <c r="M280" s="4" t="n">
        <v>227434679349.3198</v>
      </c>
    </row>
    <row r="281">
      <c r="A281" t="inlineStr">
        <is>
          <t>BBG000D7JKW9</t>
        </is>
      </c>
      <c r="B281" t="inlineStr">
        <is>
          <t>csgp</t>
        </is>
      </c>
      <c r="C281" s="3" t="n">
        <v>0.7833037590447789</v>
      </c>
      <c r="D281" s="3" t="n">
        <v>-0.1234344880418154</v>
      </c>
      <c r="E281" s="3" t="n">
        <v>24.23020682925004</v>
      </c>
      <c r="F281" s="3" t="n">
        <v>0.2088879607397556</v>
      </c>
      <c r="H281" s="3" t="n">
        <v>1.311975996136445</v>
      </c>
      <c r="I281" s="3" t="n">
        <v>19.15234357668631</v>
      </c>
      <c r="J281" s="3" t="n">
        <v>0.2700058507857793</v>
      </c>
      <c r="K281" s="3" t="n">
        <v>0.002611999164527494</v>
      </c>
      <c r="L281" s="3" t="n">
        <v>14225.6252540622</v>
      </c>
      <c r="M281" s="4" t="n">
        <v>33346105611.46341</v>
      </c>
    </row>
    <row r="282">
      <c r="A282" t="inlineStr">
        <is>
          <t>BBG000BGJ661</t>
        </is>
      </c>
      <c r="B282" t="inlineStr">
        <is>
          <t>cswc</t>
        </is>
      </c>
      <c r="C282" s="3" t="n">
        <v>0.5739769067753201</v>
      </c>
      <c r="D282" s="3" t="n">
        <v>0.1895510463587236</v>
      </c>
      <c r="E282" s="3" t="n">
        <v>20.64841843682345</v>
      </c>
      <c r="F282" s="3" t="n">
        <v>0.8377449153655661</v>
      </c>
      <c r="H282" s="3" t="n">
        <v>2.064111682070943</v>
      </c>
      <c r="I282" s="3" t="n">
        <v>15.65138361944553</v>
      </c>
      <c r="J282" s="3" t="n">
        <v>0.1833137773901306</v>
      </c>
      <c r="K282" s="3" t="n">
        <v>0.02438233000514654</v>
      </c>
      <c r="L282" s="3" t="n">
        <v>8803.601537583227</v>
      </c>
      <c r="M282" s="4" t="n">
        <v>927885069.67309</v>
      </c>
    </row>
    <row r="283">
      <c r="A283" t="inlineStr">
        <is>
          <t>BBG000BGJRC8</t>
        </is>
      </c>
      <c r="B283" t="inlineStr">
        <is>
          <t>csx</t>
        </is>
      </c>
      <c r="C283" s="3" t="n">
        <v>0.717666996714345</v>
      </c>
      <c r="D283" s="3" t="n">
        <v>0.05228778051947525</v>
      </c>
      <c r="E283" s="3" t="n">
        <v>23.36369640815882</v>
      </c>
      <c r="F283" s="3" t="n">
        <v>0.6031711313240496</v>
      </c>
      <c r="H283" s="3" t="n">
        <v>3.161660359134146</v>
      </c>
      <c r="I283" s="3" t="n">
        <v>19.79026261582243</v>
      </c>
      <c r="J283" s="3" t="n">
        <v>0.194307208521391</v>
      </c>
      <c r="K283" s="3" t="n">
        <v>0.0219698094190879</v>
      </c>
      <c r="L283" s="3" t="n">
        <v>12753.36128805278</v>
      </c>
      <c r="M283" s="4" t="n">
        <v>14019238587.95208</v>
      </c>
    </row>
    <row r="284">
      <c r="A284" t="inlineStr">
        <is>
          <t>ctas</t>
        </is>
      </c>
      <c r="B284" t="inlineStr">
        <is>
          <t>ctas</t>
        </is>
      </c>
      <c r="C284" s="3" t="n">
        <v>0.7890501920273616</v>
      </c>
      <c r="D284" s="3" t="n">
        <v>0.4973131529075621</v>
      </c>
      <c r="E284" s="3" t="n">
        <v>25.22163037530076</v>
      </c>
      <c r="F284" s="3" t="n">
        <v>0.04299526673837766</v>
      </c>
      <c r="H284" s="3" t="n">
        <v>2.256654397232119</v>
      </c>
      <c r="I284" s="3" t="n">
        <v>19.45297388991573</v>
      </c>
      <c r="J284" s="3" t="n">
        <v>0.1632067418884555</v>
      </c>
      <c r="K284" s="3" t="n">
        <v>0.005029852439824851</v>
      </c>
      <c r="L284" s="3" t="n">
        <v>16044.25184192231</v>
      </c>
      <c r="M284" s="4" t="n">
        <v>89870032054.20291</v>
      </c>
    </row>
    <row r="285">
      <c r="A285" t="inlineStr">
        <is>
          <t>BBG005KC4Z70</t>
        </is>
      </c>
      <c r="B285" t="inlineStr">
        <is>
          <t>ctre</t>
        </is>
      </c>
      <c r="C285" s="3" t="n">
        <v>0.2696377565913653</v>
      </c>
      <c r="D285" s="3" t="n">
        <v>0.4814583982261986</v>
      </c>
      <c r="E285" s="3" t="n">
        <v>22.29083321605184</v>
      </c>
      <c r="F285" s="3" t="n">
        <v>0.5051535621864497</v>
      </c>
      <c r="H285" s="3" t="n">
        <v>0.8607222533351049</v>
      </c>
      <c r="I285" s="3" t="n">
        <v>17.89980271576223</v>
      </c>
      <c r="J285" s="3" t="n">
        <v>0.1900111682114074</v>
      </c>
      <c r="K285" s="3" t="n">
        <v>0.01521281787010241</v>
      </c>
      <c r="L285" s="3" t="n">
        <v>11075.89697086316</v>
      </c>
      <c r="M285" s="4" t="n">
        <v>4794969650.438347</v>
      </c>
    </row>
    <row r="286">
      <c r="A286" t="inlineStr">
        <is>
          <t>BBG01M4ZP8Y6</t>
        </is>
      </c>
      <c r="B286" t="inlineStr">
        <is>
          <t>ctri</t>
        </is>
      </c>
      <c r="C286" s="3" t="n">
        <v>1.258242135096342</v>
      </c>
      <c r="E286" s="3" t="n">
        <v>21.2848979021061</v>
      </c>
      <c r="F286" s="3" t="n">
        <v>0.2205565624882019</v>
      </c>
      <c r="H286" s="3" t="n">
        <v>5.46268805810766</v>
      </c>
      <c r="I286" s="3" t="n">
        <v>15.76785642434196</v>
      </c>
      <c r="J286" s="3" t="n">
        <v>0.5351752468423364</v>
      </c>
      <c r="K286" s="3" t="n">
        <v>0.009228231698743343</v>
      </c>
      <c r="L286" s="3" t="n">
        <v>9643.056558062912</v>
      </c>
      <c r="M286" s="4" t="n">
        <v>1753532043.736544</v>
      </c>
    </row>
    <row r="287">
      <c r="A287" t="inlineStr">
        <is>
          <t>BBG000BBDV81</t>
        </is>
      </c>
      <c r="B287" t="inlineStr">
        <is>
          <t>ctsh</t>
        </is>
      </c>
      <c r="C287" s="3" t="n">
        <v>0.7603125871449671</v>
      </c>
      <c r="D287" s="3" t="n">
        <v>0.07270183293689669</v>
      </c>
      <c r="E287" s="3" t="n">
        <v>24.38172156629066</v>
      </c>
      <c r="F287" s="3" t="n">
        <v>0.3319985288601621</v>
      </c>
      <c r="H287" s="3" t="n">
        <v>1.565284893528545</v>
      </c>
      <c r="I287" s="3" t="n">
        <v>19.29827900268338</v>
      </c>
      <c r="J287" s="3" t="n">
        <v>0.1821122717395209</v>
      </c>
      <c r="K287" s="3" t="n">
        <v>0.01494792320593805</v>
      </c>
      <c r="L287" s="3" t="n">
        <v>14494.16170521695</v>
      </c>
      <c r="M287" s="4" t="n">
        <v>38801376752.7684</v>
      </c>
    </row>
    <row r="288">
      <c r="A288" t="inlineStr">
        <is>
          <t>ctva</t>
        </is>
      </c>
      <c r="B288" t="inlineStr">
        <is>
          <t>ctva</t>
        </is>
      </c>
      <c r="C288" s="3" t="n">
        <v>0.8247519231339162</v>
      </c>
      <c r="D288" s="3" t="n">
        <v>0.3596902725485815</v>
      </c>
      <c r="E288" s="3" t="n">
        <v>24.46177529547583</v>
      </c>
      <c r="F288" s="3" t="n">
        <v>0.6001148353288375</v>
      </c>
      <c r="H288" s="3" t="n">
        <v>1.708951082149015</v>
      </c>
      <c r="I288" s="3" t="n">
        <v>19.03961840834766</v>
      </c>
      <c r="J288" s="3" t="n">
        <v>0.2832610551782658</v>
      </c>
      <c r="K288" s="3" t="n">
        <v>-0.01246571686800566</v>
      </c>
      <c r="L288" s="3" t="n">
        <v>14637.39920038755</v>
      </c>
      <c r="M288" s="4" t="n">
        <v>42035288105.44586</v>
      </c>
    </row>
    <row r="289">
      <c r="A289" t="inlineStr">
        <is>
          <t>BBG000HF28Q9</t>
        </is>
      </c>
      <c r="B289" t="inlineStr">
        <is>
          <t>cube</t>
        </is>
      </c>
      <c r="C289" s="3" t="n">
        <v>0.4877826091529919</v>
      </c>
      <c r="D289" s="3" t="n">
        <v>0.2560640875879021</v>
      </c>
      <c r="E289" s="3" t="n">
        <v>23.06088856393519</v>
      </c>
      <c r="F289" s="3" t="n">
        <v>0.268960038951719</v>
      </c>
      <c r="H289" s="3" t="n">
        <v>2.223082826463581</v>
      </c>
      <c r="I289" s="3" t="n">
        <v>17.95987928246148</v>
      </c>
      <c r="J289" s="3" t="n">
        <v>0.2242807262928558</v>
      </c>
      <c r="K289" s="3" t="n">
        <v>0.004059735185727353</v>
      </c>
      <c r="L289" s="3" t="n">
        <v>12263.88618849251</v>
      </c>
      <c r="M289" s="4" t="n">
        <v>10356586839.39686</v>
      </c>
    </row>
    <row r="290">
      <c r="A290" t="inlineStr">
        <is>
          <t>BBG0023XX761</t>
        </is>
      </c>
      <c r="B290" t="inlineStr">
        <is>
          <t>cubi</t>
        </is>
      </c>
      <c r="C290" s="3" t="n">
        <v>1.375170954674408</v>
      </c>
      <c r="D290" s="3" t="n">
        <v>0.02351900111977923</v>
      </c>
      <c r="E290" s="3" t="n">
        <v>21.29405646117761</v>
      </c>
      <c r="F290" s="3" t="n">
        <v>0.9258212194872812</v>
      </c>
      <c r="H290" s="3" t="n">
        <v>13.09580112409115</v>
      </c>
      <c r="I290" s="3" t="n">
        <v>16.75183285864668</v>
      </c>
      <c r="J290" s="3" t="n">
        <v>0.4335041212418491</v>
      </c>
      <c r="K290" s="3" t="n">
        <v>0.0264134641987788</v>
      </c>
      <c r="L290" s="3" t="n">
        <v>9655.509684714321</v>
      </c>
      <c r="M290" s="4" t="n">
        <v>1769665638.017586</v>
      </c>
    </row>
    <row r="291">
      <c r="A291" t="inlineStr">
        <is>
          <t>BBG000PSJP22</t>
        </is>
      </c>
      <c r="B291" t="inlineStr">
        <is>
          <t>cve</t>
        </is>
      </c>
      <c r="C291" s="3" t="n">
        <v>0.6917366683747969</v>
      </c>
      <c r="D291" s="3" t="n">
        <v>-0.06538341365793421</v>
      </c>
      <c r="I291" s="3" t="n">
        <v>18.72819136968683</v>
      </c>
      <c r="J291" s="3" t="n">
        <v>0.2764930176988339</v>
      </c>
    </row>
    <row r="292">
      <c r="A292" t="inlineStr">
        <is>
          <t>BBG000BG88X9</t>
        </is>
      </c>
      <c r="B292" t="inlineStr">
        <is>
          <t>cvlt</t>
        </is>
      </c>
      <c r="C292" s="3" t="n">
        <v>1.336405367918307</v>
      </c>
      <c r="D292" s="3" t="n">
        <v>1.122723546542312</v>
      </c>
      <c r="E292" s="3" t="n">
        <v>22.73856042311962</v>
      </c>
      <c r="F292" s="3" t="n">
        <v>0.02292648768423566</v>
      </c>
      <c r="H292" s="3" t="n">
        <v>5.572016524206955</v>
      </c>
      <c r="I292" s="3" t="n">
        <v>17.90176040384914</v>
      </c>
      <c r="J292" s="3" t="n">
        <v>0.418790988611099</v>
      </c>
      <c r="K292" s="3" t="n">
        <v>0.003418127983152193</v>
      </c>
      <c r="L292" s="3" t="n">
        <v>11756.79371693799</v>
      </c>
      <c r="M292" s="4" t="n">
        <v>7502937316.270752</v>
      </c>
    </row>
    <row r="293">
      <c r="A293" t="inlineStr">
        <is>
          <t>BBG00GCTWDJ3</t>
        </is>
      </c>
      <c r="B293" t="inlineStr">
        <is>
          <t>cvna</t>
        </is>
      </c>
      <c r="C293" s="3" t="n">
        <v>2.215217719249952</v>
      </c>
      <c r="D293" s="3" t="n">
        <v>6.896232803717259</v>
      </c>
      <c r="H293" s="3" t="n">
        <v>12.05891978386429</v>
      </c>
      <c r="I293" s="3" t="n">
        <v>20.22828495821009</v>
      </c>
      <c r="J293" s="3" t="n">
        <v>0.7786327156280693</v>
      </c>
    </row>
    <row r="294">
      <c r="A294" t="inlineStr">
        <is>
          <t>BBG000BGRY34</t>
        </is>
      </c>
      <c r="B294" t="inlineStr">
        <is>
          <t>cvs</t>
        </is>
      </c>
      <c r="C294" s="3" t="n">
        <v>0.4525839548839569</v>
      </c>
      <c r="D294" s="3" t="n">
        <v>-0.1343372980540063</v>
      </c>
      <c r="E294" s="3" t="n">
        <v>24.98614724876805</v>
      </c>
      <c r="F294" s="3" t="n">
        <v>1.055336587314</v>
      </c>
      <c r="H294" s="3" t="n">
        <v>3.368208262124143</v>
      </c>
      <c r="I294" s="3" t="n">
        <v>20.28994736812647</v>
      </c>
      <c r="J294" s="3" t="n">
        <v>0.3423828146114758</v>
      </c>
      <c r="K294" s="3" t="n">
        <v>0.08868635016683885</v>
      </c>
      <c r="L294" s="3" t="n">
        <v>15599.04048118552</v>
      </c>
      <c r="M294" s="4" t="n">
        <v>71014310410.37733</v>
      </c>
    </row>
    <row r="295">
      <c r="A295" t="inlineStr">
        <is>
          <t>BBG000DQBZJ7</t>
        </is>
      </c>
      <c r="B295" t="inlineStr">
        <is>
          <t>cvsa</t>
        </is>
      </c>
      <c r="C295" s="3" t="n">
        <v>0.9765115316611646</v>
      </c>
      <c r="D295" s="3" t="n">
        <v>0.4203966374418588</v>
      </c>
      <c r="E295" s="3" t="n">
        <v>21.95496126291381</v>
      </c>
      <c r="F295" s="3" t="n">
        <v>0.4022903300387683</v>
      </c>
      <c r="H295" s="3" t="n">
        <v>1.98846055780966</v>
      </c>
      <c r="I295" s="3" t="n">
        <v>17.18768015633587</v>
      </c>
      <c r="J295" s="3" t="n">
        <v>0.3762436312453441</v>
      </c>
      <c r="K295" s="3" t="n">
        <v>0.003106475515476028</v>
      </c>
      <c r="L295" s="3" t="n">
        <v>10582.73754258764</v>
      </c>
      <c r="M295" s="4" t="n">
        <v>3427034896.575439</v>
      </c>
    </row>
    <row r="296">
      <c r="A296" t="inlineStr">
        <is>
          <t>BBG000K4ND22</t>
        </is>
      </c>
      <c r="B296" t="inlineStr">
        <is>
          <t>cvx</t>
        </is>
      </c>
      <c r="C296" s="3" t="n">
        <v>0.4255964421640754</v>
      </c>
      <c r="D296" s="3" t="n">
        <v>0.07008246260842599</v>
      </c>
      <c r="E296" s="3" t="n">
        <v>26.33243259396371</v>
      </c>
      <c r="F296" s="3" t="n">
        <v>0.5723430580211288</v>
      </c>
      <c r="H296" s="3" t="n">
        <v>1.659594627458934</v>
      </c>
      <c r="I296" s="3" t="n">
        <v>20.75743887864358</v>
      </c>
      <c r="J296" s="3" t="n">
        <v>0.181644955954701</v>
      </c>
      <c r="K296" s="3" t="n">
        <v>0.05284395579301623</v>
      </c>
      <c r="L296" s="3" t="n">
        <v>18258.82992966288</v>
      </c>
      <c r="M296" s="4" t="n">
        <v>272916737279.0276</v>
      </c>
    </row>
    <row r="297">
      <c r="A297" t="inlineStr">
        <is>
          <t>BBG012C765L4</t>
        </is>
      </c>
      <c r="B297" t="inlineStr">
        <is>
          <t>cwan</t>
        </is>
      </c>
      <c r="C297" s="3" t="n">
        <v>0.4920606662723807</v>
      </c>
      <c r="D297" s="3" t="n">
        <v>0.2252464225576607</v>
      </c>
      <c r="H297" s="3" t="n">
        <v>1.546082174086646</v>
      </c>
      <c r="I297" s="3" t="n">
        <v>17.78146524956074</v>
      </c>
      <c r="J297" s="3" t="n">
        <v>0.3876780678486644</v>
      </c>
    </row>
    <row r="298">
      <c r="A298" t="inlineStr">
        <is>
          <t>BBG00D2Z7X83</t>
        </is>
      </c>
      <c r="B298" t="inlineStr">
        <is>
          <t>cwh</t>
        </is>
      </c>
      <c r="C298" s="3" t="n">
        <v>1.674917297942657</v>
      </c>
      <c r="D298" s="3" t="n">
        <v>-0.03002222073608507</v>
      </c>
      <c r="H298" s="3" t="n">
        <v>31.20399705729908</v>
      </c>
      <c r="I298" s="3" t="n">
        <v>17.22692729792196</v>
      </c>
      <c r="J298" s="3" t="n">
        <v>0.4468714107924814</v>
      </c>
    </row>
    <row r="299">
      <c r="A299" t="inlineStr">
        <is>
          <t>BBG000BPCTB2</t>
        </is>
      </c>
      <c r="B299" t="inlineStr">
        <is>
          <t>cx</t>
        </is>
      </c>
      <c r="C299" s="3" t="n">
        <v>1.3614720387146</v>
      </c>
      <c r="D299" s="3" t="n">
        <v>-0.2394178940426467</v>
      </c>
      <c r="I299" s="3" t="n">
        <v>17.9598029368914</v>
      </c>
      <c r="J299" s="3" t="n">
        <v>0.3359995132320956</v>
      </c>
    </row>
    <row r="300">
      <c r="A300" t="inlineStr">
        <is>
          <t>BBG0074Q3NK6</t>
        </is>
      </c>
      <c r="B300" t="inlineStr">
        <is>
          <t>czr</t>
        </is>
      </c>
      <c r="C300" s="3" t="n">
        <v>1.870718785173026</v>
      </c>
      <c r="D300" s="3" t="n">
        <v>-0.1044275907014197</v>
      </c>
      <c r="E300" s="3" t="n">
        <v>22.82475867661698</v>
      </c>
      <c r="F300" s="3" t="n">
        <v>0.5565901410558974</v>
      </c>
      <c r="G300" s="3" t="n">
        <v>-0.008181818181818179</v>
      </c>
      <c r="H300" s="3" t="n">
        <v>7.329964849004841</v>
      </c>
      <c r="I300" s="3" t="n">
        <v>18.87418219696021</v>
      </c>
      <c r="J300" s="3" t="n">
        <v>0.3753895953636295</v>
      </c>
      <c r="K300" s="3" t="n">
        <v>0.1049108833536819</v>
      </c>
      <c r="L300" s="3" t="n">
        <v>11891.00559519203</v>
      </c>
      <c r="M300" s="4" t="n">
        <v>8178369797.941246</v>
      </c>
    </row>
    <row r="301">
      <c r="A301" t="inlineStr">
        <is>
          <t>BBG000BGVW60</t>
        </is>
      </c>
      <c r="B301" t="inlineStr">
        <is>
          <t>d</t>
        </is>
      </c>
      <c r="C301" s="3" t="n">
        <v>-0.02311257589751779</v>
      </c>
      <c r="D301" s="3" t="n">
        <v>0.3644372651810168</v>
      </c>
      <c r="E301" s="3" t="n">
        <v>24.55507383859032</v>
      </c>
      <c r="F301" s="3" t="n">
        <v>0.5966077843459306</v>
      </c>
      <c r="H301" s="3" t="n">
        <v>3.62573099402035</v>
      </c>
      <c r="I301" s="3" t="n">
        <v>19.23695841112723</v>
      </c>
      <c r="J301" s="3" t="n">
        <v>0.2294841821536293</v>
      </c>
      <c r="K301" s="3" t="n">
        <v>0.04767488015549916</v>
      </c>
      <c r="L301" s="3" t="n">
        <v>14805.52231677324</v>
      </c>
      <c r="M301" s="4" t="n">
        <v>46145894709.68102</v>
      </c>
    </row>
    <row r="302">
      <c r="A302" t="inlineStr">
        <is>
          <t>BBG000R7Z112</t>
        </is>
      </c>
      <c r="B302" t="inlineStr">
        <is>
          <t>dal</t>
        </is>
      </c>
      <c r="C302" s="3" t="n">
        <v>1.261179776376281</v>
      </c>
      <c r="D302" s="3" t="n">
        <v>0.5660957169154925</v>
      </c>
      <c r="E302" s="3" t="n">
        <v>24.42396378226506</v>
      </c>
      <c r="F302" s="3" t="n">
        <v>0.2279401099517941</v>
      </c>
      <c r="H302" s="3" t="n">
        <v>7.982224148278537</v>
      </c>
      <c r="I302" s="3" t="n">
        <v>19.95910607400831</v>
      </c>
      <c r="J302" s="3" t="n">
        <v>0.2892254678844602</v>
      </c>
      <c r="K302" s="3" t="n">
        <v>-0.008968378486072105</v>
      </c>
      <c r="L302" s="3" t="n">
        <v>14569.62728203086</v>
      </c>
      <c r="M302" s="4" t="n">
        <v>40475544219.59006</v>
      </c>
    </row>
    <row r="303">
      <c r="A303" t="inlineStr">
        <is>
          <t>BBG000BN8ZK8</t>
        </is>
      </c>
      <c r="B303" t="inlineStr">
        <is>
          <t>dar</t>
        </is>
      </c>
      <c r="C303" s="3" t="n">
        <v>0.9857453492275925</v>
      </c>
      <c r="D303" s="3" t="n">
        <v>-0.1085023578168731</v>
      </c>
      <c r="E303" s="3" t="n">
        <v>22.58676057765904</v>
      </c>
      <c r="F303" s="3" t="n">
        <v>0.7060581597406024</v>
      </c>
      <c r="H303" s="3" t="n">
        <v>2.32295464431397</v>
      </c>
      <c r="I303" s="3" t="n">
        <v>18.12307116508828</v>
      </c>
      <c r="J303" s="3" t="n">
        <v>0.366540478517216</v>
      </c>
      <c r="K303" s="3" t="n">
        <v>0.08737051070931968</v>
      </c>
      <c r="L303" s="3" t="n">
        <v>11522.90137975496</v>
      </c>
      <c r="M303" s="4" t="n">
        <v>6446225337.819305</v>
      </c>
    </row>
    <row r="304">
      <c r="A304" t="inlineStr">
        <is>
          <t>BBG005D7QCJ3</t>
        </is>
      </c>
      <c r="B304" t="inlineStr">
        <is>
          <t>dash</t>
        </is>
      </c>
      <c r="C304" s="3" t="n">
        <v>1.137605879907265</v>
      </c>
      <c r="D304" s="3" t="n">
        <v>0.6673759454242589</v>
      </c>
      <c r="G304" s="3" t="n">
        <v>0.06023598820059006</v>
      </c>
      <c r="H304" s="3" t="n">
        <v>1.548649806894035</v>
      </c>
      <c r="I304" s="3" t="n">
        <v>19.97077056024797</v>
      </c>
      <c r="J304" s="3" t="n">
        <v>0.3075272461321216</v>
      </c>
    </row>
    <row r="305">
      <c r="A305" t="inlineStr">
        <is>
          <t>BBG00D30HGP6</t>
        </is>
      </c>
      <c r="B305" t="inlineStr">
        <is>
          <t>dbrg</t>
        </is>
      </c>
      <c r="C305" s="3" t="n">
        <v>1.407245524035269</v>
      </c>
      <c r="D305" s="3" t="n">
        <v>-0.08864654069084066</v>
      </c>
      <c r="H305" s="3" t="n">
        <v>1.789090674982002</v>
      </c>
      <c r="I305" s="3" t="n">
        <v>17.55776842504293</v>
      </c>
      <c r="J305" s="3" t="n">
        <v>0.3967966591083879</v>
      </c>
    </row>
    <row r="306">
      <c r="A306" t="inlineStr">
        <is>
          <t>BBG0018SLDN0</t>
        </is>
      </c>
      <c r="B306" t="inlineStr">
        <is>
          <t>dbx</t>
        </is>
      </c>
      <c r="C306" s="3" t="n">
        <v>0.9351220343136103</v>
      </c>
      <c r="D306" s="3" t="n">
        <v>-0.08268275012325343</v>
      </c>
      <c r="H306" s="3" t="n">
        <v>-8.328054325559322</v>
      </c>
      <c r="I306" s="3" t="n">
        <v>18.08638477070056</v>
      </c>
      <c r="J306" s="3" t="n">
        <v>0.3210243377388388</v>
      </c>
    </row>
    <row r="307">
      <c r="A307" t="inlineStr">
        <is>
          <t>BBG000BGZP70</t>
        </is>
      </c>
      <c r="B307" t="inlineStr">
        <is>
          <t>dci</t>
        </is>
      </c>
      <c r="C307" s="3" t="n">
        <v>0.7743605769661962</v>
      </c>
      <c r="D307" s="3" t="n">
        <v>0.2211457480263774</v>
      </c>
      <c r="E307" s="3" t="n">
        <v>22.93237985601954</v>
      </c>
      <c r="F307" s="3" t="n">
        <v>0.1635000294603681</v>
      </c>
      <c r="H307" s="3" t="n">
        <v>1.957088172750596</v>
      </c>
      <c r="I307" s="3" t="n">
        <v>17.41043180036943</v>
      </c>
      <c r="J307" s="3" t="n">
        <v>0.153094398691745</v>
      </c>
      <c r="K307" s="3" t="n">
        <v>0.04545632408608717</v>
      </c>
      <c r="L307" s="3" t="n">
        <v>12060.00202369816</v>
      </c>
      <c r="M307" s="4" t="n">
        <v>9107643617.871353</v>
      </c>
    </row>
    <row r="308">
      <c r="A308" t="inlineStr">
        <is>
          <t>BBG000BGD220</t>
        </is>
      </c>
      <c r="B308" t="inlineStr">
        <is>
          <t>dcom</t>
        </is>
      </c>
      <c r="C308" s="3" t="n">
        <v>1.409940059394445</v>
      </c>
      <c r="D308" s="3" t="n">
        <v>0.5601241819009823</v>
      </c>
      <c r="E308" s="3" t="n">
        <v>21.01253091129699</v>
      </c>
      <c r="F308" s="3" t="n">
        <v>0.9280579690510642</v>
      </c>
      <c r="H308" s="3" t="n">
        <v>11.09153674638866</v>
      </c>
      <c r="I308" s="3" t="n">
        <v>15.87879736435659</v>
      </c>
      <c r="J308" s="3" t="n">
        <v>0.4273553661863962</v>
      </c>
      <c r="K308" s="3" t="n">
        <v>0.027932996995663</v>
      </c>
      <c r="L308" s="3" t="n">
        <v>9277.588290109055</v>
      </c>
      <c r="M308" s="4" t="n">
        <v>1335445673.010269</v>
      </c>
    </row>
    <row r="309">
      <c r="A309" t="inlineStr">
        <is>
          <t>BBG00BN961G4</t>
        </is>
      </c>
      <c r="B309" t="inlineStr">
        <is>
          <t>dd</t>
        </is>
      </c>
      <c r="C309" s="3" t="n">
        <v>0.7592412283473678</v>
      </c>
      <c r="D309" s="3" t="n">
        <v>0.1772237486148416</v>
      </c>
      <c r="E309" s="3" t="n">
        <v>23.37618310394139</v>
      </c>
      <c r="F309" s="3" t="n">
        <v>1.710343986853232</v>
      </c>
      <c r="H309" s="3" t="n">
        <v>1.587874294592534</v>
      </c>
      <c r="I309" s="3" t="n">
        <v>18.87437845172121</v>
      </c>
      <c r="J309" s="3" t="n">
        <v>0.2409045395953702</v>
      </c>
      <c r="K309" s="3" t="n">
        <v>0.02247208417999839</v>
      </c>
      <c r="L309" s="3" t="n">
        <v>12773.82026823899</v>
      </c>
      <c r="M309" s="4" t="n">
        <v>14195390041.36779</v>
      </c>
    </row>
    <row r="310">
      <c r="A310" t="inlineStr">
        <is>
          <t>BBG003NJHZT9</t>
        </is>
      </c>
      <c r="B310" t="inlineStr">
        <is>
          <t>ddog</t>
        </is>
      </c>
      <c r="C310" s="3" t="n">
        <v>1.446979738044577</v>
      </c>
      <c r="D310" s="3" t="n">
        <v>0.076091642530697</v>
      </c>
      <c r="H310" s="3" t="n">
        <v>2.80804300167032</v>
      </c>
      <c r="I310" s="3" t="n">
        <v>20.02236406269271</v>
      </c>
      <c r="J310" s="3" t="n">
        <v>0.3187804364777451</v>
      </c>
    </row>
    <row r="311">
      <c r="A311" t="inlineStr">
        <is>
          <t>BBG000BS4MP5</t>
        </is>
      </c>
      <c r="B311" t="inlineStr">
        <is>
          <t>dds</t>
        </is>
      </c>
      <c r="C311" s="3" t="n">
        <v>0.8128161002002889</v>
      </c>
      <c r="D311" s="3" t="n">
        <v>0.1314160959009862</v>
      </c>
      <c r="H311" s="3" t="n">
        <v>2.157757967177651</v>
      </c>
      <c r="I311" s="3" t="n">
        <v>17.74959816302292</v>
      </c>
      <c r="J311" s="3" t="n">
        <v>0.3951956616385114</v>
      </c>
    </row>
    <row r="312">
      <c r="A312" t="inlineStr">
        <is>
          <t>de</t>
        </is>
      </c>
      <c r="B312" t="inlineStr">
        <is>
          <t>de</t>
        </is>
      </c>
      <c r="C312" s="3" t="n">
        <v>0.637342168608573</v>
      </c>
      <c r="D312" s="3" t="n">
        <v>0.1270865932739114</v>
      </c>
      <c r="E312" s="3" t="n">
        <v>25.55081731950673</v>
      </c>
      <c r="F312" s="3" t="n">
        <v>0.1845246011584868</v>
      </c>
      <c r="H312" s="3" t="n">
        <v>4.516096841178579</v>
      </c>
      <c r="I312" s="3" t="n">
        <v>20.0290004592222</v>
      </c>
      <c r="J312" s="3" t="n">
        <v>0.2272002728559644</v>
      </c>
      <c r="K312" s="3" t="n">
        <v>0.04687571762334868</v>
      </c>
      <c r="L312" s="3" t="n">
        <v>16680.70457085549</v>
      </c>
      <c r="M312" s="4" t="n">
        <v>124904754461.5458</v>
      </c>
    </row>
    <row r="313">
      <c r="A313" t="inlineStr">
        <is>
          <t>deck</t>
        </is>
      </c>
      <c r="B313" t="inlineStr">
        <is>
          <t>deck</t>
        </is>
      </c>
      <c r="C313" s="3" t="n">
        <v>1.604785342884308</v>
      </c>
      <c r="D313" s="3" t="n">
        <v>0.45389098086227</v>
      </c>
      <c r="E313" s="3" t="n">
        <v>24.11678830128271</v>
      </c>
      <c r="F313" s="3" t="n">
        <v>0.06053351140403931</v>
      </c>
      <c r="G313" s="3" t="n">
        <v>0.04727615944089858</v>
      </c>
      <c r="H313" s="3" t="n">
        <v>1.885631429917507</v>
      </c>
      <c r="I313" s="3" t="n">
        <v>19.59882129435966</v>
      </c>
      <c r="J313" s="3" t="n">
        <v>0.33831189458918</v>
      </c>
      <c r="K313" s="3" t="n">
        <v>0.005997420184691819</v>
      </c>
      <c r="L313" s="3" t="n">
        <v>14026.79382207821</v>
      </c>
      <c r="M313" s="4" t="n">
        <v>29770633788.46405</v>
      </c>
    </row>
    <row r="314">
      <c r="A314" t="inlineStr">
        <is>
          <t>BBG000PN1SJ8</t>
        </is>
      </c>
      <c r="B314" t="inlineStr">
        <is>
          <t>dei</t>
        </is>
      </c>
      <c r="C314" s="3" t="n">
        <v>1.180672727707605</v>
      </c>
      <c r="D314" s="3" t="n">
        <v>0.5345967663520976</v>
      </c>
      <c r="E314" s="3" t="n">
        <v>21.81465059346581</v>
      </c>
      <c r="F314" s="3" t="n">
        <v>0.7016677100857475</v>
      </c>
      <c r="H314" s="3" t="n">
        <v>4.522712697922566</v>
      </c>
      <c r="I314" s="3" t="n">
        <v>17.00417490620251</v>
      </c>
      <c r="J314" s="3" t="n">
        <v>0.3338712027579612</v>
      </c>
      <c r="K314" s="3" t="n">
        <v>0.001550499216772152</v>
      </c>
      <c r="L314" s="3" t="n">
        <v>10381.13368470942</v>
      </c>
      <c r="M314" s="4" t="n">
        <v>2978395569.952824</v>
      </c>
    </row>
    <row r="315">
      <c r="A315" t="inlineStr">
        <is>
          <t>dell</t>
        </is>
      </c>
      <c r="B315" t="inlineStr">
        <is>
          <t>dell</t>
        </is>
      </c>
      <c r="C315" s="3" t="n">
        <v>2.212080013365529</v>
      </c>
      <c r="D315" s="3" t="n">
        <v>0.6547022798316717</v>
      </c>
      <c r="E315" s="3" t="n">
        <v>25.1970497957209</v>
      </c>
      <c r="F315" s="3" t="n">
        <v>-0.03300341194573731</v>
      </c>
      <c r="H315" s="3" t="n">
        <v>-28.57187285023216</v>
      </c>
      <c r="I315" s="3" t="n">
        <v>20.84884923152828</v>
      </c>
      <c r="J315" s="3" t="n">
        <v>0.5363037691468792</v>
      </c>
      <c r="K315" s="3" t="n">
        <v>0.005268685666527518</v>
      </c>
      <c r="L315" s="3" t="n">
        <v>15997.38816479825</v>
      </c>
      <c r="M315" s="4" t="n">
        <v>87687903442.38281</v>
      </c>
    </row>
    <row r="316">
      <c r="A316" t="inlineStr">
        <is>
          <t>BBG000NV1KK7</t>
        </is>
      </c>
      <c r="B316" t="inlineStr">
        <is>
          <t>dg</t>
        </is>
      </c>
      <c r="C316" s="3" t="n">
        <v>0.2834273614018634</v>
      </c>
      <c r="D316" s="3" t="n">
        <v>-0.3774666043118767</v>
      </c>
      <c r="E316" s="3" t="n">
        <v>23.5217137840822</v>
      </c>
      <c r="F316" s="3" t="n">
        <v>0.3835586770562441</v>
      </c>
      <c r="G316" s="3" t="n">
        <v>0.1458201862477264</v>
      </c>
      <c r="H316" s="3" t="n">
        <v>4.889970393200385</v>
      </c>
      <c r="I316" s="3" t="n">
        <v>19.674821500464</v>
      </c>
      <c r="J316" s="3" t="n">
        <v>0.4475694864798228</v>
      </c>
      <c r="K316" s="3" t="n">
        <v>0.04491750712993375</v>
      </c>
      <c r="L316" s="3" t="n">
        <v>13013.88256194954</v>
      </c>
      <c r="M316" s="4" t="n">
        <v>16419143605.22461</v>
      </c>
    </row>
    <row r="317">
      <c r="A317" t="inlineStr">
        <is>
          <t>dgx</t>
        </is>
      </c>
      <c r="B317" t="inlineStr">
        <is>
          <t>dgx</t>
        </is>
      </c>
      <c r="C317" s="3" t="n">
        <v>0.2417195259203766</v>
      </c>
      <c r="D317" s="3" t="n">
        <v>0.1525157800009178</v>
      </c>
      <c r="E317" s="3" t="n">
        <v>23.59459113889208</v>
      </c>
      <c r="F317" s="3" t="n">
        <v>0.3855516799446093</v>
      </c>
      <c r="H317" s="3" t="n">
        <v>2.363783227733326</v>
      </c>
      <c r="I317" s="3" t="n">
        <v>18.61399262732109</v>
      </c>
      <c r="J317" s="3" t="n">
        <v>0.2010931944495657</v>
      </c>
      <c r="K317" s="3" t="n">
        <v>0.01279698629277158</v>
      </c>
      <c r="L317" s="3" t="n">
        <v>13135.22051330287</v>
      </c>
      <c r="M317" s="4" t="n">
        <v>17660408069.27017</v>
      </c>
    </row>
    <row r="318">
      <c r="A318" t="inlineStr">
        <is>
          <t>BBG000DQTXY6</t>
        </is>
      </c>
      <c r="B318" t="inlineStr">
        <is>
          <t>dhi</t>
        </is>
      </c>
      <c r="C318" s="3" t="n">
        <v>0.8799635177218805</v>
      </c>
      <c r="D318" s="3" t="n">
        <v>0.3314528105548695</v>
      </c>
      <c r="E318" s="3" t="n">
        <v>24.69838725996429</v>
      </c>
      <c r="F318" s="3" t="n">
        <v>0.42616703295466</v>
      </c>
      <c r="H318" s="3" t="n">
        <v>1.435588336310238</v>
      </c>
      <c r="I318" s="3" t="n">
        <v>19.87529005445572</v>
      </c>
      <c r="J318" s="3" t="n">
        <v>0.3162287623711698</v>
      </c>
      <c r="K318" s="3" t="n">
        <v>0.08911011042786589</v>
      </c>
      <c r="L318" s="3" t="n">
        <v>15066.27144301959</v>
      </c>
      <c r="M318" s="4" t="n">
        <v>53256583087.19644</v>
      </c>
    </row>
    <row r="319">
      <c r="A319" t="inlineStr">
        <is>
          <t>BBG000BH3JF8</t>
        </is>
      </c>
      <c r="B319" t="inlineStr">
        <is>
          <t>dhr</t>
        </is>
      </c>
      <c r="C319" s="3" t="n">
        <v>0.6935692964391201</v>
      </c>
      <c r="D319" s="3" t="n">
        <v>0.1046786051553521</v>
      </c>
      <c r="E319" s="3" t="n">
        <v>25.86770333326952</v>
      </c>
      <c r="F319" s="3" t="n">
        <v>0.2991631394448625</v>
      </c>
      <c r="H319" s="3" t="n">
        <v>1.571473128100519</v>
      </c>
      <c r="I319" s="3" t="n">
        <v>20.32757277397969</v>
      </c>
      <c r="J319" s="3" t="n">
        <v>0.2037338763852273</v>
      </c>
      <c r="K319" s="3" t="n">
        <v>0.004770374628470292</v>
      </c>
      <c r="L319" s="3" t="n">
        <v>17309.06523218652</v>
      </c>
      <c r="M319" s="4" t="n">
        <v>171475002217.4959</v>
      </c>
    </row>
    <row r="320">
      <c r="A320" t="inlineStr">
        <is>
          <t>BBG011DJJ3G6</t>
        </is>
      </c>
      <c r="B320" t="inlineStr">
        <is>
          <t>didiy</t>
        </is>
      </c>
      <c r="C320" s="3" t="n">
        <v>0.9077301325041739</v>
      </c>
      <c r="D320" s="3" t="n">
        <v>0.2544080562177793</v>
      </c>
      <c r="E320" s="3" t="n">
        <v>22.44281861794814</v>
      </c>
      <c r="F320" s="3" t="n">
        <v>17.5195605273118</v>
      </c>
      <c r="H320" s="3" t="n">
        <v>1.470697661952238</v>
      </c>
      <c r="I320" s="3" t="n">
        <v>17.61074058518263</v>
      </c>
      <c r="J320" s="3" t="n">
        <v>0.4453511478446521</v>
      </c>
      <c r="K320" s="3" t="n">
        <v>0.08841082294779376</v>
      </c>
      <c r="L320" s="3" t="n">
        <v>11304.00129449778</v>
      </c>
      <c r="M320" s="4" t="n">
        <v>5582031514.433544</v>
      </c>
    </row>
    <row r="321">
      <c r="A321" t="inlineStr">
        <is>
          <t>BBG000GZ9406</t>
        </is>
      </c>
      <c r="B321" t="inlineStr">
        <is>
          <t>din</t>
        </is>
      </c>
      <c r="C321" s="3" t="n">
        <v>1.114024661655454</v>
      </c>
      <c r="D321" s="3" t="n">
        <v>-0.2625597769682128</v>
      </c>
      <c r="E321" s="3" t="n">
        <v>20.03069178165806</v>
      </c>
      <c r="F321" s="3" t="n">
        <v>-0.5616799947346065</v>
      </c>
      <c r="H321" s="3" t="n">
        <v>-6.193170153106823</v>
      </c>
      <c r="I321" s="3" t="n">
        <v>16.73300650543431</v>
      </c>
      <c r="J321" s="3" t="n">
        <v>0.4151031192871789</v>
      </c>
      <c r="K321" s="3" t="n">
        <v>0.1282005039921333</v>
      </c>
      <c r="L321" s="3" t="n">
        <v>8036.886686028561</v>
      </c>
      <c r="M321" s="4" t="n">
        <v>500286643.7696304</v>
      </c>
    </row>
    <row r="322">
      <c r="A322" t="inlineStr">
        <is>
          <t>BBG000BH4R78</t>
        </is>
      </c>
      <c r="B322" t="inlineStr">
        <is>
          <t>dis</t>
        </is>
      </c>
      <c r="C322" s="3" t="n">
        <v>0.5518825603269226</v>
      </c>
      <c r="D322" s="3" t="n">
        <v>0.04605442686378058</v>
      </c>
      <c r="E322" s="3" t="n">
        <v>26.06787475855475</v>
      </c>
      <c r="F322" s="3" t="n">
        <v>0.4739303074776336</v>
      </c>
      <c r="H322" s="3" t="n">
        <v>2.070761606393518</v>
      </c>
      <c r="I322" s="3" t="n">
        <v>20.66404012376452</v>
      </c>
      <c r="J322" s="3" t="n">
        <v>0.2514877576200931</v>
      </c>
      <c r="K322" s="3" t="n">
        <v>0.01123756704777894</v>
      </c>
      <c r="L322" s="3" t="n">
        <v>17714.0096677091</v>
      </c>
      <c r="M322" s="4" t="n">
        <v>209475947060.4468</v>
      </c>
    </row>
    <row r="323">
      <c r="A323" t="inlineStr">
        <is>
          <t>BBG00FZYFVC5</t>
        </is>
      </c>
      <c r="B323" t="inlineStr">
        <is>
          <t>dk</t>
        </is>
      </c>
      <c r="C323" s="3" t="n">
        <v>0.5967069885676163</v>
      </c>
      <c r="D323" s="3" t="n">
        <v>-0.4042164587251917</v>
      </c>
      <c r="E323" s="3" t="n">
        <v>21.12915399823903</v>
      </c>
      <c r="F323" s="3" t="n">
        <v>1.308912809787111</v>
      </c>
      <c r="H323" s="3" t="n">
        <v>3.021688217583908</v>
      </c>
      <c r="I323" s="3" t="n">
        <v>16.83746018997475</v>
      </c>
      <c r="J323" s="3" t="n">
        <v>0.3902510084568527</v>
      </c>
      <c r="K323" s="3" t="n">
        <v>-0.1024233269851741</v>
      </c>
      <c r="L323" s="3" t="n">
        <v>9432.923781637928</v>
      </c>
      <c r="M323" s="4" t="n">
        <v>1500634713.026115</v>
      </c>
    </row>
    <row r="324">
      <c r="A324" t="inlineStr">
        <is>
          <t>BBG000Q5ZRM7</t>
        </is>
      </c>
      <c r="B324" t="inlineStr">
        <is>
          <t>dlr</t>
        </is>
      </c>
      <c r="C324" s="3" t="n">
        <v>0.9157910177382298</v>
      </c>
      <c r="D324" s="3" t="n">
        <v>0.3277354862447788</v>
      </c>
      <c r="E324" s="3" t="n">
        <v>24.84598039611284</v>
      </c>
      <c r="F324" s="3" t="n">
        <v>0.3441971441484059</v>
      </c>
      <c r="G324" s="3" t="n">
        <v>0.02767484766420858</v>
      </c>
      <c r="H324" s="3" t="n">
        <v>2.131937981396598</v>
      </c>
      <c r="I324" s="3" t="n">
        <v>19.56994367963767</v>
      </c>
      <c r="J324" s="3" t="n">
        <v>0.2376348179939738</v>
      </c>
      <c r="K324" s="3" t="n">
        <v>0.0008293510468993287</v>
      </c>
      <c r="L324" s="3" t="n">
        <v>15337.98874193124</v>
      </c>
      <c r="M324" s="4" t="n">
        <v>61726575484.0058</v>
      </c>
    </row>
    <row r="325">
      <c r="A325" t="inlineStr">
        <is>
          <t>BBG000BSC0K9</t>
        </is>
      </c>
      <c r="B325" t="inlineStr">
        <is>
          <t>dltr</t>
        </is>
      </c>
      <c r="C325" s="3" t="n">
        <v>0.4734178473087627</v>
      </c>
      <c r="D325" s="3" t="n">
        <v>-0.4769803276559295</v>
      </c>
      <c r="E325" s="3" t="n">
        <v>23.45258736408355</v>
      </c>
      <c r="F325" s="3" t="n">
        <v>0.5808260533203845</v>
      </c>
      <c r="H325" s="3" t="n">
        <v>2.474633976148114</v>
      </c>
      <c r="I325" s="3" t="n">
        <v>19.66498914142321</v>
      </c>
      <c r="J325" s="3" t="n">
        <v>0.4034869302723041</v>
      </c>
      <c r="K325" s="3" t="n">
        <v>0.03259261896785286</v>
      </c>
      <c r="L325" s="3" t="n">
        <v>12899.48248990594</v>
      </c>
      <c r="M325" s="4" t="n">
        <v>15322487599.41573</v>
      </c>
    </row>
    <row r="326">
      <c r="A326" t="inlineStr">
        <is>
          <t>BBG000BH6360</t>
        </is>
      </c>
      <c r="B326" t="inlineStr">
        <is>
          <t>dlx</t>
        </is>
      </c>
      <c r="C326" s="3" t="n">
        <v>1.490914293291032</v>
      </c>
      <c r="D326" s="3" t="n">
        <v>0.0702192110268296</v>
      </c>
      <c r="E326" s="3" t="n">
        <v>20.6029197444849</v>
      </c>
      <c r="F326" s="3" t="n">
        <v>0.534581282792186</v>
      </c>
      <c r="H326" s="3" t="n">
        <v>4.313667398123356</v>
      </c>
      <c r="I326" s="3" t="n">
        <v>15.28667773807536</v>
      </c>
      <c r="J326" s="3" t="n">
        <v>0.3101100219805319</v>
      </c>
      <c r="K326" s="3" t="n">
        <v>0.04645767118430216</v>
      </c>
      <c r="L326" s="3" t="n">
        <v>8745.533595173029</v>
      </c>
      <c r="M326" s="4" t="n">
        <v>886613532.3515797</v>
      </c>
    </row>
    <row r="327">
      <c r="A327" t="inlineStr">
        <is>
          <t>BBG00YPS4QW9</t>
        </is>
      </c>
      <c r="B327" t="inlineStr">
        <is>
          <t>dnabw</t>
        </is>
      </c>
      <c r="H327" s="3" t="n">
        <v>1.192776267155082</v>
      </c>
    </row>
    <row r="328">
      <c r="A328" t="inlineStr">
        <is>
          <t>doc</t>
        </is>
      </c>
      <c r="B328" t="inlineStr">
        <is>
          <t>doc</t>
        </is>
      </c>
      <c r="C328" s="3" t="n">
        <v>0.6371428917526926</v>
      </c>
      <c r="D328" s="3" t="n">
        <v>0.358633459320457</v>
      </c>
      <c r="E328" s="3" t="n">
        <v>23.35502695271071</v>
      </c>
      <c r="F328" s="3" t="n">
        <v>0.6161102700060997</v>
      </c>
      <c r="H328" s="3" t="n">
        <v>2.332143112543382</v>
      </c>
      <c r="I328" s="3" t="n">
        <v>18.48465257564723</v>
      </c>
      <c r="J328" s="3" t="n">
        <v>0.2329274204100234</v>
      </c>
      <c r="K328" s="3" t="n">
        <v>0.01691331118324002</v>
      </c>
      <c r="L328" s="3" t="n">
        <v>12739.16956848123</v>
      </c>
      <c r="M328" s="4" t="n">
        <v>13898224743.59844</v>
      </c>
    </row>
    <row r="329">
      <c r="A329" t="inlineStr">
        <is>
          <t>BBG00ZGF6SS3</t>
        </is>
      </c>
      <c r="B329" t="inlineStr">
        <is>
          <t>docn</t>
        </is>
      </c>
      <c r="C329" s="3" t="n">
        <v>2.116808545663739</v>
      </c>
      <c r="D329" s="3" t="n">
        <v>0.3362593082248901</v>
      </c>
      <c r="E329" s="3" t="n">
        <v>21.98005202168687</v>
      </c>
      <c r="F329" s="3" t="n">
        <v>0.01353657259799453</v>
      </c>
      <c r="H329" s="3" t="n">
        <v>32.08976366772975</v>
      </c>
      <c r="I329" s="3" t="n">
        <v>17.66018404371378</v>
      </c>
      <c r="J329" s="3" t="n">
        <v>0.4276923947420827</v>
      </c>
      <c r="K329" s="3" t="n">
        <v>0.01884574106823321</v>
      </c>
      <c r="L329" s="3" t="n">
        <v>10619.06179039296</v>
      </c>
      <c r="M329" s="4" t="n">
        <v>3514109619.853912</v>
      </c>
    </row>
    <row r="330">
      <c r="A330" t="inlineStr">
        <is>
          <t>BBG00L2NS0B7</t>
        </is>
      </c>
      <c r="B330" t="inlineStr">
        <is>
          <t>domo</t>
        </is>
      </c>
      <c r="C330" s="3" t="n">
        <v>1.57950368431668</v>
      </c>
      <c r="D330" s="3" t="n">
        <v>-0.1622760799784062</v>
      </c>
      <c r="H330" s="3" t="n">
        <v>-1.469657310966468</v>
      </c>
      <c r="I330" s="3" t="n">
        <v>14.67723640416322</v>
      </c>
      <c r="J330" s="3" t="n">
        <v>0.4466430351244839</v>
      </c>
    </row>
    <row r="331">
      <c r="A331" t="inlineStr">
        <is>
          <t>dov</t>
        </is>
      </c>
      <c r="B331" t="inlineStr">
        <is>
          <t>dov</t>
        </is>
      </c>
      <c r="C331" s="3" t="n">
        <v>0.919221556118146</v>
      </c>
      <c r="D331" s="3" t="n">
        <v>0.3530215778355612</v>
      </c>
      <c r="E331" s="3" t="n">
        <v>24.04838144967171</v>
      </c>
      <c r="F331" s="3" t="n">
        <v>0.1541735558636955</v>
      </c>
      <c r="H331" s="3" t="n">
        <v>2.77927083156705</v>
      </c>
      <c r="I331" s="3" t="n">
        <v>18.93926181793635</v>
      </c>
      <c r="J331" s="3" t="n">
        <v>0.1785300269108173</v>
      </c>
      <c r="K331" s="3" t="n">
        <v>0.02735631177762875</v>
      </c>
      <c r="L331" s="3" t="n">
        <v>13907.77179333872</v>
      </c>
      <c r="M331" s="4" t="n">
        <v>27802212745.45547</v>
      </c>
    </row>
    <row r="332">
      <c r="A332" t="inlineStr">
        <is>
          <t>dow</t>
        </is>
      </c>
      <c r="B332" t="inlineStr">
        <is>
          <t>dow</t>
        </is>
      </c>
      <c r="C332" s="3" t="n">
        <v>0.6973502262338876</v>
      </c>
      <c r="D332" s="3" t="n">
        <v>-0.008966417459957632</v>
      </c>
      <c r="E332" s="3" t="n">
        <v>24.06168970130707</v>
      </c>
      <c r="F332" s="3" t="n">
        <v>0.6604155569493334</v>
      </c>
      <c r="H332" s="3" t="n">
        <v>3.191755790659872</v>
      </c>
      <c r="I332" s="3" t="n">
        <v>19.32548605754761</v>
      </c>
      <c r="J332" s="3" t="n">
        <v>0.1840197599201417</v>
      </c>
      <c r="K332" s="3" t="n">
        <v>0.02463204151786088</v>
      </c>
      <c r="L332" s="3" t="n">
        <v>13930.87404321194</v>
      </c>
      <c r="M332" s="4" t="n">
        <v>28174684565.71671</v>
      </c>
    </row>
    <row r="333">
      <c r="A333" t="inlineStr">
        <is>
          <t>BBG000P458P3</t>
        </is>
      </c>
      <c r="B333" t="inlineStr">
        <is>
          <t>dpz</t>
        </is>
      </c>
      <c r="C333" s="3" t="n">
        <v>0.7060785083283777</v>
      </c>
      <c r="D333" s="3" t="n">
        <v>0.066756499038779</v>
      </c>
      <c r="E333" s="3" t="n">
        <v>23.49293072434774</v>
      </c>
      <c r="F333" s="3" t="n">
        <v>-0.2551428435128977</v>
      </c>
      <c r="G333" s="3" t="n">
        <v>-0.04003056039231012</v>
      </c>
      <c r="H333" s="3" t="n">
        <v>-0.4114859914134244</v>
      </c>
      <c r="I333" s="3" t="n">
        <v>19.37523159056605</v>
      </c>
      <c r="J333" s="3" t="n">
        <v>0.2646940057098873</v>
      </c>
      <c r="K333" s="3" t="n">
        <v>0.009209638133438332</v>
      </c>
      <c r="L333" s="3" t="n">
        <v>12966.16650042323</v>
      </c>
      <c r="M333" s="4" t="n">
        <v>15953286965.46057</v>
      </c>
    </row>
    <row r="334">
      <c r="A334" t="inlineStr">
        <is>
          <t>BBG000BBNYF6</t>
        </is>
      </c>
      <c r="B334" t="inlineStr">
        <is>
          <t>dri</t>
        </is>
      </c>
      <c r="C334" s="3" t="n">
        <v>0.6621394056023006</v>
      </c>
      <c r="D334" s="3" t="n">
        <v>0.05937987135218825</v>
      </c>
      <c r="E334" s="3" t="n">
        <v>23.70901962873494</v>
      </c>
      <c r="F334" s="3" t="n">
        <v>0.1084770536850418</v>
      </c>
      <c r="G334" s="3" t="n">
        <v>-0.0463274123859817</v>
      </c>
      <c r="H334" s="3" t="n">
        <v>5.271415267564518</v>
      </c>
      <c r="I334" s="3" t="n">
        <v>19.06261077211038</v>
      </c>
      <c r="J334" s="3" t="n">
        <v>0.2156258811559237</v>
      </c>
      <c r="K334" s="3" t="n">
        <v>0.009822526509190242</v>
      </c>
      <c r="L334" s="3" t="n">
        <v>13327.25749077442</v>
      </c>
      <c r="M334" s="4" t="n">
        <v>19801422761.05823</v>
      </c>
    </row>
    <row r="335">
      <c r="A335" t="inlineStr">
        <is>
          <t>BBG00PNN7C40</t>
        </is>
      </c>
      <c r="B335" t="inlineStr">
        <is>
          <t>dt</t>
        </is>
      </c>
      <c r="C335" s="3" t="n">
        <v>0.779799848396168</v>
      </c>
      <c r="D335" s="3" t="n">
        <v>0.004668534146812453</v>
      </c>
      <c r="E335" s="3" t="n">
        <v>23.54296573911942</v>
      </c>
      <c r="F335" s="3" t="n">
        <v>0.1201712391874953</v>
      </c>
      <c r="H335" s="3" t="n">
        <v>1.652031515089615</v>
      </c>
      <c r="I335" s="3" t="n">
        <v>18.89381379314312</v>
      </c>
      <c r="J335" s="3" t="n">
        <v>0.2794125548540567</v>
      </c>
      <c r="K335" s="3" t="n">
        <v>0.002135069836151516</v>
      </c>
      <c r="L335" s="3" t="n">
        <v>13049.18871446224</v>
      </c>
      <c r="M335" s="4" t="n">
        <v>16771816730.08458</v>
      </c>
    </row>
    <row r="336">
      <c r="A336" t="inlineStr">
        <is>
          <t>BBG000BB29X4</t>
        </is>
      </c>
      <c r="B336" t="inlineStr">
        <is>
          <t>dte</t>
        </is>
      </c>
      <c r="C336" s="3" t="n">
        <v>0.122192738605662</v>
      </c>
      <c r="D336" s="3" t="n">
        <v>0.2365890617948514</v>
      </c>
      <c r="E336" s="3" t="n">
        <v>23.93320385131294</v>
      </c>
      <c r="F336" s="3" t="n">
        <v>0.467842859686648</v>
      </c>
      <c r="H336" s="3" t="n">
        <v>4.296583850561026</v>
      </c>
      <c r="I336" s="3" t="n">
        <v>18.81925826422326</v>
      </c>
      <c r="J336" s="3" t="n">
        <v>0.1866974818471079</v>
      </c>
      <c r="K336" s="3" t="n">
        <v>0.04487933574633821</v>
      </c>
      <c r="L336" s="3" t="n">
        <v>13708.8972012772</v>
      </c>
      <c r="M336" s="4" t="n">
        <v>24777550323.83363</v>
      </c>
    </row>
    <row r="337">
      <c r="A337" t="inlineStr">
        <is>
          <t>BBG0112Z58J3</t>
        </is>
      </c>
      <c r="B337" t="inlineStr">
        <is>
          <t>dtm</t>
        </is>
      </c>
      <c r="C337" s="3" t="n">
        <v>0.4629522626134055</v>
      </c>
      <c r="D337" s="3" t="n">
        <v>0.6475578310950987</v>
      </c>
      <c r="E337" s="3" t="n">
        <v>23.00563918882481</v>
      </c>
      <c r="F337" s="3" t="n">
        <v>0.4304120515033288</v>
      </c>
      <c r="H337" s="3" t="n">
        <v>2.035798956368943</v>
      </c>
      <c r="I337" s="3" t="n">
        <v>17.9490383963167</v>
      </c>
      <c r="J337" s="3" t="n">
        <v>0.1784918828623957</v>
      </c>
      <c r="K337" s="3" t="n">
        <v>0.008979672956921038</v>
      </c>
      <c r="L337" s="3" t="n">
        <v>12175.95158707539</v>
      </c>
      <c r="M337" s="4" t="n">
        <v>9799911468.178223</v>
      </c>
    </row>
    <row r="338">
      <c r="A338" t="inlineStr">
        <is>
          <t>BBG000BHGDH5</t>
        </is>
      </c>
      <c r="B338" t="inlineStr">
        <is>
          <t>duk</t>
        </is>
      </c>
      <c r="C338" s="3" t="n">
        <v>0.0145228240246431</v>
      </c>
      <c r="D338" s="3" t="n">
        <v>0.2878627791003538</v>
      </c>
      <c r="E338" s="3" t="n">
        <v>25.175106413398</v>
      </c>
      <c r="F338" s="3" t="n">
        <v>0.5727478739562556</v>
      </c>
      <c r="G338" s="3" t="n">
        <v>0.00679243079079539</v>
      </c>
      <c r="H338" s="3" t="n">
        <v>3.600289011385418</v>
      </c>
      <c r="I338" s="3" t="n">
        <v>19.71763380885074</v>
      </c>
      <c r="J338" s="3" t="n">
        <v>0.1638479606920541</v>
      </c>
      <c r="K338" s="3" t="n">
        <v>0.01493273414076005</v>
      </c>
      <c r="L338" s="3" t="n">
        <v>15955.62956347991</v>
      </c>
      <c r="M338" s="4" t="n">
        <v>85784692067.1064</v>
      </c>
    </row>
    <row r="339">
      <c r="A339" t="inlineStr">
        <is>
          <t>dva</t>
        </is>
      </c>
      <c r="B339" t="inlineStr">
        <is>
          <t>dva</t>
        </is>
      </c>
      <c r="C339" s="3" t="n">
        <v>0.4333718755202923</v>
      </c>
      <c r="D339" s="3" t="n">
        <v>0.3779814589017687</v>
      </c>
      <c r="E339" s="3" t="n">
        <v>23.33524115499587</v>
      </c>
      <c r="F339" s="3" t="n">
        <v>0.0283807945897968</v>
      </c>
      <c r="H339" s="3" t="n">
        <v>45.26262739934415</v>
      </c>
      <c r="I339" s="3" t="n">
        <v>18.66265977829584</v>
      </c>
      <c r="J339" s="3" t="n">
        <v>0.2870917883264307</v>
      </c>
      <c r="K339" s="3" t="n">
        <v>0.01810018264424903</v>
      </c>
      <c r="L339" s="3" t="n">
        <v>12706.82006721098</v>
      </c>
      <c r="M339" s="4" t="n">
        <v>13625939849.85352</v>
      </c>
    </row>
    <row r="340">
      <c r="A340" t="inlineStr">
        <is>
          <t>BBG000BBVJZ8</t>
        </is>
      </c>
      <c r="B340" t="inlineStr">
        <is>
          <t>dvn</t>
        </is>
      </c>
      <c r="C340" s="3" t="n">
        <v>0.5759938578427384</v>
      </c>
      <c r="D340" s="3" t="n">
        <v>-0.09971717835989491</v>
      </c>
      <c r="E340" s="3" t="n">
        <v>23.8930609290312</v>
      </c>
      <c r="F340" s="3" t="n">
        <v>0.5998082601363115</v>
      </c>
      <c r="H340" s="3" t="n">
        <v>2.119703018693023</v>
      </c>
      <c r="I340" s="3" t="n">
        <v>19.57580416090602</v>
      </c>
      <c r="J340" s="3" t="n">
        <v>0.2360865865047673</v>
      </c>
      <c r="K340" s="3" t="n">
        <v>0.09461148713504051</v>
      </c>
      <c r="L340" s="3" t="n">
        <v>13640.03145188723</v>
      </c>
      <c r="M340" s="4" t="n">
        <v>23802606513.21411</v>
      </c>
    </row>
    <row r="341">
      <c r="A341" t="inlineStr">
        <is>
          <t>BBG000FBJQM6</t>
        </is>
      </c>
      <c r="B341" t="inlineStr">
        <is>
          <t>dx</t>
        </is>
      </c>
      <c r="C341" s="3" t="n">
        <v>0.7147913768411612</v>
      </c>
      <c r="D341" s="3" t="n">
        <v>0.1984025322864007</v>
      </c>
      <c r="E341" s="3" t="n">
        <v>20.11031368937853</v>
      </c>
      <c r="F341" s="3" t="n">
        <v>1.072527691357301</v>
      </c>
      <c r="H341" s="3" t="n">
        <v>7.366483591749147</v>
      </c>
      <c r="I341" s="3" t="n">
        <v>16.82324568828362</v>
      </c>
      <c r="J341" s="3" t="n">
        <v>0.1819314299755771</v>
      </c>
      <c r="K341" s="3" t="n">
        <v>-0.008540852758945118</v>
      </c>
      <c r="L341" s="3" t="n">
        <v>8133.10791627752</v>
      </c>
      <c r="M341" s="4" t="n">
        <v>541749181.4986668</v>
      </c>
    </row>
    <row r="342">
      <c r="A342" t="inlineStr">
        <is>
          <t>BBG000QTF8K1</t>
        </is>
      </c>
      <c r="B342" t="inlineStr">
        <is>
          <t>dxcm</t>
        </is>
      </c>
      <c r="C342" s="3" t="n">
        <v>0.3984389383206144</v>
      </c>
      <c r="D342" s="3" t="n">
        <v>-0.3898891498871606</v>
      </c>
      <c r="E342" s="3" t="n">
        <v>24.139763359966</v>
      </c>
      <c r="F342" s="3" t="n">
        <v>0.06790636737384123</v>
      </c>
      <c r="H342" s="3" t="n">
        <v>3.071545971637075</v>
      </c>
      <c r="I342" s="3" t="n">
        <v>19.53891274809276</v>
      </c>
      <c r="J342" s="3" t="n">
        <v>0.5443192216285552</v>
      </c>
      <c r="K342" s="3" t="n">
        <v>0.004418542515962017</v>
      </c>
      <c r="L342" s="3" t="n">
        <v>14066.92024949913</v>
      </c>
      <c r="M342" s="4" t="n">
        <v>30462533631.69823</v>
      </c>
    </row>
    <row r="343">
      <c r="A343" t="inlineStr">
        <is>
          <t>BBG000BHHTJ7</t>
        </is>
      </c>
      <c r="B343" t="inlineStr">
        <is>
          <t>dxyn</t>
        </is>
      </c>
      <c r="C343" s="3" t="n">
        <v>0.08540002741239233</v>
      </c>
      <c r="D343" s="3" t="n">
        <v>-0.03797472174628624</v>
      </c>
      <c r="H343" s="3" t="n">
        <v>8.366679198716033</v>
      </c>
      <c r="I343" s="3" t="n">
        <v>11.41257074344672</v>
      </c>
      <c r="J343" s="3" t="n">
        <v>1.126528223392147</v>
      </c>
    </row>
    <row r="344">
      <c r="A344" t="inlineStr">
        <is>
          <t>BBG000C4SKT1</t>
        </is>
      </c>
      <c r="B344" t="inlineStr">
        <is>
          <t>dy</t>
        </is>
      </c>
      <c r="C344" s="3" t="n">
        <v>1.199507675267914</v>
      </c>
      <c r="D344" s="3" t="n">
        <v>0.6783479081672714</v>
      </c>
      <c r="E344" s="3" t="n">
        <v>22.38823302346118</v>
      </c>
      <c r="F344" s="3" t="n">
        <v>0.1995376100016422</v>
      </c>
      <c r="H344" s="3" t="n">
        <v>2.95328049814036</v>
      </c>
      <c r="I344" s="3" t="n">
        <v>18.07318721917554</v>
      </c>
      <c r="J344" s="3" t="n">
        <v>0.3247924040851086</v>
      </c>
      <c r="K344" s="3" t="n">
        <v>0.01584258877880324</v>
      </c>
      <c r="L344" s="3" t="n">
        <v>11221.72070855509</v>
      </c>
      <c r="M344" s="4" t="n">
        <v>5285499810.245209</v>
      </c>
    </row>
    <row r="345">
      <c r="A345" t="inlineStr">
        <is>
          <t>BBG000BP0KQ8</t>
        </is>
      </c>
      <c r="B345" t="inlineStr">
        <is>
          <t>ea</t>
        </is>
      </c>
      <c r="C345" s="3" t="n">
        <v>0.5512026508295987</v>
      </c>
      <c r="D345" s="3" t="n">
        <v>0.09747018406849106</v>
      </c>
      <c r="E345" s="3" t="n">
        <v>24.47608047449491</v>
      </c>
      <c r="F345" s="3" t="n">
        <v>0.1737297861162132</v>
      </c>
      <c r="H345" s="3" t="n">
        <v>1.773218142309231</v>
      </c>
      <c r="I345" s="3" t="n">
        <v>19.4349369633651</v>
      </c>
      <c r="J345" s="3" t="n">
        <v>0.1618269059728403</v>
      </c>
      <c r="K345" s="3" t="n">
        <v>0.009357206352641614</v>
      </c>
      <c r="L345" s="3" t="n">
        <v>14663.09395332328</v>
      </c>
      <c r="M345" s="4" t="n">
        <v>42640932021.12636</v>
      </c>
    </row>
    <row r="346">
      <c r="A346" t="inlineStr">
        <is>
          <t>BBG000BK28N7</t>
        </is>
      </c>
      <c r="B346" t="inlineStr">
        <is>
          <t>eat</t>
        </is>
      </c>
      <c r="C346" s="3" t="n">
        <v>1.068697999577616</v>
      </c>
      <c r="D346" s="3" t="n">
        <v>1.852263367728465</v>
      </c>
      <c r="E346" s="3" t="n">
        <v>22.49422778301752</v>
      </c>
      <c r="F346" s="3" t="n">
        <v>0.006704667128474718</v>
      </c>
      <c r="H346" s="3" t="n">
        <v>64.29187654081531</v>
      </c>
      <c r="I346" s="3" t="n">
        <v>18.61921744078238</v>
      </c>
      <c r="J346" s="3" t="n">
        <v>0.3831152095788315</v>
      </c>
      <c r="K346" s="3" t="n">
        <v>0.001225218358502994</v>
      </c>
      <c r="L346" s="3" t="n">
        <v>11381.86069426354</v>
      </c>
      <c r="M346" s="4" t="n">
        <v>5876503521.847275</v>
      </c>
    </row>
    <row r="347">
      <c r="A347" t="inlineStr">
        <is>
          <t>BBG000C43RR5</t>
        </is>
      </c>
      <c r="B347" t="inlineStr">
        <is>
          <t>ebay</t>
        </is>
      </c>
      <c r="C347" s="3" t="n">
        <v>0.6562946063244066</v>
      </c>
      <c r="D347" s="3" t="n">
        <v>0.4235676171828497</v>
      </c>
      <c r="E347" s="3" t="n">
        <v>24.11366229170002</v>
      </c>
      <c r="F347" s="3" t="n">
        <v>0.1826286104605714</v>
      </c>
      <c r="H347" s="3" t="n">
        <v>3.67435424286451</v>
      </c>
      <c r="I347" s="3" t="n">
        <v>19.50380207425581</v>
      </c>
      <c r="J347" s="3" t="n">
        <v>0.2346222173150212</v>
      </c>
      <c r="K347" s="3" t="n">
        <v>0.04366912899573812</v>
      </c>
      <c r="L347" s="3" t="n">
        <v>14021.34008486596</v>
      </c>
      <c r="M347" s="4" t="n">
        <v>29677715808.86841</v>
      </c>
    </row>
    <row r="348">
      <c r="A348" t="inlineStr">
        <is>
          <t>BBG000BHKYH4</t>
        </is>
      </c>
      <c r="B348" t="inlineStr">
        <is>
          <t>ecl</t>
        </is>
      </c>
      <c r="C348" s="3" t="n">
        <v>0.4806284628209639</v>
      </c>
      <c r="D348" s="3" t="n">
        <v>0.2945509621208051</v>
      </c>
      <c r="E348" s="3" t="n">
        <v>24.96252742513308</v>
      </c>
      <c r="F348" s="3" t="n">
        <v>0.1232441849273291</v>
      </c>
      <c r="H348" s="3" t="n">
        <v>2.585647768714096</v>
      </c>
      <c r="I348" s="3" t="n">
        <v>19.29687854913913</v>
      </c>
      <c r="J348" s="3" t="n">
        <v>0.1774267245602159</v>
      </c>
      <c r="K348" s="3" t="n">
        <v>0.01394387459266945</v>
      </c>
      <c r="L348" s="3" t="n">
        <v>15554.84418404581</v>
      </c>
      <c r="M348" s="4" t="n">
        <v>69356619177.74835</v>
      </c>
    </row>
    <row r="349">
      <c r="A349" t="inlineStr">
        <is>
          <t>BBG00GX8YK99</t>
        </is>
      </c>
      <c r="B349" t="inlineStr">
        <is>
          <t>ecvt</t>
        </is>
      </c>
      <c r="C349" s="3" t="n">
        <v>1.285709300018649</v>
      </c>
      <c r="D349" s="3" t="n">
        <v>-0.3004202177342542</v>
      </c>
      <c r="E349" s="3" t="n">
        <v>20.64665787910676</v>
      </c>
      <c r="F349" s="3" t="n">
        <v>0.7616321529276462</v>
      </c>
      <c r="H349" s="3" t="n">
        <v>2.605024490824444</v>
      </c>
      <c r="I349" s="3" t="n">
        <v>15.68664820594563</v>
      </c>
      <c r="J349" s="3" t="n">
        <v>0.3842196118541211</v>
      </c>
      <c r="K349" s="3" t="n">
        <v>0.008955437426339013</v>
      </c>
      <c r="L349" s="3" t="n">
        <v>8801.349850290253</v>
      </c>
      <c r="M349" s="4" t="n">
        <v>926252911.6275187</v>
      </c>
    </row>
    <row r="350">
      <c r="A350" t="inlineStr">
        <is>
          <t>BBG000BHLYS1</t>
        </is>
      </c>
      <c r="B350" t="inlineStr">
        <is>
          <t>ed</t>
        </is>
      </c>
      <c r="C350" s="3" t="n">
        <v>-0.07365320893519796</v>
      </c>
      <c r="D350" s="3" t="n">
        <v>0.1581936851580812</v>
      </c>
      <c r="E350" s="3" t="n">
        <v>24.22409762574598</v>
      </c>
      <c r="F350" s="3" t="n">
        <v>0.6383850160414616</v>
      </c>
      <c r="H350" s="3" t="n">
        <v>3.13503166636095</v>
      </c>
      <c r="I350" s="3" t="n">
        <v>19.01699176448071</v>
      </c>
      <c r="J350" s="3" t="n">
        <v>0.1658939348532324</v>
      </c>
      <c r="K350" s="3" t="n">
        <v>0.0455601367909352</v>
      </c>
      <c r="L350" s="3" t="n">
        <v>14214.86777311715</v>
      </c>
      <c r="M350" s="4" t="n">
        <v>33143008478.73825</v>
      </c>
    </row>
    <row r="351">
      <c r="A351" t="inlineStr">
        <is>
          <t>BBG000BMNBY1</t>
        </is>
      </c>
      <c r="B351" t="inlineStr">
        <is>
          <t>eeft</t>
        </is>
      </c>
      <c r="C351" s="3" t="n">
        <v>0.9831885642666668</v>
      </c>
      <c r="D351" s="3" t="n">
        <v>0.1289841761356181</v>
      </c>
      <c r="E351" s="3" t="n">
        <v>22.2533427734267</v>
      </c>
      <c r="F351" s="3" t="n">
        <v>0.2948339338264538</v>
      </c>
      <c r="H351" s="3" t="n">
        <v>4.328706760425419</v>
      </c>
      <c r="I351" s="3" t="n">
        <v>17.18510601818957</v>
      </c>
      <c r="J351" s="3" t="n">
        <v>0.21349762614692</v>
      </c>
      <c r="K351" s="3" t="n">
        <v>0.02256128068202724</v>
      </c>
      <c r="L351" s="3" t="n">
        <v>11020.10601621947</v>
      </c>
      <c r="M351" s="4" t="n">
        <v>4618532141.238174</v>
      </c>
    </row>
    <row r="352">
      <c r="A352" t="inlineStr">
        <is>
          <t>BBG000FC4FJ8</t>
        </is>
      </c>
      <c r="B352" t="inlineStr">
        <is>
          <t>efsi</t>
        </is>
      </c>
      <c r="C352" s="3" t="n">
        <v>0.1600871163744418</v>
      </c>
      <c r="D352" s="3" t="n">
        <v>0.1062295681629273</v>
      </c>
      <c r="E352" s="3" t="n">
        <v>18.59873973250986</v>
      </c>
      <c r="F352" s="3" t="n">
        <v>0.8467934997582932</v>
      </c>
      <c r="G352" s="3" t="n">
        <v>0</v>
      </c>
      <c r="H352" s="3" t="n">
        <v>18.59700721863349</v>
      </c>
      <c r="I352" s="3" t="n">
        <v>10.81385042847702</v>
      </c>
      <c r="J352" s="3" t="n">
        <v>0.160820414371608</v>
      </c>
      <c r="K352" s="3" t="n">
        <v>0.01722325907022491</v>
      </c>
      <c r="L352" s="3" t="n">
        <v>6433.548082201029</v>
      </c>
      <c r="M352" s="4" t="n">
        <v>119489579.4335785</v>
      </c>
    </row>
    <row r="353">
      <c r="A353" t="inlineStr">
        <is>
          <t>BBG000BHPL78</t>
        </is>
      </c>
      <c r="B353" t="inlineStr">
        <is>
          <t>efx</t>
        </is>
      </c>
      <c r="C353" s="3" t="n">
        <v>1.067334023102403</v>
      </c>
      <c r="D353" s="3" t="n">
        <v>0.2226767665211846</v>
      </c>
      <c r="E353" s="3" t="n">
        <v>24.18803896567085</v>
      </c>
      <c r="F353" s="3" t="n">
        <v>0.1535540166820388</v>
      </c>
      <c r="H353" s="3" t="n">
        <v>2.514626196269174</v>
      </c>
      <c r="I353" s="3" t="n">
        <v>19.46053933165578</v>
      </c>
      <c r="J353" s="3" t="n">
        <v>0.2508492934363535</v>
      </c>
      <c r="K353" s="3" t="n">
        <v>0.005073632411046383</v>
      </c>
      <c r="L353" s="3" t="n">
        <v>14151.48380447165</v>
      </c>
      <c r="M353" s="4" t="n">
        <v>31969206054.77493</v>
      </c>
    </row>
    <row r="354">
      <c r="A354" t="inlineStr">
        <is>
          <t>eg</t>
        </is>
      </c>
      <c r="B354" t="inlineStr">
        <is>
          <t>eg</t>
        </is>
      </c>
      <c r="C354" s="3" t="n">
        <v>0.5605227027460497</v>
      </c>
      <c r="D354" s="3" t="n">
        <v>-0.1208483525415874</v>
      </c>
      <c r="E354" s="3" t="n">
        <v>23.51246665482862</v>
      </c>
      <c r="F354" s="3" t="n">
        <v>0.6900658153584434</v>
      </c>
      <c r="H354" s="3" t="n">
        <v>4.400409762658079</v>
      </c>
      <c r="I354" s="3" t="n">
        <v>18.87862555795309</v>
      </c>
      <c r="J354" s="3" t="n">
        <v>0.2471002745017694</v>
      </c>
      <c r="K354" s="3" t="n">
        <v>0.03128839301776658</v>
      </c>
      <c r="L354" s="3" t="n">
        <v>12998.54008925737</v>
      </c>
      <c r="M354" s="4" t="n">
        <v>16268013498.79761</v>
      </c>
    </row>
    <row r="355">
      <c r="A355" t="inlineStr">
        <is>
          <t>BBG000BCGHH7</t>
        </is>
      </c>
      <c r="B355" t="inlineStr">
        <is>
          <t>eght</t>
        </is>
      </c>
      <c r="C355" s="3" t="n">
        <v>1.438586591238004</v>
      </c>
      <c r="D355" s="3" t="n">
        <v>-0.2783171258847817</v>
      </c>
      <c r="E355" s="3" t="n">
        <v>19.81951688768521</v>
      </c>
      <c r="F355" s="3" t="n">
        <v>0.258904922949794</v>
      </c>
      <c r="H355" s="3" t="n">
        <v>7.208793759749843</v>
      </c>
      <c r="I355" s="3" t="n">
        <v>14.58778586304499</v>
      </c>
      <c r="J355" s="3" t="n">
        <v>0.7315514444262468</v>
      </c>
      <c r="K355" s="3" t="n">
        <v>-0.05623773698493699</v>
      </c>
      <c r="L355" s="3" t="n">
        <v>7785.368835367442</v>
      </c>
      <c r="M355" s="4" t="n">
        <v>405048303.2392201</v>
      </c>
    </row>
    <row r="356">
      <c r="A356" t="inlineStr">
        <is>
          <t>BBG000BTBH21</t>
        </is>
      </c>
      <c r="B356" t="inlineStr">
        <is>
          <t>egy</t>
        </is>
      </c>
      <c r="C356" s="3" t="n">
        <v>0.8252467690903819</v>
      </c>
      <c r="D356" s="3" t="n">
        <v>0.1894344655277993</v>
      </c>
      <c r="E356" s="3" t="n">
        <v>19.99791418510765</v>
      </c>
      <c r="F356" s="3" t="n">
        <v>0.9627199720807501</v>
      </c>
      <c r="H356" s="3" t="n">
        <v>2.012213981801925</v>
      </c>
      <c r="I356" s="3" t="n">
        <v>15.31699165662085</v>
      </c>
      <c r="J356" s="3" t="n">
        <v>0.4509217675606336</v>
      </c>
      <c r="K356" s="3" t="n">
        <v>0.05814468828707093</v>
      </c>
      <c r="L356" s="3" t="n">
        <v>7997.497283157527</v>
      </c>
      <c r="M356" s="4" t="n">
        <v>484154284.272171</v>
      </c>
    </row>
    <row r="357">
      <c r="A357" t="inlineStr">
        <is>
          <t>BBG000P5JQX6</t>
        </is>
      </c>
      <c r="B357" t="inlineStr">
        <is>
          <t>ehth</t>
        </is>
      </c>
      <c r="C357" s="3" t="n">
        <v>1.284508873011625</v>
      </c>
      <c r="D357" s="3" t="n">
        <v>-0.3230147609662762</v>
      </c>
      <c r="E357" s="3" t="n">
        <v>18.93607801574927</v>
      </c>
      <c r="F357" s="3" t="n">
        <v>2.982410256340315</v>
      </c>
      <c r="H357" s="3" t="n">
        <v>2.006606637468596</v>
      </c>
      <c r="I357" s="3" t="n">
        <v>13.51188476868458</v>
      </c>
      <c r="J357" s="3" t="n">
        <v>0.6715522399448137</v>
      </c>
      <c r="K357" s="3" t="n">
        <v>-0.1403628414651439</v>
      </c>
      <c r="L357" s="3" t="n">
        <v>6790.005133013967</v>
      </c>
      <c r="M357" s="4" t="n">
        <v>167430351.3260889</v>
      </c>
    </row>
    <row r="358">
      <c r="A358" t="inlineStr">
        <is>
          <t>eix</t>
        </is>
      </c>
      <c r="B358" t="inlineStr">
        <is>
          <t>eix</t>
        </is>
      </c>
      <c r="C358" s="3" t="n">
        <v>0.2117522412767255</v>
      </c>
      <c r="D358" s="3" t="n">
        <v>0.2832168505113364</v>
      </c>
      <c r="E358" s="3" t="n">
        <v>24.16523887419742</v>
      </c>
      <c r="F358" s="3" t="n">
        <v>0.4960549861253948</v>
      </c>
      <c r="H358" s="3" t="n">
        <v>5.467324688377052</v>
      </c>
      <c r="I358" s="3" t="n">
        <v>18.92788188393914</v>
      </c>
      <c r="J358" s="3" t="n">
        <v>0.17815217440575</v>
      </c>
      <c r="K358" s="3" t="n">
        <v>0.01168054125125921</v>
      </c>
      <c r="L358" s="3" t="n">
        <v>14111.50316603576</v>
      </c>
      <c r="M358" s="4" t="n">
        <v>31248551940.94459</v>
      </c>
    </row>
    <row r="359">
      <c r="A359" t="inlineStr">
        <is>
          <t>BBG000FKJRC5</t>
        </is>
      </c>
      <c r="B359" t="inlineStr">
        <is>
          <t>el</t>
        </is>
      </c>
      <c r="C359" s="3" t="n">
        <v>1.094430735475876</v>
      </c>
      <c r="D359" s="3" t="n">
        <v>-0.4507212743609025</v>
      </c>
      <c r="H359" s="3" t="n">
        <v>4.192958299726011</v>
      </c>
      <c r="I359" s="3" t="n">
        <v>19.73040228919605</v>
      </c>
      <c r="J359" s="3" t="n">
        <v>0.423873480201914</v>
      </c>
    </row>
    <row r="360">
      <c r="A360" t="inlineStr">
        <is>
          <t>BBG00LJYS1P8</t>
        </is>
      </c>
      <c r="B360" t="inlineStr">
        <is>
          <t>elan</t>
        </is>
      </c>
      <c r="C360" s="3" t="n">
        <v>1.104196289430796</v>
      </c>
      <c r="D360" s="3" t="n">
        <v>0.07300514684601356</v>
      </c>
      <c r="E360" s="3" t="n">
        <v>22.59973412805249</v>
      </c>
      <c r="F360" s="3" t="n">
        <v>1.136224320544397</v>
      </c>
      <c r="H360" s="3" t="n">
        <v>1.790161724826124</v>
      </c>
      <c r="I360" s="3" t="n">
        <v>17.94855757047305</v>
      </c>
      <c r="J360" s="3" t="n">
        <v>0.4567084290230698</v>
      </c>
      <c r="K360" s="3" t="n">
        <v>0.004900158794800635</v>
      </c>
      <c r="L360" s="3" t="n">
        <v>11542.76861452488</v>
      </c>
      <c r="M360" s="4" t="n">
        <v>6530400612.538063</v>
      </c>
    </row>
    <row r="361">
      <c r="A361" t="inlineStr">
        <is>
          <t>BBG000BCG930</t>
        </is>
      </c>
      <c r="B361" t="inlineStr">
        <is>
          <t>elv</t>
        </is>
      </c>
      <c r="C361" s="3" t="n">
        <v>0.4274512029124911</v>
      </c>
      <c r="D361" s="3" t="n">
        <v>-0.1432650201389646</v>
      </c>
      <c r="E361" s="3" t="n">
        <v>25.23717545987789</v>
      </c>
      <c r="F361" s="3" t="n">
        <v>0.4306186238950224</v>
      </c>
      <c r="H361" s="3" t="n">
        <v>2.964763649240199</v>
      </c>
      <c r="I361" s="3" t="n">
        <v>20.38778199959838</v>
      </c>
      <c r="J361" s="3" t="n">
        <v>0.2233164117745068</v>
      </c>
      <c r="K361" s="3" t="n">
        <v>0.01113083299947445</v>
      </c>
      <c r="L361" s="3" t="n">
        <v>16073.93624381977</v>
      </c>
      <c r="M361" s="4" t="n">
        <v>91277984319.48807</v>
      </c>
    </row>
    <row r="362">
      <c r="A362" t="inlineStr">
        <is>
          <t>BBG000BG3TV0</t>
        </is>
      </c>
      <c r="B362" t="inlineStr">
        <is>
          <t>embj</t>
        </is>
      </c>
      <c r="C362" s="3" t="n">
        <v>1.242036902874916</v>
      </c>
      <c r="D362" s="3" t="n">
        <v>0.9165239246033674</v>
      </c>
      <c r="I362" s="3" t="n">
        <v>17.74855493502739</v>
      </c>
      <c r="J362" s="3" t="n">
        <v>0.3991604261231321</v>
      </c>
    </row>
    <row r="363">
      <c r="A363" t="inlineStr">
        <is>
          <t>BBG000BBRPL4</t>
        </is>
      </c>
      <c r="B363" t="inlineStr">
        <is>
          <t>eme</t>
        </is>
      </c>
      <c r="C363" s="3" t="n">
        <v>1.333574811673633</v>
      </c>
      <c r="D363" s="3" t="n">
        <v>1.10471790020257</v>
      </c>
      <c r="E363" s="3" t="n">
        <v>23.87577601167539</v>
      </c>
      <c r="F363" s="3" t="n">
        <v>0.1178933750701792</v>
      </c>
      <c r="H363" s="3" t="n">
        <v>2.396491836574659</v>
      </c>
      <c r="I363" s="3" t="n">
        <v>18.97872137182372</v>
      </c>
      <c r="J363" s="3" t="n">
        <v>0.2615700202612855</v>
      </c>
      <c r="K363" s="3" t="n">
        <v>0.007241336108666816</v>
      </c>
      <c r="L363" s="3" t="n">
        <v>13610.45010634809</v>
      </c>
      <c r="M363" s="4" t="n">
        <v>23394715761.08737</v>
      </c>
    </row>
    <row r="364">
      <c r="A364" t="inlineStr">
        <is>
          <t>BBG000BLW530</t>
        </is>
      </c>
      <c r="B364" t="inlineStr">
        <is>
          <t>emn</t>
        </is>
      </c>
      <c r="C364" s="3" t="n">
        <v>0.7555503780194393</v>
      </c>
      <c r="D364" s="3" t="n">
        <v>0.2968080516180667</v>
      </c>
      <c r="E364" s="3" t="n">
        <v>23.1427769709323</v>
      </c>
      <c r="F364" s="3" t="n">
        <v>0.5030086688611566</v>
      </c>
      <c r="H364" s="3" t="n">
        <v>2.663600989978139</v>
      </c>
      <c r="I364" s="3" t="n">
        <v>18.34567347208838</v>
      </c>
      <c r="J364" s="3" t="n">
        <v>0.2018634396106553</v>
      </c>
      <c r="K364" s="3" t="n">
        <v>0.05195561772460478</v>
      </c>
      <c r="L364" s="3" t="n">
        <v>12394.9965465923</v>
      </c>
      <c r="M364" s="4" t="n">
        <v>11240362939.06824</v>
      </c>
    </row>
    <row r="365">
      <c r="A365" t="inlineStr">
        <is>
          <t>BBG000BHX7N2</t>
        </is>
      </c>
      <c r="B365" t="inlineStr">
        <is>
          <t>emr</t>
        </is>
      </c>
      <c r="C365" s="3" t="n">
        <v>1.180934814181922</v>
      </c>
      <c r="D365" s="3" t="n">
        <v>0.2357760026960847</v>
      </c>
      <c r="E365" s="3" t="n">
        <v>25.02407572213693</v>
      </c>
      <c r="F365" s="3" t="n">
        <v>0.2804926585388511</v>
      </c>
      <c r="H365" s="3" t="n">
        <v>2.138624389668973</v>
      </c>
      <c r="I365" s="3" t="n">
        <v>19.59045983992238</v>
      </c>
      <c r="J365" s="3" t="n">
        <v>0.2182120888090857</v>
      </c>
      <c r="K365" s="3" t="n">
        <v>0.001925175576998253</v>
      </c>
      <c r="L365" s="3" t="n">
        <v>15670.18546599175</v>
      </c>
      <c r="M365" s="4" t="n">
        <v>73759506246.94824</v>
      </c>
    </row>
    <row r="366">
      <c r="A366" t="inlineStr">
        <is>
          <t>BBG001R3MNY9</t>
        </is>
      </c>
      <c r="B366" t="inlineStr">
        <is>
          <t>enph</t>
        </is>
      </c>
      <c r="C366" s="3" t="n">
        <v>1.337434251093293</v>
      </c>
      <c r="D366" s="3" t="n">
        <v>-0.1779845211346395</v>
      </c>
      <c r="E366" s="3" t="n">
        <v>22.98917214731556</v>
      </c>
      <c r="F366" s="3" t="n">
        <v>0.1020371946083829</v>
      </c>
      <c r="H366" s="3" t="n">
        <v>3.439334538970852</v>
      </c>
      <c r="I366" s="3" t="n">
        <v>19.73105630329637</v>
      </c>
      <c r="J366" s="3" t="n">
        <v>0.6258657314644065</v>
      </c>
      <c r="K366" s="3" t="n">
        <v>0.04336340103394425</v>
      </c>
      <c r="L366" s="3" t="n">
        <v>12149.82428624548</v>
      </c>
      <c r="M366" s="4" t="n">
        <v>9639857344.893654</v>
      </c>
    </row>
    <row r="367">
      <c r="A367" t="inlineStr">
        <is>
          <t>BBG006FCB019</t>
        </is>
      </c>
      <c r="B367" t="inlineStr">
        <is>
          <t>enr</t>
        </is>
      </c>
      <c r="C367" s="3" t="n">
        <v>0.5264076521201476</v>
      </c>
      <c r="D367" s="3" t="n">
        <v>0.07138814532721094</v>
      </c>
      <c r="E367" s="3" t="n">
        <v>21.65003207265391</v>
      </c>
      <c r="F367" s="3" t="n">
        <v>0.08340173271454332</v>
      </c>
      <c r="G367" s="3" t="n">
        <v>0.02044932601098348</v>
      </c>
      <c r="H367" s="3" t="n">
        <v>20.60939714945706</v>
      </c>
      <c r="I367" s="3" t="n">
        <v>16.78329848243411</v>
      </c>
      <c r="J367" s="3" t="n">
        <v>0.2401916715792206</v>
      </c>
      <c r="K367" s="3" t="n">
        <v>-0.09163503143529558</v>
      </c>
      <c r="L367" s="3" t="n">
        <v>10147.88722459038</v>
      </c>
      <c r="M367" s="4" t="n">
        <v>2526326409.041824</v>
      </c>
    </row>
    <row r="368">
      <c r="A368" t="inlineStr">
        <is>
          <t>BBG000PWTD92</t>
        </is>
      </c>
      <c r="B368" t="inlineStr">
        <is>
          <t>ens</t>
        </is>
      </c>
      <c r="C368" s="3" t="n">
        <v>0.9033089142775855</v>
      </c>
      <c r="D368" s="3" t="n">
        <v>0.104968727958562</v>
      </c>
      <c r="E368" s="3" t="n">
        <v>22.05742888412782</v>
      </c>
      <c r="F368" s="3" t="n">
        <v>0.4841073635995057</v>
      </c>
      <c r="H368" s="3" t="n">
        <v>2.149558203183258</v>
      </c>
      <c r="I368" s="3" t="n">
        <v>17.02058032694772</v>
      </c>
      <c r="J368" s="3" t="n">
        <v>0.2529954777574245</v>
      </c>
      <c r="K368" s="3" t="n">
        <v>0.02166709721347314</v>
      </c>
      <c r="L368" s="3" t="n">
        <v>10731.60460222279</v>
      </c>
      <c r="M368" s="4" t="n">
        <v>3796816858.659676</v>
      </c>
    </row>
    <row r="369">
      <c r="A369" t="inlineStr">
        <is>
          <t>eog</t>
        </is>
      </c>
      <c r="B369" t="inlineStr">
        <is>
          <t>eog</t>
        </is>
      </c>
      <c r="C369" s="3" t="n">
        <v>0.3053290616355114</v>
      </c>
      <c r="D369" s="3" t="n">
        <v>0.03294744731673083</v>
      </c>
      <c r="E369" s="3" t="n">
        <v>24.98889610555358</v>
      </c>
      <c r="F369" s="3" t="n">
        <v>0.3944682484482882</v>
      </c>
      <c r="H369" s="3" t="n">
        <v>1.642969028065398</v>
      </c>
      <c r="I369" s="3" t="n">
        <v>19.72987992536923</v>
      </c>
      <c r="J369" s="3" t="n">
        <v>0.2229016012482904</v>
      </c>
      <c r="K369" s="3" t="n">
        <v>0.07872513352798517</v>
      </c>
      <c r="L369" s="3" t="n">
        <v>15604.18944377928</v>
      </c>
      <c r="M369" s="4" t="n">
        <v>71209787125.07939</v>
      </c>
    </row>
    <row r="370">
      <c r="A370" t="inlineStr">
        <is>
          <t>BBG005CX4HK8</t>
        </is>
      </c>
      <c r="B370" t="inlineStr">
        <is>
          <t>eols</t>
        </is>
      </c>
      <c r="C370" s="3" t="n">
        <v>0.6864239002643715</v>
      </c>
      <c r="D370" s="3" t="n">
        <v>0.7233367724016531</v>
      </c>
      <c r="E370" s="3" t="n">
        <v>20.58040098114985</v>
      </c>
      <c r="F370" s="3" t="n">
        <v>0.02133996343377497</v>
      </c>
      <c r="H370" s="3" t="n">
        <v>12.41191348657152</v>
      </c>
      <c r="I370" s="3" t="n">
        <v>16.09949310863667</v>
      </c>
      <c r="J370" s="3" t="n">
        <v>0.4872606984500562</v>
      </c>
      <c r="K370" s="3" t="n">
        <v>-0.01706251144110306</v>
      </c>
      <c r="L370" s="3" t="n">
        <v>8716.888612265011</v>
      </c>
      <c r="M370" s="4" t="n">
        <v>866871212.5992441</v>
      </c>
    </row>
    <row r="371">
      <c r="A371" t="inlineStr">
        <is>
          <t>BBG000BRW644</t>
        </is>
      </c>
      <c r="B371" t="inlineStr">
        <is>
          <t>epc</t>
        </is>
      </c>
      <c r="C371" s="3" t="n">
        <v>0.6859983823828528</v>
      </c>
      <c r="D371" s="3" t="n">
        <v>0.0200738052707814</v>
      </c>
      <c r="E371" s="3" t="n">
        <v>21.25731911723735</v>
      </c>
      <c r="F371" s="3" t="n">
        <v>0.9325651667986607</v>
      </c>
      <c r="H371" s="3" t="n">
        <v>2.345297961814623</v>
      </c>
      <c r="I371" s="3" t="n">
        <v>16.4695584413445</v>
      </c>
      <c r="J371" s="3" t="n">
        <v>0.2163181410296877</v>
      </c>
      <c r="K371" s="3" t="n">
        <v>0.06723989478992104</v>
      </c>
      <c r="L371" s="3" t="n">
        <v>9605.621657078727</v>
      </c>
      <c r="M371" s="4" t="n">
        <v>1705832531.283989</v>
      </c>
    </row>
    <row r="372">
      <c r="A372" t="inlineStr">
        <is>
          <t>BBG000BR3012</t>
        </is>
      </c>
      <c r="B372" t="inlineStr">
        <is>
          <t>epd</t>
        </is>
      </c>
      <c r="C372" s="3" t="n">
        <v>0.348103316536277</v>
      </c>
      <c r="D372" s="3" t="n">
        <v>0.1510555742381523</v>
      </c>
      <c r="I372" s="3" t="n">
        <v>18.40694415066487</v>
      </c>
      <c r="J372" s="3" t="n">
        <v>0.1169930588881331</v>
      </c>
    </row>
    <row r="373">
      <c r="A373" t="inlineStr">
        <is>
          <t>BBG00J7CBVW8</t>
        </is>
      </c>
      <c r="B373" t="inlineStr">
        <is>
          <t>eqh</t>
        </is>
      </c>
      <c r="C373" s="3" t="n">
        <v>1.150709574368773</v>
      </c>
      <c r="D373" s="3" t="n">
        <v>0.5052393408638791</v>
      </c>
      <c r="E373" s="3" t="n">
        <v>23.40347998705483</v>
      </c>
      <c r="F373" s="3" t="n">
        <v>0.2207260828005728</v>
      </c>
      <c r="H373" s="3" t="n">
        <v>92.85372667923798</v>
      </c>
      <c r="I373" s="3" t="n">
        <v>18.41484707586184</v>
      </c>
      <c r="J373" s="3" t="n">
        <v>0.2269310686652239</v>
      </c>
      <c r="K373" s="3" t="n">
        <v>0.07293557518627623</v>
      </c>
      <c r="L373" s="3" t="n">
        <v>12818.62135532112</v>
      </c>
      <c r="M373" s="4" t="n">
        <v>14588217028.65339</v>
      </c>
    </row>
    <row r="374">
      <c r="A374" t="inlineStr">
        <is>
          <t>BBG000MBDGM6</t>
        </is>
      </c>
      <c r="B374" t="inlineStr">
        <is>
          <t>eqix</t>
        </is>
      </c>
      <c r="C374" s="3" t="n">
        <v>0.7786360839176814</v>
      </c>
      <c r="D374" s="3" t="n">
        <v>0.1314675041003064</v>
      </c>
      <c r="E374" s="3" t="n">
        <v>25.24094882278189</v>
      </c>
      <c r="F374" s="3" t="n">
        <v>0.1483032766210519</v>
      </c>
      <c r="G374" s="3" t="n">
        <v>-0.001930045675388237</v>
      </c>
      <c r="H374" s="3" t="n">
        <v>2.40292905487173</v>
      </c>
      <c r="I374" s="3" t="n">
        <v>19.84881651705716</v>
      </c>
      <c r="J374" s="3" t="n">
        <v>0.2239610251126401</v>
      </c>
      <c r="K374" s="3" t="n">
        <v>0.008098397943245548</v>
      </c>
      <c r="L374" s="3" t="n">
        <v>16081.14725646166</v>
      </c>
      <c r="M374" s="4" t="n">
        <v>91623059917.76624</v>
      </c>
    </row>
    <row r="375">
      <c r="A375" t="inlineStr">
        <is>
          <t>BBG000NT0ZZ4</t>
        </is>
      </c>
      <c r="B375" t="inlineStr">
        <is>
          <t>eqnr</t>
        </is>
      </c>
      <c r="C375" s="3" t="n">
        <v>0.3615846637939006</v>
      </c>
      <c r="D375" s="3" t="n">
        <v>-0.1971535510210228</v>
      </c>
      <c r="I375" s="3" t="n">
        <v>18.27996784136506</v>
      </c>
      <c r="J375" s="3" t="n">
        <v>0.2644708885733821</v>
      </c>
    </row>
    <row r="376">
      <c r="A376" t="inlineStr">
        <is>
          <t>BBG00CZT1CC0</t>
        </is>
      </c>
      <c r="B376" t="inlineStr">
        <is>
          <t>eqpt</t>
        </is>
      </c>
    </row>
    <row r="377">
      <c r="A377" t="inlineStr">
        <is>
          <t>BBG000BG8M31</t>
        </is>
      </c>
      <c r="B377" t="inlineStr">
        <is>
          <t>eqr</t>
        </is>
      </c>
      <c r="C377" s="3" t="n">
        <v>0.5440110685586176</v>
      </c>
      <c r="D377" s="3" t="n">
        <v>0.288429119241391</v>
      </c>
      <c r="E377" s="3" t="n">
        <v>24.03048274866516</v>
      </c>
      <c r="F377" s="3" t="n">
        <v>0.3974502383049315</v>
      </c>
      <c r="H377" s="3" t="n">
        <v>1.927940777279481</v>
      </c>
      <c r="I377" s="3" t="n">
        <v>18.51907724091231</v>
      </c>
      <c r="J377" s="3" t="n">
        <v>0.1837288896852682</v>
      </c>
      <c r="K377" s="3" t="n">
        <v>0.005252697457280784</v>
      </c>
      <c r="L377" s="3" t="n">
        <v>13876.74112027147</v>
      </c>
      <c r="M377" s="4" t="n">
        <v>27309016207.64703</v>
      </c>
    </row>
    <row r="378">
      <c r="A378" t="inlineStr">
        <is>
          <t>BBG000BHZ5J9</t>
        </is>
      </c>
      <c r="B378" t="inlineStr">
        <is>
          <t>eqt</t>
        </is>
      </c>
      <c r="C378" s="3" t="n">
        <v>0.8395485833743774</v>
      </c>
      <c r="D378" s="3" t="n">
        <v>-0.07307358707961009</v>
      </c>
      <c r="E378" s="3" t="n">
        <v>24.00572017892637</v>
      </c>
      <c r="F378" s="3" t="n">
        <v>0.7632858683939497</v>
      </c>
      <c r="H378" s="3" t="n">
        <v>1.207537694387844</v>
      </c>
      <c r="I378" s="3" t="n">
        <v>19.4332728879526</v>
      </c>
      <c r="J378" s="3" t="n">
        <v>0.3110531365977049</v>
      </c>
      <c r="K378" s="3" t="n">
        <v>0.04628855337446811</v>
      </c>
      <c r="L378" s="3" t="n">
        <v>13833.88682524412</v>
      </c>
      <c r="M378" s="4" t="n">
        <v>26641078842.48352</v>
      </c>
    </row>
    <row r="379">
      <c r="A379" t="inlineStr">
        <is>
          <t>BBG000BB0QF8</t>
        </is>
      </c>
      <c r="B379" t="inlineStr">
        <is>
          <t>eric</t>
        </is>
      </c>
      <c r="C379" s="3" t="n">
        <v>0.74721264331737</v>
      </c>
      <c r="D379" s="3" t="n">
        <v>0.7869000133905204</v>
      </c>
      <c r="I379" s="3" t="n">
        <v>18.66545192581392</v>
      </c>
      <c r="J379" s="3" t="n">
        <v>0.2830272937625582</v>
      </c>
    </row>
    <row r="380">
      <c r="A380" t="inlineStr">
        <is>
          <t>erie</t>
        </is>
      </c>
      <c r="B380" t="inlineStr">
        <is>
          <t>erie</t>
        </is>
      </c>
      <c r="C380" s="3" t="n">
        <v>0.4469688330780321</v>
      </c>
      <c r="D380" s="3" t="n">
        <v>0.5377928771705467</v>
      </c>
      <c r="H380" s="3" t="n">
        <v>1.977444889853242</v>
      </c>
      <c r="I380" s="3" t="n">
        <v>18.50321245367628</v>
      </c>
      <c r="J380" s="3" t="n">
        <v>0.2656350778293293</v>
      </c>
    </row>
    <row r="381">
      <c r="A381" t="inlineStr">
        <is>
          <t>BBG000BQ87N0</t>
        </is>
      </c>
      <c r="B381" t="inlineStr">
        <is>
          <t>es</t>
        </is>
      </c>
      <c r="C381" s="3" t="n">
        <v>0.05719082340323712</v>
      </c>
      <c r="D381" s="3" t="n">
        <v>0.160013437220035</v>
      </c>
      <c r="E381" s="3" t="n">
        <v>23.80431046650525</v>
      </c>
      <c r="F381" s="3" t="n">
        <v>0.7141084133980967</v>
      </c>
      <c r="H381" s="3" t="n">
        <v>3.575407908348307</v>
      </c>
      <c r="I381" s="3" t="n">
        <v>18.60576293795454</v>
      </c>
      <c r="J381" s="3" t="n">
        <v>0.2348273621057429</v>
      </c>
      <c r="K381" s="3" t="n">
        <v>-0.0199576296423073</v>
      </c>
      <c r="L381" s="3" t="n">
        <v>13488.59818864246</v>
      </c>
      <c r="M381" s="4" t="n">
        <v>21781143741.56644</v>
      </c>
    </row>
    <row r="382">
      <c r="A382" t="inlineStr">
        <is>
          <t>BBG000CGJMB9</t>
        </is>
      </c>
      <c r="B382" t="inlineStr">
        <is>
          <t>ess</t>
        </is>
      </c>
      <c r="C382" s="3" t="n">
        <v>0.690557690140563</v>
      </c>
      <c r="D382" s="3" t="n">
        <v>0.3797825268957487</v>
      </c>
      <c r="E382" s="3" t="n">
        <v>23.66021636613667</v>
      </c>
      <c r="F382" s="3" t="n">
        <v>0.2875529677758294</v>
      </c>
      <c r="H382" s="3" t="n">
        <v>2.279551171624201</v>
      </c>
      <c r="I382" s="3" t="n">
        <v>18.46864133775988</v>
      </c>
      <c r="J382" s="3" t="n">
        <v>0.1973784038007243</v>
      </c>
      <c r="K382" s="3" t="n">
        <v>0.02068871620331161</v>
      </c>
      <c r="L382" s="3" t="n">
        <v>13245.12726175677</v>
      </c>
      <c r="M382" s="4" t="n">
        <v>18858250852.55219</v>
      </c>
    </row>
    <row r="383">
      <c r="A383" t="inlineStr">
        <is>
          <t>BBG000BM2FL9</t>
        </is>
      </c>
      <c r="B383" t="inlineStr">
        <is>
          <t>et</t>
        </is>
      </c>
      <c r="C383" s="3" t="n">
        <v>0.5304313569738819</v>
      </c>
      <c r="D383" s="3" t="n">
        <v>0.2622721927361971</v>
      </c>
      <c r="I383" s="3" t="n">
        <v>19.20013351111589</v>
      </c>
      <c r="J383" s="3" t="n">
        <v>0.150785681515701</v>
      </c>
    </row>
    <row r="384">
      <c r="A384" t="inlineStr">
        <is>
          <t>etn</t>
        </is>
      </c>
      <c r="B384" t="inlineStr">
        <is>
          <t>etn</t>
        </is>
      </c>
      <c r="C384" s="3" t="n">
        <v>1.630238345017096</v>
      </c>
      <c r="D384" s="3" t="n">
        <v>0.4701376592311064</v>
      </c>
      <c r="E384" s="3" t="n">
        <v>25.70427772612558</v>
      </c>
      <c r="F384" s="3" t="n">
        <v>0.1312785473381263</v>
      </c>
      <c r="H384" s="3" t="n">
        <v>2.010357273525639</v>
      </c>
      <c r="I384" s="3" t="n">
        <v>20.27037184627064</v>
      </c>
      <c r="J384" s="3" t="n">
        <v>0.1922931952569529</v>
      </c>
      <c r="K384" s="3" t="n">
        <v>0.006118595264856962</v>
      </c>
      <c r="L384" s="3" t="n">
        <v>16983.07059691266</v>
      </c>
      <c r="M384" s="4" t="n">
        <v>145621660107.4219</v>
      </c>
    </row>
    <row r="385">
      <c r="A385" t="inlineStr">
        <is>
          <t>BBG000C1FQS9</t>
        </is>
      </c>
      <c r="B385" t="inlineStr">
        <is>
          <t>etr</t>
        </is>
      </c>
      <c r="C385" s="3" t="n">
        <v>-0.04490605518082665</v>
      </c>
      <c r="D385" s="3" t="n">
        <v>0.5756261896787114</v>
      </c>
      <c r="E385" s="3" t="n">
        <v>23.50138614566222</v>
      </c>
      <c r="F385" s="3" t="n">
        <v>0.9343697563646979</v>
      </c>
      <c r="H385" s="3" t="n">
        <v>3.971530865290041</v>
      </c>
      <c r="I385" s="3" t="n">
        <v>19.319864868908</v>
      </c>
      <c r="J385" s="3" t="n">
        <v>0.2380325972441164</v>
      </c>
      <c r="K385" s="3" t="n">
        <v>0.1464710377575072</v>
      </c>
      <c r="L385" s="3" t="n">
        <v>12980.17163228723</v>
      </c>
      <c r="M385" s="4" t="n">
        <v>16088750622.18741</v>
      </c>
    </row>
    <row r="386">
      <c r="A386" t="inlineStr">
        <is>
          <t>BBG000N7MXL8</t>
        </is>
      </c>
      <c r="B386" t="inlineStr">
        <is>
          <t>etsy</t>
        </is>
      </c>
      <c r="C386" s="3" t="n">
        <v>0.955988854924766</v>
      </c>
      <c r="D386" s="3" t="n">
        <v>-0.3214615448714284</v>
      </c>
      <c r="E386" s="3" t="n">
        <v>22.54318150973258</v>
      </c>
      <c r="F386" s="3" t="n">
        <v>-0.07521464531379181</v>
      </c>
      <c r="H386" s="3" t="n">
        <v>-5.785318049841801</v>
      </c>
      <c r="I386" s="3" t="n">
        <v>19.20506640372717</v>
      </c>
      <c r="J386" s="3" t="n">
        <v>0.4156395367969782</v>
      </c>
      <c r="K386" s="3" t="n">
        <v>0.009295553063114085</v>
      </c>
      <c r="L386" s="3" t="n">
        <v>11456.33286181228</v>
      </c>
      <c r="M386" s="4" t="n">
        <v>6171338015.199966</v>
      </c>
    </row>
    <row r="387">
      <c r="A387" t="inlineStr">
        <is>
          <t>BBG00XP21PQ0</t>
        </is>
      </c>
      <c r="B387" t="inlineStr">
        <is>
          <t>evgo</t>
        </is>
      </c>
      <c r="C387" s="3" t="n">
        <v>1.996165032470157</v>
      </c>
      <c r="D387" s="3" t="n">
        <v>1.5128206538966</v>
      </c>
      <c r="H387" s="3" t="n">
        <v>-0.7532757185868154</v>
      </c>
      <c r="I387" s="3" t="n">
        <v>17.81531101231778</v>
      </c>
      <c r="J387" s="3" t="n">
        <v>0.9948651291928668</v>
      </c>
    </row>
    <row r="388">
      <c r="A388" t="inlineStr">
        <is>
          <t>BBG00W1PPKX4</t>
        </is>
      </c>
      <c r="B388" t="inlineStr">
        <is>
          <t>evlv</t>
        </is>
      </c>
      <c r="C388" s="3" t="n">
        <v>2.290826362513284</v>
      </c>
      <c r="D388" s="3" t="n">
        <v>-0.4624999761581421</v>
      </c>
      <c r="E388" s="3" t="n">
        <v>20.2739705844471</v>
      </c>
      <c r="F388" s="3" t="n">
        <v>0.3557325514355185</v>
      </c>
      <c r="H388" s="3" t="n">
        <v>1.316034093371659</v>
      </c>
      <c r="I388" s="3" t="n">
        <v>15.79040710687958</v>
      </c>
      <c r="J388" s="3" t="n">
        <v>0.9311836498460417</v>
      </c>
      <c r="K388" s="3" t="n">
        <v>-0.04483623395386809</v>
      </c>
      <c r="L388" s="3" t="n">
        <v>8333.288858404565</v>
      </c>
      <c r="M388" s="4" t="n">
        <v>638077675.8502846</v>
      </c>
    </row>
    <row r="389">
      <c r="A389" t="inlineStr">
        <is>
          <t>BBG000BP30Y0</t>
        </is>
      </c>
      <c r="B389" t="inlineStr">
        <is>
          <t>evr</t>
        </is>
      </c>
      <c r="C389" s="3" t="n">
        <v>1.454644507533109</v>
      </c>
      <c r="D389" s="3" t="n">
        <v>0.811005960285748</v>
      </c>
      <c r="G389" s="3" t="n">
        <v>-0.1882943257604438</v>
      </c>
      <c r="H389" s="3" t="n">
        <v>2.291520616803372</v>
      </c>
      <c r="I389" s="3" t="n">
        <v>18.27502187781571</v>
      </c>
      <c r="J389" s="3" t="n">
        <v>0.2589691778636248</v>
      </c>
    </row>
    <row r="390">
      <c r="A390" t="inlineStr">
        <is>
          <t>BBG00H433CR2</t>
        </is>
      </c>
      <c r="B390" t="inlineStr">
        <is>
          <t>evrg</t>
        </is>
      </c>
      <c r="C390" s="3" t="n">
        <v>0.1307390361384181</v>
      </c>
      <c r="D390" s="3" t="n">
        <v>0.226586383802637</v>
      </c>
      <c r="E390" s="3" t="n">
        <v>23.36656483556374</v>
      </c>
      <c r="F390" s="3" t="n">
        <v>0.687299938111283</v>
      </c>
      <c r="H390" s="3" t="n">
        <v>3.205606896005877</v>
      </c>
      <c r="I390" s="3" t="n">
        <v>18.45811924471104</v>
      </c>
      <c r="J390" s="3" t="n">
        <v>0.1677059066661872</v>
      </c>
      <c r="K390" s="3" t="n">
        <v>0.04788929518791349</v>
      </c>
      <c r="L390" s="3" t="n">
        <v>12758.05916400384</v>
      </c>
      <c r="M390" s="4" t="n">
        <v>14059509485.57792</v>
      </c>
    </row>
    <row r="391">
      <c r="A391" t="inlineStr">
        <is>
          <t>BBG000BRXP69</t>
        </is>
      </c>
      <c r="B391" t="inlineStr">
        <is>
          <t>ew</t>
        </is>
      </c>
      <c r="C391" s="3" t="n">
        <v>0.821824967287235</v>
      </c>
      <c r="D391" s="3" t="n">
        <v>-0.01033816212829797</v>
      </c>
      <c r="E391" s="3" t="n">
        <v>24.46289137690623</v>
      </c>
      <c r="F391" s="3" t="n">
        <v>0.2268320905026597</v>
      </c>
      <c r="H391" s="3" t="n">
        <v>1.358866912361835</v>
      </c>
      <c r="I391" s="3" t="n">
        <v>19.8182704750693</v>
      </c>
      <c r="J391" s="3" t="n">
        <v>0.4033367801310218</v>
      </c>
      <c r="K391" s="3" t="n">
        <v>0.09003800608810109</v>
      </c>
      <c r="L391" s="3" t="n">
        <v>14639.4028090317</v>
      </c>
      <c r="M391" s="4" t="n">
        <v>42082229100.03662</v>
      </c>
    </row>
    <row r="392">
      <c r="A392" t="inlineStr">
        <is>
          <t>BBG000CR20B1</t>
        </is>
      </c>
      <c r="B392" t="inlineStr">
        <is>
          <t>ewbc</t>
        </is>
      </c>
      <c r="C392" s="3" t="n">
        <v>0.9725140543722642</v>
      </c>
      <c r="D392" s="3" t="n">
        <v>0.5831379762516553</v>
      </c>
      <c r="E392" s="3" t="n">
        <v>23.40669709976658</v>
      </c>
      <c r="F392" s="3" t="n">
        <v>0.4415167653594116</v>
      </c>
      <c r="H392" s="3" t="n">
        <v>11.52695955698217</v>
      </c>
      <c r="I392" s="3" t="n">
        <v>18.08113311363635</v>
      </c>
      <c r="J392" s="3" t="n">
        <v>0.2730245727367867</v>
      </c>
      <c r="K392" s="3" t="n">
        <v>0.05961445945080544</v>
      </c>
      <c r="L392" s="3" t="n">
        <v>12823.90834069533</v>
      </c>
      <c r="M392" s="4" t="n">
        <v>14635224540.79046</v>
      </c>
    </row>
    <row r="393">
      <c r="A393" t="inlineStr">
        <is>
          <t>BBG000J6XT05</t>
        </is>
      </c>
      <c r="B393" t="inlineStr">
        <is>
          <t>exc</t>
        </is>
      </c>
      <c r="C393" s="3" t="n">
        <v>0.08940836861976013</v>
      </c>
      <c r="D393" s="3" t="n">
        <v>0.05244904233513203</v>
      </c>
      <c r="E393" s="3" t="n">
        <v>24.35231219640382</v>
      </c>
      <c r="F393" s="3" t="n">
        <v>0.706587370503107</v>
      </c>
      <c r="H393" s="3" t="n">
        <v>3.984298700173379</v>
      </c>
      <c r="I393" s="3" t="n">
        <v>19.32906129338985</v>
      </c>
      <c r="J393" s="3" t="n">
        <v>0.206184430566239</v>
      </c>
      <c r="K393" s="3" t="n">
        <v>0.01003268071708266</v>
      </c>
      <c r="L393" s="3" t="n">
        <v>14441.77612537282</v>
      </c>
      <c r="M393" s="4" t="n">
        <v>37676869288.41923</v>
      </c>
    </row>
    <row r="394">
      <c r="A394" t="inlineStr">
        <is>
          <t>exe</t>
        </is>
      </c>
      <c r="B394" t="inlineStr">
        <is>
          <t>exe</t>
        </is>
      </c>
      <c r="C394" s="3" t="n">
        <v>0.7922021498090055</v>
      </c>
      <c r="D394" s="3" t="n">
        <v>0.07930822898809731</v>
      </c>
      <c r="E394" s="3" t="n">
        <v>23.81028320259797</v>
      </c>
      <c r="F394" s="3" t="n">
        <v>0.4686096768144578</v>
      </c>
      <c r="H394" s="3" t="n">
        <v>1.304246201664955</v>
      </c>
      <c r="I394" s="3" t="n">
        <v>19.24131693734644</v>
      </c>
      <c r="J394" s="3" t="n">
        <v>0.2372017689496868</v>
      </c>
      <c r="K394" s="3" t="n">
        <v>0.0633910051709468</v>
      </c>
      <c r="L394" s="3" t="n">
        <v>13498.75400306602</v>
      </c>
      <c r="M394" s="4" t="n">
        <v>21911626045.2234</v>
      </c>
    </row>
    <row r="395">
      <c r="A395" t="inlineStr">
        <is>
          <t>BBG000BJW241</t>
        </is>
      </c>
      <c r="B395" t="inlineStr">
        <is>
          <t>exp</t>
        </is>
      </c>
      <c r="C395" s="3" t="n">
        <v>1.520759530022446</v>
      </c>
      <c r="D395" s="3" t="n">
        <v>0.5834909668708899</v>
      </c>
      <c r="E395" s="3" t="n">
        <v>23.05338947626964</v>
      </c>
      <c r="F395" s="3" t="n">
        <v>0.1272991502639852</v>
      </c>
      <c r="H395" s="3" t="n">
        <v>2.252151450093309</v>
      </c>
      <c r="I395" s="3" t="n">
        <v>18.19092611133381</v>
      </c>
      <c r="J395" s="3" t="n">
        <v>0.2513180163164296</v>
      </c>
      <c r="K395" s="3" t="n">
        <v>0.01302064741839714</v>
      </c>
      <c r="L395" s="3" t="n">
        <v>12251.92593111937</v>
      </c>
      <c r="M395" s="4" t="n">
        <v>10279212368.33978</v>
      </c>
    </row>
    <row r="396">
      <c r="A396" t="inlineStr">
        <is>
          <t>BBG000BJ5GK2</t>
        </is>
      </c>
      <c r="B396" t="inlineStr">
        <is>
          <t>expd</t>
        </is>
      </c>
      <c r="C396" s="3" t="n">
        <v>0.4619006912351966</v>
      </c>
      <c r="D396" s="3" t="n">
        <v>-0.005128034381881474</v>
      </c>
      <c r="E396" s="3" t="n">
        <v>23.53477770244393</v>
      </c>
      <c r="F396" s="3" t="n">
        <v>0.1416711772480074</v>
      </c>
      <c r="H396" s="3" t="n">
        <v>2.194128076933565</v>
      </c>
      <c r="I396" s="3" t="n">
        <v>18.68097681384251</v>
      </c>
      <c r="J396" s="3" t="n">
        <v>0.188848357659525</v>
      </c>
      <c r="K396" s="3" t="n">
        <v>0.01380062046131914</v>
      </c>
      <c r="L396" s="3" t="n">
        <v>13035.57826953261</v>
      </c>
      <c r="M396" s="4" t="n">
        <v>16635049172.58303</v>
      </c>
    </row>
    <row r="397">
      <c r="A397" t="inlineStr">
        <is>
          <t>BBG000QY3XZ2</t>
        </is>
      </c>
      <c r="B397" t="inlineStr">
        <is>
          <t>expe</t>
        </is>
      </c>
      <c r="C397" s="3" t="n">
        <v>1.051508001231568</v>
      </c>
      <c r="D397" s="3" t="n">
        <v>0.1478191385999894</v>
      </c>
      <c r="E397" s="3" t="n">
        <v>23.90065682804974</v>
      </c>
      <c r="F397" s="3" t="n">
        <v>0.06395904718590245</v>
      </c>
      <c r="H397" s="3" t="n">
        <v>14.10821381088122</v>
      </c>
      <c r="I397" s="3" t="n">
        <v>19.26281090569027</v>
      </c>
      <c r="J397" s="3" t="n">
        <v>0.3517899315436239</v>
      </c>
      <c r="K397" s="3" t="n">
        <v>0.03898416500574888</v>
      </c>
      <c r="L397" s="3" t="n">
        <v>13653.0445911842</v>
      </c>
      <c r="M397" s="4" t="n">
        <v>23984097128.23486</v>
      </c>
    </row>
    <row r="398">
      <c r="A398" t="inlineStr">
        <is>
          <t>BBG000PV27K3</t>
        </is>
      </c>
      <c r="B398" t="inlineStr">
        <is>
          <t>exr</t>
        </is>
      </c>
      <c r="C398" s="3" t="n">
        <v>0.6290128235425089</v>
      </c>
      <c r="D398" s="3" t="n">
        <v>0.3077960157097168</v>
      </c>
      <c r="E398" s="3" t="n">
        <v>24.23546317820632</v>
      </c>
      <c r="F398" s="3" t="n">
        <v>0.4179546992179335</v>
      </c>
      <c r="H398" s="3" t="n">
        <v>2.002989947548834</v>
      </c>
      <c r="I398" s="3" t="n">
        <v>18.87137500361576</v>
      </c>
      <c r="J398" s="3" t="n">
        <v>0.2503724793805203</v>
      </c>
      <c r="K398" s="3" t="n">
        <v>0.005618724005701805</v>
      </c>
      <c r="L398" s="3" t="n">
        <v>14234.88531610088</v>
      </c>
      <c r="M398" s="4" t="n">
        <v>33521845850.27602</v>
      </c>
    </row>
    <row r="399">
      <c r="A399" t="inlineStr">
        <is>
          <t>BBG000BFR0T2</t>
        </is>
      </c>
      <c r="B399" t="inlineStr">
        <is>
          <t>extr</t>
        </is>
      </c>
      <c r="C399" s="3" t="n">
        <v>1.563220062185042</v>
      </c>
      <c r="D399" s="3" t="n">
        <v>-0.07496896717658508</v>
      </c>
      <c r="E399" s="3" t="n">
        <v>21.50873680611908</v>
      </c>
      <c r="F399" s="3" t="n">
        <v>0.01152618854253864</v>
      </c>
      <c r="G399" s="3" t="n">
        <v>-0.03396119654208818</v>
      </c>
      <c r="H399" s="3" t="n">
        <v>41.78953240291384</v>
      </c>
      <c r="I399" s="3" t="n">
        <v>16.68303894559424</v>
      </c>
      <c r="J399" s="3" t="n">
        <v>0.3721365439156197</v>
      </c>
      <c r="K399" s="3" t="n">
        <v>-0.004788825427214059</v>
      </c>
      <c r="L399" s="3" t="n">
        <v>9950.495689952417</v>
      </c>
      <c r="M399" s="4" t="n">
        <v>2193439739.005472</v>
      </c>
    </row>
    <row r="400">
      <c r="A400" t="inlineStr">
        <is>
          <t>BBG000BQPC32</t>
        </is>
      </c>
      <c r="B400" t="inlineStr">
        <is>
          <t>f</t>
        </is>
      </c>
      <c r="C400" s="3" t="n">
        <v>1.229003138453631</v>
      </c>
      <c r="D400" s="3" t="n">
        <v>0.05873389950916574</v>
      </c>
      <c r="E400" s="3" t="n">
        <v>24.35382312825635</v>
      </c>
      <c r="F400" s="3" t="n">
        <v>1.145974026855113</v>
      </c>
      <c r="G400" s="3" t="n">
        <v>-0.02516653420403614</v>
      </c>
      <c r="H400" s="3" t="n">
        <v>6.638152721737242</v>
      </c>
      <c r="I400" s="3" t="n">
        <v>20.05029641927029</v>
      </c>
      <c r="J400" s="3" t="n">
        <v>0.3376012436737202</v>
      </c>
      <c r="K400" s="3" t="n">
        <v>0.02363925886764628</v>
      </c>
      <c r="L400" s="3" t="n">
        <v>14444.46439906803</v>
      </c>
      <c r="M400" s="4" t="n">
        <v>37733839498.54667</v>
      </c>
    </row>
    <row r="401">
      <c r="A401" t="inlineStr">
        <is>
          <t>BBG002PHSYX9</t>
        </is>
      </c>
      <c r="B401" t="inlineStr">
        <is>
          <t>fang</t>
        </is>
      </c>
      <c r="C401" s="3" t="n">
        <v>0.5373968524482395</v>
      </c>
      <c r="D401" s="3" t="n">
        <v>0.1898827917803925</v>
      </c>
      <c r="E401" s="3" t="n">
        <v>24.6322643922752</v>
      </c>
      <c r="F401" s="3" t="n">
        <v>0.7508474700519518</v>
      </c>
      <c r="H401" s="3" t="n">
        <v>1.75657912309288</v>
      </c>
      <c r="I401" s="3" t="n">
        <v>19.83330048357447</v>
      </c>
      <c r="J401" s="3" t="n">
        <v>0.2702134198647591</v>
      </c>
      <c r="K401" s="3" t="n">
        <v>0.04379224737832725</v>
      </c>
      <c r="L401" s="3" t="n">
        <v>14945.58821761118</v>
      </c>
      <c r="M401" s="4" t="n">
        <v>49849005946.12033</v>
      </c>
    </row>
    <row r="402">
      <c r="A402" t="inlineStr">
        <is>
          <t>fast</t>
        </is>
      </c>
      <c r="B402" t="inlineStr">
        <is>
          <t>fast</t>
        </is>
      </c>
      <c r="C402" s="3" t="n">
        <v>0.7668376391799678</v>
      </c>
      <c r="D402" s="3" t="n">
        <v>0.3413923672069612</v>
      </c>
      <c r="E402" s="3" t="n">
        <v>23.86676217145708</v>
      </c>
      <c r="F402" s="3" t="n">
        <v>0.1444395407930095</v>
      </c>
      <c r="G402" s="3" t="n">
        <v>0.1483365949119373</v>
      </c>
      <c r="H402" s="3" t="n">
        <v>1.414954610184259</v>
      </c>
      <c r="I402" s="3" t="n">
        <v>19.08746284057484</v>
      </c>
      <c r="J402" s="3" t="n">
        <v>0.2108906926295865</v>
      </c>
      <c r="K402" s="3" t="n">
        <v>0.01285756901289898</v>
      </c>
      <c r="L402" s="3" t="n">
        <v>13595.04083396216</v>
      </c>
      <c r="M402" s="4" t="n">
        <v>23184787084.40781</v>
      </c>
    </row>
    <row r="403">
      <c r="A403" t="inlineStr">
        <is>
          <t>BBG000BJCDS3</t>
        </is>
      </c>
      <c r="B403" t="inlineStr">
        <is>
          <t>fcnca</t>
        </is>
      </c>
      <c r="C403" s="3" t="n">
        <v>0.8875085345672924</v>
      </c>
      <c r="D403" s="3" t="n">
        <v>0.323529209216217</v>
      </c>
      <c r="H403" s="3" t="n">
        <v>22.82829641659819</v>
      </c>
      <c r="I403" s="3" t="n">
        <v>19.04916621376832</v>
      </c>
      <c r="J403" s="3" t="n">
        <v>0.335625840738181</v>
      </c>
    </row>
    <row r="404">
      <c r="A404" t="inlineStr">
        <is>
          <t>BBG000BJDB15</t>
        </is>
      </c>
      <c r="B404" t="inlineStr">
        <is>
          <t>fcx</t>
        </is>
      </c>
      <c r="C404" s="3" t="n">
        <v>1.279050944034625</v>
      </c>
      <c r="D404" s="3" t="n">
        <v>0.2216238400362027</v>
      </c>
      <c r="E404" s="3" t="n">
        <v>24.85467766259357</v>
      </c>
      <c r="F404" s="3" t="n">
        <v>0.2818241899539208</v>
      </c>
      <c r="G404" s="3" t="n">
        <v>0.02355223053477418</v>
      </c>
      <c r="H404" s="3" t="n">
        <v>2.943241394863048</v>
      </c>
      <c r="I404" s="3" t="n">
        <v>20.0699964240593</v>
      </c>
      <c r="J404" s="3" t="n">
        <v>0.3269866291107895</v>
      </c>
      <c r="K404" s="3" t="n">
        <v>0.003324459044931708</v>
      </c>
      <c r="L404" s="3" t="n">
        <v>15354.10144199247</v>
      </c>
      <c r="M404" s="4" t="n">
        <v>62265769317.34402</v>
      </c>
    </row>
    <row r="405">
      <c r="A405" t="inlineStr">
        <is>
          <t>BBG00QG40R88</t>
        </is>
      </c>
      <c r="B405" t="inlineStr">
        <is>
          <t>fdmt</t>
        </is>
      </c>
      <c r="C405" s="3" t="n">
        <v>1.221447063381046</v>
      </c>
      <c r="D405" s="3" t="n">
        <v>-0.3702830140936116</v>
      </c>
      <c r="E405" s="3" t="n">
        <v>19.78232508503088</v>
      </c>
      <c r="F405" s="3" t="n">
        <v>0.5601540161045228</v>
      </c>
      <c r="G405" s="3" t="n">
        <v>0.3366392912906679</v>
      </c>
      <c r="H405" s="3" t="n">
        <v>2.763089747019342</v>
      </c>
      <c r="I405" s="3" t="n">
        <v>16.03763110508199</v>
      </c>
      <c r="J405" s="3" t="n">
        <v>1.138705625441794</v>
      </c>
      <c r="K405" s="3" t="n">
        <v>-0.0758877676777012</v>
      </c>
      <c r="L405" s="3" t="n">
        <v>7741.622730200407</v>
      </c>
      <c r="M405" s="4" t="n">
        <v>390260523.2755394</v>
      </c>
    </row>
    <row r="406">
      <c r="A406" t="inlineStr">
        <is>
          <t>fds</t>
        </is>
      </c>
      <c r="B406" t="inlineStr">
        <is>
          <t>fds</t>
        </is>
      </c>
      <c r="C406" s="3" t="n">
        <v>0.6536515184291475</v>
      </c>
      <c r="D406" s="3" t="n">
        <v>0.008539251815613103</v>
      </c>
      <c r="E406" s="3" t="n">
        <v>23.62700061996508</v>
      </c>
      <c r="F406" s="3" t="n">
        <v>0.07298526159768318</v>
      </c>
      <c r="H406" s="3" t="n">
        <v>2.976489548675921</v>
      </c>
      <c r="I406" s="3" t="n">
        <v>18.64781290174041</v>
      </c>
      <c r="J406" s="3" t="n">
        <v>0.1966494796755651</v>
      </c>
      <c r="K406" s="3" t="n">
        <v>0.0217582372026964</v>
      </c>
      <c r="L406" s="3" t="n">
        <v>13189.42243114188</v>
      </c>
      <c r="M406" s="4" t="n">
        <v>18242148767.87231</v>
      </c>
    </row>
    <row r="407">
      <c r="A407" t="inlineStr">
        <is>
          <t>BBG000BJF1Z8</t>
        </is>
      </c>
      <c r="B407" t="inlineStr">
        <is>
          <t>fdx</t>
        </is>
      </c>
      <c r="C407" s="3" t="n">
        <v>0.738854662595108</v>
      </c>
      <c r="D407" s="3" t="n">
        <v>0.07952259472942691</v>
      </c>
      <c r="E407" s="3" t="n">
        <v>24.77836910369911</v>
      </c>
      <c r="F407" s="3" t="n">
        <v>0.4710603620801743</v>
      </c>
      <c r="H407" s="3" t="n">
        <v>3.190719752605581</v>
      </c>
      <c r="I407" s="3" t="n">
        <v>19.96940461071047</v>
      </c>
      <c r="J407" s="3" t="n">
        <v>0.305758181384939</v>
      </c>
      <c r="K407" s="3" t="n">
        <v>0.01868571792472873</v>
      </c>
      <c r="L407" s="3" t="n">
        <v>15213.1152019345</v>
      </c>
      <c r="M407" s="4" t="n">
        <v>57691120262.21301</v>
      </c>
    </row>
    <row r="408">
      <c r="A408" t="inlineStr">
        <is>
          <t>BBG000BB6M98</t>
        </is>
      </c>
      <c r="B408" t="inlineStr">
        <is>
          <t>fe</t>
        </is>
      </c>
      <c r="C408" s="3" t="n">
        <v>0.1319103828085872</v>
      </c>
      <c r="D408" s="3" t="n">
        <v>0.1696792244947511</v>
      </c>
      <c r="E408" s="3" t="n">
        <v>23.86201786398828</v>
      </c>
      <c r="F408" s="3" t="n">
        <v>0.4523066761304199</v>
      </c>
      <c r="H408" s="3" t="n">
        <v>4.863083261007657</v>
      </c>
      <c r="I408" s="3" t="n">
        <v>18.57076101231629</v>
      </c>
      <c r="J408" s="3" t="n">
        <v>0.1560098709572918</v>
      </c>
      <c r="K408" s="3" t="n">
        <v>0.04017325752351242</v>
      </c>
      <c r="L408" s="3" t="n">
        <v>13586.93505495003</v>
      </c>
      <c r="M408" s="4" t="n">
        <v>23075051840.5752</v>
      </c>
    </row>
    <row r="409">
      <c r="A409" t="inlineStr">
        <is>
          <t>BBG000CXYSZ6</t>
        </is>
      </c>
      <c r="B409" t="inlineStr">
        <is>
          <t>ffiv</t>
        </is>
      </c>
      <c r="C409" s="3" t="n">
        <v>1.015851521832667</v>
      </c>
      <c r="D409" s="3" t="n">
        <v>0.3662013058435662</v>
      </c>
      <c r="I409" s="3" t="n">
        <v>18.77618065736889</v>
      </c>
      <c r="J409" s="3" t="n">
        <v>0.2249001391489121</v>
      </c>
    </row>
    <row r="410">
      <c r="A410" t="inlineStr">
        <is>
          <t>BBG01BGVGG87</t>
        </is>
      </c>
      <c r="B410" t="inlineStr">
        <is>
          <t>fg</t>
        </is>
      </c>
      <c r="C410" s="3" t="n">
        <v>1.551015064846652</v>
      </c>
      <c r="D410" s="3" t="n">
        <v>0.00321856508717433</v>
      </c>
      <c r="E410" s="3" t="n">
        <v>22.48843834240601</v>
      </c>
      <c r="F410" s="3" t="n">
        <v>0.5311009727426341</v>
      </c>
      <c r="H410" s="3" t="n">
        <v>27.11021591134057</v>
      </c>
      <c r="I410" s="3" t="n">
        <v>14.75091409315376</v>
      </c>
      <c r="J410" s="3" t="n">
        <v>0.3819755747538454</v>
      </c>
      <c r="K410" s="3" t="n">
        <v>0.05340106461350365</v>
      </c>
      <c r="L410" s="3" t="n">
        <v>11373.07475383868</v>
      </c>
      <c r="M410" s="4" t="n">
        <v>5842580147.132549</v>
      </c>
    </row>
    <row r="411">
      <c r="A411" t="inlineStr">
        <is>
          <t>BBG0046LJYT2</t>
        </is>
      </c>
      <c r="B411" t="inlineStr">
        <is>
          <t>fhb</t>
        </is>
      </c>
      <c r="C411" s="3" t="n">
        <v>0.9458016661100088</v>
      </c>
      <c r="D411" s="3" t="n">
        <v>0.3041832590611586</v>
      </c>
      <c r="E411" s="3" t="n">
        <v>21.9233075131796</v>
      </c>
      <c r="F411" s="3" t="n">
        <v>0.7975392746212914</v>
      </c>
      <c r="H411" s="3" t="n">
        <v>8.980354856100655</v>
      </c>
      <c r="I411" s="3" t="n">
        <v>16.45821481544276</v>
      </c>
      <c r="J411" s="3" t="n">
        <v>0.2551976732491447</v>
      </c>
      <c r="K411" s="3" t="n">
        <v>0.05646583871101139</v>
      </c>
      <c r="L411" s="3" t="n">
        <v>10537.03025272899</v>
      </c>
      <c r="M411" s="4" t="n">
        <v>3320255294.587053</v>
      </c>
    </row>
    <row r="412">
      <c r="A412" t="inlineStr">
        <is>
          <t>BBG000GHZSZ6</t>
        </is>
      </c>
      <c r="B412" t="inlineStr">
        <is>
          <t>fhn</t>
        </is>
      </c>
      <c r="C412" s="3" t="n">
        <v>1.095553344684168</v>
      </c>
      <c r="D412" s="3" t="n">
        <v>0.4117350767322645</v>
      </c>
      <c r="E412" s="3" t="n">
        <v>23.08879867677694</v>
      </c>
      <c r="F412" s="3" t="n">
        <v>0.8470651682933296</v>
      </c>
      <c r="G412" s="3" t="n">
        <v>0.03066443648628114</v>
      </c>
      <c r="H412" s="3" t="n">
        <v>9.160292649466767</v>
      </c>
      <c r="I412" s="3" t="n">
        <v>18.50690901135491</v>
      </c>
      <c r="J412" s="3" t="n">
        <v>0.304941279416901</v>
      </c>
      <c r="K412" s="3" t="n">
        <v>0.05718464554823609</v>
      </c>
      <c r="L412" s="3" t="n">
        <v>12308.46827938558</v>
      </c>
      <c r="M412" s="4" t="n">
        <v>10649711895.63665</v>
      </c>
    </row>
    <row r="413">
      <c r="A413" t="inlineStr">
        <is>
          <t>BBG000DW76Y6</t>
        </is>
      </c>
      <c r="B413" t="inlineStr">
        <is>
          <t>fico</t>
        </is>
      </c>
      <c r="C413" s="3" t="n">
        <v>1.169550365516132</v>
      </c>
      <c r="D413" s="3" t="n">
        <v>0.8325763424900661</v>
      </c>
      <c r="E413" s="3" t="n">
        <v>24.78072164500848</v>
      </c>
      <c r="F413" s="3" t="n">
        <v>-0.0166475692509503</v>
      </c>
      <c r="H413" s="3" t="n">
        <v>-1.636351267282605</v>
      </c>
      <c r="I413" s="3" t="n">
        <v>19.51494818181887</v>
      </c>
      <c r="J413" s="3" t="n">
        <v>0.266060406625565</v>
      </c>
      <c r="K413" s="3" t="n">
        <v>0.008868020009940046</v>
      </c>
      <c r="L413" s="3" t="n">
        <v>15217.448765603</v>
      </c>
      <c r="M413" s="4" t="n">
        <v>57827000775.40747</v>
      </c>
    </row>
    <row r="414">
      <c r="A414" t="inlineStr">
        <is>
          <t>BBG00BLZ2CD1</t>
        </is>
      </c>
      <c r="B414" t="inlineStr">
        <is>
          <t>fig</t>
        </is>
      </c>
    </row>
    <row r="415">
      <c r="A415" t="inlineStr">
        <is>
          <t>BBG01NGH78G1</t>
        </is>
      </c>
      <c r="B415" t="inlineStr">
        <is>
          <t>figr</t>
        </is>
      </c>
    </row>
    <row r="416">
      <c r="A416" t="inlineStr">
        <is>
          <t>BBG004SK5VL9</t>
        </is>
      </c>
      <c r="B416" t="inlineStr">
        <is>
          <t>figs</t>
        </is>
      </c>
      <c r="C416" s="3" t="n">
        <v>1.119525985952398</v>
      </c>
      <c r="D416" s="3" t="n">
        <v>-0.1391184844407909</v>
      </c>
      <c r="H416" s="3" t="n">
        <v>1.213745428114792</v>
      </c>
      <c r="I416" s="3" t="n">
        <v>16.65028801852344</v>
      </c>
      <c r="J416" s="3" t="n">
        <v>0.62370622401602</v>
      </c>
    </row>
    <row r="417">
      <c r="A417" t="inlineStr">
        <is>
          <t>fis</t>
        </is>
      </c>
      <c r="B417" t="inlineStr">
        <is>
          <t>fis</t>
        </is>
      </c>
      <c r="C417" s="3" t="n">
        <v>0.5941605248003975</v>
      </c>
      <c r="D417" s="3" t="n">
        <v>0.5658831605302954</v>
      </c>
      <c r="E417" s="3" t="n">
        <v>24.503587844032</v>
      </c>
      <c r="F417" s="3" t="n">
        <v>0.3780274271116252</v>
      </c>
      <c r="H417" s="3" t="n">
        <v>2.072967589952745</v>
      </c>
      <c r="I417" s="3" t="n">
        <v>19.36159343436867</v>
      </c>
      <c r="J417" s="3" t="n">
        <v>0.1961968779577846</v>
      </c>
      <c r="K417" s="3" t="n">
        <v>-0.1575171317990621</v>
      </c>
      <c r="L417" s="3" t="n">
        <v>14712.58675632473</v>
      </c>
      <c r="M417" s="4" t="n">
        <v>43830153082.33025</v>
      </c>
    </row>
    <row r="418">
      <c r="A418" t="inlineStr">
        <is>
          <t>fisv</t>
        </is>
      </c>
      <c r="B418" t="inlineStr">
        <is>
          <t>fisv</t>
        </is>
      </c>
      <c r="C418" s="3" t="n">
        <v>0.6878739052470648</v>
      </c>
      <c r="D418" s="3" t="n">
        <v>0.5151978636527141</v>
      </c>
      <c r="E418" s="3" t="n">
        <v>25.55722988120654</v>
      </c>
      <c r="F418" s="3" t="n">
        <v>0.2375101959647393</v>
      </c>
      <c r="G418" s="3" t="n">
        <v>-0.01526868665540537</v>
      </c>
      <c r="H418" s="3" t="n">
        <v>2.67247211700196</v>
      </c>
      <c r="I418" s="3" t="n">
        <v>19.9955374443266</v>
      </c>
      <c r="J418" s="3" t="n">
        <v>0.142953407637761</v>
      </c>
      <c r="K418" s="3" t="n">
        <v>0.007573088607644165</v>
      </c>
      <c r="L418" s="3" t="n">
        <v>16693.26693554304</v>
      </c>
      <c r="M418" s="4" t="n">
        <v>125708287505.2448</v>
      </c>
    </row>
    <row r="419">
      <c r="A419" t="inlineStr">
        <is>
          <t>BBG000BJL3N0</t>
        </is>
      </c>
      <c r="B419" t="inlineStr">
        <is>
          <t>fitb</t>
        </is>
      </c>
      <c r="C419" s="3" t="n">
        <v>0.8778901264155969</v>
      </c>
      <c r="D419" s="3" t="n">
        <v>0.567648361285805</v>
      </c>
      <c r="E419" s="3" t="n">
        <v>24.14252377092386</v>
      </c>
      <c r="F419" s="3" t="n">
        <v>0.6293961543890845</v>
      </c>
      <c r="H419" s="3" t="n">
        <v>11.16061583214602</v>
      </c>
      <c r="I419" s="3" t="n">
        <v>18.97360852737776</v>
      </c>
      <c r="J419" s="3" t="n">
        <v>0.2493639783125268</v>
      </c>
      <c r="K419" s="3" t="n">
        <v>0.05954809137801647</v>
      </c>
      <c r="L419" s="3" t="n">
        <v>14071.74650906542</v>
      </c>
      <c r="M419" s="4" t="n">
        <v>30546738910.45947</v>
      </c>
    </row>
    <row r="420">
      <c r="A420" t="inlineStr">
        <is>
          <t>BBG001636CR2</t>
        </is>
      </c>
      <c r="B420" t="inlineStr">
        <is>
          <t>five</t>
        </is>
      </c>
      <c r="C420" s="3" t="n">
        <v>0.8148349437328393</v>
      </c>
      <c r="D420" s="3" t="n">
        <v>-0.4970285602321771</v>
      </c>
      <c r="E420" s="3" t="n">
        <v>22.3523018335706</v>
      </c>
      <c r="F420" s="3" t="n">
        <v>0.2720754493879347</v>
      </c>
      <c r="H420" s="3" t="n">
        <v>2.892770925060408</v>
      </c>
      <c r="I420" s="3" t="n">
        <v>18.84790917403229</v>
      </c>
      <c r="J420" s="3" t="n">
        <v>0.4887586763822453</v>
      </c>
      <c r="K420" s="3" t="n">
        <v>0.007350130715800694</v>
      </c>
      <c r="L420" s="3" t="n">
        <v>11167.77768325176</v>
      </c>
      <c r="M420" s="4" t="n">
        <v>5098956935.838272</v>
      </c>
    </row>
    <row r="421">
      <c r="A421" t="inlineStr">
        <is>
          <t>BBG001KHJM17</t>
        </is>
      </c>
      <c r="B421" t="inlineStr">
        <is>
          <t>fivn</t>
        </is>
      </c>
      <c r="C421" s="3" t="n">
        <v>0.8095318880854815</v>
      </c>
      <c r="D421" s="3" t="n">
        <v>-0.6125688767553512</v>
      </c>
      <c r="E421" s="3" t="n">
        <v>21.8561516964011</v>
      </c>
      <c r="F421" s="3" t="n">
        <v>0.1733184546720652</v>
      </c>
      <c r="H421" s="3" t="n">
        <v>2.777568594594593</v>
      </c>
      <c r="I421" s="3" t="n">
        <v>17.90895760056065</v>
      </c>
      <c r="J421" s="3" t="n">
        <v>0.5009226551423208</v>
      </c>
      <c r="K421" s="3" t="n">
        <v>-0.006577008327585603</v>
      </c>
      <c r="L421" s="3" t="n">
        <v>10440.49498069078</v>
      </c>
      <c r="M421" s="4" t="n">
        <v>3104603031.71286</v>
      </c>
    </row>
    <row r="422">
      <c r="A422" t="inlineStr">
        <is>
          <t>fix</t>
        </is>
      </c>
      <c r="B422" t="inlineStr">
        <is>
          <t>fix</t>
        </is>
      </c>
      <c r="C422" s="3" t="n">
        <v>2.041989274235396</v>
      </c>
      <c r="D422" s="3" t="n">
        <v>1.0253415041372</v>
      </c>
      <c r="E422" s="3" t="n">
        <v>23.58425750481183</v>
      </c>
      <c r="F422" s="3" t="n">
        <v>0.05720759150235535</v>
      </c>
      <c r="H422" s="3" t="n">
        <v>4.413104804656854</v>
      </c>
      <c r="I422" s="3" t="n">
        <v>18.68966037534517</v>
      </c>
      <c r="J422" s="3" t="n">
        <v>0.3632447035619834</v>
      </c>
      <c r="K422" s="3" t="n">
        <v>0.008366396355866336</v>
      </c>
      <c r="L422" s="3" t="n">
        <v>13117.96972183034</v>
      </c>
      <c r="M422" s="4" t="n">
        <v>17478851559.44073</v>
      </c>
    </row>
    <row r="423">
      <c r="A423" t="inlineStr">
        <is>
          <t>BBG000BF8CB6</t>
        </is>
      </c>
      <c r="B423" t="inlineStr">
        <is>
          <t>fizz</t>
        </is>
      </c>
      <c r="C423" s="3" t="n">
        <v>0.3601769418623388</v>
      </c>
      <c r="D423" s="3" t="n">
        <v>0.01855520850771342</v>
      </c>
      <c r="E423" s="3" t="n">
        <v>22.25441545567988</v>
      </c>
      <c r="F423" s="3" t="n">
        <v>0.09128928356371088</v>
      </c>
      <c r="G423" s="3" t="n">
        <v>0</v>
      </c>
      <c r="H423" s="3" t="n">
        <v>1.238102230082089</v>
      </c>
      <c r="I423" s="3" t="n">
        <v>15.7911196224132</v>
      </c>
      <c r="J423" s="3" t="n">
        <v>0.2946526971595566</v>
      </c>
      <c r="K423" s="3" t="n">
        <v>0.01073453398697041</v>
      </c>
      <c r="L423" s="3" t="n">
        <v>11021.69970604326</v>
      </c>
      <c r="M423" s="4" t="n">
        <v>4623489016.803864</v>
      </c>
    </row>
    <row r="424">
      <c r="A424" t="inlineStr">
        <is>
          <t>BBG012QSDSK6</t>
        </is>
      </c>
      <c r="B424" t="inlineStr">
        <is>
          <t>flnc</t>
        </is>
      </c>
      <c r="C424" s="3" t="n">
        <v>2.164382218137673</v>
      </c>
      <c r="D424" s="3" t="n">
        <v>-0.1327751169791066</v>
      </c>
      <c r="H424" s="3" t="n">
        <v>3.360662207749892</v>
      </c>
      <c r="I424" s="3" t="n">
        <v>17.49126944566902</v>
      </c>
      <c r="J424" s="3" t="n">
        <v>0.7075626927102716</v>
      </c>
    </row>
    <row r="425">
      <c r="A425" t="inlineStr">
        <is>
          <t>BBG000BB1TH9</t>
        </is>
      </c>
      <c r="B425" t="inlineStr">
        <is>
          <t>flr</t>
        </is>
      </c>
      <c r="C425" s="3" t="n">
        <v>1.308769158816068</v>
      </c>
      <c r="D425" s="3" t="n">
        <v>0.3747041929372228</v>
      </c>
      <c r="E425" s="3" t="n">
        <v>22.98785678732838</v>
      </c>
      <c r="F425" s="3" t="n">
        <v>0.2015126788370397</v>
      </c>
      <c r="H425" s="3" t="n">
        <v>3.594329895054469</v>
      </c>
      <c r="I425" s="3" t="n">
        <v>18.53725505799344</v>
      </c>
      <c r="J425" s="3" t="n">
        <v>0.3230583036630388</v>
      </c>
      <c r="K425" s="3" t="n">
        <v>0.02929204919177587</v>
      </c>
      <c r="L425" s="3" t="n">
        <v>12147.7388942749</v>
      </c>
      <c r="M425" s="4" t="n">
        <v>9627185797.90871</v>
      </c>
    </row>
    <row r="426">
      <c r="A426" t="inlineStr">
        <is>
          <t>BBG000BJP882</t>
        </is>
      </c>
      <c r="B426" t="inlineStr">
        <is>
          <t>fmc</t>
        </is>
      </c>
      <c r="C426" s="3" t="n">
        <v>0.8395477910016693</v>
      </c>
      <c r="D426" s="3" t="n">
        <v>0.2574477188874942</v>
      </c>
      <c r="E426" s="3" t="n">
        <v>22.65411229668007</v>
      </c>
      <c r="F426" s="3" t="n">
        <v>0.6682479844964447</v>
      </c>
      <c r="H426" s="3" t="n">
        <v>2.651742696590186</v>
      </c>
      <c r="I426" s="3" t="n">
        <v>17.94565568747202</v>
      </c>
      <c r="J426" s="3" t="n">
        <v>0.4177260235224209</v>
      </c>
      <c r="K426" s="3" t="n">
        <v>0.03234066160482382</v>
      </c>
      <c r="L426" s="3" t="n">
        <v>11626.28987634156</v>
      </c>
      <c r="M426" s="4" t="n">
        <v>6895344402.428596</v>
      </c>
    </row>
    <row r="427">
      <c r="A427" t="inlineStr">
        <is>
          <t>BBG007GJ2F81</t>
        </is>
      </c>
      <c r="B427" t="inlineStr">
        <is>
          <t>fnd</t>
        </is>
      </c>
      <c r="C427" s="3" t="n">
        <v>1.105731579370969</v>
      </c>
      <c r="D427" s="3" t="n">
        <v>0.123650682373686</v>
      </c>
      <c r="E427" s="3" t="n">
        <v>23.21087123154755</v>
      </c>
      <c r="F427" s="3" t="n">
        <v>0.1566995367853164</v>
      </c>
      <c r="H427" s="3" t="n">
        <v>2.472876874342141</v>
      </c>
      <c r="I427" s="3" t="n">
        <v>18.92449843690484</v>
      </c>
      <c r="J427" s="3" t="n">
        <v>0.3687207241877422</v>
      </c>
      <c r="K427" s="3" t="n">
        <v>0.005944269600373045</v>
      </c>
      <c r="L427" s="3" t="n">
        <v>12504.73022187307</v>
      </c>
      <c r="M427" s="4" t="n">
        <v>12032428675.43678</v>
      </c>
    </row>
    <row r="428">
      <c r="A428" t="inlineStr">
        <is>
          <t>BBG000RD3CL8</t>
        </is>
      </c>
      <c r="B428" t="inlineStr">
        <is>
          <t>fnv</t>
        </is>
      </c>
      <c r="C428" s="3" t="n">
        <v>0.7089846541379716</v>
      </c>
      <c r="D428" s="3" t="n">
        <v>0.1981044841094048</v>
      </c>
      <c r="I428" s="3" t="n">
        <v>18.27636474962589</v>
      </c>
      <c r="J428" s="3" t="n">
        <v>0.2614500940503244</v>
      </c>
    </row>
    <row r="429">
      <c r="A429" t="inlineStr">
        <is>
          <t>fox</t>
        </is>
      </c>
      <c r="B429" t="inlineStr">
        <is>
          <t>fox</t>
        </is>
      </c>
      <c r="C429" s="3" t="n">
        <v>0.3556483989116205</v>
      </c>
      <c r="D429" s="3" t="n">
        <v>0.4326225159788584</v>
      </c>
      <c r="H429" s="3" t="n">
        <v>1.998758424796137</v>
      </c>
      <c r="I429" s="3" t="n">
        <v>17.50011224817833</v>
      </c>
      <c r="J429" s="3" t="n">
        <v>0.1995459610689924</v>
      </c>
    </row>
    <row r="430">
      <c r="A430" t="inlineStr">
        <is>
          <t>foxa</t>
        </is>
      </c>
      <c r="B430" t="inlineStr">
        <is>
          <t>foxa</t>
        </is>
      </c>
      <c r="C430" s="3" t="n">
        <v>0.3766391314190093</v>
      </c>
      <c r="D430" s="3" t="n">
        <v>0.4441489635953593</v>
      </c>
      <c r="H430" s="3" t="n">
        <v>1.998758424796137</v>
      </c>
      <c r="I430" s="3" t="n">
        <v>18.75175600459592</v>
      </c>
      <c r="J430" s="3" t="n">
        <v>0.2046515404966969</v>
      </c>
    </row>
    <row r="431">
      <c r="A431" t="inlineStr">
        <is>
          <t>BBG01ZJ9DR98</t>
        </is>
      </c>
      <c r="B431" t="inlineStr">
        <is>
          <t>fps</t>
        </is>
      </c>
    </row>
    <row r="432">
      <c r="A432" t="inlineStr">
        <is>
          <t>BBG000CKGDS5</t>
        </is>
      </c>
      <c r="B432" t="inlineStr">
        <is>
          <t>fr</t>
        </is>
      </c>
      <c r="C432" s="3" t="n">
        <v>0.6627607203939705</v>
      </c>
      <c r="D432" s="3" t="n">
        <v>0.1470037723137392</v>
      </c>
      <c r="E432" s="3" t="n">
        <v>22.62969150193118</v>
      </c>
      <c r="F432" s="3" t="n">
        <v>0.391203643107389</v>
      </c>
      <c r="H432" s="3" t="n">
        <v>1.975575964516286</v>
      </c>
      <c r="I432" s="3" t="n">
        <v>17.95904719607316</v>
      </c>
      <c r="J432" s="3" t="n">
        <v>0.1968056207785647</v>
      </c>
      <c r="K432" s="3" t="n">
        <v>0.01114758001964418</v>
      </c>
      <c r="L432" s="3" t="n">
        <v>11588.73149223715</v>
      </c>
      <c r="M432" s="4" t="n">
        <v>6728994082.72171</v>
      </c>
    </row>
    <row r="433">
      <c r="A433" t="inlineStr">
        <is>
          <t>BBG01X4QY3R1</t>
        </is>
      </c>
      <c r="B433" t="inlineStr">
        <is>
          <t>frmi</t>
        </is>
      </c>
    </row>
    <row r="434">
      <c r="A434" t="inlineStr">
        <is>
          <t>BBG00H1CP0B4</t>
        </is>
      </c>
      <c r="B434" t="inlineStr">
        <is>
          <t>frmm</t>
        </is>
      </c>
      <c r="C434" s="3" t="n">
        <v>1.27741602310407</v>
      </c>
      <c r="D434" s="3" t="n">
        <v>-0.2386871337133213</v>
      </c>
      <c r="E434" s="3" t="n">
        <v>17.60167726327166</v>
      </c>
      <c r="F434" s="3" t="n">
        <v>0.257307100461255</v>
      </c>
      <c r="H434" s="3" t="n">
        <v>0.9229487622399278</v>
      </c>
      <c r="I434" s="3" t="n">
        <v>16.28879549175563</v>
      </c>
      <c r="J434" s="3" t="n">
        <v>3.625269558626398</v>
      </c>
      <c r="K434" s="3" t="n">
        <v>-0.23285190704227</v>
      </c>
      <c r="L434" s="3" t="n">
        <v>5453.334795755402</v>
      </c>
      <c r="M434" s="4" t="n">
        <v>44087076.19166946</v>
      </c>
    </row>
    <row r="435">
      <c r="A435" t="inlineStr">
        <is>
          <t>BBG001D0HB36</t>
        </is>
      </c>
      <c r="B435" t="inlineStr">
        <is>
          <t>frpt</t>
        </is>
      </c>
      <c r="C435" s="3" t="n">
        <v>0.8116381295035489</v>
      </c>
      <c r="D435" s="3" t="n">
        <v>0.8680760956596001</v>
      </c>
      <c r="E435" s="3" t="n">
        <v>22.72859708388343</v>
      </c>
      <c r="F435" s="3" t="n">
        <v>0.1262404470504987</v>
      </c>
      <c r="G435" s="3" t="n">
        <v>0.03439545209388561</v>
      </c>
      <c r="H435" s="3" t="n">
        <v>1.633316412272638</v>
      </c>
      <c r="I435" s="3" t="n">
        <v>18.0944553589834</v>
      </c>
      <c r="J435" s="3" t="n">
        <v>0.3510109898577735</v>
      </c>
      <c r="K435" s="3" t="n">
        <v>-0.006583246059388501</v>
      </c>
      <c r="L435" s="3" t="n">
        <v>11741.34608916675</v>
      </c>
      <c r="M435" s="4" t="n">
        <v>7428554174.072495</v>
      </c>
    </row>
    <row r="436">
      <c r="A436" t="inlineStr">
        <is>
          <t>BBG0029KYGL5</t>
        </is>
      </c>
      <c r="B436" t="inlineStr">
        <is>
          <t>frsh</t>
        </is>
      </c>
      <c r="C436" s="3" t="n">
        <v>1.180692731162213</v>
      </c>
      <c r="D436" s="3" t="n">
        <v>-0.4155844384744793</v>
      </c>
      <c r="E436" s="3" t="n">
        <v>21.62402224089485</v>
      </c>
      <c r="F436" s="3" t="n">
        <v>0.4356195674812881</v>
      </c>
      <c r="H436" s="3" t="n">
        <v>1.469029023252685</v>
      </c>
      <c r="I436" s="3" t="n">
        <v>17.74883646326845</v>
      </c>
      <c r="J436" s="3" t="n">
        <v>0.4780087778349582</v>
      </c>
      <c r="K436" s="3" t="n">
        <v>-0.02984727462477946</v>
      </c>
      <c r="L436" s="3" t="n">
        <v>10111.3568580083</v>
      </c>
      <c r="M436" s="4" t="n">
        <v>2461464267.46645</v>
      </c>
    </row>
    <row r="437">
      <c r="A437" t="inlineStr">
        <is>
          <t>frt</t>
        </is>
      </c>
      <c r="B437" t="inlineStr">
        <is>
          <t>frt</t>
        </is>
      </c>
      <c r="C437" s="3" t="n">
        <v>0.4259116107165372</v>
      </c>
      <c r="D437" s="3" t="n">
        <v>0.208706005859427</v>
      </c>
      <c r="E437" s="3" t="n">
        <v>22.95090028983818</v>
      </c>
      <c r="F437" s="3" t="n">
        <v>0.3353635426113441</v>
      </c>
      <c r="H437" s="3" t="n">
        <v>2.725151189864732</v>
      </c>
      <c r="I437" s="3" t="n">
        <v>18.13534010663459</v>
      </c>
      <c r="J437" s="3" t="n">
        <v>0.1743695709880102</v>
      </c>
      <c r="K437" s="3" t="n">
        <v>0.01863375699428417</v>
      </c>
      <c r="L437" s="3" t="n">
        <v>12089.24498553064</v>
      </c>
      <c r="M437" s="4" t="n">
        <v>9277892806.823502</v>
      </c>
    </row>
    <row r="438">
      <c r="A438" t="inlineStr">
        <is>
          <t>BBG000BFL116</t>
        </is>
      </c>
      <c r="B438" t="inlineStr">
        <is>
          <t>fslr</t>
        </is>
      </c>
      <c r="C438" s="3" t="n">
        <v>1.156480953269178</v>
      </c>
      <c r="D438" s="3" t="n">
        <v>0.2326023401710013</v>
      </c>
      <c r="E438" s="3" t="n">
        <v>23.78353950885446</v>
      </c>
      <c r="F438" s="3" t="n">
        <v>0.2831072166880774</v>
      </c>
      <c r="H438" s="3" t="n">
        <v>1.893596602661683</v>
      </c>
      <c r="I438" s="3" t="n">
        <v>20.18476529487851</v>
      </c>
      <c r="J438" s="3" t="n">
        <v>0.5187461638717861</v>
      </c>
      <c r="K438" s="3" t="n">
        <v>0.0225720288052932</v>
      </c>
      <c r="L438" s="3" t="n">
        <v>13453.31969939731</v>
      </c>
      <c r="M438" s="4" t="n">
        <v>21333394713.03998</v>
      </c>
    </row>
    <row r="439">
      <c r="A439" t="inlineStr">
        <is>
          <t>BBG004NLQHL0</t>
        </is>
      </c>
      <c r="B439" t="inlineStr">
        <is>
          <t>fsly</t>
        </is>
      </c>
      <c r="C439" s="3" t="n">
        <v>1.469567759657947</v>
      </c>
      <c r="D439" s="3" t="n">
        <v>-0.5647200630102531</v>
      </c>
      <c r="E439" s="3" t="n">
        <v>20.89700394173545</v>
      </c>
      <c r="F439" s="3" t="n">
        <v>0.8247043499620997</v>
      </c>
      <c r="H439" s="3" t="n">
        <v>1.554434576126228</v>
      </c>
      <c r="I439" s="3" t="n">
        <v>16.75301362790718</v>
      </c>
      <c r="J439" s="3" t="n">
        <v>0.6992431751241164</v>
      </c>
      <c r="K439" s="3" t="n">
        <v>-0.09220639551843049</v>
      </c>
      <c r="L439" s="3" t="n">
        <v>9125.403438159588</v>
      </c>
      <c r="M439" s="4" t="n">
        <v>1189743935.775757</v>
      </c>
    </row>
    <row r="440">
      <c r="A440" t="inlineStr">
        <is>
          <t>BBG000QJGX36</t>
        </is>
      </c>
      <c r="B440" t="inlineStr">
        <is>
          <t>fsun</t>
        </is>
      </c>
      <c r="C440" s="3" t="n">
        <v>0.1954471929693498</v>
      </c>
      <c r="D440" s="3" t="n">
        <v>0.1255385178786057</v>
      </c>
      <c r="E440" s="3" t="n">
        <v>20.78847970402987</v>
      </c>
      <c r="F440" s="3" t="n">
        <v>0.9688001912376533</v>
      </c>
      <c r="H440" s="3" t="n">
        <v>7.870230195902435</v>
      </c>
      <c r="I440" s="3" t="n">
        <v>14.65698842114437</v>
      </c>
      <c r="J440" s="3" t="n">
        <v>0.1651023053105215</v>
      </c>
      <c r="K440" s="3" t="n">
        <v>0.0744987330896657</v>
      </c>
      <c r="L440" s="3" t="n">
        <v>8983.967857479985</v>
      </c>
      <c r="M440" s="4" t="n">
        <v>1067387277.979523</v>
      </c>
    </row>
    <row r="441">
      <c r="A441" t="inlineStr">
        <is>
          <t>BBG000BCMBG4</t>
        </is>
      </c>
      <c r="B441" t="inlineStr">
        <is>
          <t>ftnt</t>
        </is>
      </c>
      <c r="C441" s="3" t="n">
        <v>0.7276634433679859</v>
      </c>
      <c r="D441" s="3" t="n">
        <v>0.4965753730379729</v>
      </c>
      <c r="E441" s="3" t="n">
        <v>25.01168664375048</v>
      </c>
      <c r="F441" s="3" t="n">
        <v>0.01246511194762304</v>
      </c>
      <c r="H441" s="3" t="n">
        <v>7.993502909378369</v>
      </c>
      <c r="I441" s="3" t="n">
        <v>19.79178720705354</v>
      </c>
      <c r="J441" s="3" t="n">
        <v>0.3808186468499105</v>
      </c>
      <c r="K441" s="3" t="n">
        <v>0.007410983306377797</v>
      </c>
      <c r="L441" s="3" t="n">
        <v>15646.92270195145</v>
      </c>
      <c r="M441" s="4" t="n">
        <v>72851331283.92801</v>
      </c>
    </row>
    <row r="442">
      <c r="A442" t="inlineStr">
        <is>
          <t>BBG01GZF9VY6</t>
        </is>
      </c>
      <c r="B442" t="inlineStr">
        <is>
          <t>ftre</t>
        </is>
      </c>
      <c r="C442" s="3" t="n">
        <v>1.548919947798237</v>
      </c>
      <c r="D442" s="3" t="n">
        <v>-0.428668498991159</v>
      </c>
      <c r="E442" s="3" t="n">
        <v>21.35888185144287</v>
      </c>
      <c r="F442" s="3" t="n">
        <v>1.802153984662234</v>
      </c>
      <c r="H442" s="3" t="n">
        <v>1.273245562103783</v>
      </c>
      <c r="I442" s="3" t="n">
        <v>17.2377446771958</v>
      </c>
      <c r="J442" s="3" t="n">
        <v>0.5589915576189428</v>
      </c>
      <c r="K442" s="3" t="n">
        <v>0.01551754782843642</v>
      </c>
      <c r="L442" s="3" t="n">
        <v>9743.961071619226</v>
      </c>
      <c r="M442" s="4" t="n">
        <v>1888184931.564331</v>
      </c>
    </row>
    <row r="443">
      <c r="A443" t="inlineStr">
        <is>
          <t>BBG00BLVZ228</t>
        </is>
      </c>
      <c r="B443" t="inlineStr">
        <is>
          <t>ftv</t>
        </is>
      </c>
      <c r="C443" s="3" t="n">
        <v>1.02957104648741</v>
      </c>
      <c r="D443" s="3" t="n">
        <v>0.03876009431487604</v>
      </c>
      <c r="E443" s="3" t="n">
        <v>23.74982041547554</v>
      </c>
      <c r="F443" s="3" t="n">
        <v>0.5117268095426103</v>
      </c>
      <c r="H443" s="3" t="n">
        <v>1.653601644577059</v>
      </c>
      <c r="I443" s="3" t="n">
        <v>19.10889200695157</v>
      </c>
      <c r="J443" s="3" t="n">
        <v>0.178903094473028</v>
      </c>
      <c r="K443" s="3" t="n">
        <v>0.03025786145160476</v>
      </c>
      <c r="L443" s="3" t="n">
        <v>13396.18048661036</v>
      </c>
      <c r="M443" s="4" t="n">
        <v>20626044605.5629</v>
      </c>
    </row>
    <row r="444">
      <c r="A444" t="inlineStr">
        <is>
          <t>BBG01K8GRMX6</t>
        </is>
      </c>
      <c r="B444" t="inlineStr">
        <is>
          <t>fun</t>
        </is>
      </c>
      <c r="C444" s="3" t="n">
        <v>1.308212819275469</v>
      </c>
      <c r="D444" s="3" t="n">
        <v>0.02684961935051544</v>
      </c>
      <c r="E444" s="3" t="n">
        <v>22.25622769092262</v>
      </c>
      <c r="F444" s="3" t="n">
        <v>0.5055356125220237</v>
      </c>
      <c r="H444" s="3" t="n">
        <v>4.001244458223794</v>
      </c>
      <c r="I444" s="3" t="n">
        <v>18.01422693547435</v>
      </c>
      <c r="J444" s="3" t="n">
        <v>0.2912892319487616</v>
      </c>
      <c r="K444" s="3" t="n">
        <v>0.00713577043561134</v>
      </c>
      <c r="L444" s="3" t="n">
        <v>11024.39250279463</v>
      </c>
      <c r="M444" s="4" t="n">
        <v>4631875463.358089</v>
      </c>
    </row>
    <row r="445">
      <c r="A445" t="inlineStr">
        <is>
          <t>BBG01PNY4CV8</t>
        </is>
      </c>
      <c r="B445" t="inlineStr">
        <is>
          <t>fvr</t>
        </is>
      </c>
      <c r="E445" s="3" t="n">
        <v>19.4663217030447</v>
      </c>
      <c r="F445" s="3" t="n">
        <v>3.514664715358264e-06</v>
      </c>
      <c r="H445" s="3" t="n">
        <v>0.999000999000999</v>
      </c>
      <c r="L445" s="3" t="n">
        <v>7376.522796869003</v>
      </c>
      <c r="M445" s="4" t="n">
        <v>284522159.9988098</v>
      </c>
    </row>
    <row r="446">
      <c r="A446" t="inlineStr">
        <is>
          <t>BBG01HLMB809</t>
        </is>
      </c>
      <c r="B446" t="inlineStr">
        <is>
          <t>fwona</t>
        </is>
      </c>
      <c r="C446" s="3" t="n">
        <v>0.5683443173277135</v>
      </c>
      <c r="D446" s="3" t="n">
        <v>0.294958930623215</v>
      </c>
      <c r="H446" s="3" t="n">
        <v>5.557692306944904</v>
      </c>
      <c r="I446" s="3" t="n">
        <v>16.00012670909494</v>
      </c>
      <c r="J446" s="3" t="n">
        <v>0.2217493001186913</v>
      </c>
    </row>
    <row r="447">
      <c r="A447" t="inlineStr">
        <is>
          <t>BBG01HLMBCG3</t>
        </is>
      </c>
      <c r="B447" t="inlineStr">
        <is>
          <t>fwonk</t>
        </is>
      </c>
      <c r="C447" s="3" t="n">
        <v>0.5406971974796712</v>
      </c>
      <c r="D447" s="3" t="n">
        <v>0.2541626850339407</v>
      </c>
      <c r="H447" s="3" t="n">
        <v>5.557692306944904</v>
      </c>
      <c r="I447" s="3" t="n">
        <v>18.24108320218973</v>
      </c>
      <c r="J447" s="3" t="n">
        <v>0.2244166719863699</v>
      </c>
    </row>
    <row r="448">
      <c r="A448" t="inlineStr">
        <is>
          <t>BBG000C32KN7</t>
        </is>
      </c>
      <c r="B448" t="inlineStr">
        <is>
          <t>gain</t>
        </is>
      </c>
      <c r="C448" s="3" t="n">
        <v>0.3638980940701485</v>
      </c>
      <c r="D448" s="3" t="n">
        <v>0.129575949346302</v>
      </c>
      <c r="E448" s="3" t="n">
        <v>19.89408309921364</v>
      </c>
      <c r="F448" s="3" t="n">
        <v>1.007644722866959</v>
      </c>
      <c r="H448" s="3" t="n">
        <v>2.133257678062915</v>
      </c>
      <c r="I448" s="3" t="n">
        <v>14.47927123385517</v>
      </c>
      <c r="J448" s="3" t="n">
        <v>0.1814866223020685</v>
      </c>
      <c r="K448" s="3" t="n">
        <v>0.1286463199585139</v>
      </c>
      <c r="L448" s="3" t="n">
        <v>7873.571634231615</v>
      </c>
      <c r="M448" s="4" t="n">
        <v>436405797.6120768</v>
      </c>
    </row>
    <row r="449">
      <c r="A449" t="inlineStr">
        <is>
          <t>BBG000BK6FP5</t>
        </is>
      </c>
      <c r="B449" t="inlineStr">
        <is>
          <t>galt</t>
        </is>
      </c>
      <c r="C449" s="3" t="n">
        <v>1.315001627407441</v>
      </c>
      <c r="D449" s="3" t="n">
        <v>0.2666666503645421</v>
      </c>
      <c r="E449" s="3" t="n">
        <v>19.01611410837415</v>
      </c>
      <c r="F449" s="3" t="n">
        <v>-0.2899741554284531</v>
      </c>
      <c r="H449" s="3" t="n">
        <v>-0.5508403785618751</v>
      </c>
      <c r="I449" s="3" t="n">
        <v>12.86940421198957</v>
      </c>
      <c r="J449" s="3" t="n">
        <v>0.6578702497961778</v>
      </c>
      <c r="K449" s="3" t="n">
        <v>-0.06185850680483769</v>
      </c>
      <c r="L449" s="3" t="n">
        <v>6876.466384429318</v>
      </c>
      <c r="M449" s="4" t="n">
        <v>181381680.8339775</v>
      </c>
    </row>
    <row r="450">
      <c r="A450" t="inlineStr">
        <is>
          <t>BBG000BKLH74</t>
        </is>
      </c>
      <c r="B450" t="inlineStr">
        <is>
          <t>gap</t>
        </is>
      </c>
      <c r="C450" s="3" t="n">
        <v>1.543653894295808</v>
      </c>
      <c r="D450" s="3" t="n">
        <v>0.06357783798664784</v>
      </c>
      <c r="E450" s="3" t="n">
        <v>22.89237776081622</v>
      </c>
      <c r="F450" s="3" t="n">
        <v>0.2586135136062331</v>
      </c>
      <c r="G450" s="3" t="n">
        <v>-0.008296534189749738</v>
      </c>
      <c r="H450" s="3" t="n">
        <v>4.883782587324887</v>
      </c>
      <c r="I450" s="3" t="n">
        <v>18.62895699502285</v>
      </c>
      <c r="J450" s="3" t="n">
        <v>0.4950214341452967</v>
      </c>
      <c r="K450" s="3" t="n">
        <v>0.03622646213573835</v>
      </c>
      <c r="L450" s="3" t="n">
        <v>11997.00145557508</v>
      </c>
      <c r="M450" s="4" t="n">
        <v>8750509469.458923</v>
      </c>
    </row>
    <row r="451">
      <c r="A451" t="inlineStr">
        <is>
          <t>BBG000PXNF64</t>
        </is>
      </c>
      <c r="B451" t="inlineStr">
        <is>
          <t>gbdc</t>
        </is>
      </c>
      <c r="C451" s="3" t="n">
        <v>0.4121177550525862</v>
      </c>
      <c r="D451" s="3" t="n">
        <v>0.1438299109750096</v>
      </c>
      <c r="E451" s="3" t="n">
        <v>21.96021418108991</v>
      </c>
      <c r="F451" s="3" t="n">
        <v>1.165291984732461</v>
      </c>
      <c r="H451" s="3" t="n">
        <v>2.168617538403978</v>
      </c>
      <c r="I451" s="3" t="n">
        <v>16.60073600945091</v>
      </c>
      <c r="J451" s="3" t="n">
        <v>0.1280102254026196</v>
      </c>
      <c r="K451" s="3" t="n">
        <v>0.07947120721757819</v>
      </c>
      <c r="L451" s="3" t="n">
        <v>10590.33540011663</v>
      </c>
      <c r="M451" s="4" t="n">
        <v>3445084194.719147</v>
      </c>
    </row>
    <row r="452">
      <c r="A452" t="inlineStr">
        <is>
          <t>gd</t>
        </is>
      </c>
      <c r="B452" t="inlineStr">
        <is>
          <t>gd</t>
        </is>
      </c>
      <c r="C452" s="3" t="n">
        <v>0.5728781577321969</v>
      </c>
      <c r="D452" s="3" t="n">
        <v>0.2046122559160271</v>
      </c>
      <c r="E452" s="3" t="n">
        <v>25.05213398514356</v>
      </c>
      <c r="F452" s="3" t="n">
        <v>0.2904886806276025</v>
      </c>
      <c r="H452" s="3" t="n">
        <v>2.600834997159156</v>
      </c>
      <c r="I452" s="3" t="n">
        <v>19.70436568731682</v>
      </c>
      <c r="J452" s="3" t="n">
        <v>0.1609467817979789</v>
      </c>
      <c r="K452" s="3" t="n">
        <v>0.03045148176845897</v>
      </c>
      <c r="L452" s="3" t="n">
        <v>15722.95521027238</v>
      </c>
      <c r="M452" s="4" t="n">
        <v>75858377517.84546</v>
      </c>
    </row>
    <row r="453">
      <c r="A453" t="inlineStr">
        <is>
          <t>BBG006MDLY05</t>
        </is>
      </c>
      <c r="B453" t="inlineStr">
        <is>
          <t>gddy</t>
        </is>
      </c>
      <c r="C453" s="3" t="n">
        <v>0.8792977888615646</v>
      </c>
      <c r="D453" s="3" t="n">
        <v>0.6669998712930414</v>
      </c>
      <c r="E453" s="3" t="n">
        <v>24.04603774753681</v>
      </c>
      <c r="F453" s="3" t="n">
        <v>0.002242481553728147</v>
      </c>
      <c r="H453" s="3" t="n">
        <v>121.6221845398363</v>
      </c>
      <c r="I453" s="3" t="n">
        <v>19.10683003003878</v>
      </c>
      <c r="J453" s="3" t="n">
        <v>0.197655683889016</v>
      </c>
      <c r="K453" s="3" t="n">
        <v>0.00940616458790472</v>
      </c>
      <c r="L453" s="3" t="n">
        <v>13903.70592746171</v>
      </c>
      <c r="M453" s="4" t="n">
        <v>27737128938.40729</v>
      </c>
    </row>
    <row r="454">
      <c r="A454" t="inlineStr">
        <is>
          <t>BBG00DYK7TL5</t>
        </is>
      </c>
      <c r="B454" t="inlineStr">
        <is>
          <t>gds</t>
        </is>
      </c>
      <c r="C454" s="3" t="n">
        <v>1.574505339182695</v>
      </c>
      <c r="D454" s="3" t="n">
        <v>1.137560960723133</v>
      </c>
      <c r="E454" s="3" t="n">
        <v>23.64285116399222</v>
      </c>
      <c r="F454" s="3" t="n">
        <v>1.019416600520979</v>
      </c>
      <c r="H454" s="3" t="n">
        <v>3.940341790019386</v>
      </c>
      <c r="I454" s="3" t="n">
        <v>17.33398923925466</v>
      </c>
      <c r="J454" s="3" t="n">
        <v>0.7933707903245347</v>
      </c>
      <c r="K454" s="3" t="n">
        <v>-0.2314743432550114</v>
      </c>
      <c r="L454" s="3" t="n">
        <v>13215.98523611128</v>
      </c>
      <c r="M454" s="4" t="n">
        <v>18533600482.20224</v>
      </c>
    </row>
    <row r="455">
      <c r="A455" t="inlineStr">
        <is>
          <t>BBG000BK6MB5</t>
        </is>
      </c>
      <c r="B455" t="inlineStr">
        <is>
          <t>ge</t>
        </is>
      </c>
      <c r="C455" s="3" t="n">
        <v>1.223203338336791</v>
      </c>
      <c r="D455" s="3" t="n">
        <v>0.7770442115132694</v>
      </c>
      <c r="E455" s="3" t="n">
        <v>25.99846835653528</v>
      </c>
      <c r="F455" s="3" t="n">
        <v>0.1402189677134246</v>
      </c>
      <c r="H455" s="3" t="n">
        <v>4.623508374826716</v>
      </c>
      <c r="I455" s="3" t="n">
        <v>20.51569996536754</v>
      </c>
      <c r="J455" s="3" t="n">
        <v>0.2556096717896711</v>
      </c>
      <c r="K455" s="3" t="n">
        <v>0.04039296905921884</v>
      </c>
      <c r="L455" s="3" t="n">
        <v>17572.89401003264</v>
      </c>
      <c r="M455" s="4" t="n">
        <v>195430050917.6849</v>
      </c>
    </row>
    <row r="456">
      <c r="A456" t="inlineStr">
        <is>
          <t>BBG01BFR8YV1</t>
        </is>
      </c>
      <c r="B456" t="inlineStr">
        <is>
          <t>gehc</t>
        </is>
      </c>
      <c r="C456" s="3" t="n">
        <v>0.9693207151541109</v>
      </c>
      <c r="D456" s="3" t="n">
        <v>0.2777747313682275</v>
      </c>
      <c r="E456" s="3" t="n">
        <v>24.35867898891141</v>
      </c>
      <c r="F456" s="3" t="n">
        <v>0.2193445409490656</v>
      </c>
      <c r="H456" s="3" t="n">
        <v>4.070578333044297</v>
      </c>
      <c r="I456" s="3" t="n">
        <v>19.49412890605286</v>
      </c>
      <c r="J456" s="3" t="n">
        <v>0.261470735195772</v>
      </c>
      <c r="K456" s="3" t="n">
        <v>0.03072458701522921</v>
      </c>
      <c r="L456" s="3" t="n">
        <v>14453.1062815424</v>
      </c>
      <c r="M456" s="4" t="n">
        <v>37917515356.40891</v>
      </c>
    </row>
    <row r="457">
      <c r="A457" t="inlineStr">
        <is>
          <t>BBG000BH2JM1</t>
        </is>
      </c>
      <c r="B457" t="inlineStr">
        <is>
          <t>gen</t>
        </is>
      </c>
      <c r="C457" s="3" t="n">
        <v>0.6253435586918341</v>
      </c>
      <c r="D457" s="3" t="n">
        <v>0.3393441874007199</v>
      </c>
      <c r="E457" s="3" t="n">
        <v>23.64006834940574</v>
      </c>
      <c r="F457" s="3" t="n">
        <v>0.1135152599175593</v>
      </c>
      <c r="H457" s="3" t="n">
        <v>7.37416586874444</v>
      </c>
      <c r="I457" s="3" t="n">
        <v>18.2793373539722</v>
      </c>
      <c r="J457" s="3" t="n">
        <v>0.2839404357014593</v>
      </c>
      <c r="K457" s="3" t="n">
        <v>0.007953643092412399</v>
      </c>
      <c r="L457" s="3" t="n">
        <v>13211.3191354455</v>
      </c>
      <c r="M457" s="4" t="n">
        <v>18482096604.54605</v>
      </c>
    </row>
    <row r="458">
      <c r="A458" t="inlineStr">
        <is>
          <t>gev</t>
        </is>
      </c>
      <c r="B458" t="inlineStr">
        <is>
          <t>gev</t>
        </is>
      </c>
      <c r="C458" s="3" t="n">
        <v>1.993803354300791</v>
      </c>
      <c r="E458" s="3" t="n">
        <v>25.24244727482166</v>
      </c>
      <c r="F458" s="3" t="n">
        <v>0.1035740280322875</v>
      </c>
      <c r="H458" s="3" t="n">
        <v>5.350694443881451</v>
      </c>
      <c r="I458" s="3" t="n">
        <v>20.46532117635494</v>
      </c>
      <c r="J458" s="3" t="n">
        <v>0.4111277208650865</v>
      </c>
      <c r="K458" s="3" t="n">
        <v>-0.006920192319076448</v>
      </c>
      <c r="L458" s="3" t="n">
        <v>16084.01144258668</v>
      </c>
      <c r="M458" s="4" t="n">
        <v>91760455593.49792</v>
      </c>
    </row>
    <row r="459">
      <c r="A459" t="inlineStr">
        <is>
          <t>BBG00PQS00S3</t>
        </is>
      </c>
      <c r="B459" t="inlineStr">
        <is>
          <t>gfl</t>
        </is>
      </c>
      <c r="C459" s="3" t="n">
        <v>0.8064133821512448</v>
      </c>
      <c r="D459" s="3" t="n">
        <v>0.4586672405564287</v>
      </c>
      <c r="I459" s="3" t="n">
        <v>17.74678718615598</v>
      </c>
      <c r="J459" s="3" t="n">
        <v>0.2717370493808184</v>
      </c>
    </row>
    <row r="460">
      <c r="A460" t="inlineStr">
        <is>
          <t>BBG000F646H3</t>
        </is>
      </c>
      <c r="B460" t="inlineStr">
        <is>
          <t>ggal</t>
        </is>
      </c>
      <c r="C460" s="3" t="n">
        <v>1.391734982820126</v>
      </c>
      <c r="D460" s="3" t="n">
        <v>2.307354042181661</v>
      </c>
      <c r="I460" s="3" t="n">
        <v>17.67534925237105</v>
      </c>
      <c r="J460" s="3" t="n">
        <v>0.4937731684775578</v>
      </c>
    </row>
    <row r="461">
      <c r="A461" t="inlineStr">
        <is>
          <t>BBG000BK9W84</t>
        </is>
      </c>
      <c r="B461" t="inlineStr">
        <is>
          <t>ggg</t>
        </is>
      </c>
      <c r="C461" s="3" t="n">
        <v>0.8156179301881806</v>
      </c>
      <c r="D461" s="3" t="n">
        <v>0.0203598132135101</v>
      </c>
      <c r="I461" s="3" t="n">
        <v>17.99650372837735</v>
      </c>
      <c r="J461" s="3" t="n">
        <v>0.159800191681582</v>
      </c>
    </row>
    <row r="462">
      <c r="A462" t="inlineStr">
        <is>
          <t>BBG000CKGBP2</t>
        </is>
      </c>
      <c r="B462" t="inlineStr">
        <is>
          <t>gild</t>
        </is>
      </c>
      <c r="C462" s="3" t="n">
        <v>0.1354698389153019</v>
      </c>
      <c r="D462" s="3" t="n">
        <v>0.207756287871415</v>
      </c>
      <c r="E462" s="3" t="n">
        <v>25.42333415726075</v>
      </c>
      <c r="F462" s="3" t="n">
        <v>0.1680237646252665</v>
      </c>
      <c r="H462" s="3" t="n">
        <v>2.951285520814545</v>
      </c>
      <c r="I462" s="3" t="n">
        <v>20.14351213354184</v>
      </c>
      <c r="J462" s="3" t="n">
        <v>0.2464959174642324</v>
      </c>
      <c r="K462" s="3" t="n">
        <v>0.01139560363060671</v>
      </c>
      <c r="L462" s="3" t="n">
        <v>16432.26829699668</v>
      </c>
      <c r="M462" s="4" t="n">
        <v>109954684333.1101</v>
      </c>
    </row>
    <row r="463">
      <c r="A463" t="inlineStr">
        <is>
          <t>BBG000BKCFC2</t>
        </is>
      </c>
      <c r="B463" t="inlineStr">
        <is>
          <t>gis</t>
        </is>
      </c>
      <c r="C463" s="3" t="n">
        <v>-0.2229894668575191</v>
      </c>
      <c r="D463" s="3" t="n">
        <v>0.1072241877926425</v>
      </c>
      <c r="E463" s="3" t="n">
        <v>24.25289069373721</v>
      </c>
      <c r="F463" s="3" t="n">
        <v>0.2719226684270347</v>
      </c>
      <c r="H463" s="3" t="n">
        <v>3.42502910825984</v>
      </c>
      <c r="I463" s="3" t="n">
        <v>19.30325857497935</v>
      </c>
      <c r="J463" s="3" t="n">
        <v>0.1883240461349125</v>
      </c>
      <c r="K463" s="3" t="n">
        <v>0.0197442663747475</v>
      </c>
      <c r="L463" s="3" t="n">
        <v>14265.61595868869</v>
      </c>
      <c r="M463" s="4" t="n">
        <v>34111168639.90693</v>
      </c>
    </row>
    <row r="464">
      <c r="A464" t="inlineStr">
        <is>
          <t>BBG000BVD6X4</t>
        </is>
      </c>
      <c r="B464" t="inlineStr">
        <is>
          <t>gl</t>
        </is>
      </c>
      <c r="C464" s="3" t="n">
        <v>0.2718037993521196</v>
      </c>
      <c r="D464" s="3" t="n">
        <v>-0.1344221219306174</v>
      </c>
      <c r="E464" s="3" t="n">
        <v>22.94468738269501</v>
      </c>
      <c r="F464" s="3" t="n">
        <v>0.428350685101192</v>
      </c>
      <c r="H464" s="3" t="n">
        <v>7.102405901416176</v>
      </c>
      <c r="I464" s="3" t="n">
        <v>18.09988487175188</v>
      </c>
      <c r="J464" s="3" t="n">
        <v>0.6488124949051556</v>
      </c>
      <c r="K464" s="3" t="n">
        <v>0.07547946130642089</v>
      </c>
      <c r="L464" s="3" t="n">
        <v>12079.42981161751</v>
      </c>
      <c r="M464" s="4" t="n">
        <v>9220428814.392151</v>
      </c>
    </row>
    <row r="465">
      <c r="A465" t="inlineStr">
        <is>
          <t>BBG000CRF6Q8</t>
        </is>
      </c>
      <c r="B465" t="inlineStr">
        <is>
          <t>gld</t>
        </is>
      </c>
      <c r="C465" s="3" t="n">
        <v>0.320560971135779</v>
      </c>
      <c r="D465" s="3" t="n">
        <v>0.3430993086454883</v>
      </c>
      <c r="E465" s="3" t="n">
        <v>24.86825010679553</v>
      </c>
      <c r="F465" s="3" t="n">
        <v>0</v>
      </c>
      <c r="H465" s="3" t="n">
        <v>27464292000</v>
      </c>
      <c r="I465" s="3" t="n">
        <v>21.23201285325647</v>
      </c>
      <c r="J465" s="3" t="n">
        <v>0.1465021860854374</v>
      </c>
      <c r="K465" s="3" t="n">
        <v>-0.003650163252248182</v>
      </c>
      <c r="L465" s="3" t="n">
        <v>15379.2685158994</v>
      </c>
      <c r="M465" s="4" t="n">
        <v>63116629058.83789</v>
      </c>
    </row>
    <row r="466">
      <c r="A466" t="inlineStr">
        <is>
          <t>BBG003MSMCS6</t>
        </is>
      </c>
      <c r="B466" t="inlineStr">
        <is>
          <t>glpi</t>
        </is>
      </c>
      <c r="C466" s="3" t="n">
        <v>0.3836286021970081</v>
      </c>
      <c r="D466" s="3" t="n">
        <v>0.1448715689351916</v>
      </c>
      <c r="E466" s="3" t="n">
        <v>23.25864288269208</v>
      </c>
      <c r="F466" s="3" t="n">
        <v>0.3371217319989269</v>
      </c>
      <c r="H466" s="3" t="n">
        <v>2.980343966939504</v>
      </c>
      <c r="I466" s="3" t="n">
        <v>17.84150891883979</v>
      </c>
      <c r="J466" s="3" t="n">
        <v>0.1651123596900889</v>
      </c>
      <c r="K466" s="3" t="n">
        <v>0.04495677964605019</v>
      </c>
      <c r="L466" s="3" t="n">
        <v>12582.09939075596</v>
      </c>
      <c r="M466" s="4" t="n">
        <v>12621188715.52435</v>
      </c>
    </row>
    <row r="467">
      <c r="A467" t="inlineStr">
        <is>
          <t>BBG000BKFZM4</t>
        </is>
      </c>
      <c r="B467" t="inlineStr">
        <is>
          <t>glw</t>
        </is>
      </c>
      <c r="C467" s="3" t="n">
        <v>0.8809801211354626</v>
      </c>
      <c r="D467" s="3" t="n">
        <v>0.7092512018949593</v>
      </c>
      <c r="E467" s="3" t="n">
        <v>24.43086456210377</v>
      </c>
      <c r="F467" s="3" t="n">
        <v>0.272427328980531</v>
      </c>
      <c r="H467" s="3" t="n">
        <v>2.550842114514019</v>
      </c>
      <c r="I467" s="3" t="n">
        <v>19.12402200531523</v>
      </c>
      <c r="J467" s="3" t="n">
        <v>0.2433562178986753</v>
      </c>
      <c r="K467" s="3" t="n">
        <v>-0.002870755425625698</v>
      </c>
      <c r="L467" s="3" t="n">
        <v>14581.98033835593</v>
      </c>
      <c r="M467" s="4" t="n">
        <v>40755822997.92342</v>
      </c>
    </row>
    <row r="468">
      <c r="A468" t="inlineStr">
        <is>
          <t>BBG0120SWLS0</t>
        </is>
      </c>
      <c r="B468" t="inlineStr">
        <is>
          <t>glxy</t>
        </is>
      </c>
    </row>
    <row r="469">
      <c r="A469" t="inlineStr">
        <is>
          <t>BBG000NDYB67</t>
        </is>
      </c>
      <c r="B469" t="inlineStr">
        <is>
          <t>gm</t>
        </is>
      </c>
      <c r="C469" s="3" t="n">
        <v>0.9100594261927804</v>
      </c>
      <c r="D469" s="3" t="n">
        <v>0.6193729591560722</v>
      </c>
      <c r="E469" s="3" t="n">
        <v>24.8191290844466</v>
      </c>
      <c r="F469" s="3" t="n">
        <v>1.069807398257885</v>
      </c>
      <c r="G469" s="3" t="n">
        <v>0</v>
      </c>
      <c r="H469" s="3" t="n">
        <v>4.382058301894937</v>
      </c>
      <c r="I469" s="3" t="n">
        <v>20.31701592454091</v>
      </c>
      <c r="J469" s="3" t="n">
        <v>0.2979366005636953</v>
      </c>
      <c r="K469" s="3" t="n">
        <v>0.1335636713812927</v>
      </c>
      <c r="L469" s="3" t="n">
        <v>15288.31468788111</v>
      </c>
      <c r="M469" s="4" t="n">
        <v>60091190342.87476</v>
      </c>
    </row>
    <row r="470">
      <c r="A470" t="inlineStr">
        <is>
          <t>BBG000BB5BF6</t>
        </is>
      </c>
      <c r="B470" t="inlineStr">
        <is>
          <t>gme</t>
        </is>
      </c>
      <c r="C470" s="3" t="n">
        <v>1.753634330244825</v>
      </c>
      <c r="D470" s="3" t="n">
        <v>0.524398626420606</v>
      </c>
      <c r="E470" s="3" t="n">
        <v>23.04593475317699</v>
      </c>
      <c r="F470" s="3" t="n">
        <v>0.1242003645685465</v>
      </c>
      <c r="H470" s="3" t="n">
        <v>2.212515781082295</v>
      </c>
      <c r="I470" s="3" t="n">
        <v>19.35147360719512</v>
      </c>
      <c r="J470" s="3" t="n">
        <v>1.488297775821559</v>
      </c>
      <c r="K470" s="3" t="n">
        <v>-0.005224021016022355</v>
      </c>
      <c r="L470" s="3" t="n">
        <v>12240.04414032119</v>
      </c>
      <c r="M470" s="4" t="n">
        <v>10202868600.8923</v>
      </c>
    </row>
    <row r="471">
      <c r="A471" t="inlineStr">
        <is>
          <t>gnrc</t>
        </is>
      </c>
      <c r="B471" t="inlineStr">
        <is>
          <t>gnrc</t>
        </is>
      </c>
      <c r="C471" s="3" t="n">
        <v>1.341892224075155</v>
      </c>
      <c r="D471" s="3" t="n">
        <v>0.4141112452661682</v>
      </c>
      <c r="E471" s="3" t="n">
        <v>23.13894601325292</v>
      </c>
      <c r="F471" s="3" t="n">
        <v>0.2089998885172806</v>
      </c>
      <c r="H471" s="3" t="n">
        <v>2.17639467793366</v>
      </c>
      <c r="I471" s="3" t="n">
        <v>18.77026359188176</v>
      </c>
      <c r="J471" s="3" t="n">
        <v>0.3166941029389829</v>
      </c>
      <c r="K471" s="3" t="n">
        <v>0.01053862226994431</v>
      </c>
      <c r="L471" s="3" t="n">
        <v>12388.84211915069</v>
      </c>
      <c r="M471" s="4" t="n">
        <v>11197383962.22878</v>
      </c>
    </row>
    <row r="472">
      <c r="A472" t="inlineStr">
        <is>
          <t>BBG000J5Q6L2</t>
        </is>
      </c>
      <c r="B472" t="inlineStr">
        <is>
          <t>gnw</t>
        </is>
      </c>
      <c r="C472" s="3" t="n">
        <v>0.7673362074898462</v>
      </c>
      <c r="D472" s="3" t="n">
        <v>0.1443123809678013</v>
      </c>
      <c r="E472" s="3" t="n">
        <v>21.92649424479302</v>
      </c>
      <c r="F472" s="3" t="n">
        <v>2.495156694714688</v>
      </c>
      <c r="G472" s="3" t="n">
        <v>-0.007699950322901161</v>
      </c>
      <c r="H472" s="3" t="n">
        <v>10.92046684984713</v>
      </c>
      <c r="I472" s="3" t="n">
        <v>16.77494399600049</v>
      </c>
      <c r="J472" s="3" t="n">
        <v>0.2362577241802053</v>
      </c>
      <c r="K472" s="3" t="n">
        <v>0.008706478660417032</v>
      </c>
      <c r="L472" s="3" t="n">
        <v>10541.62585062001</v>
      </c>
      <c r="M472" s="4" t="n">
        <v>3330852934.04997</v>
      </c>
    </row>
    <row r="473">
      <c r="A473" t="inlineStr">
        <is>
          <t>BBG00P4R3079</t>
        </is>
      </c>
      <c r="B473" t="inlineStr">
        <is>
          <t>go</t>
        </is>
      </c>
      <c r="C473" s="3" t="n">
        <v>0.6313998457774472</v>
      </c>
      <c r="D473" s="3" t="n">
        <v>-0.4930875343910994</v>
      </c>
      <c r="E473" s="3" t="n">
        <v>21.43614881217713</v>
      </c>
      <c r="F473" s="3" t="n">
        <v>0.5442589220568038</v>
      </c>
      <c r="H473" s="3" t="n">
        <v>2.674787020633151</v>
      </c>
      <c r="I473" s="3" t="n">
        <v>17.42634314778529</v>
      </c>
      <c r="J473" s="3" t="n">
        <v>0.4545355728232024</v>
      </c>
      <c r="K473" s="3" t="n">
        <v>0.006725939693265756</v>
      </c>
      <c r="L473" s="3" t="n">
        <v>9850.092069802013</v>
      </c>
      <c r="M473" s="4" t="n">
        <v>2039863665</v>
      </c>
    </row>
    <row r="474">
      <c r="A474" t="inlineStr">
        <is>
          <t>BBG002CN8XN5</t>
        </is>
      </c>
      <c r="B474" t="inlineStr">
        <is>
          <t>gogo</t>
        </is>
      </c>
      <c r="C474" s="3" t="n">
        <v>1.423125509148069</v>
      </c>
      <c r="D474" s="3" t="n">
        <v>-0.3469590862297507</v>
      </c>
      <c r="E474" s="3" t="n">
        <v>20.73322335250973</v>
      </c>
      <c r="F474" s="3" t="n">
        <v>0.009120726549195901</v>
      </c>
      <c r="H474" s="3" t="n">
        <v>88.00878332514293</v>
      </c>
      <c r="I474" s="3" t="n">
        <v>16.07894139318009</v>
      </c>
      <c r="J474" s="3" t="n">
        <v>0.5283629583835258</v>
      </c>
      <c r="K474" s="3" t="n">
        <v>0.02070579182841227</v>
      </c>
      <c r="L474" s="3" t="n">
        <v>8912.519205052862</v>
      </c>
      <c r="M474" s="4" t="n">
        <v>1010007255.58332</v>
      </c>
    </row>
    <row r="475">
      <c r="A475" t="inlineStr">
        <is>
          <t>BBG009S3NB30</t>
        </is>
      </c>
      <c r="B475" t="inlineStr">
        <is>
          <t>goog</t>
        </is>
      </c>
      <c r="C475" s="3" t="n">
        <v>1.185888159019421</v>
      </c>
      <c r="D475" s="3" t="n">
        <v>0.2926678158783165</v>
      </c>
      <c r="E475" s="3" t="n">
        <v>28.36228535506786</v>
      </c>
      <c r="F475" s="3" t="n">
        <v>0.1314921572526177</v>
      </c>
      <c r="H475" s="3" t="n">
        <v>1.472873551432739</v>
      </c>
      <c r="I475" s="3" t="n">
        <v>21.81575581943534</v>
      </c>
      <c r="J475" s="3" t="n">
        <v>0.2261937048695778</v>
      </c>
      <c r="K475" s="3" t="n">
        <v>0.02556088713615574</v>
      </c>
      <c r="L475" s="3" t="n">
        <v>22815.167762312</v>
      </c>
      <c r="M475" s="4" t="n">
        <v>2077705664794.922</v>
      </c>
    </row>
    <row r="476">
      <c r="A476" t="inlineStr">
        <is>
          <t>BBG009S39JX6</t>
        </is>
      </c>
      <c r="B476" t="inlineStr">
        <is>
          <t>googl</t>
        </is>
      </c>
      <c r="C476" s="3" t="n">
        <v>1.190938449572945</v>
      </c>
      <c r="D476" s="3" t="n">
        <v>0.2943010839867275</v>
      </c>
      <c r="E476" s="3" t="n">
        <v>28.35318171913559</v>
      </c>
      <c r="F476" s="3" t="n">
        <v>0.1326946793367966</v>
      </c>
      <c r="H476" s="3" t="n">
        <v>1.472873551432739</v>
      </c>
      <c r="I476" s="3" t="n">
        <v>22.1735264305623</v>
      </c>
      <c r="J476" s="3" t="n">
        <v>0.2286117253977467</v>
      </c>
      <c r="K476" s="3" t="n">
        <v>0.02579464656268474</v>
      </c>
      <c r="L476" s="3" t="n">
        <v>22793.20539379586</v>
      </c>
      <c r="M476" s="4" t="n">
        <v>2058876824340.82</v>
      </c>
    </row>
    <row r="477">
      <c r="A477" t="inlineStr">
        <is>
          <t>BBG00G41B914</t>
        </is>
      </c>
      <c r="B477" t="inlineStr">
        <is>
          <t>goos</t>
        </is>
      </c>
      <c r="C477" s="3" t="n">
        <v>1.03020582960406</v>
      </c>
      <c r="D477" s="3" t="n">
        <v>-0.1153153732122688</v>
      </c>
      <c r="I477" s="3" t="n">
        <v>15.98113883493354</v>
      </c>
      <c r="J477" s="3" t="n">
        <v>0.458183344375997</v>
      </c>
    </row>
    <row r="478">
      <c r="A478" t="inlineStr">
        <is>
          <t>gpc</t>
        </is>
      </c>
      <c r="B478" t="inlineStr">
        <is>
          <t>gpc</t>
        </is>
      </c>
      <c r="C478" s="3" t="n">
        <v>0.6515310565981546</v>
      </c>
      <c r="D478" s="3" t="n">
        <v>-0.1179575498874113</v>
      </c>
      <c r="E478" s="3" t="n">
        <v>23.53263089072761</v>
      </c>
      <c r="F478" s="3" t="n">
        <v>0.2829306497566174</v>
      </c>
      <c r="H478" s="3" t="n">
        <v>3.825947220844509</v>
      </c>
      <c r="I478" s="3" t="n">
        <v>18.79514494463976</v>
      </c>
      <c r="J478" s="3" t="n">
        <v>0.3075947629245707</v>
      </c>
      <c r="K478" s="3" t="n">
        <v>0.06022208608899465</v>
      </c>
      <c r="L478" s="3" t="n">
        <v>13032.01132959711</v>
      </c>
      <c r="M478" s="4" t="n">
        <v>16599375160.51042</v>
      </c>
    </row>
    <row r="479">
      <c r="A479" t="inlineStr">
        <is>
          <t>BBG000GQ7K93</t>
        </is>
      </c>
      <c r="B479" t="inlineStr">
        <is>
          <t>gpk</t>
        </is>
      </c>
      <c r="C479" s="3" t="n">
        <v>0.8178477692721302</v>
      </c>
      <c r="D479" s="3" t="n">
        <v>0.2650193012198012</v>
      </c>
      <c r="E479" s="3" t="n">
        <v>22.87725913233781</v>
      </c>
      <c r="F479" s="3" t="n">
        <v>0.3491039682868196</v>
      </c>
      <c r="G479" s="3" t="n">
        <v>0.005011185682326724</v>
      </c>
      <c r="H479" s="3" t="n">
        <v>3.732469257649562</v>
      </c>
      <c r="I479" s="3" t="n">
        <v>18.02108442079552</v>
      </c>
      <c r="J479" s="3" t="n">
        <v>0.2336123462909809</v>
      </c>
      <c r="K479" s="3" t="n">
        <v>0.01740298944600297</v>
      </c>
      <c r="L479" s="3" t="n">
        <v>11973.2479010106</v>
      </c>
      <c r="M479" s="4" t="n">
        <v>8619208811.681963</v>
      </c>
    </row>
    <row r="480">
      <c r="A480" t="inlineStr">
        <is>
          <t>BBG000CX0P89</t>
        </is>
      </c>
      <c r="B480" t="inlineStr">
        <is>
          <t>gpn</t>
        </is>
      </c>
      <c r="C480" s="3" t="n">
        <v>0.9583565201469705</v>
      </c>
      <c r="D480" s="3" t="n">
        <v>-0.1014850704769998</v>
      </c>
      <c r="E480" s="3" t="n">
        <v>24.11245202298463</v>
      </c>
      <c r="F480" s="3" t="n">
        <v>0.7759041235758687</v>
      </c>
      <c r="G480" s="3" t="n">
        <v>0.03051893898936453</v>
      </c>
      <c r="H480" s="3" t="n">
        <v>2.198779262322542</v>
      </c>
      <c r="I480" s="3" t="n">
        <v>19.31378243313143</v>
      </c>
      <c r="J480" s="3" t="n">
        <v>0.2695226203306257</v>
      </c>
      <c r="K480" s="3" t="n">
        <v>0.01220674053732526</v>
      </c>
      <c r="L480" s="3" t="n">
        <v>14019.2289906628</v>
      </c>
      <c r="M480" s="4" t="n">
        <v>29641819524.33613</v>
      </c>
    </row>
    <row r="481">
      <c r="A481" t="inlineStr">
        <is>
          <t>BBG01N6CGW43</t>
        </is>
      </c>
      <c r="B481" t="inlineStr">
        <is>
          <t>gral</t>
        </is>
      </c>
      <c r="E481" s="3" t="n">
        <v>20.19226048349007</v>
      </c>
      <c r="F481" s="3" t="n">
        <v>4.400640379162988</v>
      </c>
      <c r="H481" s="3" t="n">
        <v>1.204943044073841</v>
      </c>
      <c r="K481" s="3" t="n">
        <v>-3.282133767161007</v>
      </c>
      <c r="L481" s="3" t="n">
        <v>8232.937532533284</v>
      </c>
      <c r="M481" s="4" t="n">
        <v>588013510</v>
      </c>
    </row>
    <row r="482">
      <c r="A482" t="inlineStr">
        <is>
          <t>BBG001QMCKF6</t>
        </is>
      </c>
      <c r="B482" t="inlineStr">
        <is>
          <t>grfs</t>
        </is>
      </c>
      <c r="C482" s="3" t="n">
        <v>0.250435192830073</v>
      </c>
      <c r="D482" s="3" t="n">
        <v>-0.1031992308855212</v>
      </c>
      <c r="I482" s="3" t="n">
        <v>15.91383926931625</v>
      </c>
      <c r="J482" s="3" t="n">
        <v>0.7116168245797088</v>
      </c>
    </row>
    <row r="483">
      <c r="A483" t="inlineStr">
        <is>
          <t>grmn</t>
        </is>
      </c>
      <c r="B483" t="inlineStr">
        <is>
          <t>grmn</t>
        </is>
      </c>
      <c r="C483" s="3" t="n">
        <v>0.6680774463008139</v>
      </c>
      <c r="D483" s="3" t="n">
        <v>0.6546244296112225</v>
      </c>
      <c r="E483" s="3" t="n">
        <v>24.40473833056042</v>
      </c>
      <c r="F483" s="3" t="n">
        <v>0.1890588530637611</v>
      </c>
      <c r="H483" s="3" t="n">
        <v>1.245277222503865</v>
      </c>
      <c r="I483" s="3" t="n">
        <v>18.92650533165891</v>
      </c>
      <c r="J483" s="3" t="n">
        <v>0.3274794398013695</v>
      </c>
      <c r="K483" s="3" t="n">
        <v>0.006478886569108417</v>
      </c>
      <c r="L483" s="3" t="n">
        <v>14535.24868102378</v>
      </c>
      <c r="M483" s="4" t="n">
        <v>39704816136.16539</v>
      </c>
    </row>
    <row r="484">
      <c r="A484" t="inlineStr">
        <is>
          <t>BBG000C6CFJ5</t>
        </is>
      </c>
      <c r="B484" t="inlineStr">
        <is>
          <t>gs</t>
        </is>
      </c>
      <c r="C484" s="3" t="n">
        <v>1.136606888651153</v>
      </c>
      <c r="D484" s="3" t="n">
        <v>0.5451149119927856</v>
      </c>
      <c r="E484" s="3" t="n">
        <v>25.94093720700395</v>
      </c>
      <c r="F484" s="3" t="n">
        <v>0.6568961786013771</v>
      </c>
      <c r="H484" s="3" t="n">
        <v>13.64119636952441</v>
      </c>
      <c r="I484" s="3" t="n">
        <v>20.78510518093929</v>
      </c>
      <c r="J484" s="3" t="n">
        <v>0.2203947799900465</v>
      </c>
      <c r="K484" s="3" t="n">
        <v>0.0162056070463541</v>
      </c>
      <c r="L484" s="3" t="n">
        <v>17456.49254602286</v>
      </c>
      <c r="M484" s="4" t="n">
        <v>184504041806.72</v>
      </c>
    </row>
    <row r="485">
      <c r="A485" t="inlineStr">
        <is>
          <t>BBG000K008L5</t>
        </is>
      </c>
      <c r="B485" t="inlineStr">
        <is>
          <t>gsat</t>
        </is>
      </c>
      <c r="C485" s="3" t="n">
        <v>1.287249450397154</v>
      </c>
      <c r="D485" s="3" t="n">
        <v>-0.3396226520718644</v>
      </c>
      <c r="H485" s="3" t="n">
        <v>2.915011221125799</v>
      </c>
      <c r="I485" s="3" t="n">
        <v>16.98907834429042</v>
      </c>
      <c r="J485" s="3" t="n">
        <v>0.7342093824939881</v>
      </c>
    </row>
    <row r="486">
      <c r="A486" t="inlineStr">
        <is>
          <t>BBG000D0BQK2</t>
        </is>
      </c>
      <c r="B486" t="inlineStr">
        <is>
          <t>gsit</t>
        </is>
      </c>
      <c r="C486" s="3" t="n">
        <v>1.692080090597325</v>
      </c>
      <c r="D486" s="3" t="n">
        <v>0.1480144724382095</v>
      </c>
      <c r="E486" s="3" t="n">
        <v>18.2475430792408</v>
      </c>
      <c r="F486" s="3" t="n">
        <v>0.5776544483314606</v>
      </c>
      <c r="H486" s="3" t="n">
        <v>0.9755464786228134</v>
      </c>
      <c r="I486" s="3" t="n">
        <v>13.18115742236034</v>
      </c>
      <c r="J486" s="3" t="n">
        <v>0.985120516092065</v>
      </c>
      <c r="K486" s="3" t="n">
        <v>-0.04821515763007025</v>
      </c>
      <c r="L486" s="3" t="n">
        <v>6075.936030970249</v>
      </c>
      <c r="M486" s="4" t="n">
        <v>84102181.78475618</v>
      </c>
    </row>
    <row r="487">
      <c r="A487" t="inlineStr">
        <is>
          <t>BBG000BKNX95</t>
        </is>
      </c>
      <c r="B487" t="inlineStr">
        <is>
          <t>gt</t>
        </is>
      </c>
      <c r="C487" s="3" t="n">
        <v>1.76951963728436</v>
      </c>
      <c r="D487" s="3" t="n">
        <v>-0.4233261316849117</v>
      </c>
      <c r="E487" s="3" t="n">
        <v>21.84169291747954</v>
      </c>
      <c r="F487" s="3" t="n">
        <v>1.550634731853568</v>
      </c>
      <c r="H487" s="3" t="n">
        <v>4.752160167597016</v>
      </c>
      <c r="I487" s="3" t="n">
        <v>17.66816187348</v>
      </c>
      <c r="J487" s="3" t="n">
        <v>0.3898422159590011</v>
      </c>
      <c r="K487" s="3" t="n">
        <v>-0.001960760461774796</v>
      </c>
      <c r="L487" s="3" t="n">
        <v>10419.78818356237</v>
      </c>
      <c r="M487" s="4" t="n">
        <v>3060037222.807062</v>
      </c>
    </row>
    <row r="488">
      <c r="A488" t="inlineStr">
        <is>
          <t>BBG000P1K2X6</t>
        </is>
      </c>
      <c r="B488" t="inlineStr">
        <is>
          <t>gtls</t>
        </is>
      </c>
      <c r="C488" s="3" t="n">
        <v>2.038158725324151</v>
      </c>
      <c r="D488" s="3" t="n">
        <v>-0.0715988436975673</v>
      </c>
      <c r="E488" s="3" t="n">
        <v>22.8362916091807</v>
      </c>
      <c r="F488" s="3" t="n">
        <v>0.3591339427062017</v>
      </c>
      <c r="H488" s="3" t="n">
        <v>3.196822831449642</v>
      </c>
      <c r="I488" s="3" t="n">
        <v>18.57918691064381</v>
      </c>
      <c r="J488" s="3" t="n">
        <v>0.4342173459591221</v>
      </c>
      <c r="K488" s="3" t="n">
        <v>0.000410963720113451</v>
      </c>
      <c r="L488" s="3" t="n">
        <v>11909.03962648182</v>
      </c>
      <c r="M488" s="4" t="n">
        <v>8273236378.75</v>
      </c>
    </row>
    <row r="489">
      <c r="A489" t="inlineStr">
        <is>
          <t>BBG000DVB833</t>
        </is>
      </c>
      <c r="B489" t="inlineStr">
        <is>
          <t>gva</t>
        </is>
      </c>
      <c r="C489" s="3" t="n">
        <v>0.870892595163496</v>
      </c>
      <c r="D489" s="3" t="n">
        <v>0.8448675332629167</v>
      </c>
      <c r="E489" s="3" t="n">
        <v>22.18397647869118</v>
      </c>
      <c r="F489" s="3" t="n">
        <v>0.2337176103432503</v>
      </c>
      <c r="H489" s="3" t="n">
        <v>2.793721338034264</v>
      </c>
      <c r="I489" s="3" t="n">
        <v>17.79825552637881</v>
      </c>
      <c r="J489" s="3" t="n">
        <v>0.2051272103410571</v>
      </c>
      <c r="K489" s="3" t="n">
        <v>0.0183222609351361</v>
      </c>
      <c r="L489" s="3" t="n">
        <v>10917.37399892584</v>
      </c>
      <c r="M489" s="4" t="n">
        <v>4309020609.474869</v>
      </c>
    </row>
    <row r="490">
      <c r="A490" t="inlineStr">
        <is>
          <t>BBG000BKR1D6</t>
        </is>
      </c>
      <c r="B490" t="inlineStr">
        <is>
          <t>gww</t>
        </is>
      </c>
      <c r="C490" s="3" t="n">
        <v>0.8698169179704536</v>
      </c>
      <c r="D490" s="3" t="n">
        <v>0.419669917273634</v>
      </c>
      <c r="E490" s="3" t="n">
        <v>24.78288730352546</v>
      </c>
      <c r="F490" s="3" t="n">
        <v>0.06044619053429734</v>
      </c>
      <c r="H490" s="3" t="n">
        <v>2.601769910761699</v>
      </c>
      <c r="I490" s="3" t="n">
        <v>19.24523565539547</v>
      </c>
      <c r="J490" s="3" t="n">
        <v>0.1860361502255843</v>
      </c>
      <c r="K490" s="3" t="n">
        <v>0.008386197145209395</v>
      </c>
      <c r="L490" s="3" t="n">
        <v>15221.43880409146</v>
      </c>
      <c r="M490" s="4" t="n">
        <v>57952370016.63391</v>
      </c>
    </row>
    <row r="491">
      <c r="A491" t="inlineStr">
        <is>
          <t>BBG00YDGX945</t>
        </is>
      </c>
      <c r="B491" t="inlineStr">
        <is>
          <t>gxo</t>
        </is>
      </c>
      <c r="C491" s="3" t="n">
        <v>1.092127391557078</v>
      </c>
      <c r="D491" s="3" t="n">
        <v>0.06309994947865238</v>
      </c>
      <c r="E491" s="3" t="n">
        <v>22.70676408746472</v>
      </c>
      <c r="F491" s="3" t="n">
        <v>0.4006535780505269</v>
      </c>
      <c r="H491" s="3" t="n">
        <v>3.264766482395341</v>
      </c>
      <c r="I491" s="3" t="n">
        <v>18.00150133793484</v>
      </c>
      <c r="J491" s="3" t="n">
        <v>0.3050826291334001</v>
      </c>
      <c r="K491" s="3" t="n">
        <v>0.02146358453842109</v>
      </c>
      <c r="L491" s="3" t="n">
        <v>11707.54251596963</v>
      </c>
      <c r="M491" s="4" t="n">
        <v>7268124282.7491</v>
      </c>
    </row>
    <row r="492">
      <c r="A492" t="inlineStr">
        <is>
          <t>BBG000C7TF41</t>
        </is>
      </c>
      <c r="B492" t="inlineStr">
        <is>
          <t>hae</t>
        </is>
      </c>
      <c r="C492" s="3" t="n">
        <v>0.7069269703937855</v>
      </c>
      <c r="D492" s="3" t="n">
        <v>-0.1200692315406536</v>
      </c>
      <c r="E492" s="3" t="n">
        <v>22.20329719975605</v>
      </c>
      <c r="F492" s="3" t="n">
        <v>0.2185159943202322</v>
      </c>
      <c r="H492" s="3" t="n">
        <v>2.287171637239537</v>
      </c>
      <c r="I492" s="3" t="n">
        <v>17.71006132931146</v>
      </c>
      <c r="J492" s="3" t="n">
        <v>0.3005252029414857</v>
      </c>
      <c r="K492" s="3" t="n">
        <v>0.009342412997733206</v>
      </c>
      <c r="L492" s="3" t="n">
        <v>10945.92369986281</v>
      </c>
      <c r="M492" s="4" t="n">
        <v>4393083457.198456</v>
      </c>
    </row>
    <row r="493">
      <c r="A493" t="inlineStr">
        <is>
          <t>BBG000BQW085</t>
        </is>
      </c>
      <c r="B493" t="inlineStr">
        <is>
          <t>hain</t>
        </is>
      </c>
      <c r="C493" s="3" t="n">
        <v>0.2342304712847411</v>
      </c>
      <c r="D493" s="3" t="n">
        <v>-0.1740775975129761</v>
      </c>
      <c r="E493" s="3" t="n">
        <v>20.43010947103846</v>
      </c>
      <c r="F493" s="3" t="n">
        <v>1.364659469014562</v>
      </c>
      <c r="H493" s="3" t="n">
        <v>2.097253479839265</v>
      </c>
      <c r="I493" s="3" t="n">
        <v>16.07274459929774</v>
      </c>
      <c r="J493" s="3" t="n">
        <v>0.5542610013296849</v>
      </c>
      <c r="K493" s="3" t="n">
        <v>-0.02636124826652468</v>
      </c>
      <c r="L493" s="3" t="n">
        <v>8527.310582409817</v>
      </c>
      <c r="M493" s="4" t="n">
        <v>745905496.3875961</v>
      </c>
    </row>
    <row r="494">
      <c r="A494" t="inlineStr">
        <is>
          <t>BBG000BKTFN2</t>
        </is>
      </c>
      <c r="B494" t="inlineStr">
        <is>
          <t>hal</t>
        </is>
      </c>
      <c r="C494" s="3" t="n">
        <v>0.7182871676767956</v>
      </c>
      <c r="D494" s="3" t="n">
        <v>-0.2357435234665332</v>
      </c>
      <c r="E494" s="3" t="n">
        <v>24.01135003002575</v>
      </c>
      <c r="F494" s="3" t="n">
        <v>0.3843011754317006</v>
      </c>
      <c r="H494" s="3" t="n">
        <v>2.460275835036881</v>
      </c>
      <c r="I494" s="3" t="n">
        <v>19.45346522370543</v>
      </c>
      <c r="J494" s="3" t="n">
        <v>0.2568663084033824</v>
      </c>
      <c r="K494" s="3" t="n">
        <v>0.07379209633143669</v>
      </c>
      <c r="L494" s="3" t="n">
        <v>13843.62212861572</v>
      </c>
      <c r="M494" s="4" t="n">
        <v>26791487140.39138</v>
      </c>
    </row>
    <row r="495">
      <c r="A495" t="inlineStr">
        <is>
          <t>has</t>
        </is>
      </c>
      <c r="B495" t="inlineStr">
        <is>
          <t>has</t>
        </is>
      </c>
      <c r="C495" s="3" t="n">
        <v>0.5997820959901181</v>
      </c>
      <c r="D495" s="3" t="n">
        <v>0.4652975566291142</v>
      </c>
      <c r="E495" s="3" t="n">
        <v>22.85712429757933</v>
      </c>
      <c r="F495" s="3" t="n">
        <v>0.354609787883479</v>
      </c>
      <c r="H495" s="3" t="n">
        <v>1.765958944905923</v>
      </c>
      <c r="I495" s="3" t="n">
        <v>18.28649044645216</v>
      </c>
      <c r="J495" s="3" t="n">
        <v>0.2785433001544018</v>
      </c>
      <c r="K495" s="3" t="n">
        <v>0.03123577238108871</v>
      </c>
      <c r="L495" s="3" t="n">
        <v>11941.66187284766</v>
      </c>
      <c r="M495" s="4" t="n">
        <v>8447397962.488529</v>
      </c>
    </row>
    <row r="496">
      <c r="A496" t="inlineStr">
        <is>
          <t>BBG000BKWSR6</t>
        </is>
      </c>
      <c r="B496" t="inlineStr">
        <is>
          <t>hban</t>
        </is>
      </c>
      <c r="C496" s="3" t="n">
        <v>0.9554469462808443</v>
      </c>
      <c r="D496" s="3" t="n">
        <v>0.4512069401727692</v>
      </c>
      <c r="E496" s="3" t="n">
        <v>23.93029688185367</v>
      </c>
      <c r="F496" s="3" t="n">
        <v>0.8340609903473347</v>
      </c>
      <c r="H496" s="3" t="n">
        <v>9.731874210922456</v>
      </c>
      <c r="I496" s="3" t="n">
        <v>19.13813432798982</v>
      </c>
      <c r="J496" s="3" t="n">
        <v>0.2576987775744395</v>
      </c>
      <c r="K496" s="3" t="n">
        <v>0.02092640648401301</v>
      </c>
      <c r="L496" s="3" t="n">
        <v>13703.90248696573</v>
      </c>
      <c r="M496" s="4" t="n">
        <v>24705627331.38354</v>
      </c>
    </row>
    <row r="497">
      <c r="A497" t="inlineStr">
        <is>
          <t>BBG000QW7VC1</t>
        </is>
      </c>
      <c r="B497" t="inlineStr">
        <is>
          <t>hca</t>
        </is>
      </c>
      <c r="C497" s="3" t="n">
        <v>0.459569391672132</v>
      </c>
      <c r="D497" s="3" t="n">
        <v>0.4436387670148885</v>
      </c>
      <c r="E497" s="3" t="n">
        <v>25.12963024814433</v>
      </c>
      <c r="F497" s="3" t="n">
        <v>-0.02661919987413783</v>
      </c>
      <c r="G497" s="3" t="n">
        <v>0.01336037430396186</v>
      </c>
      <c r="H497" s="3" t="n">
        <v>-25.761228242787</v>
      </c>
      <c r="I497" s="3" t="n">
        <v>20.05996711524238</v>
      </c>
      <c r="J497" s="3" t="n">
        <v>0.241907394220823</v>
      </c>
      <c r="K497" s="3" t="n">
        <v>0.01549330148494732</v>
      </c>
      <c r="L497" s="3" t="n">
        <v>15869.31919367002</v>
      </c>
      <c r="M497" s="4" t="n">
        <v>81970908603.20435</v>
      </c>
    </row>
    <row r="498">
      <c r="A498" t="inlineStr">
        <is>
          <t>BBG00B6VCGJ1</t>
        </is>
      </c>
      <c r="B498" t="inlineStr">
        <is>
          <t>hcm</t>
        </is>
      </c>
      <c r="C498" s="3" t="n">
        <v>0.9647651660450222</v>
      </c>
      <c r="D498" s="3" t="n">
        <v>-0.06639007474372727</v>
      </c>
      <c r="E498" s="3" t="n">
        <v>23.41571459547513</v>
      </c>
      <c r="F498" s="3" t="n">
        <v>0.05011472788951934</v>
      </c>
      <c r="H498" s="3" t="n">
        <v>1.703682282411615</v>
      </c>
      <c r="I498" s="3" t="n">
        <v>14.39688437666313</v>
      </c>
      <c r="J498" s="3" t="n">
        <v>0.569456460294512</v>
      </c>
      <c r="K498" s="3" t="n">
        <v>0.001747112617321126</v>
      </c>
      <c r="L498" s="3" t="n">
        <v>12838.73539136126</v>
      </c>
      <c r="M498" s="4" t="n">
        <v>14767794441.21578</v>
      </c>
    </row>
    <row r="499">
      <c r="A499" t="inlineStr">
        <is>
          <t>BBG000BKYVF0</t>
        </is>
      </c>
      <c r="B499" t="inlineStr">
        <is>
          <t>hcsg</t>
        </is>
      </c>
      <c r="C499" s="3" t="n">
        <v>1.234416707511052</v>
      </c>
      <c r="D499" s="3" t="n">
        <v>0.1297631538549706</v>
      </c>
      <c r="E499" s="3" t="n">
        <v>20.62279518590482</v>
      </c>
      <c r="F499" s="3" t="n">
        <v>0.4786868870352433</v>
      </c>
      <c r="H499" s="3" t="n">
        <v>1.826281380762984</v>
      </c>
      <c r="I499" s="3" t="n">
        <v>15.29308541456803</v>
      </c>
      <c r="J499" s="3" t="n">
        <v>0.379917032447006</v>
      </c>
      <c r="K499" s="3" t="n">
        <v>0.01645047352992481</v>
      </c>
      <c r="L499" s="3" t="n">
        <v>8770.868219663485</v>
      </c>
      <c r="M499" s="4" t="n">
        <v>904411654.5633278</v>
      </c>
    </row>
    <row r="500">
      <c r="A500" t="inlineStr">
        <is>
          <t>BBG000BKZB36</t>
        </is>
      </c>
      <c r="B500" t="inlineStr">
        <is>
          <t>hd</t>
        </is>
      </c>
      <c r="C500" s="3" t="n">
        <v>0.7504758043185995</v>
      </c>
      <c r="D500" s="3" t="n">
        <v>0.2800448617850204</v>
      </c>
      <c r="E500" s="3" t="n">
        <v>26.73960469735239</v>
      </c>
      <c r="F500" s="3" t="n">
        <v>0.002545878833400235</v>
      </c>
      <c r="H500" s="3" t="n">
        <v>93.16475086861614</v>
      </c>
      <c r="I500" s="3" t="n">
        <v>20.9583595290311</v>
      </c>
      <c r="J500" s="3" t="n">
        <v>0.1804338933332395</v>
      </c>
      <c r="K500" s="3" t="n">
        <v>0.008895944429352546</v>
      </c>
      <c r="L500" s="3" t="n">
        <v>19118.99007962528</v>
      </c>
      <c r="M500" s="4" t="n">
        <v>410074504057.6438</v>
      </c>
    </row>
    <row r="501">
      <c r="A501" t="inlineStr">
        <is>
          <t>BBG000NWKS18</t>
        </is>
      </c>
      <c r="B501" t="inlineStr">
        <is>
          <t>hdb</t>
        </is>
      </c>
      <c r="C501" s="3" t="n">
        <v>0.4865630647011841</v>
      </c>
      <c r="D501" s="3" t="n">
        <v>0.06197093480924476</v>
      </c>
      <c r="E501" s="3" t="n">
        <v>26.24658454587091</v>
      </c>
      <c r="F501" s="3" t="n">
        <v>27.7377307951553</v>
      </c>
      <c r="H501" s="3" t="n">
        <v>6.350438155540741</v>
      </c>
      <c r="I501" s="3" t="n">
        <v>18.95147851462375</v>
      </c>
      <c r="J501" s="3" t="n">
        <v>0.2775475099718593</v>
      </c>
      <c r="K501" s="3" t="n">
        <v>2.486003631932863</v>
      </c>
      <c r="L501" s="3" t="n">
        <v>18080.83115952216</v>
      </c>
      <c r="M501" s="4" t="n">
        <v>250464879455.3046</v>
      </c>
    </row>
    <row r="502">
      <c r="A502" t="inlineStr">
        <is>
          <t>BBG000BL16Q7</t>
        </is>
      </c>
      <c r="B502" t="inlineStr">
        <is>
          <t>hei</t>
        </is>
      </c>
      <c r="C502" s="3" t="n">
        <v>0.8845884137245927</v>
      </c>
      <c r="D502" s="3" t="n">
        <v>0.4337159077547215</v>
      </c>
      <c r="E502" s="3" t="n">
        <v>22.71749046443085</v>
      </c>
      <c r="F502" s="3" t="n">
        <v>0.4818585464864172</v>
      </c>
      <c r="H502" s="3" t="n">
        <v>2.032517451521559</v>
      </c>
      <c r="I502" s="3" t="n">
        <v>18.43574979766348</v>
      </c>
      <c r="J502" s="3" t="n">
        <v>0.1881690797603871</v>
      </c>
      <c r="K502" s="3" t="n">
        <v>0.01859074601168918</v>
      </c>
      <c r="L502" s="3" t="n">
        <v>11724.1418225035</v>
      </c>
      <c r="M502" s="4" t="n">
        <v>7346504540.244629</v>
      </c>
    </row>
    <row r="503">
      <c r="A503" t="inlineStr">
        <is>
          <t>BBG00R02H8D5</t>
        </is>
      </c>
      <c r="B503" t="inlineStr">
        <is>
          <t>hesm</t>
        </is>
      </c>
      <c r="C503" s="3" t="n">
        <v>0.5084088974113037</v>
      </c>
      <c r="D503" s="3" t="n">
        <v>0.1278098957116265</v>
      </c>
      <c r="I503" s="3" t="n">
        <v>17.05133345705923</v>
      </c>
      <c r="J503" s="3" t="n">
        <v>0.1679691489285476</v>
      </c>
    </row>
    <row r="504">
      <c r="A504" t="inlineStr">
        <is>
          <t>BBG00Z9FKMG1</t>
        </is>
      </c>
      <c r="B504" t="inlineStr">
        <is>
          <t>hgty</t>
        </is>
      </c>
      <c r="C504" s="3" t="n">
        <v>0.5194127153399052</v>
      </c>
      <c r="D504" s="3" t="n">
        <v>0.2745562959604726</v>
      </c>
      <c r="E504" s="3" t="n">
        <v>22.12591805110443</v>
      </c>
      <c r="F504" s="3" t="n">
        <v>0.03646485788171975</v>
      </c>
      <c r="H504" s="3" t="n">
        <v>10.71198185200835</v>
      </c>
      <c r="I504" s="3" t="n">
        <v>13.66435418802212</v>
      </c>
      <c r="J504" s="3" t="n">
        <v>0.2967816780289182</v>
      </c>
      <c r="K504" s="3" t="n">
        <v>-0.001361544890791492</v>
      </c>
      <c r="L504" s="3" t="n">
        <v>10831.88146014832</v>
      </c>
      <c r="M504" s="4" t="n">
        <v>4065969499.852681</v>
      </c>
    </row>
    <row r="505">
      <c r="A505" t="inlineStr">
        <is>
          <t>BBG00CBYY6M1</t>
        </is>
      </c>
      <c r="B505" t="inlineStr">
        <is>
          <t>hgv</t>
        </is>
      </c>
      <c r="C505" s="3" t="n">
        <v>1.201101846467585</v>
      </c>
      <c r="D505" s="3" t="n">
        <v>0.07647410609869465</v>
      </c>
      <c r="E505" s="3" t="n">
        <v>22.15236417982693</v>
      </c>
      <c r="F505" s="3" t="n">
        <v>0.4419232451953935</v>
      </c>
      <c r="G505" s="3" t="n">
        <v>-0.05590941259731064</v>
      </c>
      <c r="H505" s="3" t="n">
        <v>4.70731707061934</v>
      </c>
      <c r="I505" s="3" t="n">
        <v>17.35508467200489</v>
      </c>
      <c r="J505" s="3" t="n">
        <v>0.3194963560725442</v>
      </c>
      <c r="K505" s="3" t="n">
        <v>0.05868357456524195</v>
      </c>
      <c r="L505" s="3" t="n">
        <v>10870.76850587668</v>
      </c>
      <c r="M505" s="4" t="n">
        <v>4174933135.147308</v>
      </c>
    </row>
    <row r="506">
      <c r="A506" t="inlineStr">
        <is>
          <t>BBG01HTMDZ54</t>
        </is>
      </c>
      <c r="B506" t="inlineStr">
        <is>
          <t>hhh</t>
        </is>
      </c>
      <c r="C506" s="3" t="n">
        <v>1.229390897418369</v>
      </c>
      <c r="D506" s="3" t="n">
        <v>0.08510353143961558</v>
      </c>
      <c r="E506" s="3" t="n">
        <v>22.19319518230171</v>
      </c>
      <c r="F506" s="3" t="n">
        <v>0.6881859385915591</v>
      </c>
      <c r="H506" s="3" t="n">
        <v>3.199938452676397</v>
      </c>
      <c r="I506" s="3" t="n">
        <v>16.5857532673866</v>
      </c>
      <c r="J506" s="3" t="n">
        <v>0.2281363226525244</v>
      </c>
      <c r="K506" s="3" t="n">
        <v>0.01673285976953492</v>
      </c>
      <c r="L506" s="3" t="n">
        <v>10930.99002457084</v>
      </c>
      <c r="M506" s="4" t="n">
        <v>4348927857.254715</v>
      </c>
    </row>
    <row r="507">
      <c r="A507" t="inlineStr">
        <is>
          <t>BBG000G0Z878</t>
        </is>
      </c>
      <c r="B507" t="inlineStr">
        <is>
          <t>hig</t>
        </is>
      </c>
      <c r="C507" s="3" t="n">
        <v>0.4620444938026377</v>
      </c>
      <c r="D507" s="3" t="n">
        <v>0.4322409030182714</v>
      </c>
      <c r="E507" s="3" t="n">
        <v>24.26974562856258</v>
      </c>
      <c r="F507" s="3" t="n">
        <v>0.4902714949378415</v>
      </c>
      <c r="H507" s="3" t="n">
        <v>4.775341015711704</v>
      </c>
      <c r="I507" s="3" t="n">
        <v>18.94067669238909</v>
      </c>
      <c r="J507" s="3" t="n">
        <v>0.1898570670152012</v>
      </c>
      <c r="K507" s="3" t="n">
        <v>0.06508896022869509</v>
      </c>
      <c r="L507" s="3" t="n">
        <v>14295.37898827476</v>
      </c>
      <c r="M507" s="4" t="n">
        <v>34690982802.63279</v>
      </c>
    </row>
    <row r="508">
      <c r="A508" t="inlineStr">
        <is>
          <t>BBG001KJ2HM9</t>
        </is>
      </c>
      <c r="B508" t="inlineStr">
        <is>
          <t>hii</t>
        </is>
      </c>
      <c r="C508" s="3" t="n">
        <v>0.8941887877176584</v>
      </c>
      <c r="D508" s="3" t="n">
        <v>-0.2083913468921341</v>
      </c>
      <c r="E508" s="3" t="n">
        <v>22.75139096746954</v>
      </c>
      <c r="F508" s="3" t="n">
        <v>0.2501373612481727</v>
      </c>
      <c r="H508" s="3" t="n">
        <v>5.59021567301935</v>
      </c>
      <c r="I508" s="3" t="n">
        <v>18.45262276010978</v>
      </c>
      <c r="J508" s="3" t="n">
        <v>0.331857828176178</v>
      </c>
      <c r="K508" s="3" t="n">
        <v>0.07158060206154968</v>
      </c>
      <c r="L508" s="3" t="n">
        <v>11776.706744855</v>
      </c>
      <c r="M508" s="4" t="n">
        <v>7599824313.585022</v>
      </c>
    </row>
    <row r="509">
      <c r="A509" t="inlineStr">
        <is>
          <t>BBG0058KMH30</t>
        </is>
      </c>
      <c r="B509" t="inlineStr">
        <is>
          <t>hlt</t>
        </is>
      </c>
      <c r="C509" s="3" t="n">
        <v>0.9213317452870605</v>
      </c>
      <c r="D509" s="3" t="n">
        <v>0.4049853531517849</v>
      </c>
      <c r="E509" s="3" t="n">
        <v>24.84368682839489</v>
      </c>
      <c r="F509" s="3" t="n">
        <v>-0.05634473946628688</v>
      </c>
      <c r="H509" s="3" t="n">
        <v>-4.809510087841358</v>
      </c>
      <c r="I509" s="3" t="n">
        <v>19.63764764056057</v>
      </c>
      <c r="J509" s="3" t="n">
        <v>0.1468996785554551</v>
      </c>
      <c r="K509" s="3" t="n">
        <v>0.005585760915389823</v>
      </c>
      <c r="L509" s="3" t="n">
        <v>15333.74151948576</v>
      </c>
      <c r="M509" s="4" t="n">
        <v>61585163633.95172</v>
      </c>
    </row>
    <row r="510">
      <c r="A510" t="inlineStr">
        <is>
          <t>BBG00H8V6LH4</t>
        </is>
      </c>
      <c r="B510" t="inlineStr">
        <is>
          <t>hnge</t>
        </is>
      </c>
    </row>
    <row r="511">
      <c r="A511" t="inlineStr">
        <is>
          <t>BBG000BKZTP3</t>
        </is>
      </c>
      <c r="B511" t="inlineStr">
        <is>
          <t>hog</t>
        </is>
      </c>
      <c r="C511" s="3" t="n">
        <v>1.047845707800549</v>
      </c>
      <c r="D511" s="3" t="n">
        <v>0.08625062182914922</v>
      </c>
      <c r="E511" s="3" t="n">
        <v>22.1261476220689</v>
      </c>
      <c r="F511" s="3" t="n">
        <v>0.8138910542633012</v>
      </c>
      <c r="G511" s="3" t="n">
        <v>0.001920197912219423</v>
      </c>
      <c r="H511" s="3" t="n">
        <v>3.7650017390354</v>
      </c>
      <c r="I511" s="3" t="n">
        <v>17.85966422822966</v>
      </c>
      <c r="J511" s="3" t="n">
        <v>0.3591452122999619</v>
      </c>
      <c r="K511" s="3" t="n">
        <v>0.04884527568396967</v>
      </c>
      <c r="L511" s="3" t="n">
        <v>10832.21862734776</v>
      </c>
      <c r="M511" s="4" t="n">
        <v>4066903035.544716</v>
      </c>
    </row>
    <row r="512">
      <c r="A512" t="inlineStr">
        <is>
          <t>BBG000H556T9</t>
        </is>
      </c>
      <c r="B512" t="inlineStr">
        <is>
          <t>hon</t>
        </is>
      </c>
      <c r="C512" s="3" t="n">
        <v>0.5912440165550521</v>
      </c>
      <c r="D512" s="3" t="n">
        <v>0.0669820804797594</v>
      </c>
      <c r="E512" s="3" t="n">
        <v>25.65235853418192</v>
      </c>
      <c r="F512" s="3" t="n">
        <v>0.1258986925433023</v>
      </c>
      <c r="H512" s="3" t="n">
        <v>3.534700677724078</v>
      </c>
      <c r="I512" s="3" t="n">
        <v>20.47812857235136</v>
      </c>
      <c r="J512" s="3" t="n">
        <v>0.1582097290416735</v>
      </c>
      <c r="K512" s="3" t="n">
        <v>0.03197013794331817</v>
      </c>
      <c r="L512" s="3" t="n">
        <v>16880.36775117753</v>
      </c>
      <c r="M512" s="4" t="n">
        <v>138254017164.534</v>
      </c>
    </row>
    <row r="513">
      <c r="A513" t="inlineStr">
        <is>
          <t>hood</t>
        </is>
      </c>
      <c r="B513" t="inlineStr">
        <is>
          <t>hood</t>
        </is>
      </c>
      <c r="C513" s="3" t="n">
        <v>2.466746396091383</v>
      </c>
      <c r="D513" s="3" t="n">
        <v>1.669318097952971</v>
      </c>
      <c r="H513" s="3" t="n">
        <v>5.999583794950113</v>
      </c>
      <c r="I513" s="3" t="n">
        <v>19.99957462842913</v>
      </c>
      <c r="J513" s="3" t="n">
        <v>0.5249207064754057</v>
      </c>
    </row>
    <row r="514">
      <c r="A514" t="inlineStr">
        <is>
          <t>BBG0078W3NQ3</t>
        </is>
      </c>
      <c r="B514" t="inlineStr">
        <is>
          <t>hpe</t>
        </is>
      </c>
      <c r="C514" s="3" t="n">
        <v>1.42769964041363</v>
      </c>
      <c r="D514" s="3" t="n">
        <v>0.1856230223564455</v>
      </c>
      <c r="E514" s="3" t="n">
        <v>24.00028159970263</v>
      </c>
      <c r="F514" s="3" t="n">
        <v>0.8332017909250566</v>
      </c>
      <c r="H514" s="3" t="n">
        <v>2.756352765196524</v>
      </c>
      <c r="I514" s="3" t="n">
        <v>19.48959425054779</v>
      </c>
      <c r="J514" s="3" t="n">
        <v>0.3209774602972709</v>
      </c>
      <c r="K514" s="3" t="n">
        <v>0.04577948871640593</v>
      </c>
      <c r="L514" s="3" t="n">
        <v>13824.48660999565</v>
      </c>
      <c r="M514" s="4" t="n">
        <v>26496582508.12922</v>
      </c>
    </row>
    <row r="515">
      <c r="A515" t="inlineStr">
        <is>
          <t>BBG000KHWT55</t>
        </is>
      </c>
      <c r="B515" t="inlineStr">
        <is>
          <t>hpq</t>
        </is>
      </c>
      <c r="C515" s="3" t="n">
        <v>0.9064258520170718</v>
      </c>
      <c r="D515" s="3" t="n">
        <v>0.2525305727839773</v>
      </c>
      <c r="E515" s="3" t="n">
        <v>24.17400481115676</v>
      </c>
      <c r="F515" s="3" t="n">
        <v>-0.09595961215762985</v>
      </c>
      <c r="H515" s="3" t="n">
        <v>-12.58148760746495</v>
      </c>
      <c r="I515" s="3" t="n">
        <v>19.36415086534776</v>
      </c>
      <c r="J515" s="3" t="n">
        <v>0.301269357037168</v>
      </c>
      <c r="K515" s="3" t="n">
        <v>0.02429919435132049</v>
      </c>
      <c r="L515" s="3" t="n">
        <v>14126.86557468989</v>
      </c>
      <c r="M515" s="4" t="n">
        <v>31523678888.31155</v>
      </c>
    </row>
    <row r="516">
      <c r="A516" t="inlineStr">
        <is>
          <t>BBG000BLDV98</t>
        </is>
      </c>
      <c r="B516" t="inlineStr">
        <is>
          <t>hrb</t>
        </is>
      </c>
      <c r="C516" s="3" t="n">
        <v>0.6315881382498686</v>
      </c>
      <c r="D516" s="3" t="n">
        <v>0.3493219185495129</v>
      </c>
      <c r="E516" s="3" t="n">
        <v>22.75575159910232</v>
      </c>
      <c r="F516" s="3" t="n">
        <v>0.01186867081144223</v>
      </c>
      <c r="H516" s="3" t="n">
        <v>28.14719486779262</v>
      </c>
      <c r="I516" s="3" t="n">
        <v>18.16695328191518</v>
      </c>
      <c r="J516" s="3" t="n">
        <v>0.2801320303166829</v>
      </c>
      <c r="K516" s="3" t="n">
        <v>-0.02141768816473716</v>
      </c>
      <c r="L516" s="3" t="n">
        <v>11783.47956899234</v>
      </c>
      <c r="M516" s="4" t="n">
        <v>7633036708.777229</v>
      </c>
    </row>
    <row r="517">
      <c r="A517" t="inlineStr">
        <is>
          <t>BBG000FNRZ69</t>
        </is>
      </c>
      <c r="B517" t="inlineStr">
        <is>
          <t>hri</t>
        </is>
      </c>
      <c r="C517" s="3" t="n">
        <v>1.665093614269443</v>
      </c>
      <c r="D517" s="3" t="n">
        <v>0.7240880870626918</v>
      </c>
      <c r="E517" s="3" t="n">
        <v>22.57640558356636</v>
      </c>
      <c r="F517" s="3" t="n">
        <v>0.1736726352761148</v>
      </c>
      <c r="H517" s="3" t="n">
        <v>7.375451256881361</v>
      </c>
      <c r="I517" s="3" t="n">
        <v>17.90194192009779</v>
      </c>
      <c r="J517" s="3" t="n">
        <v>0.3976340929060783</v>
      </c>
      <c r="K517" s="3" t="n">
        <v>0.01050186512951236</v>
      </c>
      <c r="L517" s="3" t="n">
        <v>11507.06047847394</v>
      </c>
      <c r="M517" s="4" t="n">
        <v>6379819123.863495</v>
      </c>
    </row>
    <row r="518">
      <c r="A518" t="inlineStr">
        <is>
          <t>hrl</t>
        </is>
      </c>
      <c r="B518" t="inlineStr">
        <is>
          <t>hrl</t>
        </is>
      </c>
      <c r="C518" s="3" t="n">
        <v>0.1450253095072937</v>
      </c>
      <c r="D518" s="3" t="n">
        <v>0.03463895087769253</v>
      </c>
      <c r="H518" s="3" t="n">
        <v>1.666910211772962</v>
      </c>
      <c r="I518" s="3" t="n">
        <v>18.03419535427863</v>
      </c>
      <c r="J518" s="3" t="n">
        <v>0.2662885513046645</v>
      </c>
    </row>
    <row r="519">
      <c r="A519" t="inlineStr">
        <is>
          <t>BBG006D4PF48</t>
        </is>
      </c>
      <c r="B519" t="inlineStr">
        <is>
          <t>hrtg</t>
        </is>
      </c>
      <c r="C519" s="3" t="n">
        <v>1.256963306641173</v>
      </c>
      <c r="D519" s="3" t="n">
        <v>0.1774744512385451</v>
      </c>
      <c r="E519" s="3" t="n">
        <v>19.75937128961102</v>
      </c>
      <c r="F519" s="3" t="n">
        <v>0.6159731823718501</v>
      </c>
      <c r="G519" s="3" t="n">
        <v>0.03146777843067916</v>
      </c>
      <c r="H519" s="3" t="n">
        <v>10.10657411579129</v>
      </c>
      <c r="I519" s="3" t="n">
        <v>15.66267431651792</v>
      </c>
      <c r="J519" s="3" t="n">
        <v>0.7625296166477178</v>
      </c>
      <c r="K519" s="3" t="n">
        <v>0.03765817276441093</v>
      </c>
      <c r="L519" s="3" t="n">
        <v>7714.705745183034</v>
      </c>
      <c r="M519" s="4" t="n">
        <v>381404590.5040741</v>
      </c>
    </row>
    <row r="520">
      <c r="A520" t="inlineStr">
        <is>
          <t>BBG000BNMMJ3</t>
        </is>
      </c>
      <c r="B520" t="inlineStr">
        <is>
          <t>hsic</t>
        </is>
      </c>
      <c r="C520" s="3" t="n">
        <v>0.5516963037030045</v>
      </c>
      <c r="D520" s="3" t="n">
        <v>0.0524501696977111</v>
      </c>
      <c r="E520" s="3" t="n">
        <v>22.98572599285641</v>
      </c>
      <c r="F520" s="3" t="n">
        <v>0.3646415686081219</v>
      </c>
      <c r="H520" s="3" t="n">
        <v>3.018270053377599</v>
      </c>
      <c r="I520" s="3" t="n">
        <v>18.60526354940875</v>
      </c>
      <c r="J520" s="3" t="n">
        <v>0.247402723765007</v>
      </c>
      <c r="K520" s="3" t="n">
        <v>0.01030531409997261</v>
      </c>
      <c r="L520" s="3" t="n">
        <v>12144.36120631715</v>
      </c>
      <c r="M520" s="4" t="n">
        <v>9606694083.197113</v>
      </c>
    </row>
    <row r="521">
      <c r="A521" t="inlineStr">
        <is>
          <t>BBG000BL8804</t>
        </is>
      </c>
      <c r="B521" t="inlineStr">
        <is>
          <t>hst</t>
        </is>
      </c>
      <c r="C521" s="3" t="n">
        <v>1.021369489353524</v>
      </c>
      <c r="D521" s="3" t="n">
        <v>0.04235191659183646</v>
      </c>
      <c r="E521" s="3" t="n">
        <v>23.19327017959223</v>
      </c>
      <c r="F521" s="3" t="n">
        <v>0.5610489333152837</v>
      </c>
      <c r="H521" s="3" t="n">
        <v>1.845771144000336</v>
      </c>
      <c r="I521" s="3" t="n">
        <v>18.61428815457273</v>
      </c>
      <c r="J521" s="3" t="n">
        <v>0.1880303478962078</v>
      </c>
      <c r="K521" s="3" t="n">
        <v>0.05142737094160899</v>
      </c>
      <c r="L521" s="3" t="n">
        <v>12476.30437630396</v>
      </c>
      <c r="M521" s="4" t="n">
        <v>11822498191.45723</v>
      </c>
    </row>
    <row r="522">
      <c r="A522" t="inlineStr">
        <is>
          <t>BBG000BLHRS2</t>
        </is>
      </c>
      <c r="B522" t="inlineStr">
        <is>
          <t>hsy</t>
        </is>
      </c>
      <c r="C522" s="3" t="n">
        <v>0.1407023569717497</v>
      </c>
      <c r="D522" s="3" t="n">
        <v>-0.03514071432211086</v>
      </c>
      <c r="E522" s="3" t="n">
        <v>24.35104154435638</v>
      </c>
      <c r="F522" s="3" t="n">
        <v>0.07327399429770665</v>
      </c>
      <c r="H522" s="3" t="n">
        <v>3.776338851877614</v>
      </c>
      <c r="I522" s="3" t="n">
        <v>19.34177045007182</v>
      </c>
      <c r="J522" s="3" t="n">
        <v>0.2082043547813446</v>
      </c>
      <c r="K522" s="3" t="n">
        <v>0.03398195895242356</v>
      </c>
      <c r="L522" s="3" t="n">
        <v>14439.51561949778</v>
      </c>
      <c r="M522" s="4" t="n">
        <v>37629025500.15651</v>
      </c>
    </row>
    <row r="523">
      <c r="A523" t="inlineStr">
        <is>
          <t>BBG0026ZJ2M2</t>
        </is>
      </c>
      <c r="B523" t="inlineStr">
        <is>
          <t>htfl</t>
        </is>
      </c>
    </row>
    <row r="524">
      <c r="A524" t="inlineStr">
        <is>
          <t>BBG000C2R8K2</t>
        </is>
      </c>
      <c r="B524" t="inlineStr">
        <is>
          <t>htgc</t>
        </is>
      </c>
      <c r="C524" s="3" t="n">
        <v>0.8191065163017529</v>
      </c>
      <c r="D524" s="3" t="n">
        <v>0.3806383007642755</v>
      </c>
      <c r="E524" s="3" t="n">
        <v>21.6847993798085</v>
      </c>
      <c r="F524" s="3" t="n">
        <v>0.7097685774297732</v>
      </c>
      <c r="H524" s="3" t="n">
        <v>1.840475721385436</v>
      </c>
      <c r="I524" s="3" t="n">
        <v>16.44838806611476</v>
      </c>
      <c r="J524" s="3" t="n">
        <v>0.1924163317183392</v>
      </c>
      <c r="K524" s="3" t="n">
        <v>0.02626863810129954</v>
      </c>
      <c r="L524" s="3" t="n">
        <v>10196.85457829325</v>
      </c>
      <c r="M524" s="4" t="n">
        <v>2615704693.511772</v>
      </c>
    </row>
    <row r="525">
      <c r="A525" t="inlineStr">
        <is>
          <t>BBG000BT1ZY7</t>
        </is>
      </c>
      <c r="B525" t="inlineStr">
        <is>
          <t>hto</t>
        </is>
      </c>
      <c r="C525" s="3" t="n">
        <v>0.2967313442988235</v>
      </c>
      <c r="D525" s="3" t="n">
        <v>-0.1345609501794067</v>
      </c>
      <c r="E525" s="3" t="n">
        <v>21.29047015802064</v>
      </c>
      <c r="F525" s="3" t="n">
        <v>0.7033571054126043</v>
      </c>
      <c r="H525" s="3" t="n">
        <v>3.670468313534544</v>
      </c>
      <c r="I525" s="3" t="n">
        <v>16.18366988545532</v>
      </c>
      <c r="J525" s="3" t="n">
        <v>0.2221363711949771</v>
      </c>
      <c r="K525" s="3" t="n">
        <v>0.006538763061192717</v>
      </c>
      <c r="L525" s="3" t="n">
        <v>9650.63202037472</v>
      </c>
      <c r="M525" s="4" t="n">
        <v>1763330447.296875</v>
      </c>
    </row>
    <row r="526">
      <c r="A526" t="inlineStr">
        <is>
          <t>BBG011N57109</t>
        </is>
      </c>
      <c r="B526" t="inlineStr">
        <is>
          <t>htz</t>
        </is>
      </c>
      <c r="C526" s="3" t="n">
        <v>1.544104689308668</v>
      </c>
      <c r="D526" s="3" t="n">
        <v>-0.6666666761957863</v>
      </c>
      <c r="E526" s="3" t="n">
        <v>21.13465555602136</v>
      </c>
      <c r="F526" s="3" t="n">
        <v>1.297622605237996</v>
      </c>
      <c r="H526" s="3" t="n">
        <v>12.56639427345945</v>
      </c>
      <c r="I526" s="3" t="n">
        <v>16.82830159311559</v>
      </c>
      <c r="J526" s="3" t="n">
        <v>0.7514805443529323</v>
      </c>
      <c r="K526" s="3" t="n">
        <v>0.4168562914681815</v>
      </c>
      <c r="L526" s="3" t="n">
        <v>9440.294065689137</v>
      </c>
      <c r="M526" s="4" t="n">
        <v>1508913293.278566</v>
      </c>
    </row>
    <row r="527">
      <c r="A527" t="inlineStr">
        <is>
          <t>hubb</t>
        </is>
      </c>
      <c r="B527" t="inlineStr">
        <is>
          <t>hubb</t>
        </is>
      </c>
      <c r="C527" s="3" t="n">
        <v>1.490937170157325</v>
      </c>
      <c r="D527" s="3" t="n">
        <v>0.4370810134734857</v>
      </c>
      <c r="E527" s="3" t="n">
        <v>23.91088674051993</v>
      </c>
      <c r="F527" s="3" t="n">
        <v>0.1326828551742071</v>
      </c>
      <c r="H527" s="3" t="n">
        <v>2.150544322814761</v>
      </c>
      <c r="I527" s="3" t="n">
        <v>18.9558631294587</v>
      </c>
      <c r="J527" s="3" t="n">
        <v>0.2300302655079575</v>
      </c>
      <c r="K527" s="3" t="n">
        <v>0.02429974031930734</v>
      </c>
      <c r="L527" s="3" t="n">
        <v>13670.58334441172</v>
      </c>
      <c r="M527" s="4" t="n">
        <v>24230711614.14304</v>
      </c>
    </row>
    <row r="528">
      <c r="A528" t="inlineStr">
        <is>
          <t>BBG000N7MZ06</t>
        </is>
      </c>
      <c r="B528" t="inlineStr">
        <is>
          <t>hubs</t>
        </is>
      </c>
      <c r="C528" s="3" t="n">
        <v>1.15678661181271</v>
      </c>
      <c r="D528" s="3" t="n">
        <v>0.1232158124714475</v>
      </c>
      <c r="E528" s="3" t="n">
        <v>24.34019733646738</v>
      </c>
      <c r="F528" s="3" t="n">
        <v>0.02938019275602815</v>
      </c>
      <c r="H528" s="3" t="n">
        <v>3.25254200415084</v>
      </c>
      <c r="I528" s="3" t="n">
        <v>19.44511253050387</v>
      </c>
      <c r="J528" s="3" t="n">
        <v>0.3371588997697613</v>
      </c>
      <c r="K528" s="3" t="n">
        <v>-0.003990068221530954</v>
      </c>
      <c r="L528" s="3" t="n">
        <v>14420.2332342889</v>
      </c>
      <c r="M528" s="4" t="n">
        <v>37223173076.22949</v>
      </c>
    </row>
    <row r="529">
      <c r="A529" t="inlineStr">
        <is>
          <t>BBG000BLKK03</t>
        </is>
      </c>
      <c r="B529" t="inlineStr">
        <is>
          <t>hum</t>
        </is>
      </c>
      <c r="C529" s="3" t="n">
        <v>0.422883816053772</v>
      </c>
      <c r="D529" s="3" t="n">
        <v>-0.4630441244211401</v>
      </c>
      <c r="E529" s="3" t="n">
        <v>24.27563581955014</v>
      </c>
      <c r="F529" s="3" t="n">
        <v>0.5033539407026917</v>
      </c>
      <c r="H529" s="3" t="n">
        <v>2.846968402912214</v>
      </c>
      <c r="I529" s="3" t="n">
        <v>20.31981576609719</v>
      </c>
      <c r="J529" s="3" t="n">
        <v>0.3890841291743613</v>
      </c>
      <c r="K529" s="3" t="n">
        <v>0.08682962939534049</v>
      </c>
      <c r="L529" s="3" t="n">
        <v>14305.78984520436</v>
      </c>
      <c r="M529" s="4" t="n">
        <v>34895922290.73557</v>
      </c>
    </row>
    <row r="530">
      <c r="A530" t="inlineStr">
        <is>
          <t>BBG000NS26Q8</t>
        </is>
      </c>
      <c r="B530" t="inlineStr">
        <is>
          <t>hun</t>
        </is>
      </c>
      <c r="C530" s="3" t="n">
        <v>0.9019063059831445</v>
      </c>
      <c r="D530" s="3" t="n">
        <v>-0.06803910962115767</v>
      </c>
      <c r="E530" s="3" t="n">
        <v>21.84989535648032</v>
      </c>
      <c r="F530" s="3" t="n">
        <v>1.053726703377107</v>
      </c>
      <c r="H530" s="3" t="n">
        <v>2.255921254304546</v>
      </c>
      <c r="I530" s="3" t="n">
        <v>17.4710775479191</v>
      </c>
      <c r="J530" s="3" t="n">
        <v>0.2423737919070657</v>
      </c>
      <c r="K530" s="3" t="n">
        <v>0.05574930574618959</v>
      </c>
      <c r="L530" s="3" t="n">
        <v>10431.53174820547</v>
      </c>
      <c r="M530" s="4" t="n">
        <v>3085240213.166363</v>
      </c>
    </row>
    <row r="531">
      <c r="A531" t="inlineStr">
        <is>
          <t>BBG000CBC7D8</t>
        </is>
      </c>
      <c r="B531" t="inlineStr">
        <is>
          <t>hwc</t>
        </is>
      </c>
      <c r="C531" s="3" t="n">
        <v>1.208769046583587</v>
      </c>
      <c r="D531" s="3" t="n">
        <v>0.3015627301331254</v>
      </c>
      <c r="E531" s="3" t="n">
        <v>22.30208479017893</v>
      </c>
      <c r="F531" s="3" t="n">
        <v>0.7329987379385946</v>
      </c>
      <c r="G531" s="3" t="n">
        <v>0.03749976740392058</v>
      </c>
      <c r="H531" s="3" t="n">
        <v>9.913727646518439</v>
      </c>
      <c r="I531" s="3" t="n">
        <v>17.10579379066412</v>
      </c>
      <c r="J531" s="3" t="n">
        <v>0.3046066102516827</v>
      </c>
      <c r="K531" s="3" t="n">
        <v>0.008281529068384769</v>
      </c>
      <c r="L531" s="3" t="n">
        <v>11092.67752670413</v>
      </c>
      <c r="M531" s="4" t="n">
        <v>4849225265.057373</v>
      </c>
    </row>
    <row r="532">
      <c r="A532" t="inlineStr">
        <is>
          <t>hwm</t>
        </is>
      </c>
      <c r="B532" t="inlineStr">
        <is>
          <t>hwm</t>
        </is>
      </c>
      <c r="C532" s="3" t="n">
        <v>1.255607955527147</v>
      </c>
      <c r="D532" s="3" t="n">
        <v>0.9002421067080204</v>
      </c>
      <c r="E532" s="3" t="n">
        <v>24.59273704691192</v>
      </c>
      <c r="F532" s="3" t="n">
        <v>0.08080632469815915</v>
      </c>
      <c r="H532" s="3" t="n">
        <v>2.726756197642883</v>
      </c>
      <c r="I532" s="3" t="n">
        <v>19.31120825530532</v>
      </c>
      <c r="J532" s="3" t="n">
        <v>0.3021636064981559</v>
      </c>
      <c r="K532" s="3" t="n">
        <v>0.01103991367906152</v>
      </c>
      <c r="L532" s="3" t="n">
        <v>14873.75414653051</v>
      </c>
      <c r="M532" s="4" t="n">
        <v>47917041325.44716</v>
      </c>
    </row>
    <row r="533">
      <c r="A533" t="inlineStr">
        <is>
          <t>BBG000BLN9N0</t>
        </is>
      </c>
      <c r="B533" t="inlineStr">
        <is>
          <t>ibcp</t>
        </is>
      </c>
      <c r="C533" s="3" t="n">
        <v>1.113134240541981</v>
      </c>
      <c r="D533" s="3" t="n">
        <v>0.5569892788474395</v>
      </c>
      <c r="E533" s="3" t="n">
        <v>20.43382791835084</v>
      </c>
      <c r="F533" s="3" t="n">
        <v>0.501095073868047</v>
      </c>
      <c r="H533" s="3" t="n">
        <v>14.03054143535182</v>
      </c>
      <c r="I533" s="3" t="n">
        <v>14.98671988807457</v>
      </c>
      <c r="J533" s="3" t="n">
        <v>0.3193042770692548</v>
      </c>
      <c r="K533" s="3" t="n">
        <v>0.02343177315630887</v>
      </c>
      <c r="L533" s="3" t="n">
        <v>8531.967551090158</v>
      </c>
      <c r="M533" s="4" t="n">
        <v>748684269.8391724</v>
      </c>
    </row>
    <row r="534">
      <c r="A534" t="inlineStr">
        <is>
          <t>BBG000LV0836</t>
        </is>
      </c>
      <c r="B534" t="inlineStr">
        <is>
          <t>ibkr</t>
        </is>
      </c>
      <c r="C534" s="3" t="n">
        <v>0.7972641482266187</v>
      </c>
      <c r="D534" s="3" t="n">
        <v>0.9697100504037717</v>
      </c>
      <c r="E534" s="3" t="n">
        <v>21.41777910425724</v>
      </c>
      <c r="F534" s="3" t="n">
        <v>2.069670718171012</v>
      </c>
      <c r="H534" s="3" t="n">
        <v>35.83256935203075</v>
      </c>
      <c r="I534" s="3" t="n">
        <v>18.84240290391632</v>
      </c>
      <c r="J534" s="3" t="n">
        <v>0.2396160697522176</v>
      </c>
      <c r="K534" s="3" t="n">
        <v>0.02223610279669715</v>
      </c>
      <c r="L534" s="3" t="n">
        <v>9824.790654775237</v>
      </c>
      <c r="M534" s="4" t="n">
        <v>2002734039.544853</v>
      </c>
    </row>
    <row r="535">
      <c r="A535" t="inlineStr">
        <is>
          <t>BBG000BLNNH6</t>
        </is>
      </c>
      <c r="B535" t="inlineStr">
        <is>
          <t>ibm</t>
        </is>
      </c>
      <c r="C535" s="3" t="n">
        <v>0.7584176262114811</v>
      </c>
      <c r="D535" s="3" t="n">
        <v>0.3403003127731272</v>
      </c>
      <c r="E535" s="3" t="n">
        <v>26.03314744673669</v>
      </c>
      <c r="F535" s="3" t="n">
        <v>0.1208345291722969</v>
      </c>
      <c r="H535" s="3" t="n">
        <v>5.531781740611429</v>
      </c>
      <c r="I535" s="3" t="n">
        <v>20.59604825588122</v>
      </c>
      <c r="J535" s="3" t="n">
        <v>0.2068617204757268</v>
      </c>
      <c r="K535" s="3" t="n">
        <v>0.0208277448434252</v>
      </c>
      <c r="L535" s="3" t="n">
        <v>17643.30876115443</v>
      </c>
      <c r="M535" s="4" t="n">
        <v>202326273519.2104</v>
      </c>
    </row>
    <row r="536">
      <c r="A536" t="inlineStr">
        <is>
          <t>BBG000DRM643</t>
        </is>
      </c>
      <c r="B536" t="inlineStr">
        <is>
          <t>ibn</t>
        </is>
      </c>
      <c r="C536" s="3" t="n">
        <v>0.5334563378129181</v>
      </c>
      <c r="D536" s="3" t="n">
        <v>0.3834315570847828</v>
      </c>
      <c r="I536" s="3" t="n">
        <v>18.9295926147751</v>
      </c>
      <c r="J536" s="3" t="n">
        <v>0.2268411751915812</v>
      </c>
    </row>
    <row r="537">
      <c r="A537" t="inlineStr">
        <is>
          <t>BBG000C1FB75</t>
        </is>
      </c>
      <c r="B537" t="inlineStr">
        <is>
          <t>ice</t>
        </is>
      </c>
      <c r="C537" s="3" t="n">
        <v>0.5769533257354998</v>
      </c>
      <c r="D537" s="3" t="n">
        <v>0.3870521978568693</v>
      </c>
      <c r="E537" s="3" t="n">
        <v>25.22851109474911</v>
      </c>
      <c r="F537" s="3" t="n">
        <v>0.300948602513786</v>
      </c>
      <c r="H537" s="3" t="n">
        <v>4.964601769729203</v>
      </c>
      <c r="I537" s="3" t="n">
        <v>19.93295790432966</v>
      </c>
      <c r="J537" s="3" t="n">
        <v>0.1481585636371465</v>
      </c>
      <c r="K537" s="3" t="n">
        <v>0.007260427857803305</v>
      </c>
      <c r="L537" s="3" t="n">
        <v>16057.38653392339</v>
      </c>
      <c r="M537" s="4" t="n">
        <v>90490534836.26511</v>
      </c>
    </row>
    <row r="538">
      <c r="A538" t="inlineStr">
        <is>
          <t>BBG000BLR3Y7</t>
        </is>
      </c>
      <c r="B538" t="inlineStr">
        <is>
          <t>ida</t>
        </is>
      </c>
      <c r="C538" s="3" t="n">
        <v>0.1434558604324752</v>
      </c>
      <c r="D538" s="3" t="n">
        <v>0.1001070302029023</v>
      </c>
      <c r="E538" s="3" t="n">
        <v>22.52414894274784</v>
      </c>
      <c r="F538" s="3" t="n">
        <v>0.4823935116510408</v>
      </c>
      <c r="H538" s="3" t="n">
        <v>2.901828175291212</v>
      </c>
      <c r="I538" s="3" t="n">
        <v>17.33620174945381</v>
      </c>
      <c r="J538" s="3" t="n">
        <v>0.1760192008057493</v>
      </c>
      <c r="K538" s="3" t="n">
        <v>0.03797461474742578</v>
      </c>
      <c r="L538" s="3" t="n">
        <v>11427.34058495317</v>
      </c>
      <c r="M538" s="4" t="n">
        <v>6054992301.866928</v>
      </c>
    </row>
    <row r="539">
      <c r="A539" t="inlineStr">
        <is>
          <t>BBG000BLRT07</t>
        </is>
      </c>
      <c r="B539" t="inlineStr">
        <is>
          <t>idxx</t>
        </is>
      </c>
      <c r="C539" s="3" t="n">
        <v>1.076116439433662</v>
      </c>
      <c r="D539" s="3" t="n">
        <v>-0.1264436756051334</v>
      </c>
      <c r="E539" s="3" t="n">
        <v>24.26523499999709</v>
      </c>
      <c r="F539" s="3" t="n">
        <v>0.0176267415626493</v>
      </c>
      <c r="H539" s="3" t="n">
        <v>5.504455938271444</v>
      </c>
      <c r="I539" s="3" t="n">
        <v>19.36533231926752</v>
      </c>
      <c r="J539" s="3" t="n">
        <v>0.246141571229889</v>
      </c>
      <c r="K539" s="3" t="n">
        <v>0.006493033972047417</v>
      </c>
      <c r="L539" s="3" t="n">
        <v>14287.40991074861</v>
      </c>
      <c r="M539" s="4" t="n">
        <v>34534857042</v>
      </c>
    </row>
    <row r="540">
      <c r="A540" t="inlineStr">
        <is>
          <t>BBG000C1HN22</t>
        </is>
      </c>
      <c r="B540" t="inlineStr">
        <is>
          <t>iex</t>
        </is>
      </c>
      <c r="C540" s="3" t="n">
        <v>0.828172796995809</v>
      </c>
      <c r="D540" s="3" t="n">
        <v>0.0780268931795387</v>
      </c>
      <c r="E540" s="3" t="n">
        <v>23.56117788809199</v>
      </c>
      <c r="F540" s="3" t="n">
        <v>0.223588129299665</v>
      </c>
      <c r="H540" s="3" t="n">
        <v>1.535834925885508</v>
      </c>
      <c r="I540" s="3" t="n">
        <v>18.64548841645981</v>
      </c>
      <c r="J540" s="3" t="n">
        <v>0.1788261722859594</v>
      </c>
      <c r="K540" s="3" t="n">
        <v>0.02235354362947763</v>
      </c>
      <c r="L540" s="3" t="n">
        <v>13079.49555781535</v>
      </c>
      <c r="M540" s="4" t="n">
        <v>17080065975.4978</v>
      </c>
    </row>
    <row r="541">
      <c r="A541" t="inlineStr">
        <is>
          <t>BBG000BLSL58</t>
        </is>
      </c>
      <c r="B541" t="inlineStr">
        <is>
          <t>iff</t>
        </is>
      </c>
      <c r="C541" s="3" t="n">
        <v>0.5597616228966262</v>
      </c>
      <c r="D541" s="3" t="n">
        <v>0.349396212412864</v>
      </c>
      <c r="E541" s="3" t="n">
        <v>23.84057261907842</v>
      </c>
      <c r="F541" s="3" t="n">
        <v>0.6469203411135628</v>
      </c>
      <c r="H541" s="3" t="n">
        <v>2.120183423302978</v>
      </c>
      <c r="I541" s="3" t="n">
        <v>18.68602618750739</v>
      </c>
      <c r="J541" s="3" t="n">
        <v>0.2513726378010096</v>
      </c>
      <c r="K541" s="3" t="n">
        <v>0.002612298961446869</v>
      </c>
      <c r="L541" s="3" t="n">
        <v>13550.33546405216</v>
      </c>
      <c r="M541" s="4" t="n">
        <v>22585470066.07141</v>
      </c>
    </row>
    <row r="542">
      <c r="A542" t="inlineStr">
        <is>
          <t>BBG000Q218R8</t>
        </is>
      </c>
      <c r="B542" t="inlineStr">
        <is>
          <t>iii</t>
        </is>
      </c>
      <c r="C542" s="3" t="n">
        <v>0.95435435227662</v>
      </c>
      <c r="D542" s="3" t="n">
        <v>-0.2242450385304392</v>
      </c>
      <c r="E542" s="3" t="n">
        <v>18.9421962376638</v>
      </c>
      <c r="F542" s="3" t="n">
        <v>0.6059794115569119</v>
      </c>
      <c r="G542" s="3" t="n">
        <v>-0.04918068413960963</v>
      </c>
      <c r="H542" s="3" t="n">
        <v>2.225132714630075</v>
      </c>
      <c r="I542" s="3" t="n">
        <v>12.56627504641536</v>
      </c>
      <c r="J542" s="3" t="n">
        <v>0.3350939460993335</v>
      </c>
      <c r="K542" s="3" t="n">
        <v>0.006814760334508874</v>
      </c>
      <c r="L542" s="3" t="n">
        <v>6796.58878492323</v>
      </c>
      <c r="M542" s="4" t="n">
        <v>168457867.4574876</v>
      </c>
    </row>
    <row r="543">
      <c r="A543" t="inlineStr">
        <is>
          <t>BBG000DSMS70</t>
        </is>
      </c>
      <c r="B543" t="inlineStr">
        <is>
          <t>ilmn</t>
        </is>
      </c>
      <c r="C543" s="3" t="n">
        <v>1.257954984077947</v>
      </c>
      <c r="D543" s="3" t="n">
        <v>0.453417590192589</v>
      </c>
      <c r="E543" s="3" t="n">
        <v>23.85275024895175</v>
      </c>
      <c r="F543" s="3" t="n">
        <v>0.292754118616737</v>
      </c>
      <c r="H543" s="3" t="n">
        <v>1.510682802702722</v>
      </c>
      <c r="I543" s="3" t="n">
        <v>19.38753363632764</v>
      </c>
      <c r="J543" s="3" t="n">
        <v>0.3731843995109288</v>
      </c>
      <c r="K543" s="3" t="n">
        <v>0.03083694212233671</v>
      </c>
      <c r="L543" s="3" t="n">
        <v>13571.11037666873</v>
      </c>
      <c r="M543" s="4" t="n">
        <v>22862189031.98242</v>
      </c>
    </row>
    <row r="544">
      <c r="A544" t="inlineStr">
        <is>
          <t>BBG000K8KKL9</t>
        </is>
      </c>
      <c r="B544" t="inlineStr">
        <is>
          <t>imax</t>
        </is>
      </c>
      <c r="C544" s="3" t="n">
        <v>0.1573843059636854</v>
      </c>
      <c r="D544" s="3" t="n">
        <v>0.5235109421722381</v>
      </c>
      <c r="E544" s="3" t="n">
        <v>21.05012566204397</v>
      </c>
      <c r="F544" s="3" t="n">
        <v>0.2087382942335105</v>
      </c>
      <c r="G544" s="3" t="n">
        <v>-0.01149197951804304</v>
      </c>
      <c r="H544" s="3" t="n">
        <v>2.928295514312925</v>
      </c>
      <c r="I544" s="3" t="n">
        <v>16.50700360711045</v>
      </c>
      <c r="J544" s="3" t="n">
        <v>0.3540258784970897</v>
      </c>
      <c r="K544" s="3" t="n">
        <v>0.01496674873454088</v>
      </c>
      <c r="L544" s="3" t="n">
        <v>9327.474669494717</v>
      </c>
      <c r="M544" s="4" t="n">
        <v>1386607095.042534</v>
      </c>
    </row>
    <row r="545">
      <c r="A545" t="inlineStr">
        <is>
          <t>BBG00P5MC0Q8</t>
        </is>
      </c>
      <c r="B545" t="inlineStr">
        <is>
          <t>imvt</t>
        </is>
      </c>
      <c r="C545" s="3" t="n">
        <v>1.167780397480704</v>
      </c>
      <c r="D545" s="3" t="n">
        <v>-0.2522361505191956</v>
      </c>
      <c r="E545" s="3" t="n">
        <v>22.14379903494532</v>
      </c>
      <c r="F545" s="3" t="n">
        <v>0.08757317454890286</v>
      </c>
      <c r="H545" s="3" t="n">
        <v>1.422663543609926</v>
      </c>
      <c r="I545" s="3" t="n">
        <v>17.08915136183579</v>
      </c>
      <c r="J545" s="3" t="n">
        <v>0.4492706943507461</v>
      </c>
      <c r="K545" s="3" t="n">
        <v>-0.04741567969549459</v>
      </c>
      <c r="L545" s="3" t="n">
        <v>10858.16393096219</v>
      </c>
      <c r="M545" s="4" t="n">
        <v>4139326931.787792</v>
      </c>
    </row>
    <row r="546">
      <c r="A546" t="inlineStr">
        <is>
          <t>BBG000BNPSQ9</t>
        </is>
      </c>
      <c r="B546" t="inlineStr">
        <is>
          <t>incy</t>
        </is>
      </c>
      <c r="C546" s="3" t="n">
        <v>0.403256522943996</v>
      </c>
      <c r="D546" s="3" t="n">
        <v>0.3640044633502295</v>
      </c>
      <c r="E546" s="3" t="n">
        <v>23.3883933224751</v>
      </c>
      <c r="F546" s="3" t="n">
        <v>0.361163254119608</v>
      </c>
      <c r="H546" s="3" t="n">
        <v>1.306805396526556</v>
      </c>
      <c r="I546" s="3" t="n">
        <v>18.79365056705902</v>
      </c>
      <c r="J546" s="3" t="n">
        <v>0.3058747520713308</v>
      </c>
      <c r="K546" s="3" t="n">
        <v>0.01416500326494608</v>
      </c>
      <c r="L546" s="3" t="n">
        <v>12793.84739839022</v>
      </c>
      <c r="M546" s="4" t="n">
        <v>14369781367.40372</v>
      </c>
    </row>
    <row r="547">
      <c r="A547" t="inlineStr">
        <is>
          <t>BBG00Z3XTNX8</t>
        </is>
      </c>
      <c r="B547" t="inlineStr">
        <is>
          <t>indi</t>
        </is>
      </c>
      <c r="C547" s="3" t="n">
        <v>2.741618963201817</v>
      </c>
      <c r="D547" s="3" t="n">
        <v>-0.5563002780356917</v>
      </c>
      <c r="H547" s="3" t="n">
        <v>1.835431656609268</v>
      </c>
      <c r="I547" s="3" t="n">
        <v>16.44064885720828</v>
      </c>
      <c r="J547" s="3" t="n">
        <v>0.8469824471301975</v>
      </c>
    </row>
    <row r="548">
      <c r="A548" t="inlineStr">
        <is>
          <t>BBG000BSGQL7</t>
        </is>
      </c>
      <c r="B548" t="inlineStr">
        <is>
          <t>infy</t>
        </is>
      </c>
      <c r="C548" s="3" t="n">
        <v>0.6561366064167069</v>
      </c>
      <c r="D548" s="3" t="n">
        <v>0.2295194902321505</v>
      </c>
      <c r="I548" s="3" t="n">
        <v>18.95576248488742</v>
      </c>
      <c r="J548" s="3" t="n">
        <v>0.2167928745288791</v>
      </c>
    </row>
    <row r="549">
      <c r="A549" t="inlineStr">
        <is>
          <t>BBG01Q381K59</t>
        </is>
      </c>
      <c r="B549" t="inlineStr">
        <is>
          <t>ingm</t>
        </is>
      </c>
      <c r="E549" s="3" t="n">
        <v>22.4227582078756</v>
      </c>
      <c r="F549" s="3" t="n">
        <v>0.6330831255229009</v>
      </c>
      <c r="H549" s="3" t="n">
        <v>5.359210150587533</v>
      </c>
      <c r="K549" s="3" t="n">
        <v>0.01406810773099099</v>
      </c>
      <c r="L549" s="3" t="n">
        <v>11273.71629223921</v>
      </c>
      <c r="M549" s="4" t="n">
        <v>5471169361.063032</v>
      </c>
    </row>
    <row r="550">
      <c r="A550" t="inlineStr">
        <is>
          <t>BBG000BWM5P3</t>
        </is>
      </c>
      <c r="B550" t="inlineStr">
        <is>
          <t>insm</t>
        </is>
      </c>
      <c r="C550" s="3" t="n">
        <v>1.015854460361968</v>
      </c>
      <c r="D550" s="3" t="n">
        <v>1.689048663003521</v>
      </c>
      <c r="E550" s="3" t="n">
        <v>23.3219719813214</v>
      </c>
      <c r="F550" s="3" t="n">
        <v>-0.0246850271095863</v>
      </c>
      <c r="H550" s="3" t="n">
        <v>-6.185085113671199</v>
      </c>
      <c r="I550" s="3" t="n">
        <v>18.52311169739838</v>
      </c>
      <c r="J550" s="3" t="n">
        <v>1.25093081401027</v>
      </c>
      <c r="K550" s="3" t="n">
        <v>-0.01181980583932984</v>
      </c>
      <c r="L550" s="3" t="n">
        <v>12685.15586290673</v>
      </c>
      <c r="M550" s="4" t="n">
        <v>13446329165.52133</v>
      </c>
    </row>
    <row r="551">
      <c r="A551" t="inlineStr">
        <is>
          <t>BBG000C0G1D1</t>
        </is>
      </c>
      <c r="B551" t="inlineStr">
        <is>
          <t>intc</t>
        </is>
      </c>
      <c r="C551" s="3" t="n">
        <v>2.235272540881934</v>
      </c>
      <c r="D551" s="3" t="n">
        <v>-0.5121204956232721</v>
      </c>
      <c r="E551" s="3" t="n">
        <v>25.36503451945047</v>
      </c>
      <c r="F551" s="3" t="n">
        <v>0.9595513169005523</v>
      </c>
      <c r="H551" s="3" t="n">
        <v>1.944520355243093</v>
      </c>
      <c r="I551" s="3" t="n">
        <v>21.27504930888488</v>
      </c>
      <c r="J551" s="3" t="n">
        <v>0.4280150656994728</v>
      </c>
      <c r="K551" s="3" t="n">
        <v>-0.1604104645933799</v>
      </c>
      <c r="L551" s="3" t="n">
        <v>16319.48212992178</v>
      </c>
      <c r="M551" s="4" t="n">
        <v>103727646709.4421</v>
      </c>
    </row>
    <row r="552">
      <c r="A552" t="inlineStr">
        <is>
          <t>BBG000BH5DV1</t>
        </is>
      </c>
      <c r="B552" t="inlineStr">
        <is>
          <t>intu</t>
        </is>
      </c>
      <c r="C552" s="3" t="n">
        <v>1.267484117591235</v>
      </c>
      <c r="D552" s="3" t="n">
        <v>0.0743503793595206</v>
      </c>
      <c r="E552" s="3" t="n">
        <v>25.90308129058539</v>
      </c>
      <c r="F552" s="3" t="n">
        <v>0.09720798049418466</v>
      </c>
      <c r="G552" s="3" t="n">
        <v>0.1358933088066223</v>
      </c>
      <c r="H552" s="3" t="n">
        <v>1.922114772023735</v>
      </c>
      <c r="I552" s="3" t="n">
        <v>20.62064399548115</v>
      </c>
      <c r="J552" s="3" t="n">
        <v>0.2280546520202227</v>
      </c>
      <c r="K552" s="3" t="n">
        <v>0.001108921892255161</v>
      </c>
      <c r="L552" s="3" t="n">
        <v>17380.18061935313</v>
      </c>
      <c r="M552" s="4" t="n">
        <v>177650023301.6968</v>
      </c>
    </row>
    <row r="553">
      <c r="A553" t="inlineStr">
        <is>
          <t>BBG000BW6F33</t>
        </is>
      </c>
      <c r="B553" t="inlineStr">
        <is>
          <t>inve</t>
        </is>
      </c>
      <c r="C553" s="3" t="n">
        <v>0.7287072246547354</v>
      </c>
      <c r="D553" s="3" t="n">
        <v>-0.4884393175109762</v>
      </c>
      <c r="E553" s="3" t="n">
        <v>18.37005061736332</v>
      </c>
      <c r="F553" s="3" t="n">
        <v>1.648800942506396</v>
      </c>
      <c r="H553" s="3" t="n">
        <v>1.129443657461761</v>
      </c>
      <c r="I553" s="3" t="n">
        <v>12.61329916509963</v>
      </c>
      <c r="J553" s="3" t="n">
        <v>0.5585174039330055</v>
      </c>
      <c r="K553" s="3" t="n">
        <v>-0.04086762576009538</v>
      </c>
      <c r="L553" s="3" t="n">
        <v>6199.13449667673</v>
      </c>
      <c r="M553" s="4" t="n">
        <v>95063020.83557367</v>
      </c>
    </row>
    <row r="554">
      <c r="A554" t="inlineStr">
        <is>
          <t>BBG00FQH6BS9</t>
        </is>
      </c>
      <c r="B554" t="inlineStr">
        <is>
          <t>invh</t>
        </is>
      </c>
      <c r="C554" s="3" t="n">
        <v>0.7207260085057291</v>
      </c>
      <c r="D554" s="3" t="n">
        <v>-0.02752024057642988</v>
      </c>
      <c r="E554" s="3" t="n">
        <v>23.70753980725818</v>
      </c>
      <c r="F554" s="3" t="n">
        <v>0.5015174920966721</v>
      </c>
      <c r="H554" s="3" t="n">
        <v>1.938364423228105</v>
      </c>
      <c r="I554" s="3" t="n">
        <v>18.64209053519544</v>
      </c>
      <c r="J554" s="3" t="n">
        <v>0.1853631416709829</v>
      </c>
      <c r="K554" s="3" t="n">
        <v>0.01972087812852391</v>
      </c>
      <c r="L554" s="3" t="n">
        <v>13324.76214538727</v>
      </c>
      <c r="M554" s="4" t="n">
        <v>19772141860.98033</v>
      </c>
    </row>
    <row r="555">
      <c r="A555" t="inlineStr">
        <is>
          <t>BBG000JH6683</t>
        </is>
      </c>
      <c r="B555" t="inlineStr">
        <is>
          <t>ions</t>
        </is>
      </c>
      <c r="C555" s="3" t="n">
        <v>0.6926813660267993</v>
      </c>
      <c r="D555" s="3" t="n">
        <v>-0.2239741572195014</v>
      </c>
      <c r="E555" s="3" t="n">
        <v>22.45344595671848</v>
      </c>
      <c r="F555" s="3" t="n">
        <v>0.1015456417492387</v>
      </c>
      <c r="H555" s="3" t="n">
        <v>5.378196737963687</v>
      </c>
      <c r="I555" s="3" t="n">
        <v>18.02569411615066</v>
      </c>
      <c r="J555" s="3" t="n">
        <v>0.3532998909012282</v>
      </c>
      <c r="K555" s="3" t="n">
        <v>-0.02612878813842046</v>
      </c>
      <c r="L555" s="3" t="n">
        <v>11320.06723719944</v>
      </c>
      <c r="M555" s="4" t="n">
        <v>5641669992.230358</v>
      </c>
    </row>
    <row r="556">
      <c r="A556" t="inlineStr">
        <is>
          <t>BBG000BM5SR2</t>
        </is>
      </c>
      <c r="B556" t="inlineStr">
        <is>
          <t>ip</t>
        </is>
      </c>
      <c r="C556" s="3" t="n">
        <v>0.2623028353407572</v>
      </c>
      <c r="D556" s="3" t="n">
        <v>0.555809514527019</v>
      </c>
      <c r="E556" s="3" t="n">
        <v>23.75601429071126</v>
      </c>
      <c r="F556" s="3" t="n">
        <v>0.437598252572727</v>
      </c>
      <c r="G556" s="3" t="n">
        <v>0.3360237089349896</v>
      </c>
      <c r="H556" s="3" t="n">
        <v>3.492402554118872</v>
      </c>
      <c r="I556" s="3" t="n">
        <v>19.20924166970175</v>
      </c>
      <c r="J556" s="3" t="n">
        <v>0.3113008063828711</v>
      </c>
      <c r="K556" s="3" t="n">
        <v>0.009829337538519743</v>
      </c>
      <c r="L556" s="3" t="n">
        <v>13406.66426001361</v>
      </c>
      <c r="M556" s="4" t="n">
        <v>20754196220.31743</v>
      </c>
    </row>
    <row r="557">
      <c r="A557" t="inlineStr">
        <is>
          <t>BBG000DCGRL8</t>
        </is>
      </c>
      <c r="B557" t="inlineStr">
        <is>
          <t>ipgp</t>
        </is>
      </c>
      <c r="C557" s="3" t="n">
        <v>1.625552166284977</v>
      </c>
      <c r="D557" s="3" t="n">
        <v>-0.1545530777109108</v>
      </c>
      <c r="E557" s="3" t="n">
        <v>21.93968492507589</v>
      </c>
      <c r="F557" s="3" t="n">
        <v>0.6265368146281141</v>
      </c>
      <c r="H557" s="3" t="n">
        <v>1.113740959989946</v>
      </c>
      <c r="I557" s="3" t="n">
        <v>16.80528590284609</v>
      </c>
      <c r="J557" s="3" t="n">
        <v>0.2892722904569462</v>
      </c>
      <c r="K557" s="3" t="n">
        <v>0.01629413130335896</v>
      </c>
      <c r="L557" s="3" t="n">
        <v>10560.66239373485</v>
      </c>
      <c r="M557" s="4" t="n">
        <v>3375080202.7948</v>
      </c>
    </row>
    <row r="558">
      <c r="A558" t="inlineStr">
        <is>
          <t>BBG00K6DZBD3</t>
        </is>
      </c>
      <c r="B558" t="inlineStr">
        <is>
          <t>iq</t>
        </is>
      </c>
      <c r="C558" s="3" t="n">
        <v>0.9599751476454143</v>
      </c>
      <c r="D558" s="3" t="n">
        <v>-0.4187082342666032</v>
      </c>
      <c r="I558" s="3" t="n">
        <v>17.73237360801917</v>
      </c>
      <c r="J558" s="3" t="n">
        <v>0.6041798303325467</v>
      </c>
    </row>
    <row r="559">
      <c r="A559" t="inlineStr">
        <is>
          <t>iqv</t>
        </is>
      </c>
      <c r="B559" t="inlineStr">
        <is>
          <t>iqv</t>
        </is>
      </c>
      <c r="C559" s="3" t="n">
        <v>1.23794330168053</v>
      </c>
      <c r="D559" s="3" t="n">
        <v>-0.03867351024405652</v>
      </c>
      <c r="E559" s="3" t="n">
        <v>24.31927476462915</v>
      </c>
      <c r="F559" s="3" t="n">
        <v>0.1676704428529192</v>
      </c>
      <c r="H559" s="3" t="n">
        <v>4.365346857924518</v>
      </c>
      <c r="I559" s="3" t="n">
        <v>19.60057031634588</v>
      </c>
      <c r="J559" s="3" t="n">
        <v>0.258877334674567</v>
      </c>
      <c r="K559" s="3" t="n">
        <v>0.02438792926967361</v>
      </c>
      <c r="L559" s="3" t="n">
        <v>14383.0787580151</v>
      </c>
      <c r="M559" s="4" t="n">
        <v>36452459335.32715</v>
      </c>
    </row>
    <row r="560">
      <c r="A560" t="inlineStr">
        <is>
          <t>ir</t>
        </is>
      </c>
      <c r="B560" t="inlineStr">
        <is>
          <t>ir</t>
        </is>
      </c>
      <c r="C560" s="3" t="n">
        <v>1.240421767472149</v>
      </c>
      <c r="D560" s="3" t="n">
        <v>0.3448614651074329</v>
      </c>
      <c r="E560" s="3" t="n">
        <v>24.45901254844314</v>
      </c>
      <c r="F560" s="3" t="n">
        <v>0.2333959865515191</v>
      </c>
      <c r="H560" s="3" t="n">
        <v>1.86085161165796</v>
      </c>
      <c r="I560" s="3" t="n">
        <v>19.20677783354965</v>
      </c>
      <c r="J560" s="3" t="n">
        <v>0.2078121739478376</v>
      </c>
      <c r="K560" s="3" t="n">
        <v>0.005286345859463259</v>
      </c>
      <c r="L560" s="3" t="n">
        <v>14632.44025563336</v>
      </c>
      <c r="M560" s="4" t="n">
        <v>41919315513.19525</v>
      </c>
    </row>
    <row r="561">
      <c r="A561" t="inlineStr">
        <is>
          <t>BBG000KCZPC3</t>
        </is>
      </c>
      <c r="B561" t="inlineStr">
        <is>
          <t>irm</t>
        </is>
      </c>
      <c r="C561" s="3" t="n">
        <v>0.7049995926989115</v>
      </c>
      <c r="D561" s="3" t="n">
        <v>0.9901141219250069</v>
      </c>
      <c r="E561" s="3" t="n">
        <v>24.25809354588735</v>
      </c>
      <c r="F561" s="3" t="n">
        <v>-0.007553798463924212</v>
      </c>
      <c r="H561" s="3" t="n">
        <v>-71.3077300031571</v>
      </c>
      <c r="I561" s="3" t="n">
        <v>18.8909802895663</v>
      </c>
      <c r="J561" s="3" t="n">
        <v>0.2418516852760434</v>
      </c>
      <c r="K561" s="3" t="n">
        <v>0.002392509119561376</v>
      </c>
      <c r="L561" s="3" t="n">
        <v>14274.79892353934</v>
      </c>
      <c r="M561" s="4" t="n">
        <v>34289106497.80408</v>
      </c>
    </row>
    <row r="562">
      <c r="A562" t="inlineStr">
        <is>
          <t>BBG004Q00KS7</t>
        </is>
      </c>
      <c r="B562" t="inlineStr">
        <is>
          <t>irt</t>
        </is>
      </c>
      <c r="C562" s="3" t="n">
        <v>0.7420125350808927</v>
      </c>
      <c r="D562" s="3" t="n">
        <v>0.4948945591313547</v>
      </c>
      <c r="E562" s="3" t="n">
        <v>22.25900163156955</v>
      </c>
      <c r="F562" s="3" t="n">
        <v>0.7223594139479049</v>
      </c>
      <c r="H562" s="3" t="n">
        <v>1.772845691780172</v>
      </c>
      <c r="I562" s="3" t="n">
        <v>17.54588792755616</v>
      </c>
      <c r="J562" s="3" t="n">
        <v>0.2324046027334446</v>
      </c>
      <c r="K562" s="3" t="n">
        <v>0.005013841620691037</v>
      </c>
      <c r="L562" s="3" t="n">
        <v>11028.51514512661</v>
      </c>
      <c r="M562" s="4" t="n">
        <v>4644741848.023605</v>
      </c>
    </row>
    <row r="563">
      <c r="A563" t="inlineStr">
        <is>
          <t>BBG000BJPDZ1</t>
        </is>
      </c>
      <c r="B563" t="inlineStr">
        <is>
          <t>isrg</t>
        </is>
      </c>
      <c r="C563" s="3" t="n">
        <v>1.060510597301881</v>
      </c>
      <c r="D563" s="3" t="n">
        <v>0.6208982186134255</v>
      </c>
      <c r="E563" s="3" t="n">
        <v>25.98621122225484</v>
      </c>
      <c r="F563" s="3" t="n">
        <v>0.08072188448328683</v>
      </c>
      <c r="H563" s="3" t="n">
        <v>1.138616339213221</v>
      </c>
      <c r="I563" s="3" t="n">
        <v>20.27816781223239</v>
      </c>
      <c r="J563" s="3" t="n">
        <v>0.2348976911869188</v>
      </c>
      <c r="K563" s="3" t="n">
        <v>0.006173553863891553</v>
      </c>
      <c r="L563" s="3" t="n">
        <v>17548.0511862817</v>
      </c>
      <c r="M563" s="4" t="n">
        <v>193049259190</v>
      </c>
    </row>
    <row r="564">
      <c r="A564" t="inlineStr">
        <is>
          <t>BBG000BB65D0</t>
        </is>
      </c>
      <c r="B564" t="inlineStr">
        <is>
          <t>it</t>
        </is>
      </c>
      <c r="C564" s="3" t="n">
        <v>1.193101908303463</v>
      </c>
      <c r="D564" s="3" t="n">
        <v>0.1555974708672714</v>
      </c>
      <c r="E564" s="3" t="n">
        <v>24.41089844097704</v>
      </c>
      <c r="F564" s="3" t="n">
        <v>0.01618664474241</v>
      </c>
      <c r="H564" s="3" t="n">
        <v>12.13228299284123</v>
      </c>
      <c r="I564" s="3" t="n">
        <v>18.91393323868664</v>
      </c>
      <c r="J564" s="3" t="n">
        <v>0.1725397270390903</v>
      </c>
      <c r="K564" s="3" t="n">
        <v>0.005745859761219949</v>
      </c>
      <c r="L564" s="3" t="n">
        <v>14546.2581831591</v>
      </c>
      <c r="M564" s="4" t="n">
        <v>39950157075.45166</v>
      </c>
    </row>
    <row r="565">
      <c r="A565" t="inlineStr">
        <is>
          <t>BBG000BW6JV4</t>
        </is>
      </c>
      <c r="B565" t="inlineStr">
        <is>
          <t>itgr</t>
        </is>
      </c>
      <c r="C565" s="3" t="n">
        <v>0.9613006110691763</v>
      </c>
      <c r="D565" s="3" t="n">
        <v>0.4245585675422714</v>
      </c>
      <c r="E565" s="3" t="n">
        <v>22.27351708775359</v>
      </c>
      <c r="F565" s="3" t="n">
        <v>0.3223325901594731</v>
      </c>
      <c r="H565" s="3" t="n">
        <v>2.085293887802119</v>
      </c>
      <c r="I565" s="3" t="n">
        <v>17.39005798267876</v>
      </c>
      <c r="J565" s="3" t="n">
        <v>0.2529871241021335</v>
      </c>
      <c r="K565" s="3" t="n">
        <v>0.0185018883834515</v>
      </c>
      <c r="L565" s="3" t="n">
        <v>11050.10483908979</v>
      </c>
      <c r="M565" s="4" t="n">
        <v>4712654091</v>
      </c>
    </row>
    <row r="566">
      <c r="A566" t="inlineStr">
        <is>
          <t>BBG000BD2167</t>
        </is>
      </c>
      <c r="B566" t="inlineStr">
        <is>
          <t>itri</t>
        </is>
      </c>
      <c r="C566" s="3" t="n">
        <v>1.263063438965311</v>
      </c>
      <c r="D566" s="3" t="n">
        <v>0.6586525184306273</v>
      </c>
      <c r="E566" s="3" t="n">
        <v>22.39932759684904</v>
      </c>
      <c r="F566" s="3" t="n">
        <v>0.2522831708419738</v>
      </c>
      <c r="H566" s="3" t="n">
        <v>2.49600650699426</v>
      </c>
      <c r="I566" s="3" t="n">
        <v>17.84827589463816</v>
      </c>
      <c r="J566" s="3" t="n">
        <v>0.3625350844347466</v>
      </c>
      <c r="K566" s="3" t="n">
        <v>0.007516559166683678</v>
      </c>
      <c r="L566" s="3" t="n">
        <v>11238.41187536748</v>
      </c>
      <c r="M566" s="4" t="n">
        <v>5344466677.059021</v>
      </c>
    </row>
    <row r="567">
      <c r="A567" t="inlineStr">
        <is>
          <t>BBG00CVQZQ96</t>
        </is>
      </c>
      <c r="B567" t="inlineStr">
        <is>
          <t>itt</t>
        </is>
      </c>
      <c r="C567" s="3" t="n">
        <v>1.362093364370275</v>
      </c>
      <c r="D567" s="3" t="n">
        <v>0.3035325918593477</v>
      </c>
      <c r="E567" s="3" t="n">
        <v>23.25385991714173</v>
      </c>
      <c r="F567" s="3" t="n">
        <v>0.2012743264705878</v>
      </c>
      <c r="G567" s="3" t="n">
        <v>0</v>
      </c>
      <c r="H567" s="3" t="n">
        <v>1.955739260360834</v>
      </c>
      <c r="I567" s="3" t="n">
        <v>17.81489188979793</v>
      </c>
      <c r="J567" s="3" t="n">
        <v>0.1916902583313816</v>
      </c>
      <c r="K567" s="3" t="n">
        <v>0.02539613564754273</v>
      </c>
      <c r="L567" s="3" t="n">
        <v>12574.33874363977</v>
      </c>
      <c r="M567" s="4" t="n">
        <v>12560966140.74707</v>
      </c>
    </row>
    <row r="568">
      <c r="A568" t="inlineStr">
        <is>
          <t>BBG000BPVKZ4</t>
        </is>
      </c>
      <c r="B568" t="inlineStr">
        <is>
          <t>itub</t>
        </is>
      </c>
      <c r="C568" s="3" t="n">
        <v>0.6114828438878479</v>
      </c>
      <c r="D568" s="3" t="n">
        <v>0.01708560526376246</v>
      </c>
      <c r="E568" s="3" t="n">
        <v>22.95751355503462</v>
      </c>
      <c r="F568" s="3" t="n">
        <v>8.204441682088769</v>
      </c>
      <c r="H568" s="3" t="n">
        <v>9.743295269040871</v>
      </c>
      <c r="I568" s="3" t="n">
        <v>18.50980568145863</v>
      </c>
      <c r="J568" s="3" t="n">
        <v>0.2534761796458188</v>
      </c>
      <c r="K568" s="3" t="n">
        <v>1.18497299961731</v>
      </c>
      <c r="L568" s="3" t="n">
        <v>12099.69848691015</v>
      </c>
      <c r="M568" s="4" t="n">
        <v>9339453306.01553</v>
      </c>
    </row>
    <row r="569">
      <c r="A569" t="inlineStr">
        <is>
          <t>BBG000BMBL90</t>
        </is>
      </c>
      <c r="B569" t="inlineStr">
        <is>
          <t>itw</t>
        </is>
      </c>
      <c r="C569" s="3" t="n">
        <v>0.5558992364132346</v>
      </c>
      <c r="D569" s="3" t="n">
        <v>0.1023428532775001</v>
      </c>
      <c r="E569" s="3" t="n">
        <v>25.62083378342048</v>
      </c>
      <c r="F569" s="3" t="n">
        <v>0.06152637313886031</v>
      </c>
      <c r="H569" s="3" t="n">
        <v>1.805834371356874</v>
      </c>
      <c r="I569" s="3" t="n">
        <v>19.17020478707583</v>
      </c>
      <c r="J569" s="3" t="n">
        <v>0.1403664062243224</v>
      </c>
      <c r="L569" s="3" t="n">
        <v>16818.2102287238</v>
      </c>
      <c r="M569" s="4" t="n">
        <v>133963576584.2438</v>
      </c>
    </row>
    <row r="570">
      <c r="A570" t="inlineStr">
        <is>
          <t>ivz</t>
        </is>
      </c>
      <c r="B570" t="inlineStr">
        <is>
          <t>ivz</t>
        </is>
      </c>
      <c r="C570" s="3" t="n">
        <v>1.290072060793626</v>
      </c>
      <c r="D570" s="3" t="n">
        <v>0.2628296475735161</v>
      </c>
      <c r="E570" s="3" t="n">
        <v>22.7597470948011</v>
      </c>
      <c r="F570" s="3" t="n">
        <v>1.925245145358032</v>
      </c>
      <c r="G570" s="3" t="n">
        <v>0.09792050143766318</v>
      </c>
      <c r="H570" s="3" t="n">
        <v>1.864039635776415</v>
      </c>
      <c r="I570" s="3" t="n">
        <v>17.89198516966436</v>
      </c>
      <c r="J570" s="3" t="n">
        <v>0.267050878360651</v>
      </c>
      <c r="K570" s="3" t="n">
        <v>0.007176787986871066</v>
      </c>
      <c r="L570" s="3" t="n">
        <v>11789.68755233476</v>
      </c>
      <c r="M570" s="4" t="n">
        <v>7663595482.190369</v>
      </c>
    </row>
    <row r="571">
      <c r="A571" t="inlineStr">
        <is>
          <t>BBG019C1BQR4</t>
        </is>
      </c>
      <c r="B571" t="inlineStr">
        <is>
          <t>j</t>
        </is>
      </c>
      <c r="C571" s="3" t="n">
        <v>0.8472561537804798</v>
      </c>
      <c r="D571" s="3" t="n">
        <v>0.3339522628347684</v>
      </c>
      <c r="E571" s="3" t="n">
        <v>23.5606397112625</v>
      </c>
      <c r="F571" s="3" t="n">
        <v>0.3834729901577757</v>
      </c>
      <c r="H571" s="3" t="n">
        <v>2.232908303993311</v>
      </c>
      <c r="I571" s="3" t="n">
        <v>18.53638990833496</v>
      </c>
      <c r="J571" s="3" t="n">
        <v>0.1793226444330237</v>
      </c>
      <c r="K571" s="3" t="n">
        <v>0.008750517366782413</v>
      </c>
      <c r="L571" s="3" t="n">
        <v>13078.59930542499</v>
      </c>
      <c r="M571" s="4" t="n">
        <v>17070876352.78604</v>
      </c>
    </row>
    <row r="572">
      <c r="A572" t="inlineStr">
        <is>
          <t>BBG020PSLYJ0</t>
        </is>
      </c>
      <c r="B572" t="inlineStr">
        <is>
          <t>jan</t>
        </is>
      </c>
    </row>
    <row r="573">
      <c r="A573" t="inlineStr">
        <is>
          <t>BBG000BMDBZ1</t>
        </is>
      </c>
      <c r="B573" t="inlineStr">
        <is>
          <t>jbht</t>
        </is>
      </c>
      <c r="C573" s="3" t="n">
        <v>0.9822285882830991</v>
      </c>
      <c r="D573" s="3" t="n">
        <v>-0.0181252422094057</v>
      </c>
      <c r="E573" s="3" t="n">
        <v>23.65585637264877</v>
      </c>
      <c r="F573" s="3" t="n">
        <v>0.2083446776346357</v>
      </c>
      <c r="H573" s="3" t="n">
        <v>2.182624759694241</v>
      </c>
      <c r="I573" s="3" t="n">
        <v>18.85498050322613</v>
      </c>
      <c r="J573" s="3" t="n">
        <v>0.2406757430813015</v>
      </c>
      <c r="K573" s="3" t="n">
        <v>0.03061065367591902</v>
      </c>
      <c r="L573" s="3" t="n">
        <v>13237.80636155267</v>
      </c>
      <c r="M573" s="4" t="n">
        <v>18776207984.7886</v>
      </c>
    </row>
    <row r="574">
      <c r="A574" t="inlineStr">
        <is>
          <t>jbl</t>
        </is>
      </c>
      <c r="B574" t="inlineStr">
        <is>
          <t>jbl</t>
        </is>
      </c>
      <c r="C574" s="3" t="n">
        <v>1.591161027546196</v>
      </c>
      <c r="D574" s="3" t="n">
        <v>0.06954816860057322</v>
      </c>
      <c r="E574" s="3" t="n">
        <v>23.45065806068313</v>
      </c>
      <c r="F574" s="3" t="n">
        <v>0.1135817159858607</v>
      </c>
      <c r="G574" s="3" t="n">
        <v>0.0005150922015040305</v>
      </c>
      <c r="H574" s="3" t="n">
        <v>9.98906159470981</v>
      </c>
      <c r="I574" s="3" t="n">
        <v>18.9548430959114</v>
      </c>
      <c r="J574" s="3" t="n">
        <v>0.3410821256830752</v>
      </c>
      <c r="K574" s="3" t="n">
        <v>0.06512803058256608</v>
      </c>
      <c r="L574" s="3" t="n">
        <v>12896.29926310934</v>
      </c>
      <c r="M574" s="4" t="n">
        <v>15292954370.42569</v>
      </c>
    </row>
    <row r="575">
      <c r="A575" t="inlineStr">
        <is>
          <t>BBG000BRQ6L2</t>
        </is>
      </c>
      <c r="B575" t="inlineStr">
        <is>
          <t>jblu</t>
        </is>
      </c>
      <c r="C575" s="3" t="n">
        <v>0.7946764895399256</v>
      </c>
      <c r="D575" s="3" t="n">
        <v>0.289592694768557</v>
      </c>
      <c r="E575" s="3" t="n">
        <v>21.4512268533947</v>
      </c>
      <c r="F575" s="3" t="n">
        <v>1.65149268185228</v>
      </c>
      <c r="H575" s="3" t="n">
        <v>4.8616959050112</v>
      </c>
      <c r="I575" s="3" t="n">
        <v>18.52496991005392</v>
      </c>
      <c r="J575" s="3" t="n">
        <v>0.6921841353899316</v>
      </c>
      <c r="K575" s="3" t="n">
        <v>-0.09995876758579592</v>
      </c>
      <c r="L575" s="3" t="n">
        <v>9870.892156801594</v>
      </c>
      <c r="M575" s="4" t="n">
        <v>2070853862.042371</v>
      </c>
    </row>
    <row r="576">
      <c r="A576" t="inlineStr">
        <is>
          <t>BBG000VLBCQ1</t>
        </is>
      </c>
      <c r="B576" t="inlineStr">
        <is>
          <t>jbtm</t>
        </is>
      </c>
      <c r="C576" s="3" t="n">
        <v>1.102523349366619</v>
      </c>
      <c r="D576" s="3" t="n">
        <v>0.08302454534624837</v>
      </c>
      <c r="E576" s="3" t="n">
        <v>22.10753606961446</v>
      </c>
      <c r="F576" s="3" t="n">
        <v>0.2268086254769252</v>
      </c>
      <c r="H576" s="3" t="n">
        <v>2.993593988299543</v>
      </c>
      <c r="I576" s="3" t="n">
        <v>17.45093053924143</v>
      </c>
      <c r="J576" s="3" t="n">
        <v>0.338868663289324</v>
      </c>
      <c r="K576" s="3" t="n">
        <v>0.1106236900934506</v>
      </c>
      <c r="L576" s="3" t="n">
        <v>10804.90684104168</v>
      </c>
      <c r="M576" s="4" t="n">
        <v>3991911673.858734</v>
      </c>
    </row>
    <row r="577">
      <c r="A577" t="inlineStr">
        <is>
          <t>jci</t>
        </is>
      </c>
      <c r="B577" t="inlineStr">
        <is>
          <t>jci</t>
        </is>
      </c>
      <c r="C577" s="3" t="n">
        <v>1.166554830926237</v>
      </c>
      <c r="D577" s="3" t="n">
        <v>0.4640787686787218</v>
      </c>
      <c r="E577" s="3" t="n">
        <v>24.72165740739586</v>
      </c>
      <c r="F577" s="3" t="n">
        <v>0.303520043621764</v>
      </c>
      <c r="H577" s="3" t="n">
        <v>2.55315805363837</v>
      </c>
      <c r="I577" s="3" t="n">
        <v>19.46855740596821</v>
      </c>
      <c r="J577" s="3" t="n">
        <v>0.2173177320504302</v>
      </c>
      <c r="K577" s="3" t="n">
        <v>0.03127843302357858</v>
      </c>
      <c r="L577" s="3" t="n">
        <v>15108.89666930085</v>
      </c>
      <c r="M577" s="4" t="n">
        <v>54510403340.32858</v>
      </c>
    </row>
    <row r="578">
      <c r="A578" t="inlineStr">
        <is>
          <t>BBG005YHY0Q7</t>
        </is>
      </c>
      <c r="B578" t="inlineStr">
        <is>
          <t>jd</t>
        </is>
      </c>
      <c r="C578" s="3" t="n">
        <v>0.9034365268303117</v>
      </c>
      <c r="D578" s="3" t="n">
        <v>0.5233143401439608</v>
      </c>
      <c r="E578" s="3" t="n">
        <v>24.66125307481193</v>
      </c>
      <c r="F578" s="3" t="n">
        <v>4.5183093101512</v>
      </c>
      <c r="H578" s="3" t="n">
        <v>2.712686213101499</v>
      </c>
      <c r="I578" s="3" t="n">
        <v>20.26615684228423</v>
      </c>
      <c r="J578" s="3" t="n">
        <v>0.5240377610319001</v>
      </c>
      <c r="K578" s="3" t="n">
        <v>-0.07418443486440186</v>
      </c>
      <c r="L578" s="3" t="n">
        <v>14998.4168551884</v>
      </c>
      <c r="M578" s="4" t="n">
        <v>51315211969.78938</v>
      </c>
    </row>
    <row r="579">
      <c r="A579" t="inlineStr">
        <is>
          <t>BBG000BNHSP9</t>
        </is>
      </c>
      <c r="B579" t="inlineStr">
        <is>
          <t>jef</t>
        </is>
      </c>
      <c r="C579" s="3" t="n">
        <v>1.199150596306898</v>
      </c>
      <c r="D579" s="3" t="n">
        <v>0.8415391674806383</v>
      </c>
      <c r="E579" s="3" t="n">
        <v>23.46983291129615</v>
      </c>
      <c r="F579" s="3" t="n">
        <v>0.6444243093976532</v>
      </c>
      <c r="G579" s="3" t="n">
        <v>-0.006086655361696391</v>
      </c>
      <c r="H579" s="3" t="n">
        <v>5.764032674895522</v>
      </c>
      <c r="I579" s="3" t="n">
        <v>18.43716844747066</v>
      </c>
      <c r="J579" s="3" t="n">
        <v>0.2125522415788801</v>
      </c>
      <c r="K579" s="3" t="n">
        <v>0.003702540976641039</v>
      </c>
      <c r="L579" s="3" t="n">
        <v>12927.95980708972</v>
      </c>
      <c r="M579" s="4" t="n">
        <v>15589023959.61067</v>
      </c>
    </row>
    <row r="580">
      <c r="A580" t="inlineStr">
        <is>
          <t>jkhy</t>
        </is>
      </c>
      <c r="B580" t="inlineStr">
        <is>
          <t>jkhy</t>
        </is>
      </c>
      <c r="C580" s="3" t="n">
        <v>0.4304474127702363</v>
      </c>
      <c r="D580" s="3" t="n">
        <v>0.1575235192377842</v>
      </c>
      <c r="E580" s="3" t="n">
        <v>23.2522937504509</v>
      </c>
      <c r="F580" s="3" t="n">
        <v>0.1469036449133965</v>
      </c>
      <c r="H580" s="3" t="n">
        <v>1.589539851196865</v>
      </c>
      <c r="I580" s="3" t="n">
        <v>18.32451615101244</v>
      </c>
      <c r="J580" s="3" t="n">
        <v>0.1711794444451335</v>
      </c>
      <c r="K580" s="3" t="n">
        <v>0.008107526911701078</v>
      </c>
      <c r="L580" s="3" t="n">
        <v>12571.79823842147</v>
      </c>
      <c r="M580" s="4" t="n">
        <v>12541308971.19141</v>
      </c>
    </row>
    <row r="581">
      <c r="A581" t="inlineStr">
        <is>
          <t>BBG000Q72QF9</t>
        </is>
      </c>
      <c r="B581" t="inlineStr">
        <is>
          <t>jks</t>
        </is>
      </c>
      <c r="C581" s="3" t="n">
        <v>1.219598447619158</v>
      </c>
      <c r="D581" s="3" t="n">
        <v>-0.08581550171843366</v>
      </c>
      <c r="E581" s="3" t="n">
        <v>22.19327926771301</v>
      </c>
      <c r="F581" s="3" t="n">
        <v>4.63441562291165</v>
      </c>
      <c r="H581" s="3" t="n">
        <v>6.738881738370047</v>
      </c>
      <c r="I581" s="3" t="n">
        <v>17.42156200474851</v>
      </c>
      <c r="J581" s="3" t="n">
        <v>0.7225898129879045</v>
      </c>
      <c r="K581" s="3" t="n">
        <v>0.7926443585357116</v>
      </c>
      <c r="L581" s="3" t="n">
        <v>10931.11427080042</v>
      </c>
      <c r="M581" s="4" t="n">
        <v>4349293554.017057</v>
      </c>
    </row>
    <row r="582">
      <c r="A582" t="inlineStr">
        <is>
          <t>BBG000BMHYD1</t>
        </is>
      </c>
      <c r="B582" t="inlineStr">
        <is>
          <t>jnj</t>
        </is>
      </c>
      <c r="C582" s="3" t="n">
        <v>-0.02786229109165973</v>
      </c>
      <c r="D582" s="3" t="n">
        <v>0.05785743430452506</v>
      </c>
      <c r="E582" s="3" t="n">
        <v>26.60420708463763</v>
      </c>
      <c r="F582" s="3" t="n">
        <v>0.1920277317563071</v>
      </c>
      <c r="H582" s="3" t="n">
        <v>2.592360485029337</v>
      </c>
      <c r="I582" s="3" t="n">
        <v>20.70817075011791</v>
      </c>
      <c r="J582" s="3" t="n">
        <v>0.1510656789061218</v>
      </c>
      <c r="K582" s="3" t="n">
        <v>0.08684721796824639</v>
      </c>
      <c r="L582" s="3" t="n">
        <v>18830.02770691804</v>
      </c>
      <c r="M582" s="4" t="n">
        <v>358146187380.298</v>
      </c>
    </row>
    <row r="583">
      <c r="A583" t="inlineStr">
        <is>
          <t>BBG000DMBXR2</t>
        </is>
      </c>
      <c r="B583" t="inlineStr">
        <is>
          <t>jpm</t>
        </is>
      </c>
      <c r="C583" s="3" t="n">
        <v>0.7656757882629184</v>
      </c>
      <c r="D583" s="3" t="n">
        <v>0.4557875825775806</v>
      </c>
      <c r="E583" s="3" t="n">
        <v>27.24813608820359</v>
      </c>
      <c r="F583" s="3" t="n">
        <v>0.5071717491647098</v>
      </c>
      <c r="H583" s="3" t="n">
        <v>11.27220127455999</v>
      </c>
      <c r="I583" s="3" t="n">
        <v>21.39944442417574</v>
      </c>
      <c r="J583" s="3" t="n">
        <v>0.2111999181182897</v>
      </c>
      <c r="K583" s="3" t="n">
        <v>0.05901967130412607</v>
      </c>
      <c r="L583" s="3" t="n">
        <v>20230.67619599674</v>
      </c>
      <c r="M583" s="4" t="n">
        <v>681891293371.6635</v>
      </c>
    </row>
    <row r="584">
      <c r="A584" t="inlineStr">
        <is>
          <t>BBG00922Y5Z6</t>
        </is>
      </c>
      <c r="B584" t="inlineStr">
        <is>
          <t>jxn</t>
        </is>
      </c>
      <c r="C584" s="3" t="n">
        <v>1.857748939267561</v>
      </c>
      <c r="D584" s="3" t="n">
        <v>1.157303095759011</v>
      </c>
      <c r="E584" s="3" t="n">
        <v>22.66486209650424</v>
      </c>
      <c r="F584" s="3" t="n">
        <v>1.534892810873718</v>
      </c>
      <c r="H584" s="3" t="n">
        <v>30.87072349683392</v>
      </c>
      <c r="I584" s="3" t="n">
        <v>17.93356055112372</v>
      </c>
      <c r="J584" s="3" t="n">
        <v>0.3087669012056483</v>
      </c>
      <c r="K584" s="3" t="n">
        <v>0.3978554649983941</v>
      </c>
      <c r="L584" s="3" t="n">
        <v>11642.84840692026</v>
      </c>
      <c r="M584" s="4" t="n">
        <v>6969867812.707657</v>
      </c>
    </row>
    <row r="585">
      <c r="A585" t="inlineStr">
        <is>
          <t>BBG000BMLWX8</t>
        </is>
      </c>
      <c r="B585" t="inlineStr">
        <is>
          <t>kbh</t>
        </is>
      </c>
      <c r="C585" s="3" t="n">
        <v>1.228770864360548</v>
      </c>
      <c r="D585" s="3" t="n">
        <v>0.5221644697589005</v>
      </c>
      <c r="E585" s="3" t="n">
        <v>22.50036438038817</v>
      </c>
      <c r="F585" s="3" t="n">
        <v>0.6743298482434051</v>
      </c>
      <c r="H585" s="3" t="n">
        <v>1.7155050767011</v>
      </c>
      <c r="I585" s="3" t="n">
        <v>18.22854855428828</v>
      </c>
      <c r="J585" s="3" t="n">
        <v>0.32380548848585</v>
      </c>
      <c r="K585" s="3" t="n">
        <v>0.02535789152116265</v>
      </c>
      <c r="L585" s="3" t="n">
        <v>11391.17841167677</v>
      </c>
      <c r="M585" s="4" t="n">
        <v>5912676132.773666</v>
      </c>
    </row>
    <row r="586">
      <c r="A586" t="inlineStr">
        <is>
          <t>BBG000P28YZ6</t>
        </is>
      </c>
      <c r="B586" t="inlineStr">
        <is>
          <t>kbr</t>
        </is>
      </c>
      <c r="C586" s="3" t="n">
        <v>0.9444010185716772</v>
      </c>
      <c r="D586" s="3" t="n">
        <v>0.3095671836185983</v>
      </c>
      <c r="E586" s="3" t="n">
        <v>22.79056145685722</v>
      </c>
      <c r="F586" s="3" t="n">
        <v>0.1749875295646663</v>
      </c>
      <c r="H586" s="3" t="n">
        <v>4.023861168457078</v>
      </c>
      <c r="I586" s="3" t="n">
        <v>18.26067176171032</v>
      </c>
      <c r="J586" s="3" t="n">
        <v>0.2160260188011702</v>
      </c>
      <c r="K586" s="3" t="n">
        <v>-0.03618686439298232</v>
      </c>
      <c r="L586" s="3" t="n">
        <v>11837.63849584614</v>
      </c>
      <c r="M586" s="4" t="n">
        <v>7903420336.669922</v>
      </c>
    </row>
    <row r="587">
      <c r="A587" t="inlineStr">
        <is>
          <t>BBG012W99DN6</t>
        </is>
      </c>
      <c r="B587" t="inlineStr">
        <is>
          <t>kd</t>
        </is>
      </c>
      <c r="C587" s="3" t="n">
        <v>1.393767723321643</v>
      </c>
      <c r="D587" s="3" t="n">
        <v>0.2695506665511467</v>
      </c>
      <c r="E587" s="3" t="n">
        <v>22.81044286223658</v>
      </c>
      <c r="F587" s="3" t="n">
        <v>0.1320991864415473</v>
      </c>
      <c r="H587" s="3" t="n">
        <v>9.761502338252111</v>
      </c>
      <c r="I587" s="3" t="n">
        <v>17.69610568729858</v>
      </c>
      <c r="J587" s="3" t="n">
        <v>0.4329991046856116</v>
      </c>
      <c r="K587" s="3" t="n">
        <v>-0.08583346198831052</v>
      </c>
      <c r="L587" s="3" t="n">
        <v>11868.64531290465</v>
      </c>
      <c r="M587" s="4" t="n">
        <v>8062123837.069611</v>
      </c>
    </row>
    <row r="588">
      <c r="A588" t="inlineStr">
        <is>
          <t>BBG01GWQM2H3</t>
        </is>
      </c>
      <c r="B588" t="inlineStr">
        <is>
          <t>kdk</t>
        </is>
      </c>
      <c r="H588" s="3" t="n">
        <v>-25.36024758235813</v>
      </c>
    </row>
    <row r="589">
      <c r="A589" t="inlineStr">
        <is>
          <t>BBG000TJM7F0</t>
        </is>
      </c>
      <c r="B589" t="inlineStr">
        <is>
          <t>kdp</t>
        </is>
      </c>
      <c r="C589" s="3" t="n">
        <v>0.1334325637601883</v>
      </c>
      <c r="D589" s="3" t="n">
        <v>0.07132104453886345</v>
      </c>
      <c r="E589" s="3" t="n">
        <v>24.46698338834795</v>
      </c>
      <c r="F589" s="3" t="n">
        <v>0.5834369111846085</v>
      </c>
      <c r="H589" s="3" t="n">
        <v>2.11454995326676</v>
      </c>
      <c r="I589" s="3" t="n">
        <v>19.64481130910179</v>
      </c>
      <c r="J589" s="3" t="n">
        <v>0.1739023403288708</v>
      </c>
      <c r="K589" s="3" t="n">
        <v>0.01105200330682725</v>
      </c>
      <c r="L589" s="3" t="n">
        <v>14646.75042267968</v>
      </c>
      <c r="M589" s="4" t="n">
        <v>42254782868.23024</v>
      </c>
    </row>
    <row r="590">
      <c r="A590" t="inlineStr">
        <is>
          <t>BBG000BMQPL1</t>
        </is>
      </c>
      <c r="B590" t="inlineStr">
        <is>
          <t>key</t>
        </is>
      </c>
      <c r="C590" s="3" t="n">
        <v>1.266983005786922</v>
      </c>
      <c r="D590" s="3" t="n">
        <v>0.4504143360121562</v>
      </c>
      <c r="E590" s="3" t="n">
        <v>23.60635608337963</v>
      </c>
      <c r="F590" s="3" t="n">
        <v>0.8276155158761722</v>
      </c>
      <c r="H590" s="3" t="n">
        <v>12.73115153068286</v>
      </c>
      <c r="I590" s="3" t="n">
        <v>18.90304938654647</v>
      </c>
      <c r="J590" s="3" t="n">
        <v>0.31791792915378</v>
      </c>
      <c r="K590" s="3" t="n">
        <v>0.05047732742716258</v>
      </c>
      <c r="L590" s="3" t="n">
        <v>13154.87911315969</v>
      </c>
      <c r="M590" s="4" t="n">
        <v>17869408820.24874</v>
      </c>
    </row>
    <row r="591">
      <c r="A591" t="inlineStr">
        <is>
          <t>keys</t>
        </is>
      </c>
      <c r="B591" t="inlineStr">
        <is>
          <t>keys</t>
        </is>
      </c>
      <c r="C591" s="3" t="n">
        <v>1.531435360707144</v>
      </c>
      <c r="D591" s="3" t="n">
        <v>0.09654864358022008</v>
      </c>
      <c r="E591" s="3" t="n">
        <v>24.11266543543252</v>
      </c>
      <c r="F591" s="3" t="n">
        <v>0.1569744016714562</v>
      </c>
      <c r="H591" s="3" t="n">
        <v>1.865706918378662</v>
      </c>
      <c r="I591" s="3" t="n">
        <v>18.99721597125607</v>
      </c>
      <c r="J591" s="3" t="n">
        <v>0.253604557752596</v>
      </c>
      <c r="K591" s="3" t="n">
        <v>0.02317176921965844</v>
      </c>
      <c r="L591" s="3" t="n">
        <v>14019.6012345707</v>
      </c>
      <c r="M591" s="4" t="n">
        <v>29648146132.66525</v>
      </c>
    </row>
    <row r="592">
      <c r="A592" t="inlineStr">
        <is>
          <t>BBG005CPNTQ2</t>
        </is>
      </c>
      <c r="B592" t="inlineStr">
        <is>
          <t>khc</t>
        </is>
      </c>
      <c r="C592" s="3" t="n">
        <v>0.1001916270308595</v>
      </c>
      <c r="D592" s="3" t="n">
        <v>-0.01364772313260487</v>
      </c>
      <c r="E592" s="3" t="n">
        <v>24.28528337198005</v>
      </c>
      <c r="F592" s="3" t="n">
        <v>1.405622477521042</v>
      </c>
      <c r="H592" s="3" t="n">
        <v>1.824072204461817</v>
      </c>
      <c r="I592" s="3" t="n">
        <v>19.32917553859473</v>
      </c>
      <c r="J592" s="3" t="n">
        <v>0.1936885079217136</v>
      </c>
      <c r="K592" s="3" t="n">
        <v>0.007435954632122786</v>
      </c>
      <c r="L592" s="3" t="n">
        <v>14322.85272039351</v>
      </c>
      <c r="M592" s="4" t="n">
        <v>35234211739.37009</v>
      </c>
    </row>
    <row r="593">
      <c r="A593" t="inlineStr">
        <is>
          <t>BBG000CN3S73</t>
        </is>
      </c>
      <c r="B593" t="inlineStr">
        <is>
          <t>kim</t>
        </is>
      </c>
      <c r="C593" s="3" t="n">
        <v>0.5514674614497113</v>
      </c>
      <c r="D593" s="3" t="n">
        <v>0.2923931528517631</v>
      </c>
      <c r="E593" s="3" t="n">
        <v>23.49066656183666</v>
      </c>
      <c r="F593" s="3" t="n">
        <v>0.5984382187248384</v>
      </c>
      <c r="G593" s="3" t="n">
        <v>-0.007063922522666299</v>
      </c>
      <c r="H593" s="3" t="n">
        <v>1.918438837167693</v>
      </c>
      <c r="I593" s="3" t="n">
        <v>18.32937144522657</v>
      </c>
      <c r="J593" s="3" t="n">
        <v>0.2115153065045951</v>
      </c>
      <c r="K593" s="3" t="n">
        <v>0.0323315516487569</v>
      </c>
      <c r="L593" s="3" t="n">
        <v>12962.41796698111</v>
      </c>
      <c r="M593" s="4" t="n">
        <v>15917206992.05772</v>
      </c>
    </row>
    <row r="594">
      <c r="A594" t="inlineStr">
        <is>
          <t>BBG000BCQ6J8</t>
        </is>
      </c>
      <c r="B594" t="inlineStr">
        <is>
          <t>kkr</t>
        </is>
      </c>
      <c r="C594" s="3" t="n">
        <v>1.603454460777065</v>
      </c>
      <c r="D594" s="3" t="n">
        <v>0.8318710677427372</v>
      </c>
      <c r="E594" s="3" t="n">
        <v>25.68824545314082</v>
      </c>
      <c r="F594" s="3" t="n">
        <v>0.1680581924541043</v>
      </c>
      <c r="H594" s="3" t="n">
        <v>14.97511182300486</v>
      </c>
      <c r="I594" s="3" t="n">
        <v>19.8258881063014</v>
      </c>
      <c r="J594" s="3" t="n">
        <v>0.2409404799673067</v>
      </c>
      <c r="K594" s="3" t="n">
        <v>0.004190693719765574</v>
      </c>
      <c r="L594" s="3" t="n">
        <v>16951.3123692694</v>
      </c>
      <c r="M594" s="4" t="n">
        <v>143305629128.488</v>
      </c>
    </row>
    <row r="595">
      <c r="A595" t="inlineStr">
        <is>
          <t>BBG000BMTFR4</t>
        </is>
      </c>
      <c r="B595" t="inlineStr">
        <is>
          <t>klac</t>
        </is>
      </c>
      <c r="C595" s="3" t="n">
        <v>2.391249270184617</v>
      </c>
      <c r="D595" s="3" t="n">
        <v>0.230754357407251</v>
      </c>
      <c r="E595" s="3" t="n">
        <v>22.87027848366602</v>
      </c>
      <c r="F595" s="3" t="n">
        <v>0.4158908461715795</v>
      </c>
      <c r="H595" s="3" t="n">
        <v>4.405336213975242</v>
      </c>
      <c r="I595" s="3" t="n">
        <v>20.43942934813254</v>
      </c>
      <c r="J595" s="3" t="n">
        <v>0.3189925521593596</v>
      </c>
      <c r="K595" s="3" t="n">
        <v>0.1105062858258373</v>
      </c>
      <c r="L595" s="3" t="n">
        <v>11962.29088002108</v>
      </c>
      <c r="M595" s="4" t="n">
        <v>8559250660.004951</v>
      </c>
    </row>
    <row r="596">
      <c r="A596" t="inlineStr">
        <is>
          <t>BBG0132WLLM5</t>
        </is>
      </c>
      <c r="B596" t="inlineStr">
        <is>
          <t>klc</t>
        </is>
      </c>
      <c r="E596" s="3" t="n">
        <v>21.75517312292697</v>
      </c>
      <c r="F596" s="3" t="n">
        <v>0.08457521007034781</v>
      </c>
      <c r="H596" s="3" t="n">
        <v>15.68337869888572</v>
      </c>
      <c r="K596" s="3" t="n">
        <v>0.01451781853988018</v>
      </c>
      <c r="L596" s="3" t="n">
        <v>10296.45275270071</v>
      </c>
      <c r="M596" s="4" t="n">
        <v>2806413365.31118</v>
      </c>
    </row>
    <row r="597">
      <c r="A597" t="inlineStr">
        <is>
          <t>BBG000BMW2Z0</t>
        </is>
      </c>
      <c r="B597" t="inlineStr">
        <is>
          <t>kmb</t>
        </is>
      </c>
      <c r="C597" s="3" t="n">
        <v>0.1075966059287334</v>
      </c>
      <c r="D597" s="3" t="n">
        <v>0.1250260954792564</v>
      </c>
      <c r="E597" s="3" t="n">
        <v>24.48718483554856</v>
      </c>
      <c r="F597" s="3" t="n">
        <v>0.02980258094719146</v>
      </c>
      <c r="H597" s="3" t="n">
        <v>13.49727625408772</v>
      </c>
      <c r="I597" s="3" t="n">
        <v>19.37966043648434</v>
      </c>
      <c r="J597" s="3" t="n">
        <v>0.1815319801597558</v>
      </c>
      <c r="K597" s="3" t="n">
        <v>0.02910680084725703</v>
      </c>
      <c r="L597" s="3" t="n">
        <v>14683.06016129979</v>
      </c>
      <c r="M597" s="4" t="n">
        <v>43117071043.18069</v>
      </c>
    </row>
    <row r="598">
      <c r="A598" t="inlineStr">
        <is>
          <t>BBG0019JZ882</t>
        </is>
      </c>
      <c r="B598" t="inlineStr">
        <is>
          <t>kmi</t>
        </is>
      </c>
      <c r="C598" s="3" t="n">
        <v>0.447217857876601</v>
      </c>
      <c r="D598" s="3" t="n">
        <v>0.4767782612230875</v>
      </c>
      <c r="E598" s="3" t="n">
        <v>24.80132525160657</v>
      </c>
      <c r="F598" s="3" t="n">
        <v>0.5133929708828013</v>
      </c>
      <c r="H598" s="3" t="n">
        <v>2.343430343748979</v>
      </c>
      <c r="I598" s="3" t="n">
        <v>19.55318796325225</v>
      </c>
      <c r="J598" s="3" t="n">
        <v>0.1718187395592844</v>
      </c>
      <c r="K598" s="3" t="n">
        <v>0.009012243796926361</v>
      </c>
      <c r="L598" s="3" t="n">
        <v>15255.43737891475</v>
      </c>
      <c r="M598" s="4" t="n">
        <v>59030804312.28759</v>
      </c>
    </row>
    <row r="599">
      <c r="A599" t="inlineStr">
        <is>
          <t>BBG000BLMZK6</t>
        </is>
      </c>
      <c r="B599" t="inlineStr">
        <is>
          <t>kmx</t>
        </is>
      </c>
      <c r="C599" s="3" t="n">
        <v>1.319519393218277</v>
      </c>
      <c r="D599" s="3" t="n">
        <v>0.1319987301842611</v>
      </c>
      <c r="I599" s="3" t="n">
        <v>18.77904296261478</v>
      </c>
      <c r="J599" s="3" t="n">
        <v>0.3064011474599151</v>
      </c>
    </row>
    <row r="600">
      <c r="A600" t="inlineStr">
        <is>
          <t>BBG004M8M6J1</t>
        </is>
      </c>
      <c r="B600" t="inlineStr">
        <is>
          <t>kn</t>
        </is>
      </c>
      <c r="C600" s="3" t="n">
        <v>1.459703535039305</v>
      </c>
      <c r="D600" s="3" t="n">
        <v>0.09136734843864525</v>
      </c>
      <c r="E600" s="3" t="n">
        <v>21.26199085790294</v>
      </c>
      <c r="F600" s="3" t="n">
        <v>0.5795823235234114</v>
      </c>
      <c r="H600" s="3" t="n">
        <v>1.472666866533105</v>
      </c>
      <c r="I600" s="3" t="n">
        <v>16.30435345106763</v>
      </c>
      <c r="J600" s="3" t="n">
        <v>0.2280751058674481</v>
      </c>
      <c r="K600" s="3" t="n">
        <v>0.0002917458590171204</v>
      </c>
      <c r="L600" s="3" t="n">
        <v>9611.956158057363</v>
      </c>
      <c r="M600" s="4" t="n">
        <v>1713820382.550529</v>
      </c>
    </row>
    <row r="601">
      <c r="A601" t="inlineStr">
        <is>
          <t>BBG00GCLZ7B8</t>
        </is>
      </c>
      <c r="B601" t="inlineStr">
        <is>
          <t>kntk</t>
        </is>
      </c>
      <c r="C601" s="3" t="n">
        <v>0.8083311009619685</v>
      </c>
      <c r="D601" s="3" t="n">
        <v>0.4435553011554967</v>
      </c>
      <c r="E601" s="3" t="n">
        <v>21.98089795848793</v>
      </c>
      <c r="F601" s="3" t="n">
        <v>-0.1509270354058867</v>
      </c>
      <c r="H601" s="3" t="n">
        <v>-12.92419697888787</v>
      </c>
      <c r="I601" s="3" t="n">
        <v>16.92809005389109</v>
      </c>
      <c r="J601" s="3" t="n">
        <v>0.2608591838378062</v>
      </c>
      <c r="K601" s="3" t="n">
        <v>0.06122231510642368</v>
      </c>
      <c r="L601" s="3" t="n">
        <v>10620.2879113617</v>
      </c>
      <c r="M601" s="4" t="n">
        <v>3517083592.224121</v>
      </c>
    </row>
    <row r="602">
      <c r="A602" t="inlineStr">
        <is>
          <t>BBG000BMX289</t>
        </is>
      </c>
      <c r="B602" t="inlineStr">
        <is>
          <t>ko</t>
        </is>
      </c>
      <c r="C602" s="3" t="n">
        <v>0.08982178851108462</v>
      </c>
      <c r="D602" s="3" t="n">
        <v>0.1430191254515796</v>
      </c>
      <c r="E602" s="3" t="n">
        <v>26.3078959885484</v>
      </c>
      <c r="F602" s="3" t="n">
        <v>0.09957875862938043</v>
      </c>
      <c r="G602" s="3" t="n">
        <v>-0.02996899758870131</v>
      </c>
      <c r="H602" s="3" t="n">
        <v>4.007315785353069</v>
      </c>
      <c r="I602" s="3" t="n">
        <v>20.68477725566392</v>
      </c>
      <c r="J602" s="3" t="n">
        <v>0.1253005512263348</v>
      </c>
      <c r="K602" s="3" t="n">
        <v>0.0115921120706274</v>
      </c>
      <c r="L602" s="3" t="n">
        <v>18207.83664859894</v>
      </c>
      <c r="M602" s="4" t="n">
        <v>266301773238.5786</v>
      </c>
    </row>
    <row r="603">
      <c r="A603" t="inlineStr">
        <is>
          <t>BBG0057GTG80</t>
        </is>
      </c>
      <c r="B603" t="inlineStr">
        <is>
          <t>kodk</t>
        </is>
      </c>
      <c r="C603" s="3" t="n">
        <v>1.894073575456494</v>
      </c>
      <c r="D603" s="3" t="n">
        <v>0.3038673865766384</v>
      </c>
      <c r="E603" s="3" t="n">
        <v>20.18352620473134</v>
      </c>
      <c r="F603" s="3" t="n">
        <v>1.832218216105304</v>
      </c>
      <c r="H603" s="3" t="n">
        <v>2.235955054086185</v>
      </c>
      <c r="I603" s="3" t="n">
        <v>15.42999222993586</v>
      </c>
      <c r="J603" s="3" t="n">
        <v>0.7212242164781657</v>
      </c>
      <c r="K603" s="3" t="n">
        <v>0.04460456331342501</v>
      </c>
      <c r="L603" s="3" t="n">
        <v>8222.258539252363</v>
      </c>
      <c r="M603" s="4" t="n">
        <v>582900000</v>
      </c>
    </row>
    <row r="604">
      <c r="A604" t="inlineStr">
        <is>
          <t>BBG000L2Q7C4</t>
        </is>
      </c>
      <c r="B604" t="inlineStr">
        <is>
          <t>kos</t>
        </is>
      </c>
      <c r="C604" s="3" t="n">
        <v>1.095722429593346</v>
      </c>
      <c r="D604" s="3" t="n">
        <v>-0.4462444754657801</v>
      </c>
      <c r="E604" s="3" t="n">
        <v>21.3434488167209</v>
      </c>
      <c r="F604" s="3" t="n">
        <v>0.4676248381059991</v>
      </c>
      <c r="H604" s="3" t="n">
        <v>5.679671966231514</v>
      </c>
      <c r="I604" s="3" t="n">
        <v>17.26333596688782</v>
      </c>
      <c r="J604" s="3" t="n">
        <v>0.4368427348277229</v>
      </c>
      <c r="K604" s="3" t="n">
        <v>0.1031798414121926</v>
      </c>
      <c r="L604" s="3" t="n">
        <v>9722.854593396181</v>
      </c>
      <c r="M604" s="4" t="n">
        <v>1859268218.202076</v>
      </c>
    </row>
    <row r="605">
      <c r="A605" t="inlineStr">
        <is>
          <t>BBG000BMY992</t>
        </is>
      </c>
      <c r="B605" t="inlineStr">
        <is>
          <t>kr</t>
        </is>
      </c>
      <c r="C605" s="3" t="n">
        <v>0.268157786309913</v>
      </c>
      <c r="D605" s="3" t="n">
        <v>0.2823203051243601</v>
      </c>
      <c r="E605" s="3" t="n">
        <v>24.48140890785403</v>
      </c>
      <c r="F605" s="3" t="n">
        <v>0.2920075962769595</v>
      </c>
      <c r="H605" s="3" t="n">
        <v>4.109522287577128</v>
      </c>
      <c r="I605" s="3" t="n">
        <v>19.14672460755842</v>
      </c>
      <c r="J605" s="3" t="n">
        <v>0.2128358554991963</v>
      </c>
      <c r="K605" s="3" t="n">
        <v>0.03296107473552834</v>
      </c>
      <c r="L605" s="3" t="n">
        <v>14672.6724881025</v>
      </c>
      <c r="M605" s="4" t="n">
        <v>42868747797.35211</v>
      </c>
    </row>
    <row r="606">
      <c r="A606" t="inlineStr">
        <is>
          <t>BBG01RXK1PK9</t>
        </is>
      </c>
      <c r="B606" t="inlineStr">
        <is>
          <t>krmn</t>
        </is>
      </c>
    </row>
    <row r="607">
      <c r="A607" t="inlineStr">
        <is>
          <t>BBG00FQH6MJ5</t>
        </is>
      </c>
      <c r="B607" t="inlineStr">
        <is>
          <t>krp</t>
        </is>
      </c>
      <c r="C607" s="3" t="n">
        <v>0.5344479111465719</v>
      </c>
      <c r="D607" s="3" t="n">
        <v>0.1354437181309995</v>
      </c>
      <c r="I607" s="3" t="n">
        <v>15.53776675984812</v>
      </c>
      <c r="J607" s="3" t="n">
        <v>0.1665382701748238</v>
      </c>
    </row>
    <row r="608">
      <c r="A608" t="inlineStr">
        <is>
          <t>BBG000CS7CT9</t>
        </is>
      </c>
      <c r="B608" t="inlineStr">
        <is>
          <t>kss</t>
        </is>
      </c>
      <c r="C608" s="3" t="n">
        <v>1.183803295273723</v>
      </c>
      <c r="D608" s="3" t="n">
        <v>-0.1398061261851341</v>
      </c>
      <c r="E608" s="3" t="n">
        <v>21.14107827995292</v>
      </c>
      <c r="F608" s="3" t="n">
        <v>2.563484909694534</v>
      </c>
      <c r="H608" s="3" t="n">
        <v>3.642435139059225</v>
      </c>
      <c r="I608" s="3" t="n">
        <v>18.7131813041334</v>
      </c>
      <c r="J608" s="3" t="n">
        <v>0.5383936886857456</v>
      </c>
      <c r="K608" s="3" t="n">
        <v>0.02568094309737653</v>
      </c>
      <c r="L608" s="3" t="n">
        <v>9448.903266377851</v>
      </c>
      <c r="M608" s="4" t="n">
        <v>1518635815.92154</v>
      </c>
    </row>
    <row r="609">
      <c r="A609" t="inlineStr">
        <is>
          <t>BBG000C1HQ43</t>
        </is>
      </c>
      <c r="B609" t="inlineStr">
        <is>
          <t>ktos</t>
        </is>
      </c>
      <c r="C609" s="3" t="n">
        <v>1.18706142437031</v>
      </c>
      <c r="D609" s="3" t="n">
        <v>0.1926509303556398</v>
      </c>
      <c r="E609" s="3" t="n">
        <v>21.75668361019223</v>
      </c>
      <c r="F609" s="3" t="n">
        <v>0.09834004490833848</v>
      </c>
      <c r="H609" s="3" t="n">
        <v>3.660998539576706</v>
      </c>
      <c r="I609" s="3" t="n">
        <v>17.05649583926702</v>
      </c>
      <c r="J609" s="3" t="n">
        <v>0.3707036168139768</v>
      </c>
      <c r="K609" s="3" t="n">
        <v>0.0006048410866287098</v>
      </c>
      <c r="L609" s="3" t="n">
        <v>10298.59758609785</v>
      </c>
      <c r="M609" s="4" t="n">
        <v>2810655620.091377</v>
      </c>
    </row>
    <row r="610">
      <c r="A610" t="inlineStr">
        <is>
          <t>BBG01C79X561</t>
        </is>
      </c>
      <c r="B610" t="inlineStr">
        <is>
          <t>kvue</t>
        </is>
      </c>
      <c r="C610" s="3" t="n">
        <v>0.3412203197747841</v>
      </c>
      <c r="D610" s="3" t="n">
        <v>0.1565073110757544</v>
      </c>
      <c r="E610" s="3" t="n">
        <v>24.49153103226219</v>
      </c>
      <c r="F610" s="3" t="n">
        <v>0.2350312800384812</v>
      </c>
      <c r="H610" s="3" t="n">
        <v>2.645411671974316</v>
      </c>
      <c r="I610" s="3" t="n">
        <v>19.63017761709894</v>
      </c>
      <c r="J610" s="3" t="n">
        <v>0.2724629244003361</v>
      </c>
      <c r="K610" s="3" t="n">
        <v>0.0308741227560866</v>
      </c>
      <c r="L610" s="3" t="n">
        <v>14690.87977740969</v>
      </c>
      <c r="M610" s="4" t="n">
        <v>43304874134.61963</v>
      </c>
    </row>
    <row r="611">
      <c r="A611" t="inlineStr">
        <is>
          <t>BBG009WR3FL5</t>
        </is>
      </c>
      <c r="B611" t="inlineStr">
        <is>
          <t>kvyo</t>
        </is>
      </c>
      <c r="C611" s="3" t="n">
        <v>1.597053787416656</v>
      </c>
      <c r="D611" s="3" t="n">
        <v>0.2834964514495431</v>
      </c>
      <c r="H611" s="3" t="n">
        <v>1.19050872377584</v>
      </c>
      <c r="I611" s="3" t="n">
        <v>17.51948448289455</v>
      </c>
      <c r="J611" s="3" t="n">
        <v>0.5299581179045397</v>
      </c>
    </row>
    <row r="612">
      <c r="A612" t="inlineStr">
        <is>
          <t>BBG000CTY4J6</t>
        </is>
      </c>
      <c r="B612" t="inlineStr">
        <is>
          <t>kw</t>
        </is>
      </c>
      <c r="C612" s="3" t="n">
        <v>0.9472967861866459</v>
      </c>
      <c r="D612" s="3" t="n">
        <v>0.01298766811254892</v>
      </c>
      <c r="E612" s="3" t="n">
        <v>21.09550651895471</v>
      </c>
      <c r="F612" s="3" t="n">
        <v>1.209594468390986</v>
      </c>
      <c r="G612" s="3" t="n">
        <v>0.004140463263153871</v>
      </c>
      <c r="H612" s="3" t="n">
        <v>4.394108595297072</v>
      </c>
      <c r="I612" s="3" t="n">
        <v>15.54490118897991</v>
      </c>
      <c r="J612" s="3" t="n">
        <v>0.3545084158764716</v>
      </c>
      <c r="K612" s="3" t="n">
        <v>0.0692634289062128</v>
      </c>
      <c r="L612" s="3" t="n">
        <v>9387.930649934588</v>
      </c>
      <c r="M612" s="4" t="n">
        <v>1450982163.571776</v>
      </c>
    </row>
    <row r="613">
      <c r="A613" t="inlineStr">
        <is>
          <t>BBG00SDHC8D1</t>
        </is>
      </c>
      <c r="B613" t="inlineStr">
        <is>
          <t>kymr</t>
        </is>
      </c>
      <c r="C613" s="3" t="n">
        <v>1.798982754359582</v>
      </c>
      <c r="D613" s="3" t="n">
        <v>1.223988326585491</v>
      </c>
      <c r="E613" s="3" t="n">
        <v>21.83323109906224</v>
      </c>
      <c r="F613" s="3" t="n">
        <v>0.1615392657648025</v>
      </c>
      <c r="G613" s="3" t="n">
        <v>0.5814359499257742</v>
      </c>
      <c r="H613" s="3" t="n">
        <v>1.174656379004314</v>
      </c>
      <c r="I613" s="3" t="n">
        <v>16.79238002148552</v>
      </c>
      <c r="J613" s="3" t="n">
        <v>0.5844700695158688</v>
      </c>
      <c r="K613" s="3" t="n">
        <v>-0.01742339883666016</v>
      </c>
      <c r="L613" s="3" t="n">
        <v>10407.68250086112</v>
      </c>
      <c r="M613" s="4" t="n">
        <v>3034252988.076035</v>
      </c>
    </row>
    <row r="614">
      <c r="A614" t="inlineStr">
        <is>
          <t>BBG000C45984</t>
        </is>
      </c>
      <c r="B614" t="inlineStr">
        <is>
          <t>l</t>
        </is>
      </c>
      <c r="C614" s="3" t="n">
        <v>0.4863151379584273</v>
      </c>
      <c r="D614" s="3" t="n">
        <v>0.1261556708186902</v>
      </c>
      <c r="E614" s="3" t="n">
        <v>23.65793712714453</v>
      </c>
      <c r="F614" s="3" t="n">
        <v>0.9224930776856792</v>
      </c>
      <c r="H614" s="3" t="n">
        <v>4.817479978981536</v>
      </c>
      <c r="I614" s="3" t="n">
        <v>17.86169440544859</v>
      </c>
      <c r="J614" s="3" t="n">
        <v>0.15606547511846</v>
      </c>
      <c r="K614" s="3" t="n">
        <v>0.0525104085241373</v>
      </c>
      <c r="L614" s="3" t="n">
        <v>13241.29983659911</v>
      </c>
      <c r="M614" s="4" t="n">
        <v>18815317338.33948</v>
      </c>
    </row>
    <row r="615">
      <c r="A615" t="inlineStr">
        <is>
          <t>BBG000K3BC83</t>
        </is>
      </c>
      <c r="B615" t="inlineStr">
        <is>
          <t>lad</t>
        </is>
      </c>
      <c r="C615" s="3" t="n">
        <v>1.322526479569937</v>
      </c>
      <c r="D615" s="3" t="n">
        <v>0.2518869107402246</v>
      </c>
      <c r="E615" s="3" t="n">
        <v>23.04467561688666</v>
      </c>
      <c r="F615" s="3" t="n">
        <v>0.6098019407740207</v>
      </c>
      <c r="H615" s="3" t="n">
        <v>3.743462237283596</v>
      </c>
      <c r="I615" s="3" t="n">
        <v>18.38271108906816</v>
      </c>
      <c r="J615" s="3" t="n">
        <v>0.3399656204241864</v>
      </c>
      <c r="K615" s="3" t="n">
        <v>0.07726179500336125</v>
      </c>
      <c r="L615" s="3" t="n">
        <v>12238.03801100903</v>
      </c>
      <c r="M615" s="4" t="n">
        <v>10190029883.31409</v>
      </c>
    </row>
    <row r="616">
      <c r="A616" t="inlineStr">
        <is>
          <t>BBG000FGMKY1</t>
        </is>
      </c>
      <c r="B616" t="inlineStr">
        <is>
          <t>lamr</t>
        </is>
      </c>
      <c r="C616" s="3" t="n">
        <v>0.8899213200092327</v>
      </c>
      <c r="D616" s="3" t="n">
        <v>0.3627490667294813</v>
      </c>
      <c r="H616" s="3" t="n">
        <v>5.059081086706687</v>
      </c>
      <c r="I616" s="3" t="n">
        <v>17.74684867504407</v>
      </c>
      <c r="J616" s="3" t="n">
        <v>0.1816237200583454</v>
      </c>
    </row>
    <row r="617">
      <c r="A617" t="inlineStr">
        <is>
          <t>BBG000BT4C39</t>
        </is>
      </c>
      <c r="B617" t="inlineStr">
        <is>
          <t>laz</t>
        </is>
      </c>
      <c r="C617" s="3" t="n">
        <v>1.050764639567983</v>
      </c>
      <c r="D617" s="3" t="n">
        <v>0.8342294066660834</v>
      </c>
      <c r="E617" s="3" t="n">
        <v>22.54127585259426</v>
      </c>
      <c r="F617" s="3" t="n">
        <v>0.1013497855586624</v>
      </c>
      <c r="H617" s="3" t="n">
        <v>7.425887380319367</v>
      </c>
      <c r="I617" s="3" t="n">
        <v>17.37908890006827</v>
      </c>
      <c r="J617" s="3" t="n">
        <v>0.3219082629438827</v>
      </c>
      <c r="K617" s="3" t="n">
        <v>0.03143099442668217</v>
      </c>
      <c r="L617" s="3" t="n">
        <v>11453.42777092953</v>
      </c>
      <c r="M617" s="4" t="n">
        <v>6159588759.438606</v>
      </c>
    </row>
    <row r="618">
      <c r="A618" t="inlineStr">
        <is>
          <t>BBG006GNSZW5</t>
        </is>
      </c>
      <c r="B618" t="inlineStr">
        <is>
          <t>lbrdk</t>
        </is>
      </c>
      <c r="C618" s="3" t="n">
        <v>0.7757973604738444</v>
      </c>
      <c r="D618" s="3" t="n">
        <v>-0.02767082238918128</v>
      </c>
      <c r="H618" s="3" t="n">
        <v>1.810840830633029</v>
      </c>
      <c r="I618" s="3" t="n">
        <v>18.46816526847332</v>
      </c>
      <c r="J618" s="3" t="n">
        <v>0.4684496232385758</v>
      </c>
    </row>
    <row r="619">
      <c r="A619" t="inlineStr">
        <is>
          <t>BBG00W7F99V5</t>
        </is>
      </c>
      <c r="B619" t="inlineStr">
        <is>
          <t>lcid</t>
        </is>
      </c>
      <c r="C619" s="3" t="n">
        <v>1.649041577579537</v>
      </c>
      <c r="D619" s="3" t="n">
        <v>-0.4763033179639605</v>
      </c>
      <c r="E619" s="3" t="n">
        <v>24.90767601253708</v>
      </c>
      <c r="F619" s="3" t="n">
        <v>0.07389702821016299</v>
      </c>
      <c r="H619" s="3" t="n">
        <v>1.754587471390478</v>
      </c>
      <c r="I619" s="3" t="n">
        <v>18.71181367135137</v>
      </c>
      <c r="J619" s="3" t="n">
        <v>0.776643261069531</v>
      </c>
      <c r="K619" s="3" t="n">
        <v>-0.01511657233659546</v>
      </c>
      <c r="L619" s="3" t="n">
        <v>15452.53101546291</v>
      </c>
      <c r="M619" s="4" t="n">
        <v>65654764710.2655</v>
      </c>
    </row>
    <row r="620">
      <c r="A620" t="inlineStr">
        <is>
          <t>BBG000DNLMB0</t>
        </is>
      </c>
      <c r="B620" t="inlineStr">
        <is>
          <t>lcii</t>
        </is>
      </c>
      <c r="C620" s="3" t="n">
        <v>1.371402148395465</v>
      </c>
      <c r="D620" s="3" t="n">
        <v>0.05432153031988207</v>
      </c>
      <c r="E620" s="3" t="n">
        <v>21.78179563213757</v>
      </c>
      <c r="F620" s="3" t="n">
        <v>0.4760853042123085</v>
      </c>
      <c r="G620" s="3" t="n">
        <v>-0.0734854765293832</v>
      </c>
      <c r="H620" s="3" t="n">
        <v>2.204559299922341</v>
      </c>
      <c r="I620" s="3" t="n">
        <v>16.92272338653401</v>
      </c>
      <c r="J620" s="3" t="n">
        <v>0.348843096568463</v>
      </c>
      <c r="K620" s="3" t="n">
        <v>0.0115976703387414</v>
      </c>
      <c r="L620" s="3" t="n">
        <v>10334.29933611347</v>
      </c>
      <c r="M620" s="4" t="n">
        <v>2882130549.67984</v>
      </c>
    </row>
    <row r="621">
      <c r="A621" t="inlineStr">
        <is>
          <t>BBG000C23PB0</t>
        </is>
      </c>
      <c r="B621" t="inlineStr">
        <is>
          <t>ldos</t>
        </is>
      </c>
      <c r="C621" s="3" t="n">
        <v>0.4577712278633155</v>
      </c>
      <c r="D621" s="3" t="n">
        <v>0.7264719746818691</v>
      </c>
      <c r="E621" s="3" t="n">
        <v>23.79871255571306</v>
      </c>
      <c r="F621" s="3" t="n">
        <v>0.213023762382248</v>
      </c>
      <c r="G621" s="3" t="n">
        <v>-0.001505910699495572</v>
      </c>
      <c r="H621" s="3" t="n">
        <v>2.751408755363804</v>
      </c>
      <c r="I621" s="3" t="n">
        <v>19.0103811397041</v>
      </c>
      <c r="J621" s="3" t="n">
        <v>0.2435504808189897</v>
      </c>
      <c r="K621" s="3" t="n">
        <v>-0.01842143068715148</v>
      </c>
      <c r="L621" s="3" t="n">
        <v>13479.08433851859</v>
      </c>
      <c r="M621" s="4" t="n">
        <v>21659555479.5791</v>
      </c>
    </row>
    <row r="622">
      <c r="A622" t="inlineStr">
        <is>
          <t>BBG00TTGH5W4</t>
        </is>
      </c>
      <c r="B622" t="inlineStr">
        <is>
          <t>legn</t>
        </is>
      </c>
      <c r="C622" s="3" t="n">
        <v>0.724608738952542</v>
      </c>
      <c r="D622" s="3" t="n">
        <v>-0.2597829548888526</v>
      </c>
      <c r="I622" s="3" t="n">
        <v>17.91386602262258</v>
      </c>
      <c r="J622" s="3" t="n">
        <v>0.4498532019598993</v>
      </c>
    </row>
    <row r="623">
      <c r="A623" t="inlineStr">
        <is>
          <t>BBG000BN5HF7</t>
        </is>
      </c>
      <c r="B623" t="inlineStr">
        <is>
          <t>len</t>
        </is>
      </c>
      <c r="C623" s="3" t="n">
        <v>0.8971970334259071</v>
      </c>
      <c r="D623" s="3" t="n">
        <v>0.348435322067342</v>
      </c>
      <c r="H623" s="3" t="n">
        <v>1.449738367671059</v>
      </c>
      <c r="I623" s="3" t="n">
        <v>19.61662526886557</v>
      </c>
      <c r="J623" s="3" t="n">
        <v>0.2925929090026121</v>
      </c>
    </row>
    <row r="624">
      <c r="A624" t="inlineStr">
        <is>
          <t>BBG000BQ2JM1</t>
        </is>
      </c>
      <c r="B624" t="inlineStr">
        <is>
          <t>leu</t>
        </is>
      </c>
      <c r="C624" s="3" t="n">
        <v>1.628080848735117</v>
      </c>
      <c r="D624" s="3" t="n">
        <v>1.075369784257594</v>
      </c>
      <c r="E624" s="3" t="n">
        <v>20.94186138495451</v>
      </c>
      <c r="F624" s="3" t="n">
        <v>0.02595778805262572</v>
      </c>
      <c r="G624" s="3" t="n">
        <v>-0.2213830889974826</v>
      </c>
      <c r="H624" s="3" t="n">
        <v>18.29721305581384</v>
      </c>
      <c r="I624" s="3" t="n">
        <v>18.33782504671845</v>
      </c>
      <c r="J624" s="3" t="n">
        <v>0.7781190798665496</v>
      </c>
      <c r="K624" s="3" t="n">
        <v>-0.004018233444678903</v>
      </c>
      <c r="L624" s="3" t="n">
        <v>9184.295361989811</v>
      </c>
      <c r="M624" s="4" t="n">
        <v>1244327903</v>
      </c>
    </row>
    <row r="625">
      <c r="A625" t="inlineStr">
        <is>
          <t>BBG01WRYRPZ1</t>
        </is>
      </c>
      <c r="B625" t="inlineStr">
        <is>
          <t>lgn</t>
        </is>
      </c>
    </row>
    <row r="626">
      <c r="A626" t="inlineStr">
        <is>
          <t>lh</t>
        </is>
      </c>
      <c r="B626" t="inlineStr">
        <is>
          <t>lh</t>
        </is>
      </c>
      <c r="C626" s="3" t="n">
        <v>0.5199535779627623</v>
      </c>
      <c r="D626" s="3" t="n">
        <v>0.06302962260926614</v>
      </c>
      <c r="E626" s="3" t="n">
        <v>23.71120131872761</v>
      </c>
      <c r="F626" s="3" t="n">
        <v>0.4426881265476407</v>
      </c>
      <c r="H626" s="3" t="n">
        <v>2.118668184164068</v>
      </c>
      <c r="I626" s="3" t="n">
        <v>18.71261970049433</v>
      </c>
      <c r="J626" s="3" t="n">
        <v>0.2112763254673695</v>
      </c>
      <c r="K626" s="3" t="n">
        <v>0.009518928526448416</v>
      </c>
      <c r="L626" s="3" t="n">
        <v>13330.93692843814</v>
      </c>
      <c r="M626" s="4" t="n">
        <v>19844670486.34949</v>
      </c>
    </row>
    <row r="627">
      <c r="A627" t="inlineStr">
        <is>
          <t>lhx</t>
        </is>
      </c>
      <c r="B627" t="inlineStr">
        <is>
          <t>lhx</t>
        </is>
      </c>
      <c r="C627" s="3" t="n">
        <v>0.2836559449441443</v>
      </c>
      <c r="D627" s="3" t="n">
        <v>0.3172398311414044</v>
      </c>
      <c r="E627" s="3" t="n">
        <v>24.54063935753722</v>
      </c>
      <c r="F627" s="3" t="n">
        <v>0.4125573353807669</v>
      </c>
      <c r="H627" s="3" t="n">
        <v>2.232294164549305</v>
      </c>
      <c r="I627" s="3" t="n">
        <v>18.99627087756736</v>
      </c>
      <c r="J627" s="3" t="n">
        <v>0.1860873857247814</v>
      </c>
      <c r="K627" s="3" t="n">
        <v>0.008794187804546057</v>
      </c>
      <c r="L627" s="3" t="n">
        <v>14779.42777967089</v>
      </c>
      <c r="M627" s="4" t="n">
        <v>45484586965.99933</v>
      </c>
    </row>
    <row r="628">
      <c r="A628" t="inlineStr">
        <is>
          <t>BBG000BB5B84</t>
        </is>
      </c>
      <c r="B628" t="inlineStr">
        <is>
          <t>lii</t>
        </is>
      </c>
      <c r="C628" s="3" t="n">
        <v>1.208776334480386</v>
      </c>
      <c r="D628" s="3" t="n">
        <v>0.494779359268803</v>
      </c>
      <c r="E628" s="3" t="n">
        <v>23.87710699978946</v>
      </c>
      <c r="F628" s="3" t="n">
        <v>0.002672258821355212</v>
      </c>
      <c r="H628" s="3" t="n">
        <v>44.70127724119365</v>
      </c>
      <c r="I628" s="3" t="n">
        <v>18.81968374134566</v>
      </c>
      <c r="J628" s="3" t="n">
        <v>0.2328812198073154</v>
      </c>
      <c r="K628" s="3" t="n">
        <v>0.01020239390261814</v>
      </c>
      <c r="L628" s="3" t="n">
        <v>13612.72643326542</v>
      </c>
      <c r="M628" s="4" t="n">
        <v>23425874581.1084</v>
      </c>
    </row>
    <row r="629">
      <c r="A629" t="inlineStr">
        <is>
          <t>lin</t>
        </is>
      </c>
      <c r="B629" t="inlineStr">
        <is>
          <t>lin</t>
        </is>
      </c>
      <c r="C629" s="3" t="n">
        <v>0.4869662486328197</v>
      </c>
      <c r="D629" s="3" t="n">
        <v>0.1159346889686801</v>
      </c>
      <c r="E629" s="3" t="n">
        <v>26.09172234434094</v>
      </c>
      <c r="F629" s="3" t="n">
        <v>0.1851476492403522</v>
      </c>
      <c r="H629" s="3" t="n">
        <v>2.034516616262978</v>
      </c>
      <c r="I629" s="3" t="n">
        <v>20.47676202337536</v>
      </c>
      <c r="J629" s="3" t="n">
        <v>0.1424234440650861</v>
      </c>
      <c r="K629" s="3" t="n">
        <v>0.007294966542325057</v>
      </c>
      <c r="L629" s="3" t="n">
        <v>17762.66989908165</v>
      </c>
      <c r="M629" s="4" t="n">
        <v>214531484265.5751</v>
      </c>
    </row>
    <row r="630">
      <c r="A630" t="inlineStr">
        <is>
          <t>BBG000GM1PH8</t>
        </is>
      </c>
      <c r="B630" t="inlineStr">
        <is>
          <t>linc</t>
        </is>
      </c>
      <c r="C630" s="3" t="n">
        <v>1.482439213007559</v>
      </c>
      <c r="D630" s="3" t="n">
        <v>0.4341252056939504</v>
      </c>
      <c r="E630" s="3" t="n">
        <v>20.06394547247509</v>
      </c>
      <c r="F630" s="3" t="n">
        <v>0.2615106100853288</v>
      </c>
      <c r="H630" s="3" t="n">
        <v>2.987135293690868</v>
      </c>
      <c r="I630" s="3" t="n">
        <v>14.13687063298526</v>
      </c>
      <c r="J630" s="3" t="n">
        <v>0.3450897696776023</v>
      </c>
      <c r="K630" s="3" t="n">
        <v>-0.0002107490832012424</v>
      </c>
      <c r="L630" s="3" t="n">
        <v>8076.980169851653</v>
      </c>
      <c r="M630" s="4" t="n">
        <v>517202723.4166794</v>
      </c>
    </row>
    <row r="631">
      <c r="A631" t="inlineStr">
        <is>
          <t>BBG01NJDR0W4</t>
        </is>
      </c>
      <c r="B631" t="inlineStr">
        <is>
          <t>line</t>
        </is>
      </c>
      <c r="E631" s="3" t="n">
        <v>23.32088754174353</v>
      </c>
      <c r="F631" s="3" t="n">
        <v>0.6719896076451666</v>
      </c>
      <c r="H631" s="3" t="n">
        <v>2.13339242165595</v>
      </c>
      <c r="K631" s="3" t="n">
        <v>-0.0441491067287374</v>
      </c>
      <c r="L631" s="3" t="n">
        <v>12683.38641835352</v>
      </c>
      <c r="M631" s="4" t="n">
        <v>13431755337.64214</v>
      </c>
    </row>
    <row r="632">
      <c r="A632" t="inlineStr">
        <is>
          <t>BBG01TT3G7W9</t>
        </is>
      </c>
      <c r="B632" t="inlineStr">
        <is>
          <t>lion</t>
        </is>
      </c>
      <c r="C632" s="3" t="n">
        <v>0.4114511095163954</v>
      </c>
      <c r="D632" s="3" t="n">
        <v>-0.3484848635365259</v>
      </c>
      <c r="I632" s="3" t="n">
        <v>14.08769954763699</v>
      </c>
      <c r="J632" s="3" t="n">
        <v>0.4064150231573471</v>
      </c>
    </row>
    <row r="633">
      <c r="A633" t="inlineStr">
        <is>
          <t>BBG0073F9RT7</t>
        </is>
      </c>
      <c r="B633" t="inlineStr">
        <is>
          <t>lite</t>
        </is>
      </c>
      <c r="C633" s="3" t="n">
        <v>2.514086725079145</v>
      </c>
      <c r="D633" s="3" t="n">
        <v>0.492289721271296</v>
      </c>
      <c r="E633" s="3" t="n">
        <v>22.51082300299753</v>
      </c>
      <c r="F633" s="3" t="n">
        <v>0.2193866615288449</v>
      </c>
      <c r="H633" s="3" t="n">
        <v>3.028379613191654</v>
      </c>
      <c r="I633" s="3" t="n">
        <v>18.62137968704879</v>
      </c>
      <c r="J633" s="3" t="n">
        <v>0.453466124121871</v>
      </c>
      <c r="K633" s="3" t="n">
        <v>-0.01379116639455052</v>
      </c>
      <c r="L633" s="3" t="n">
        <v>11407.07034384436</v>
      </c>
      <c r="M633" s="4" t="n">
        <v>5974839083.862305</v>
      </c>
    </row>
    <row r="634">
      <c r="A634" t="inlineStr">
        <is>
          <t>BBG000BNBDC2</t>
        </is>
      </c>
      <c r="B634" t="inlineStr">
        <is>
          <t>lly</t>
        </is>
      </c>
      <c r="C634" s="3" t="n">
        <v>0.8457255316879985</v>
      </c>
      <c r="D634" s="3" t="n">
        <v>0.4106904869078194</v>
      </c>
      <c r="E634" s="3" t="n">
        <v>27.33921548179019</v>
      </c>
      <c r="F634" s="3" t="n">
        <v>0.01906512100236726</v>
      </c>
      <c r="H634" s="3" t="n">
        <v>5.309473314233886</v>
      </c>
      <c r="I634" s="3" t="n">
        <v>21.82163448753509</v>
      </c>
      <c r="J634" s="3" t="n">
        <v>0.2837528307332934</v>
      </c>
      <c r="K634" s="3" t="n">
        <v>-7.684957482695792e-05</v>
      </c>
      <c r="L634" s="3" t="n">
        <v>20434.22372982152</v>
      </c>
      <c r="M634" s="4" t="n">
        <v>746913696388.9606</v>
      </c>
    </row>
    <row r="635">
      <c r="A635" t="inlineStr">
        <is>
          <t>lmt</t>
        </is>
      </c>
      <c r="B635" t="inlineStr">
        <is>
          <t>lmt</t>
        </is>
      </c>
      <c r="C635" s="3" t="n">
        <v>-0.03728934432365844</v>
      </c>
      <c r="D635" s="3" t="n">
        <v>0.2436134546960897</v>
      </c>
      <c r="E635" s="3" t="n">
        <v>25.50839686936953</v>
      </c>
      <c r="F635" s="3" t="n">
        <v>0.05157995505423189</v>
      </c>
      <c r="H635" s="3" t="n">
        <v>8.991093115952859</v>
      </c>
      <c r="I635" s="3" t="n">
        <v>20.18928696275975</v>
      </c>
      <c r="J635" s="3" t="n">
        <v>0.167604208818676</v>
      </c>
      <c r="K635" s="3" t="n">
        <v>0.01355696632437544</v>
      </c>
      <c r="L635" s="3" t="n">
        <v>16597.76058733192</v>
      </c>
      <c r="M635" s="4" t="n">
        <v>119717048870.1655</v>
      </c>
    </row>
    <row r="636">
      <c r="A636" t="inlineStr">
        <is>
          <t>BBG000BNC3Y9</t>
        </is>
      </c>
      <c r="B636" t="inlineStr">
        <is>
          <t>lnc</t>
        </is>
      </c>
      <c r="C636" s="3" t="n">
        <v>1.166126355269436</v>
      </c>
      <c r="D636" s="3" t="n">
        <v>0.5509023712387422</v>
      </c>
      <c r="E636" s="3" t="n">
        <v>22.4480154690402</v>
      </c>
      <c r="F636" s="3" t="n">
        <v>1.228454372920757</v>
      </c>
      <c r="H636" s="3" t="n">
        <v>57.57144928803548</v>
      </c>
      <c r="I636" s="3" t="n">
        <v>17.61071299156754</v>
      </c>
      <c r="J636" s="3" t="n">
        <v>0.3236451849549766</v>
      </c>
      <c r="K636" s="3" t="n">
        <v>0.08607913276087707</v>
      </c>
      <c r="L636" s="3" t="n">
        <v>11311.85576454574</v>
      </c>
      <c r="M636" s="4" t="n">
        <v>5611116009.447578</v>
      </c>
    </row>
    <row r="637">
      <c r="A637" t="inlineStr">
        <is>
          <t>BBG000C3HSR0</t>
        </is>
      </c>
      <c r="B637" t="inlineStr">
        <is>
          <t>lng</t>
        </is>
      </c>
      <c r="C637" s="3" t="n">
        <v>0.2050818062904462</v>
      </c>
      <c r="D637" s="3" t="n">
        <v>0.05898410745960936</v>
      </c>
      <c r="E637" s="3" t="n">
        <v>24.62632414834062</v>
      </c>
      <c r="F637" s="3" t="n">
        <v>0.1029588699192681</v>
      </c>
      <c r="G637" s="3" t="n">
        <v>-0.01475146232900659</v>
      </c>
      <c r="H637" s="3" t="n">
        <v>8.442767540485541</v>
      </c>
      <c r="I637" s="3" t="n">
        <v>19.56021643084032</v>
      </c>
      <c r="J637" s="3" t="n">
        <v>0.2002802978638744</v>
      </c>
      <c r="K637" s="3" t="n">
        <v>0.04590972737482064</v>
      </c>
      <c r="L637" s="3" t="n">
        <v>14934.77812357703</v>
      </c>
      <c r="M637" s="4" t="n">
        <v>49553768450.42697</v>
      </c>
    </row>
    <row r="638">
      <c r="A638" t="inlineStr">
        <is>
          <t>BBG000DW4Q75</t>
        </is>
      </c>
      <c r="B638" t="inlineStr">
        <is>
          <t>lnt</t>
        </is>
      </c>
      <c r="C638" s="3" t="n">
        <v>0.1006673442495669</v>
      </c>
      <c r="D638" s="3" t="n">
        <v>0.2302740376407237</v>
      </c>
      <c r="E638" s="3" t="n">
        <v>23.46160742271447</v>
      </c>
      <c r="F638" s="3" t="n">
        <v>0.450672960193763</v>
      </c>
      <c r="G638" s="3" t="n">
        <v>0.006593156757985774</v>
      </c>
      <c r="H638" s="3" t="n">
        <v>3.276262915718102</v>
      </c>
      <c r="I638" s="3" t="n">
        <v>18.29068846887647</v>
      </c>
      <c r="J638" s="3" t="n">
        <v>0.1846921539532964</v>
      </c>
      <c r="K638" s="3" t="n">
        <v>0.03492586086461424</v>
      </c>
      <c r="L638" s="3" t="n">
        <v>12914.37195728626</v>
      </c>
      <c r="M638" s="4" t="n">
        <v>15461322544.29797</v>
      </c>
    </row>
    <row r="639">
      <c r="A639" t="inlineStr">
        <is>
          <t>BBG00JR5MM31</t>
        </is>
      </c>
      <c r="B639" t="inlineStr">
        <is>
          <t>lnwo</t>
        </is>
      </c>
      <c r="C639" s="3" t="n">
        <v>1.235005554361249</v>
      </c>
      <c r="D639" s="3" t="n">
        <v>0.0606197774411863</v>
      </c>
      <c r="E639" s="3" t="n">
        <v>22.86771937000142</v>
      </c>
      <c r="F639" s="3" t="n">
        <v>0.08960600167983823</v>
      </c>
      <c r="H639" s="3" t="n">
        <v>7.257516330382332</v>
      </c>
      <c r="I639" s="3" t="n">
        <v>18.11314372471016</v>
      </c>
      <c r="J639" s="3" t="n">
        <v>0.3184863756561686</v>
      </c>
      <c r="K639" s="3" t="n">
        <v>0.4304602041482425</v>
      </c>
      <c r="L639" s="3" t="n">
        <v>11958.27569891397</v>
      </c>
      <c r="M639" s="4" t="n">
        <v>8537374568.321159</v>
      </c>
    </row>
    <row r="640">
      <c r="A640" t="inlineStr">
        <is>
          <t>BBG01M86F4Y6</t>
        </is>
      </c>
      <c r="B640" t="inlineStr">
        <is>
          <t>loar</t>
        </is>
      </c>
      <c r="C640" s="3" t="n">
        <v>1.912613923839626</v>
      </c>
      <c r="E640" s="3" t="n">
        <v>22.83467892113616</v>
      </c>
      <c r="F640" s="3" t="n">
        <v>0.09319889291592401</v>
      </c>
      <c r="H640" s="3" t="n">
        <v>1.912211258937599</v>
      </c>
      <c r="I640" s="3" t="n">
        <v>16.98910979895496</v>
      </c>
      <c r="J640" s="3" t="n">
        <v>0.563783572122969</v>
      </c>
      <c r="K640" s="3" t="n">
        <v>0.0009250711740375926</v>
      </c>
      <c r="L640" s="3" t="n">
        <v>11906.51677252195</v>
      </c>
      <c r="M640" s="4" t="n">
        <v>8259904981.932144</v>
      </c>
    </row>
    <row r="641">
      <c r="A641" t="inlineStr">
        <is>
          <t>BBG00ZYWXNJ7</t>
        </is>
      </c>
      <c r="B641" t="inlineStr">
        <is>
          <t>loclw</t>
        </is>
      </c>
      <c r="C641" s="3" t="n">
        <v>0</v>
      </c>
      <c r="D641" s="3" t="n">
        <v>0</v>
      </c>
      <c r="H641" s="3" t="n">
        <v>4.135801125732707</v>
      </c>
      <c r="I641" s="3" t="n">
        <v>0</v>
      </c>
      <c r="J641" s="3" t="n">
        <v>0</v>
      </c>
    </row>
    <row r="642">
      <c r="A642" t="inlineStr">
        <is>
          <t>BBG000BNDN65</t>
        </is>
      </c>
      <c r="B642" t="inlineStr">
        <is>
          <t>low</t>
        </is>
      </c>
      <c r="C642" s="3" t="n">
        <v>0.7711238996897904</v>
      </c>
      <c r="D642" s="3" t="n">
        <v>0.3419185325265726</v>
      </c>
      <c r="E642" s="3" t="n">
        <v>25.72999657598699</v>
      </c>
      <c r="F642" s="3" t="n">
        <v>-0.09539842882902914</v>
      </c>
      <c r="G642" s="3" t="n">
        <v>-8.096510404020929e-05</v>
      </c>
      <c r="H642" s="3" t="n">
        <v>-3.138978532562016</v>
      </c>
      <c r="I642" s="3" t="n">
        <v>20.17796026623477</v>
      </c>
      <c r="J642" s="3" t="n">
        <v>0.2045461230554013</v>
      </c>
      <c r="K642" s="3" t="n">
        <v>0.03903879860809085</v>
      </c>
      <c r="L642" s="3" t="n">
        <v>17034.09971657313</v>
      </c>
      <c r="M642" s="4" t="n">
        <v>149415458670.1872</v>
      </c>
    </row>
    <row r="643">
      <c r="A643" t="inlineStr">
        <is>
          <t>BBG000P2TYL8</t>
        </is>
      </c>
      <c r="B643" t="inlineStr">
        <is>
          <t>lpla</t>
        </is>
      </c>
      <c r="C643" s="3" t="n">
        <v>0.7062095430765415</v>
      </c>
      <c r="D643" s="3" t="n">
        <v>0.2741634072187749</v>
      </c>
      <c r="E643" s="3" t="n">
        <v>23.91028188482968</v>
      </c>
      <c r="F643" s="3" t="n">
        <v>0.08763052301880496</v>
      </c>
      <c r="H643" s="3" t="n">
        <v>4.894041936068887</v>
      </c>
      <c r="I643" s="3" t="n">
        <v>19.12338290903046</v>
      </c>
      <c r="J643" s="3" t="n">
        <v>0.3151528990766302</v>
      </c>
      <c r="K643" s="3" t="n">
        <v>0.01054271423144707</v>
      </c>
      <c r="L643" s="3" t="n">
        <v>13669.54592730772</v>
      </c>
      <c r="M643" s="4" t="n">
        <v>24216059961.85812</v>
      </c>
    </row>
    <row r="644">
      <c r="A644" t="inlineStr">
        <is>
          <t>BBG00VDHLSQ6</t>
        </is>
      </c>
      <c r="B644" t="inlineStr">
        <is>
          <t>lpro</t>
        </is>
      </c>
      <c r="C644" s="3" t="n">
        <v>1.187754750544585</v>
      </c>
      <c r="D644" s="3" t="n">
        <v>-0.1236306695398283</v>
      </c>
      <c r="E644" s="3" t="n">
        <v>20.45073903573526</v>
      </c>
      <c r="F644" s="3" t="n">
        <v>0.2794972166631312</v>
      </c>
      <c r="H644" s="3" t="n">
        <v>1.757494447254565</v>
      </c>
      <c r="I644" s="3" t="n">
        <v>14.53373380279716</v>
      </c>
      <c r="J644" s="3" t="n">
        <v>0.4772501473316384</v>
      </c>
      <c r="K644" s="3" t="n">
        <v>0.003943775803665859</v>
      </c>
      <c r="L644" s="3" t="n">
        <v>8553.168358284389</v>
      </c>
      <c r="M644" s="4" t="n">
        <v>761453020.0385237</v>
      </c>
    </row>
    <row r="645">
      <c r="A645" t="inlineStr">
        <is>
          <t>lrcx</t>
        </is>
      </c>
      <c r="B645" t="inlineStr">
        <is>
          <t>lrcx</t>
        </is>
      </c>
      <c r="C645" s="3" t="n">
        <v>2.363231202702238</v>
      </c>
      <c r="D645" s="3" t="n">
        <v>0.04872809170129466</v>
      </c>
      <c r="E645" s="3" t="n">
        <v>25.2643972667517</v>
      </c>
      <c r="F645" s="3" t="n">
        <v>0.09032168643831824</v>
      </c>
      <c r="H645" s="3" t="n">
        <v>2.212578985941559</v>
      </c>
      <c r="I645" s="3" t="n">
        <v>20.66655561194288</v>
      </c>
      <c r="J645" s="3" t="n">
        <v>0.3118579353332168</v>
      </c>
      <c r="K645" s="3" t="n">
        <v>0.01190278591803669</v>
      </c>
      <c r="L645" s="3" t="n">
        <v>16126.00630169213</v>
      </c>
      <c r="M645" s="4" t="n">
        <v>93796864673.19489</v>
      </c>
    </row>
    <row r="646">
      <c r="A646" t="inlineStr">
        <is>
          <t>BBG000C2D1C1</t>
        </is>
      </c>
      <c r="B646" t="inlineStr">
        <is>
          <t>lscc</t>
        </is>
      </c>
      <c r="C646" s="3" t="n">
        <v>2.54695676687877</v>
      </c>
      <c r="D646" s="3" t="n">
        <v>-0.1347566096064828</v>
      </c>
      <c r="E646" s="3" t="n">
        <v>22.78121112419545</v>
      </c>
      <c r="F646" s="3" t="n">
        <v>0.08838210965423157</v>
      </c>
      <c r="H646" s="3" t="n">
        <v>1.233578507509063</v>
      </c>
      <c r="I646" s="3" t="n">
        <v>18.63765298377717</v>
      </c>
      <c r="J646" s="3" t="n">
        <v>0.4265042967438278</v>
      </c>
      <c r="K646" s="3" t="n">
        <v>0.005698310144855423</v>
      </c>
      <c r="L646" s="3" t="n">
        <v>11823.07451246721</v>
      </c>
      <c r="M646" s="4" t="n">
        <v>7829865146</v>
      </c>
    </row>
    <row r="647">
      <c r="A647" t="inlineStr">
        <is>
          <t>BBG000BB2KN0</t>
        </is>
      </c>
      <c r="B647" t="inlineStr">
        <is>
          <t>lstr</t>
        </is>
      </c>
      <c r="C647" s="3" t="n">
        <v>0.6613247578369791</v>
      </c>
      <c r="D647" s="3" t="n">
        <v>0.03434362325788132</v>
      </c>
      <c r="E647" s="3" t="n">
        <v>22.56396093884655</v>
      </c>
      <c r="F647" s="3" t="n">
        <v>0.161233369313995</v>
      </c>
      <c r="H647" s="3" t="n">
        <v>1.773613616676136</v>
      </c>
      <c r="I647" s="3" t="n">
        <v>17.47639963103358</v>
      </c>
      <c r="J647" s="3" t="n">
        <v>0.2053022124965644</v>
      </c>
      <c r="K647" s="3" t="n">
        <v>0.007940590841866282</v>
      </c>
      <c r="L647" s="3" t="n">
        <v>11488.04208015213</v>
      </c>
      <c r="M647" s="4" t="n">
        <v>6300916517.227341</v>
      </c>
    </row>
    <row r="648">
      <c r="A648" t="inlineStr">
        <is>
          <t>BBG00Z6BJ689</t>
        </is>
      </c>
      <c r="B648" t="inlineStr">
        <is>
          <t>luck</t>
        </is>
      </c>
      <c r="C648" s="3" t="n">
        <v>1.200091503470664</v>
      </c>
      <c r="D648" s="3" t="n">
        <v>0.02252918018521921</v>
      </c>
      <c r="H648" s="3" t="n">
        <v>19.92272939922607</v>
      </c>
      <c r="I648" s="3" t="n">
        <v>15.78740732488773</v>
      </c>
      <c r="J648" s="3" t="n">
        <v>0.4936728885498627</v>
      </c>
    </row>
    <row r="649">
      <c r="A649" t="inlineStr">
        <is>
          <t>BBG000R8ZVD1</t>
        </is>
      </c>
      <c r="B649" t="inlineStr">
        <is>
          <t>lulu</t>
        </is>
      </c>
      <c r="C649" s="3" t="n">
        <v>1.129607718931232</v>
      </c>
      <c r="D649" s="3" t="n">
        <v>-0.3332587241821487</v>
      </c>
      <c r="E649" s="3" t="n">
        <v>24.3536957250832</v>
      </c>
      <c r="F649" s="3" t="n">
        <v>0.09365419083684123</v>
      </c>
      <c r="G649" s="3" t="n">
        <v>0.03832053959514337</v>
      </c>
      <c r="H649" s="3" t="n">
        <v>2.007068664278729</v>
      </c>
      <c r="I649" s="3" t="n">
        <v>20.12478447599869</v>
      </c>
      <c r="J649" s="3" t="n">
        <v>0.3304871602797143</v>
      </c>
      <c r="K649" s="3" t="n">
        <v>0.01041431425771897</v>
      </c>
      <c r="L649" s="3" t="n">
        <v>14444.23770846235</v>
      </c>
      <c r="M649" s="4" t="n">
        <v>37729032393.8858</v>
      </c>
    </row>
    <row r="650">
      <c r="A650" t="inlineStr">
        <is>
          <t>BBG000BNJHS8</t>
        </is>
      </c>
      <c r="B650" t="inlineStr">
        <is>
          <t>luv</t>
        </is>
      </c>
      <c r="C650" s="3" t="n">
        <v>0.807889926635076</v>
      </c>
      <c r="D650" s="3" t="n">
        <v>0.2247219301104777</v>
      </c>
      <c r="E650" s="3" t="n">
        <v>23.65340268135867</v>
      </c>
      <c r="F650" s="3" t="n">
        <v>0.5587235407632591</v>
      </c>
      <c r="H650" s="3" t="n">
        <v>3.329861442586731</v>
      </c>
      <c r="I650" s="3" t="n">
        <v>19.22683443611177</v>
      </c>
      <c r="J650" s="3" t="n">
        <v>0.3597883397796047</v>
      </c>
      <c r="K650" s="3" t="n">
        <v>0.03828043752768818</v>
      </c>
      <c r="L650" s="3" t="n">
        <v>13233.68753524826</v>
      </c>
      <c r="M650" s="4" t="n">
        <v>18730193442.61974</v>
      </c>
    </row>
    <row r="651">
      <c r="A651" t="inlineStr">
        <is>
          <t>BBG000JWD753</t>
        </is>
      </c>
      <c r="B651" t="inlineStr">
        <is>
          <t>lvs</t>
        </is>
      </c>
      <c r="C651" s="3" t="n">
        <v>0.8007373921580457</v>
      </c>
      <c r="D651" s="3" t="n">
        <v>0.1395698314203275</v>
      </c>
      <c r="E651" s="3" t="n">
        <v>24.34091498830525</v>
      </c>
      <c r="F651" s="3" t="n">
        <v>0.09197341128672207</v>
      </c>
      <c r="H651" s="3" t="n">
        <v>6.232924691700839</v>
      </c>
      <c r="I651" s="3" t="n">
        <v>19.50334822359306</v>
      </c>
      <c r="J651" s="3" t="n">
        <v>0.2768801636810794</v>
      </c>
      <c r="K651" s="3" t="n">
        <v>0.007382570958508047</v>
      </c>
      <c r="L651" s="3" t="n">
        <v>14421.50878007021</v>
      </c>
      <c r="M651" s="4" t="n">
        <v>37249895942.50951</v>
      </c>
    </row>
    <row r="652">
      <c r="A652" t="inlineStr">
        <is>
          <t>BBG003CVMLQ2</t>
        </is>
      </c>
      <c r="B652" t="inlineStr">
        <is>
          <t>lw</t>
        </is>
      </c>
      <c r="C652" s="3" t="n">
        <v>1.258508975565592</v>
      </c>
      <c r="D652" s="3" t="n">
        <v>-0.2123857423556472</v>
      </c>
      <c r="E652" s="3" t="n">
        <v>23.07966428706158</v>
      </c>
      <c r="F652" s="3" t="n">
        <v>0.1694135288785176</v>
      </c>
      <c r="H652" s="3" t="n">
        <v>4.202091954244271</v>
      </c>
      <c r="I652" s="3" t="n">
        <v>18.88898175064269</v>
      </c>
      <c r="J652" s="3" t="n">
        <v>0.4132121308579418</v>
      </c>
      <c r="K652" s="3" t="n">
        <v>0.02224985825074166</v>
      </c>
      <c r="L652" s="3" t="n">
        <v>12293.86563065373</v>
      </c>
      <c r="M652" s="4" t="n">
        <v>10552876217.53381</v>
      </c>
    </row>
    <row r="653">
      <c r="A653" t="inlineStr">
        <is>
          <t>lyb</t>
        </is>
      </c>
      <c r="B653" t="inlineStr">
        <is>
          <t>lyb</t>
        </is>
      </c>
      <c r="C653" s="3" t="n">
        <v>0.6074560447666346</v>
      </c>
      <c r="D653" s="3" t="n">
        <v>-0.04963241830254761</v>
      </c>
      <c r="E653" s="3" t="n">
        <v>23.88888840810338</v>
      </c>
      <c r="F653" s="3" t="n">
        <v>0.5454891421137459</v>
      </c>
      <c r="G653" s="3" t="n">
        <v>0.0102664919178681</v>
      </c>
      <c r="H653" s="3" t="n">
        <v>2.861562258092686</v>
      </c>
      <c r="I653" s="3" t="n">
        <v>19.00455751664331</v>
      </c>
      <c r="J653" s="3" t="n">
        <v>0.1664363280871351</v>
      </c>
      <c r="K653" s="3" t="n">
        <v>0.1433121899273314</v>
      </c>
      <c r="L653" s="3" t="n">
        <v>13632.8866940242</v>
      </c>
      <c r="M653" s="4" t="n">
        <v>23703496552.38112</v>
      </c>
    </row>
    <row r="654">
      <c r="A654" t="inlineStr">
        <is>
          <t>BBG004M9ZHX5</t>
        </is>
      </c>
      <c r="B654" t="inlineStr">
        <is>
          <t>lyft</t>
        </is>
      </c>
      <c r="C654" s="3" t="n">
        <v>2.276024987644417</v>
      </c>
      <c r="D654" s="3" t="n">
        <v>0.1057119158724258</v>
      </c>
      <c r="H654" s="3" t="n">
        <v>9.719261391644855</v>
      </c>
      <c r="I654" s="3" t="n">
        <v>19.11885778503088</v>
      </c>
      <c r="J654" s="3" t="n">
        <v>0.6430202433592194</v>
      </c>
    </row>
    <row r="655">
      <c r="A655" t="inlineStr">
        <is>
          <t>BBG000FQ7YR4</t>
        </is>
      </c>
      <c r="B655" t="inlineStr">
        <is>
          <t>lyv</t>
        </is>
      </c>
      <c r="C655" s="3" t="n">
        <v>1.079296606230881</v>
      </c>
      <c r="D655" s="3" t="n">
        <v>0.3908809984777446</v>
      </c>
      <c r="E655" s="3" t="n">
        <v>24.1928349134975</v>
      </c>
      <c r="F655" s="3" t="n">
        <v>-0.001628277800652608</v>
      </c>
      <c r="G655" s="3" t="n">
        <v>-0.0477351461835932</v>
      </c>
      <c r="H655" s="3" t="n">
        <v>-363.8206741959789</v>
      </c>
      <c r="I655" s="3" t="n">
        <v>19.42076316439323</v>
      </c>
      <c r="J655" s="3" t="n">
        <v>0.2448597921285431</v>
      </c>
      <c r="K655" s="3" t="n">
        <v>0.02458766409437047</v>
      </c>
      <c r="L655" s="3" t="n">
        <v>14159.90324302671</v>
      </c>
      <c r="M655" s="4" t="n">
        <v>32122896951.25</v>
      </c>
    </row>
    <row r="656">
      <c r="A656" t="inlineStr">
        <is>
          <t>BBG000C46HM9</t>
        </is>
      </c>
      <c r="B656" t="inlineStr">
        <is>
          <t>m</t>
        </is>
      </c>
      <c r="C656" s="3" t="n">
        <v>1.218151456396468</v>
      </c>
      <c r="D656" s="3" t="n">
        <v>0.004605219766101953</v>
      </c>
      <c r="E656" s="3" t="n">
        <v>22.15157922354992</v>
      </c>
      <c r="F656" s="3" t="n">
        <v>0.9785079943093119</v>
      </c>
      <c r="H656" s="3" t="n">
        <v>3.878735912817556</v>
      </c>
      <c r="I656" s="3" t="n">
        <v>18.10133059483834</v>
      </c>
      <c r="J656" s="3" t="n">
        <v>0.4624964916661972</v>
      </c>
      <c r="K656" s="3" t="n">
        <v>0.01486219883566324</v>
      </c>
      <c r="L656" s="3" t="n">
        <v>10869.61294854507</v>
      </c>
      <c r="M656" s="4" t="n">
        <v>4171657281.045319</v>
      </c>
    </row>
    <row r="657">
      <c r="A657" t="inlineStr">
        <is>
          <t>BBG000F1ZSQ2</t>
        </is>
      </c>
      <c r="B657" t="inlineStr">
        <is>
          <t>ma</t>
        </is>
      </c>
      <c r="C657" s="3" t="n">
        <v>0.6517886406632668</v>
      </c>
      <c r="D657" s="3" t="n">
        <v>0.2142181788736701</v>
      </c>
      <c r="E657" s="3" t="n">
        <v>24.89332976534154</v>
      </c>
      <c r="F657" s="3" t="n">
        <v>0.1149574660406628</v>
      </c>
      <c r="H657" s="3" t="n">
        <v>6.349059138931578</v>
      </c>
      <c r="I657" s="3" t="n">
        <v>20.94451757517177</v>
      </c>
      <c r="J657" s="3" t="n">
        <v>0.1362560401270614</v>
      </c>
      <c r="K657" s="3" t="n">
        <v>0.01183567459504674</v>
      </c>
      <c r="L657" s="3" t="n">
        <v>15425.84548668613</v>
      </c>
      <c r="M657" s="4" t="n">
        <v>64719589393.64026</v>
      </c>
    </row>
    <row r="658">
      <c r="A658" t="inlineStr">
        <is>
          <t>BBG000BLMY92</t>
        </is>
      </c>
      <c r="B658" t="inlineStr">
        <is>
          <t>maa</t>
        </is>
      </c>
      <c r="C658" s="3" t="n">
        <v>0.4711419880512509</v>
      </c>
      <c r="D658" s="3" t="n">
        <v>0.2685369277338605</v>
      </c>
      <c r="E658" s="3" t="n">
        <v>23.61290224392779</v>
      </c>
      <c r="F658" s="3" t="n">
        <v>0.3307249984226566</v>
      </c>
      <c r="H658" s="3" t="n">
        <v>1.976281100296254</v>
      </c>
      <c r="I658" s="3" t="n">
        <v>18.43386432883244</v>
      </c>
      <c r="J658" s="3" t="n">
        <v>0.1988175270358323</v>
      </c>
      <c r="K658" s="3" t="n">
        <v>0.02181214479582523</v>
      </c>
      <c r="L658" s="3" t="n">
        <v>13165.82588940908</v>
      </c>
      <c r="M658" s="4" t="n">
        <v>17986768548.00993</v>
      </c>
    </row>
    <row r="659">
      <c r="A659" t="inlineStr">
        <is>
          <t>BBG000BKFNX9</t>
        </is>
      </c>
      <c r="B659" t="inlineStr">
        <is>
          <t>magn</t>
        </is>
      </c>
      <c r="C659" s="3" t="n">
        <v>1.985002944316321</v>
      </c>
      <c r="D659" s="3" t="n">
        <v>0.2312925136119413</v>
      </c>
      <c r="E659" s="3" t="n">
        <v>20.65263594789044</v>
      </c>
      <c r="F659" s="3" t="n">
        <v>0.3412767904986419</v>
      </c>
      <c r="H659" s="3" t="n">
        <v>4.917535613018907</v>
      </c>
      <c r="I659" s="3" t="n">
        <v>16.2611300700722</v>
      </c>
      <c r="J659" s="3" t="n">
        <v>1.240802599395662</v>
      </c>
      <c r="K659" s="3" t="n">
        <v>-0.06210837504096773</v>
      </c>
      <c r="L659" s="3" t="n">
        <v>8808.99713792856</v>
      </c>
      <c r="M659" s="4" t="n">
        <v>931806699.1724968</v>
      </c>
    </row>
    <row r="660">
      <c r="A660" t="inlineStr">
        <is>
          <t>BBG000BXT422</t>
        </is>
      </c>
      <c r="B660" t="inlineStr">
        <is>
          <t>main</t>
        </is>
      </c>
      <c r="C660" s="3" t="n">
        <v>0.5360248353713635</v>
      </c>
      <c r="D660" s="3" t="n">
        <v>0.3469175664052693</v>
      </c>
      <c r="E660" s="3" t="n">
        <v>22.19633134985358</v>
      </c>
      <c r="F660" s="3" t="n">
        <v>0.5434404699176346</v>
      </c>
      <c r="H660" s="3" t="n">
        <v>1.874285843649742</v>
      </c>
      <c r="I660" s="3" t="n">
        <v>16.62517488240547</v>
      </c>
      <c r="J660" s="3" t="n">
        <v>0.1239999802918065</v>
      </c>
      <c r="K660" s="3" t="n">
        <v>0.02441578124821918</v>
      </c>
      <c r="L660" s="3" t="n">
        <v>10935.62472370514</v>
      </c>
      <c r="M660" s="4" t="n">
        <v>4362588233.106537</v>
      </c>
    </row>
    <row r="661">
      <c r="A661" t="inlineStr">
        <is>
          <t>BBG000BFV758</t>
        </is>
      </c>
      <c r="B661" t="inlineStr">
        <is>
          <t>manh</t>
        </is>
      </c>
      <c r="C661" s="3" t="n">
        <v>1.034108582312732</v>
      </c>
      <c r="D661" s="3" t="n">
        <v>0.1807217294251771</v>
      </c>
      <c r="E661" s="3" t="n">
        <v>23.58164960125369</v>
      </c>
      <c r="F661" s="3" t="n">
        <v>0.01594365707925273</v>
      </c>
      <c r="H661" s="3" t="n">
        <v>2.511737671345893</v>
      </c>
      <c r="I661" s="3" t="n">
        <v>18.57769412581702</v>
      </c>
      <c r="J661" s="3" t="n">
        <v>0.2842449489722467</v>
      </c>
      <c r="K661" s="3" t="n">
        <v>0.007332621835341608</v>
      </c>
      <c r="L661" s="3" t="n">
        <v>13113.6185205526</v>
      </c>
      <c r="M661" s="4" t="n">
        <v>17433327786.86957</v>
      </c>
    </row>
    <row r="662">
      <c r="A662" t="inlineStr">
        <is>
          <t>BBG000BGD7W6</t>
        </is>
      </c>
      <c r="B662" t="inlineStr">
        <is>
          <t>mar</t>
        </is>
      </c>
      <c r="C662" s="3" t="n">
        <v>1.042545613789603</v>
      </c>
      <c r="D662" s="3" t="n">
        <v>0.2926423901066697</v>
      </c>
      <c r="E662" s="3" t="n">
        <v>25.09586943628599</v>
      </c>
      <c r="F662" s="3" t="n">
        <v>-0.02039124495261741</v>
      </c>
      <c r="G662" s="3" t="n">
        <v>0</v>
      </c>
      <c r="H662" s="3" t="n">
        <v>-16.21844060409557</v>
      </c>
      <c r="I662" s="3" t="n">
        <v>19.68219213982589</v>
      </c>
      <c r="J662" s="3" t="n">
        <v>0.1737142340713331</v>
      </c>
      <c r="K662" s="3" t="n">
        <v>0.009552086899214964</v>
      </c>
      <c r="L662" s="3" t="n">
        <v>15805.44539532835</v>
      </c>
      <c r="M662" s="4" t="n">
        <v>79249697786.21484</v>
      </c>
    </row>
    <row r="663">
      <c r="A663" t="inlineStr">
        <is>
          <t>mas</t>
        </is>
      </c>
      <c r="B663" t="inlineStr">
        <is>
          <t>mas</t>
        </is>
      </c>
      <c r="C663" s="3" t="n">
        <v>0.7498175649748016</v>
      </c>
      <c r="D663" s="3" t="n">
        <v>0.3355841306423659</v>
      </c>
      <c r="E663" s="3" t="n">
        <v>23.55106446201831</v>
      </c>
      <c r="F663" s="3" t="n">
        <v>-0.00520457574389278</v>
      </c>
      <c r="H663" s="3" t="n">
        <v>-60.18181886570249</v>
      </c>
      <c r="I663" s="3" t="n">
        <v>18.55723863565809</v>
      </c>
      <c r="J663" s="3" t="n">
        <v>0.2254294340589545</v>
      </c>
      <c r="K663" s="3" t="n">
        <v>0.009876865332160161</v>
      </c>
      <c r="L663" s="3" t="n">
        <v>13062.6600149428</v>
      </c>
      <c r="M663" s="4" t="n">
        <v>16908198540.113</v>
      </c>
    </row>
    <row r="664">
      <c r="A664" t="inlineStr">
        <is>
          <t>BBG000BNNYW1</t>
        </is>
      </c>
      <c r="B664" t="inlineStr">
        <is>
          <t>mat</t>
        </is>
      </c>
      <c r="C664" s="3" t="n">
        <v>0.5547130811776707</v>
      </c>
      <c r="D664" s="3" t="n">
        <v>0.07263153477718953</v>
      </c>
      <c r="E664" s="3" t="n">
        <v>22.58078778971758</v>
      </c>
      <c r="F664" s="3" t="n">
        <v>0.316067907918358</v>
      </c>
      <c r="H664" s="3" t="n">
        <v>3.083255319139345</v>
      </c>
      <c r="I664" s="3" t="n">
        <v>17.86096640589767</v>
      </c>
      <c r="J664" s="3" t="n">
        <v>0.3076530280954712</v>
      </c>
      <c r="K664" s="3" t="n">
        <v>0.01046125048357943</v>
      </c>
      <c r="L664" s="3" t="n">
        <v>11513.76253292887</v>
      </c>
      <c r="M664" s="4" t="n">
        <v>6407838154.220581</v>
      </c>
    </row>
    <row r="665">
      <c r="A665" t="inlineStr">
        <is>
          <t>BBG000BNQN34</t>
        </is>
      </c>
      <c r="B665" t="inlineStr">
        <is>
          <t>mbi</t>
        </is>
      </c>
      <c r="C665" s="3" t="n">
        <v>1.527547303057404</v>
      </c>
      <c r="D665" s="3" t="n">
        <v>0.2475255477433609</v>
      </c>
      <c r="E665" s="3" t="n">
        <v>19.67799743793176</v>
      </c>
      <c r="F665" s="3" t="n">
        <v>-4.712776088415004</v>
      </c>
      <c r="H665" s="3" t="n">
        <v>-1.572721787310031</v>
      </c>
      <c r="I665" s="3" t="n">
        <v>14.71639715685554</v>
      </c>
      <c r="J665" s="3" t="n">
        <v>0.9680200800689109</v>
      </c>
      <c r="K665" s="3" t="n">
        <v>-0.1592730603206036</v>
      </c>
      <c r="L665" s="3" t="n">
        <v>7619.784677471882</v>
      </c>
      <c r="M665" s="4" t="n">
        <v>351597437.3067455</v>
      </c>
    </row>
    <row r="666">
      <c r="A666" t="inlineStr">
        <is>
          <t>BBG019X46Z37</t>
        </is>
      </c>
      <c r="B666" t="inlineStr">
        <is>
          <t>mbly</t>
        </is>
      </c>
      <c r="C666" s="3" t="n">
        <v>1.833215168642633</v>
      </c>
      <c r="D666" s="3" t="n">
        <v>-0.668453108169855</v>
      </c>
      <c r="E666" s="3" t="n">
        <v>21.30929741669879</v>
      </c>
      <c r="F666" s="3" t="n">
        <v>8.191586545128239</v>
      </c>
      <c r="H666" s="3" t="n">
        <v>1.058292003460949</v>
      </c>
      <c r="I666" s="3" t="n">
        <v>18.37081274793267</v>
      </c>
      <c r="J666" s="3" t="n">
        <v>0.6523427783696903</v>
      </c>
      <c r="K666" s="3" t="n">
        <v>0.009461034803123857</v>
      </c>
      <c r="L666" s="3" t="n">
        <v>9676.256959390979</v>
      </c>
      <c r="M666" s="4" t="n">
        <v>1796843616.400806</v>
      </c>
    </row>
    <row r="667">
      <c r="A667" t="inlineStr">
        <is>
          <t>BBG00W7W53M5</t>
        </is>
      </c>
      <c r="B667" t="inlineStr">
        <is>
          <t>mbx</t>
        </is>
      </c>
      <c r="E667" s="3" t="n">
        <v>20.3371772186141</v>
      </c>
      <c r="F667" s="3" t="n">
        <v>-0.09536268778545642</v>
      </c>
      <c r="H667" s="3" t="n">
        <v>-4.356747317248759</v>
      </c>
      <c r="K667" s="3" t="n">
        <v>-0.04796161035816473</v>
      </c>
      <c r="L667" s="3" t="n">
        <v>8411.472304106443</v>
      </c>
      <c r="M667" s="4" t="n">
        <v>679710287.2190933</v>
      </c>
    </row>
    <row r="668">
      <c r="A668" t="inlineStr">
        <is>
          <t>BBG001KHD495</t>
        </is>
      </c>
      <c r="B668" t="inlineStr">
        <is>
          <t>mcb</t>
        </is>
      </c>
      <c r="C668" s="3" t="n">
        <v>1.314641893766091</v>
      </c>
      <c r="D668" s="3" t="n">
        <v>0.3728507560834742</v>
      </c>
      <c r="E668" s="3" t="n">
        <v>20.39528308584032</v>
      </c>
      <c r="F668" s="3" t="n">
        <v>0.9611710178891812</v>
      </c>
      <c r="G668" s="3" t="n">
        <v>0.04065729990265399</v>
      </c>
      <c r="H668" s="3" t="n">
        <v>10.69225190684593</v>
      </c>
      <c r="I668" s="3" t="n">
        <v>15.39418827340535</v>
      </c>
      <c r="J668" s="3" t="n">
        <v>0.5125857852533015</v>
      </c>
      <c r="K668" s="3" t="n">
        <v>0.0170272322306467</v>
      </c>
      <c r="L668" s="3" t="n">
        <v>8483.776388560855</v>
      </c>
      <c r="M668" s="4" t="n">
        <v>720375444.2777634</v>
      </c>
    </row>
    <row r="669">
      <c r="A669" t="inlineStr">
        <is>
          <t>BBG000BNSZP1</t>
        </is>
      </c>
      <c r="B669" t="inlineStr">
        <is>
          <t>mcd</t>
        </is>
      </c>
      <c r="C669" s="3" t="n">
        <v>0.3654628020082837</v>
      </c>
      <c r="D669" s="3" t="n">
        <v>0.05520807672651196</v>
      </c>
      <c r="E669" s="3" t="n">
        <v>26.03906477978659</v>
      </c>
      <c r="F669" s="3" t="n">
        <v>-0.02543642174907684</v>
      </c>
      <c r="H669" s="3" t="n">
        <v>-10.85029940329347</v>
      </c>
      <c r="I669" s="3" t="n">
        <v>20.69386027261346</v>
      </c>
      <c r="J669" s="3" t="n">
        <v>0.1731370300654668</v>
      </c>
      <c r="K669" s="3" t="n">
        <v>0.01107960808270587</v>
      </c>
      <c r="L669" s="3" t="n">
        <v>17655.34246546982</v>
      </c>
      <c r="M669" s="4" t="n">
        <v>203527054671.6129</v>
      </c>
    </row>
    <row r="670">
      <c r="A670" t="inlineStr">
        <is>
          <t>BBG000BHCP19</t>
        </is>
      </c>
      <c r="B670" t="inlineStr">
        <is>
          <t>mchp</t>
        </is>
      </c>
      <c r="C670" s="3" t="n">
        <v>1.924376490547648</v>
      </c>
      <c r="D670" s="3" t="n">
        <v>-0.1068611619376751</v>
      </c>
      <c r="E670" s="3" t="n">
        <v>24.28158115249743</v>
      </c>
      <c r="F670" s="3" t="n">
        <v>0.1824862841066243</v>
      </c>
      <c r="G670" s="3" t="n">
        <v>0</v>
      </c>
      <c r="H670" s="3" t="n">
        <v>2.438698095154746</v>
      </c>
      <c r="I670" s="3" t="n">
        <v>19.9107672661219</v>
      </c>
      <c r="J670" s="3" t="n">
        <v>0.2774753410960947</v>
      </c>
      <c r="K670" s="3" t="n">
        <v>0.0189835872195839</v>
      </c>
      <c r="L670" s="3" t="n">
        <v>14316.30328957843</v>
      </c>
      <c r="M670" s="4" t="n">
        <v>35104008124.1096</v>
      </c>
    </row>
    <row r="671">
      <c r="A671" t="inlineStr">
        <is>
          <t>BBG000DYGNW7</t>
        </is>
      </c>
      <c r="B671" t="inlineStr">
        <is>
          <t>mck</t>
        </is>
      </c>
      <c r="C671" s="3" t="n">
        <v>0.07696832641137809</v>
      </c>
      <c r="D671" s="3" t="n">
        <v>0.06760208522024924</v>
      </c>
      <c r="E671" s="3" t="n">
        <v>25.09527292876567</v>
      </c>
      <c r="F671" s="3" t="n">
        <v>-0.02488559732239473</v>
      </c>
      <c r="H671" s="3" t="n">
        <v>-36.74733639611737</v>
      </c>
      <c r="I671" s="3" t="n">
        <v>20.11217878480842</v>
      </c>
      <c r="J671" s="3" t="n">
        <v>0.262319902974262</v>
      </c>
      <c r="K671" s="3" t="n">
        <v>0.01459551014951208</v>
      </c>
      <c r="L671" s="3" t="n">
        <v>15804.3183760431</v>
      </c>
      <c r="M671" s="4" t="n">
        <v>79202438842.06055</v>
      </c>
    </row>
    <row r="672">
      <c r="A672" t="inlineStr">
        <is>
          <t>mco</t>
        </is>
      </c>
      <c r="B672" t="inlineStr">
        <is>
          <t>mco</t>
        </is>
      </c>
      <c r="C672" s="3" t="n">
        <v>0.8411219216893505</v>
      </c>
      <c r="D672" s="3" t="n">
        <v>0.251770180095749</v>
      </c>
      <c r="E672" s="3" t="n">
        <v>25.21754114580852</v>
      </c>
      <c r="F672" s="3" t="n">
        <v>0.04362968439377049</v>
      </c>
      <c r="H672" s="3" t="n">
        <v>4.038156208953097</v>
      </c>
      <c r="I672" s="3" t="n">
        <v>19.68454885323303</v>
      </c>
      <c r="J672" s="3" t="n">
        <v>0.1676114968088125</v>
      </c>
      <c r="K672" s="3" t="n">
        <v>0.005966261579071304</v>
      </c>
      <c r="L672" s="3" t="n">
        <v>16036.44925459979</v>
      </c>
      <c r="M672" s="4" t="n">
        <v>89503283239.74609</v>
      </c>
    </row>
    <row r="673">
      <c r="A673" t="inlineStr">
        <is>
          <t>BBG000D6HL06</t>
        </is>
      </c>
      <c r="B673" t="inlineStr">
        <is>
          <t>mcs</t>
        </is>
      </c>
      <c r="C673" s="3" t="n">
        <v>0.2730519243518458</v>
      </c>
      <c r="D673" s="3" t="n">
        <v>0.3790242531426433</v>
      </c>
      <c r="E673" s="3" t="n">
        <v>19.85369442050567</v>
      </c>
      <c r="F673" s="3" t="n">
        <v>1.124163659354313</v>
      </c>
      <c r="H673" s="3" t="n">
        <v>2.22203144027652</v>
      </c>
      <c r="I673" s="3" t="n">
        <v>15.58156076223407</v>
      </c>
      <c r="J673" s="3" t="n">
        <v>0.3171935740368951</v>
      </c>
      <c r="K673" s="3" t="n">
        <v>0.03873250712257501</v>
      </c>
      <c r="L673" s="3" t="n">
        <v>7825.714492244147</v>
      </c>
      <c r="M673" s="4" t="n">
        <v>419131142.4765892</v>
      </c>
    </row>
    <row r="674">
      <c r="A674" t="inlineStr">
        <is>
          <t>BBG0022FDRY8</t>
        </is>
      </c>
      <c r="B674" t="inlineStr">
        <is>
          <t>mdb</t>
        </is>
      </c>
      <c r="C674" s="3" t="n">
        <v>1.886190228373645</v>
      </c>
      <c r="D674" s="3" t="n">
        <v>-0.3495934953381671</v>
      </c>
      <c r="E674" s="3" t="n">
        <v>23.89388205587757</v>
      </c>
      <c r="F674" s="3" t="n">
        <v>0.03104286158429758</v>
      </c>
      <c r="H674" s="3" t="n">
        <v>4.234207061675861</v>
      </c>
      <c r="I674" s="3" t="n">
        <v>19.7280638307728</v>
      </c>
      <c r="J674" s="3" t="n">
        <v>0.4973653967555386</v>
      </c>
      <c r="K674" s="3" t="n">
        <v>-0.003855359964309571</v>
      </c>
      <c r="L674" s="3" t="n">
        <v>13641.43779086102</v>
      </c>
      <c r="M674" s="4" t="n">
        <v>23822159499.07861</v>
      </c>
    </row>
    <row r="675">
      <c r="A675" t="inlineStr">
        <is>
          <t>BBG000QS6NV8</t>
        </is>
      </c>
      <c r="B675" t="inlineStr">
        <is>
          <t>mdgl</t>
        </is>
      </c>
      <c r="C675" s="3" t="n">
        <v>0.8347946000787907</v>
      </c>
      <c r="D675" s="3" t="n">
        <v>0.2756517090256299</v>
      </c>
      <c r="E675" s="3" t="n">
        <v>22.69149051571272</v>
      </c>
      <c r="F675" s="3" t="n">
        <v>0.02097469835795454</v>
      </c>
      <c r="H675" s="3" t="n">
        <v>7.148618538201241</v>
      </c>
      <c r="I675" s="3" t="n">
        <v>18.51736329627451</v>
      </c>
      <c r="J675" s="3" t="n">
        <v>0.6513938223295733</v>
      </c>
      <c r="K675" s="3" t="n">
        <v>-0.01198665955608582</v>
      </c>
      <c r="L675" s="3" t="n">
        <v>11683.93337411972</v>
      </c>
      <c r="M675" s="4" t="n">
        <v>7157957526.578064</v>
      </c>
    </row>
    <row r="676">
      <c r="A676" t="inlineStr">
        <is>
          <t>BBG01Y6778L4</t>
        </is>
      </c>
      <c r="B676" t="inlineStr">
        <is>
          <t>mdln</t>
        </is>
      </c>
    </row>
    <row r="677">
      <c r="A677" t="inlineStr">
        <is>
          <t>BBG000D4LWF6</t>
        </is>
      </c>
      <c r="B677" t="inlineStr">
        <is>
          <t>mdlz</t>
        </is>
      </c>
      <c r="C677" s="3" t="n">
        <v>0.1485949435719907</v>
      </c>
      <c r="D677" s="3" t="n">
        <v>-0.01216245072747313</v>
      </c>
      <c r="E677" s="3" t="n">
        <v>25.13981118045707</v>
      </c>
      <c r="F677" s="3" t="n">
        <v>0.3363615146788024</v>
      </c>
      <c r="H677" s="3" t="n">
        <v>2.563043009888596</v>
      </c>
      <c r="I677" s="3" t="n">
        <v>19.82490265762026</v>
      </c>
      <c r="J677" s="3" t="n">
        <v>0.1684679877088395</v>
      </c>
      <c r="K677" s="3" t="n">
        <v>0.04841219617819052</v>
      </c>
      <c r="L677" s="3" t="n">
        <v>15888.61473373294</v>
      </c>
      <c r="M677" s="4" t="n">
        <v>82809711527.97287</v>
      </c>
    </row>
    <row r="678">
      <c r="A678" t="inlineStr">
        <is>
          <t>mdt</t>
        </is>
      </c>
      <c r="B678" t="inlineStr">
        <is>
          <t>mdt</t>
        </is>
      </c>
      <c r="C678" s="3" t="n">
        <v>0.3499396969626947</v>
      </c>
      <c r="D678" s="3" t="n">
        <v>0.1640289337694489</v>
      </c>
      <c r="E678" s="3" t="n">
        <v>25.38471533232944</v>
      </c>
      <c r="F678" s="3" t="n">
        <v>0.4584016947762042</v>
      </c>
      <c r="H678" s="3" t="n">
        <v>1.856765785419706</v>
      </c>
      <c r="I678" s="3" t="n">
        <v>20.08117980624766</v>
      </c>
      <c r="J678" s="3" t="n">
        <v>0.1712122187097995</v>
      </c>
      <c r="K678" s="3" t="n">
        <v>0.008592550429982464</v>
      </c>
      <c r="L678" s="3" t="n">
        <v>16357.49862977137</v>
      </c>
      <c r="M678" s="4" t="n">
        <v>105789312195.3155</v>
      </c>
    </row>
    <row r="679">
      <c r="A679" t="inlineStr">
        <is>
          <t>BBG000GQPB11</t>
        </is>
      </c>
      <c r="B679" t="inlineStr">
        <is>
          <t>meli</t>
        </is>
      </c>
      <c r="C679" s="3" t="n">
        <v>0.9319457317424424</v>
      </c>
      <c r="D679" s="3" t="n">
        <v>0.2571616101716876</v>
      </c>
      <c r="E679" s="3" t="n">
        <v>25.33484454599142</v>
      </c>
      <c r="F679" s="3" t="n">
        <v>0.03976435094862294</v>
      </c>
      <c r="H679" s="3" t="n">
        <v>4.409295351222065</v>
      </c>
      <c r="I679" s="3" t="n">
        <v>20.46238178192651</v>
      </c>
      <c r="J679" s="3" t="n">
        <v>0.3510913653806674</v>
      </c>
      <c r="K679" s="3" t="n">
        <v>0.001997160055140733</v>
      </c>
      <c r="L679" s="3" t="n">
        <v>16261.28013204422</v>
      </c>
      <c r="M679" s="4" t="n">
        <v>100642910156.662</v>
      </c>
    </row>
    <row r="680">
      <c r="A680" t="inlineStr">
        <is>
          <t>BBG000C16MS8</t>
        </is>
      </c>
      <c r="B680" t="inlineStr">
        <is>
          <t>meoh</t>
        </is>
      </c>
      <c r="C680" s="3" t="n">
        <v>1.123646230700166</v>
      </c>
      <c r="D680" s="3" t="n">
        <v>-0.06651358342119851</v>
      </c>
      <c r="I680" s="3" t="n">
        <v>16.46242194773638</v>
      </c>
      <c r="J680" s="3" t="n">
        <v>0.3203441174673774</v>
      </c>
    </row>
    <row r="681">
      <c r="A681" t="inlineStr">
        <is>
          <t>BBG000BB6KF5</t>
        </is>
      </c>
      <c r="B681" t="inlineStr">
        <is>
          <t>met</t>
        </is>
      </c>
      <c r="C681" s="3" t="n">
        <v>0.7332131971718615</v>
      </c>
      <c r="D681" s="3" t="n">
        <v>0.2620278654480117</v>
      </c>
      <c r="E681" s="3" t="n">
        <v>24.79230055406996</v>
      </c>
      <c r="F681" s="3" t="n">
        <v>0.5279445139701369</v>
      </c>
      <c r="H681" s="3" t="n">
        <v>22.82583778459363</v>
      </c>
      <c r="I681" s="3" t="n">
        <v>19.34224428944622</v>
      </c>
      <c r="J681" s="3" t="n">
        <v>0.1903846232702376</v>
      </c>
      <c r="K681" s="3" t="n">
        <v>0.05393119448197448</v>
      </c>
      <c r="L681" s="3" t="n">
        <v>15238.79000841033</v>
      </c>
      <c r="M681" s="4" t="n">
        <v>58500465829.67062</v>
      </c>
    </row>
    <row r="682">
      <c r="A682" t="inlineStr">
        <is>
          <t>BBG000MM2P62</t>
        </is>
      </c>
      <c r="B682" t="inlineStr">
        <is>
          <t>meta</t>
        </is>
      </c>
      <c r="C682" s="3" t="n">
        <v>1.563102200384589</v>
      </c>
      <c r="D682" s="3" t="n">
        <v>0.7401462895510784</v>
      </c>
      <c r="H682" s="3" t="n">
        <v>1.607182602719848</v>
      </c>
      <c r="I682" s="3" t="n">
        <v>22.62244247879427</v>
      </c>
      <c r="J682" s="3" t="n">
        <v>0.307335980663759</v>
      </c>
    </row>
    <row r="683">
      <c r="A683" t="inlineStr">
        <is>
          <t>BBG000C0Q0K4</t>
        </is>
      </c>
      <c r="B683" t="inlineStr">
        <is>
          <t>mfc</t>
        </is>
      </c>
      <c r="C683" s="3" t="n">
        <v>0.9420211011388699</v>
      </c>
      <c r="D683" s="3" t="n">
        <v>0.5438933767708902</v>
      </c>
      <c r="I683" s="3" t="n">
        <v>17.77444775236992</v>
      </c>
      <c r="J683" s="3" t="n">
        <v>0.1806912170721137</v>
      </c>
    </row>
    <row r="684">
      <c r="A684" t="inlineStr">
        <is>
          <t>BBG000CBNX94</t>
        </is>
      </c>
      <c r="B684" t="inlineStr">
        <is>
          <t>mfic</t>
        </is>
      </c>
      <c r="C684" s="3" t="n">
        <v>0.6430733572908353</v>
      </c>
      <c r="D684" s="3" t="n">
        <v>0.120109480022051</v>
      </c>
      <c r="I684" s="3" t="n">
        <v>15.24138952192754</v>
      </c>
      <c r="J684" s="3" t="n">
        <v>0.1600962966281165</v>
      </c>
    </row>
    <row r="685">
      <c r="A685" t="inlineStr">
        <is>
          <t>BBG000GPQ7M8</t>
        </is>
      </c>
      <c r="B685" t="inlineStr">
        <is>
          <t>mfin</t>
        </is>
      </c>
      <c r="C685" s="3" t="n">
        <v>0.8359955192867892</v>
      </c>
      <c r="D685" s="3" t="n">
        <v>0.03099682670924975</v>
      </c>
      <c r="E685" s="3" t="n">
        <v>19.11949692666435</v>
      </c>
      <c r="F685" s="3" t="n">
        <v>1.801697168987791</v>
      </c>
      <c r="H685" s="3" t="n">
        <v>7.141039418686493</v>
      </c>
      <c r="I685" s="3" t="n">
        <v>12.9470131940435</v>
      </c>
      <c r="J685" s="3" t="n">
        <v>0.3948843491754336</v>
      </c>
      <c r="K685" s="3" t="n">
        <v>0.04281161164871316</v>
      </c>
      <c r="L685" s="3" t="n">
        <v>6989.230810318197</v>
      </c>
      <c r="M685" s="4" t="n">
        <v>201137019.2705002</v>
      </c>
    </row>
    <row r="686">
      <c r="A686" t="inlineStr">
        <is>
          <t>BBG000C2BXK4</t>
        </is>
      </c>
      <c r="B686" t="inlineStr">
        <is>
          <t>mgm</t>
        </is>
      </c>
      <c r="C686" s="3" t="n">
        <v>1.404362527651116</v>
      </c>
      <c r="D686" s="3" t="n">
        <v>-0.06516226633648514</v>
      </c>
      <c r="E686" s="3" t="n">
        <v>23.1582265376003</v>
      </c>
      <c r="F686" s="3" t="n">
        <v>0.2831218764782322</v>
      </c>
      <c r="H686" s="3" t="n">
        <v>13.22454617419546</v>
      </c>
      <c r="I686" s="3" t="n">
        <v>18.91264919883388</v>
      </c>
      <c r="J686" s="3" t="n">
        <v>0.2975359024646785</v>
      </c>
      <c r="K686" s="3" t="n">
        <v>0.07259685788665096</v>
      </c>
      <c r="L686" s="3" t="n">
        <v>12419.83693544073</v>
      </c>
      <c r="M686" s="4" t="n">
        <v>11415370086.97159</v>
      </c>
    </row>
    <row r="687">
      <c r="A687" t="inlineStr">
        <is>
          <t>BBG000BM2SF8</t>
        </is>
      </c>
      <c r="B687" t="inlineStr">
        <is>
          <t>mgnx</t>
        </is>
      </c>
      <c r="C687" s="3" t="n">
        <v>1.183889780996486</v>
      </c>
      <c r="D687" s="3" t="n">
        <v>-0.5542021840651825</v>
      </c>
      <c r="E687" s="3" t="n">
        <v>19.23303560680191</v>
      </c>
      <c r="F687" s="3" t="n">
        <v>0.677314378679528</v>
      </c>
      <c r="H687" s="3" t="n">
        <v>1.733089568168573</v>
      </c>
      <c r="I687" s="3" t="n">
        <v>14.65913514294251</v>
      </c>
      <c r="J687" s="3" t="n">
        <v>1.168284449588118</v>
      </c>
      <c r="K687" s="3" t="n">
        <v>0.1642724696614577</v>
      </c>
      <c r="L687" s="3" t="n">
        <v>7114.485636163662</v>
      </c>
      <c r="M687" s="4" t="n">
        <v>225320772.93297</v>
      </c>
    </row>
    <row r="688">
      <c r="A688" t="inlineStr">
        <is>
          <t>BBG00GNC8DL2</t>
        </is>
      </c>
      <c r="B688" t="inlineStr">
        <is>
          <t>mgy</t>
        </is>
      </c>
      <c r="C688" s="3" t="n">
        <v>0.9085955079615384</v>
      </c>
      <c r="D688" s="3" t="n">
        <v>0.1955590639595017</v>
      </c>
      <c r="H688" s="3" t="n">
        <v>0</v>
      </c>
      <c r="I688" s="3" t="n">
        <v>17.68231230003962</v>
      </c>
      <c r="J688" s="3" t="n">
        <v>0.2585252278660321</v>
      </c>
    </row>
    <row r="689">
      <c r="A689" t="inlineStr">
        <is>
          <t>BBG01VV18497</t>
        </is>
      </c>
      <c r="B689" t="inlineStr">
        <is>
          <t>mh</t>
        </is>
      </c>
    </row>
    <row r="690">
      <c r="A690" t="inlineStr">
        <is>
          <t>BBG000FLZN98</t>
        </is>
      </c>
      <c r="B690" t="inlineStr">
        <is>
          <t>mhk</t>
        </is>
      </c>
      <c r="C690" s="3" t="n">
        <v>1.189057076150374</v>
      </c>
      <c r="D690" s="3" t="n">
        <v>0.5204394517548558</v>
      </c>
      <c r="E690" s="3" t="n">
        <v>22.89381843599994</v>
      </c>
      <c r="F690" s="3" t="n">
        <v>0.895742080925828</v>
      </c>
      <c r="H690" s="3" t="n">
        <v>1.69605707348289</v>
      </c>
      <c r="I690" s="3" t="n">
        <v>18.4890626435581</v>
      </c>
      <c r="J690" s="3" t="n">
        <v>0.3814187431215013</v>
      </c>
      <c r="K690" s="3" t="n">
        <v>0.01848655546340329</v>
      </c>
      <c r="L690" s="3" t="n">
        <v>11999.26660297807</v>
      </c>
      <c r="M690" s="4" t="n">
        <v>8763125196.698486</v>
      </c>
    </row>
    <row r="691">
      <c r="A691" t="inlineStr">
        <is>
          <t>BBG004RKDWL9</t>
        </is>
      </c>
      <c r="B691" t="inlineStr">
        <is>
          <t>miax</t>
        </is>
      </c>
    </row>
    <row r="692">
      <c r="A692" t="inlineStr">
        <is>
          <t>BBG000DQN9R3</t>
        </is>
      </c>
      <c r="B692" t="inlineStr">
        <is>
          <t>midd</t>
        </is>
      </c>
      <c r="C692" s="3" t="n">
        <v>1.037516765979528</v>
      </c>
      <c r="D692" s="3" t="n">
        <v>0.02748945178664597</v>
      </c>
      <c r="E692" s="3" t="n">
        <v>22.76622502892344</v>
      </c>
      <c r="F692" s="3" t="n">
        <v>0.4012776001948807</v>
      </c>
      <c r="G692" s="3" t="n">
        <v>-0.3223711014728942</v>
      </c>
      <c r="H692" s="3" t="n">
        <v>2.23140944902651</v>
      </c>
      <c r="I692" s="3" t="n">
        <v>18.23433753437413</v>
      </c>
      <c r="J692" s="3" t="n">
        <v>0.2610318707319534</v>
      </c>
      <c r="K692" s="3" t="n">
        <v>0.04208117851899015</v>
      </c>
      <c r="L692" s="3" t="n">
        <v>11799.75724578704</v>
      </c>
      <c r="M692" s="4" t="n">
        <v>7713400892.787262</v>
      </c>
    </row>
    <row r="693">
      <c r="A693" t="inlineStr">
        <is>
          <t>BBG00VHJ1K96</t>
        </is>
      </c>
      <c r="B693" t="inlineStr">
        <is>
          <t>mir</t>
        </is>
      </c>
      <c r="C693" s="3" t="n">
        <v>1.287723715950827</v>
      </c>
      <c r="D693" s="3" t="n">
        <v>0.6573347911485357</v>
      </c>
      <c r="E693" s="3" t="n">
        <v>19.57224125984709</v>
      </c>
      <c r="F693" s="3" t="n">
        <v>4.693143399193223</v>
      </c>
      <c r="H693" s="3" t="n">
        <v>1.787739978586905</v>
      </c>
      <c r="I693" s="3" t="n">
        <v>17.21652279438915</v>
      </c>
      <c r="J693" s="3" t="n">
        <v>0.3003682678486028</v>
      </c>
      <c r="K693" s="3" t="n">
        <v>-0.2582888620505802</v>
      </c>
      <c r="L693" s="3" t="n">
        <v>7497.589893961249</v>
      </c>
      <c r="M693" s="4" t="n">
        <v>316312515.7356262</v>
      </c>
    </row>
    <row r="694">
      <c r="A694" t="inlineStr">
        <is>
          <t>BBG000BP3D45</t>
        </is>
      </c>
      <c r="B694" t="inlineStr">
        <is>
          <t>mitk</t>
        </is>
      </c>
      <c r="C694" s="3" t="n">
        <v>1.231343880316306</v>
      </c>
      <c r="D694" s="3" t="n">
        <v>-0.2391496739050463</v>
      </c>
      <c r="E694" s="3" t="n">
        <v>19.8807356565353</v>
      </c>
      <c r="F694" s="3" t="n">
        <v>0.3970534563406956</v>
      </c>
      <c r="H694" s="3" t="n">
        <v>2.393434267404569</v>
      </c>
      <c r="I694" s="3" t="n">
        <v>15.29809907506081</v>
      </c>
      <c r="J694" s="3" t="n">
        <v>0.4392328175088156</v>
      </c>
      <c r="K694" s="3" t="n">
        <v>0.02199388980519671</v>
      </c>
      <c r="L694" s="3" t="n">
        <v>7857.73453044562</v>
      </c>
      <c r="M694" s="4" t="n">
        <v>430619597.6197128</v>
      </c>
    </row>
    <row r="695">
      <c r="A695" t="inlineStr">
        <is>
          <t>BBG000G6Y5W4</t>
        </is>
      </c>
      <c r="B695" t="inlineStr">
        <is>
          <t>mkc</t>
        </is>
      </c>
      <c r="C695" s="3" t="n">
        <v>0.09650100892754401</v>
      </c>
      <c r="D695" s="3" t="n">
        <v>0.2347494384011724</v>
      </c>
      <c r="H695" s="3" t="n">
        <v>2.609303060325785</v>
      </c>
      <c r="I695" s="3" t="n">
        <v>18.75736967072659</v>
      </c>
      <c r="J695" s="3" t="n">
        <v>0.2212424918032797</v>
      </c>
    </row>
    <row r="696">
      <c r="A696" t="inlineStr">
        <is>
          <t>BBG000BVMG26</t>
        </is>
      </c>
      <c r="B696" t="inlineStr">
        <is>
          <t>mksi</t>
        </is>
      </c>
      <c r="C696" s="3" t="n">
        <v>2.766548006943296</v>
      </c>
      <c r="D696" s="3" t="n">
        <v>0.2096705516384023</v>
      </c>
      <c r="E696" s="3" t="n">
        <v>22.74758522276355</v>
      </c>
      <c r="F696" s="3" t="n">
        <v>0.2949429258783661</v>
      </c>
      <c r="G696" s="3" t="n">
        <v>-0.008103022281832795</v>
      </c>
      <c r="H696" s="3" t="n">
        <v>4.040752349287616</v>
      </c>
      <c r="I696" s="3" t="n">
        <v>18.33876423582443</v>
      </c>
      <c r="J696" s="3" t="n">
        <v>0.3387493267048525</v>
      </c>
      <c r="K696" s="3" t="n">
        <v>-0.2336560841374069</v>
      </c>
      <c r="L696" s="3" t="n">
        <v>11770.79787853153</v>
      </c>
      <c r="M696" s="4" t="n">
        <v>7570956289.441376</v>
      </c>
    </row>
    <row r="697">
      <c r="A697" t="inlineStr">
        <is>
          <t>BBG000BJBZ23</t>
        </is>
      </c>
      <c r="B697" t="inlineStr">
        <is>
          <t>mktx</t>
        </is>
      </c>
      <c r="C697" s="3" t="n">
        <v>0.6240233992769527</v>
      </c>
      <c r="D697" s="3" t="n">
        <v>0.2173206412465702</v>
      </c>
      <c r="E697" s="3" t="n">
        <v>22.97518440545688</v>
      </c>
      <c r="F697" s="3" t="n">
        <v>0.1252875541806993</v>
      </c>
      <c r="H697" s="3" t="n">
        <v>1.539112392051648</v>
      </c>
      <c r="I697" s="3" t="n">
        <v>18.42019081172054</v>
      </c>
      <c r="J697" s="3" t="n">
        <v>0.3347836481811222</v>
      </c>
      <c r="K697" s="3" t="n">
        <v>0.007745459646791567</v>
      </c>
      <c r="L697" s="3" t="n">
        <v>12127.66012732583</v>
      </c>
      <c r="M697" s="4" t="n">
        <v>9505956179.470093</v>
      </c>
    </row>
    <row r="698">
      <c r="A698" t="inlineStr">
        <is>
          <t>BBG000BHP8J4</t>
        </is>
      </c>
      <c r="B698" t="inlineStr">
        <is>
          <t>mlco</t>
        </is>
      </c>
      <c r="C698" s="3" t="n">
        <v>0.7504388020096211</v>
      </c>
      <c r="D698" s="3" t="n">
        <v>-0.03724931635692863</v>
      </c>
      <c r="E698" s="3" t="n">
        <v>22.86762157675711</v>
      </c>
      <c r="F698" s="3" t="n">
        <v>-0.1507964635954315</v>
      </c>
      <c r="H698" s="3" t="n">
        <v>-6.474948734133172</v>
      </c>
      <c r="I698" s="3" t="n">
        <v>16.95041765581234</v>
      </c>
      <c r="J698" s="3" t="n">
        <v>0.499811145403297</v>
      </c>
      <c r="K698" s="3" t="n">
        <v>-0.03829654766532416</v>
      </c>
      <c r="L698" s="3" t="n">
        <v>11958.1222817467</v>
      </c>
      <c r="M698" s="4" t="n">
        <v>8536539711.586462</v>
      </c>
    </row>
    <row r="699">
      <c r="A699" t="inlineStr">
        <is>
          <t>BBG000BGYMH7</t>
        </is>
      </c>
      <c r="B699" t="inlineStr">
        <is>
          <t>mlm</t>
        </is>
      </c>
      <c r="C699" s="3" t="n">
        <v>1.082363496266259</v>
      </c>
      <c r="D699" s="3" t="n">
        <v>0.2801556129995755</v>
      </c>
      <c r="E699" s="3" t="n">
        <v>24.31551417390639</v>
      </c>
      <c r="F699" s="3" t="n">
        <v>0.2212270341302729</v>
      </c>
      <c r="G699" s="3" t="n">
        <v>0.1680177926049486</v>
      </c>
      <c r="H699" s="3" t="n">
        <v>1.882623848408934</v>
      </c>
      <c r="I699" s="3" t="n">
        <v>19.33360027447047</v>
      </c>
      <c r="J699" s="3" t="n">
        <v>0.1881105825896316</v>
      </c>
      <c r="K699" s="3" t="n">
        <v>0.02439720590483219</v>
      </c>
      <c r="L699" s="3" t="n">
        <v>14376.4074436553</v>
      </c>
      <c r="M699" s="4" t="n">
        <v>36315633988.23956</v>
      </c>
    </row>
    <row r="700">
      <c r="A700" t="inlineStr">
        <is>
          <t>BBG00XQZQTS9</t>
        </is>
      </c>
      <c r="B700" t="inlineStr">
        <is>
          <t>mltx</t>
        </is>
      </c>
      <c r="C700" s="3" t="n">
        <v>1.050538989054793</v>
      </c>
      <c r="D700" s="3" t="n">
        <v>0.05716233956400552</v>
      </c>
      <c r="H700" s="3" t="n">
        <v>1.062267389739457</v>
      </c>
      <c r="I700" s="3" t="n">
        <v>16.56401206427817</v>
      </c>
      <c r="J700" s="3" t="n">
        <v>0.4881694271898925</v>
      </c>
    </row>
    <row r="701">
      <c r="A701" t="inlineStr">
        <is>
          <t>BBG000BP52R2</t>
        </is>
      </c>
      <c r="B701" t="inlineStr">
        <is>
          <t>mmm</t>
        </is>
      </c>
      <c r="C701" s="3" t="n">
        <v>0.721259871610431</v>
      </c>
      <c r="D701" s="3" t="n">
        <v>0.596194557474468</v>
      </c>
      <c r="E701" s="3" t="n">
        <v>24.98147284546009</v>
      </c>
      <c r="F701" s="3" t="n">
        <v>0.06800773572586134</v>
      </c>
      <c r="H701" s="3" t="n">
        <v>10.52215518815849</v>
      </c>
      <c r="I701" s="3" t="n">
        <v>19.92743220970745</v>
      </c>
      <c r="J701" s="3" t="n">
        <v>0.3261576216513474</v>
      </c>
      <c r="K701" s="3" t="n">
        <v>-0.02935636605599382</v>
      </c>
      <c r="L701" s="3" t="n">
        <v>15590.28732303727</v>
      </c>
      <c r="M701" s="4" t="n">
        <v>70683135508.42175</v>
      </c>
    </row>
    <row r="702">
      <c r="A702" t="inlineStr">
        <is>
          <t>BBG000BC5WJ4</t>
        </is>
      </c>
      <c r="B702" t="inlineStr">
        <is>
          <t>mms</t>
        </is>
      </c>
      <c r="C702" s="3" t="n">
        <v>0.7960219537743546</v>
      </c>
      <c r="D702" s="3" t="n">
        <v>0.0464052827843322</v>
      </c>
      <c r="E702" s="3" t="n">
        <v>22.19783298248022</v>
      </c>
      <c r="F702" s="3" t="n">
        <v>0.4094950714558585</v>
      </c>
      <c r="H702" s="3" t="n">
        <v>2.227768824388118</v>
      </c>
      <c r="I702" s="3" t="n">
        <v>17.64206611461314</v>
      </c>
      <c r="J702" s="3" t="n">
        <v>0.2139830937747092</v>
      </c>
      <c r="K702" s="3" t="n">
        <v>0.007275566755390055</v>
      </c>
      <c r="L702" s="3" t="n">
        <v>10937.84433399774</v>
      </c>
      <c r="M702" s="4" t="n">
        <v>4369144158.999641</v>
      </c>
    </row>
    <row r="703">
      <c r="A703" t="inlineStr">
        <is>
          <t>BBG000C42VX0</t>
        </is>
      </c>
      <c r="B703" t="inlineStr">
        <is>
          <t>mmsi</t>
        </is>
      </c>
      <c r="C703" s="3" t="n">
        <v>0.5389277718446578</v>
      </c>
      <c r="D703" s="3" t="n">
        <v>0.3787032843499747</v>
      </c>
      <c r="E703" s="3" t="n">
        <v>22.52418831149615</v>
      </c>
      <c r="F703" s="3" t="n">
        <v>0.2048130062272606</v>
      </c>
      <c r="G703" s="3" t="n">
        <v>0.01138463804042367</v>
      </c>
      <c r="H703" s="3" t="n">
        <v>1.874909488163177</v>
      </c>
      <c r="I703" s="3" t="n">
        <v>17.52461240585087</v>
      </c>
      <c r="J703" s="3" t="n">
        <v>0.2368351470907967</v>
      </c>
      <c r="K703" s="3" t="n">
        <v>0.0110288118609801</v>
      </c>
      <c r="L703" s="3" t="n">
        <v>11427.40050475963</v>
      </c>
      <c r="M703" s="4" t="n">
        <v>6055230684.027321</v>
      </c>
    </row>
    <row r="704">
      <c r="A704" t="inlineStr">
        <is>
          <t>BBG008NVB1C0</t>
        </is>
      </c>
      <c r="B704" t="inlineStr">
        <is>
          <t>mnst</t>
        </is>
      </c>
      <c r="C704" s="3" t="n">
        <v>0.2581118507189566</v>
      </c>
      <c r="D704" s="3" t="n">
        <v>-0.04478696559136242</v>
      </c>
      <c r="E704" s="3" t="n">
        <v>24.70509490015731</v>
      </c>
      <c r="F704" s="3" t="n">
        <v>0.1534783640717417</v>
      </c>
      <c r="H704" s="3" t="n">
        <v>0.9786792491079223</v>
      </c>
      <c r="I704" s="3" t="n">
        <v>19.55007790847877</v>
      </c>
      <c r="J704" s="3" t="n">
        <v>0.2318268638893033</v>
      </c>
      <c r="L704" s="3" t="n">
        <v>15078.54996653154</v>
      </c>
      <c r="M704" s="4" t="n">
        <v>53615009839.43306</v>
      </c>
    </row>
    <row r="705">
      <c r="A705" t="inlineStr">
        <is>
          <t>BBG01S437BJ4</t>
        </is>
      </c>
      <c r="B705" t="inlineStr">
        <is>
          <t>mntn</t>
        </is>
      </c>
    </row>
    <row r="706">
      <c r="A706" t="inlineStr">
        <is>
          <t>BBG000BP6LJ8</t>
        </is>
      </c>
      <c r="B706" t="inlineStr">
        <is>
          <t>mo</t>
        </is>
      </c>
      <c r="C706" s="3" t="n">
        <v>0.05676015610817751</v>
      </c>
      <c r="D706" s="3" t="n">
        <v>0.4124864915301496</v>
      </c>
      <c r="E706" s="3" t="n">
        <v>25.20169079886004</v>
      </c>
      <c r="F706" s="3" t="n">
        <v>-0.04018352333083396</v>
      </c>
      <c r="H706" s="3" t="n">
        <v>-9.651694917980704</v>
      </c>
      <c r="I706" s="3" t="n">
        <v>19.73149624034051</v>
      </c>
      <c r="J706" s="3" t="n">
        <v>0.1785015532615922</v>
      </c>
      <c r="K706" s="3" t="n">
        <v>0.06890225610682546</v>
      </c>
      <c r="L706" s="3" t="n">
        <v>16006.22939085442</v>
      </c>
      <c r="M706" s="4" t="n">
        <v>88095809091.07275</v>
      </c>
    </row>
    <row r="707">
      <c r="A707" t="inlineStr">
        <is>
          <t>BBG000MBHNC8</t>
        </is>
      </c>
      <c r="B707" t="inlineStr">
        <is>
          <t>moh</t>
        </is>
      </c>
      <c r="C707" s="3" t="n">
        <v>0.2880091529649469</v>
      </c>
      <c r="D707" s="3" t="n">
        <v>-0.121293348927719</v>
      </c>
      <c r="E707" s="3" t="n">
        <v>23.55882229563948</v>
      </c>
      <c r="F707" s="3" t="n">
        <v>0.1929591092879255</v>
      </c>
      <c r="H707" s="3" t="n">
        <v>4.529197078914478</v>
      </c>
      <c r="I707" s="3" t="n">
        <v>19.20681792007012</v>
      </c>
      <c r="J707" s="3" t="n">
        <v>0.3809653204031992</v>
      </c>
      <c r="K707" s="3" t="n">
        <v>0.01883816121697813</v>
      </c>
      <c r="L707" s="3" t="n">
        <v>13075.57297623325</v>
      </c>
      <c r="M707" s="4" t="n">
        <v>17039879650.87891</v>
      </c>
    </row>
    <row r="708">
      <c r="A708" t="inlineStr">
        <is>
          <t>BBG000BFXHL6</t>
        </is>
      </c>
      <c r="B708" t="inlineStr">
        <is>
          <t>mos</t>
        </is>
      </c>
      <c r="C708" s="3" t="n">
        <v>0.8370426396266312</v>
      </c>
      <c r="D708" s="3" t="n">
        <v>-0.2336847678527028</v>
      </c>
      <c r="E708" s="3" t="n">
        <v>22.79459409663993</v>
      </c>
      <c r="F708" s="3" t="n">
        <v>1.488099525932961</v>
      </c>
      <c r="G708" s="3" t="n">
        <v>0.01236793175106632</v>
      </c>
      <c r="H708" s="3" t="n">
        <v>1.950510644619133</v>
      </c>
      <c r="I708" s="3" t="n">
        <v>18.47463898611634</v>
      </c>
      <c r="J708" s="3" t="n">
        <v>0.3094669979895535</v>
      </c>
      <c r="K708" s="3" t="n">
        <v>-0.0005292767990209199</v>
      </c>
      <c r="L708" s="3" t="n">
        <v>11843.92338434124</v>
      </c>
      <c r="M708" s="4" t="n">
        <v>7935356333.850403</v>
      </c>
    </row>
    <row r="709">
      <c r="A709" t="inlineStr">
        <is>
          <t>BBG00TJGL0F0</t>
        </is>
      </c>
      <c r="B709" t="inlineStr">
        <is>
          <t>mp</t>
        </is>
      </c>
      <c r="C709" s="3" t="n">
        <v>1.770978614681438</v>
      </c>
      <c r="D709" s="3" t="n">
        <v>0.1335853749745881</v>
      </c>
      <c r="E709" s="3" t="n">
        <v>21.95838147784351</v>
      </c>
      <c r="F709" s="3" t="n">
        <v>0.3969234797921372</v>
      </c>
      <c r="H709" s="3" t="n">
        <v>1.711772974815743</v>
      </c>
      <c r="I709" s="3" t="n">
        <v>17.77510266997572</v>
      </c>
      <c r="J709" s="3" t="n">
        <v>0.5237801497527553</v>
      </c>
      <c r="K709" s="3" t="n">
        <v>-0.007420081682060244</v>
      </c>
      <c r="L709" s="3" t="n">
        <v>10587.68415243278</v>
      </c>
      <c r="M709" s="4" t="n">
        <v>3438776159.873108</v>
      </c>
    </row>
    <row r="710">
      <c r="A710" t="inlineStr">
        <is>
          <t>BBG000BJS1P5</t>
        </is>
      </c>
      <c r="B710" t="inlineStr">
        <is>
          <t>mpaa</t>
        </is>
      </c>
      <c r="C710" s="3" t="n">
        <v>1.114927678777692</v>
      </c>
      <c r="D710" s="3" t="n">
        <v>-0.4533195235229599</v>
      </c>
      <c r="E710" s="3" t="n">
        <v>18.79031085408649</v>
      </c>
      <c r="F710" s="3" t="n">
        <v>1.82395759985205</v>
      </c>
      <c r="G710" s="3" t="n">
        <v>0.0008624610858738446</v>
      </c>
      <c r="H710" s="3" t="n">
        <v>3.736288783896649</v>
      </c>
      <c r="I710" s="3" t="n">
        <v>12.99919968115599</v>
      </c>
      <c r="J710" s="3" t="n">
        <v>0.617369673432983</v>
      </c>
      <c r="K710" s="3" t="n">
        <v>-0.009742957216698517</v>
      </c>
      <c r="L710" s="3" t="n">
        <v>6634.403698701914</v>
      </c>
      <c r="M710" s="4" t="n">
        <v>144719920.1327124</v>
      </c>
    </row>
    <row r="711">
      <c r="A711" t="inlineStr">
        <is>
          <t>BBG001DCCGR8</t>
        </is>
      </c>
      <c r="B711" t="inlineStr">
        <is>
          <t>mpc</t>
        </is>
      </c>
      <c r="C711" s="3" t="n">
        <v>0.5603462732554396</v>
      </c>
      <c r="D711" s="3" t="n">
        <v>-0.01077031858403266</v>
      </c>
      <c r="E711" s="3" t="n">
        <v>24.60820937485479</v>
      </c>
      <c r="F711" s="3" t="n">
        <v>0.3890540081230806</v>
      </c>
      <c r="H711" s="3" t="n">
        <v>4.21660592593796</v>
      </c>
      <c r="I711" s="3" t="n">
        <v>19.81992283129578</v>
      </c>
      <c r="J711" s="3" t="n">
        <v>0.2838792505031498</v>
      </c>
      <c r="K711" s="3" t="n">
        <v>0.06740068381364306</v>
      </c>
      <c r="L711" s="3" t="n">
        <v>14901.8449300797</v>
      </c>
      <c r="M711" s="4" t="n">
        <v>48664194698.69934</v>
      </c>
    </row>
    <row r="712">
      <c r="A712" t="inlineStr">
        <is>
          <t>mpwr</t>
        </is>
      </c>
      <c r="B712" t="inlineStr">
        <is>
          <t>mpwr</t>
        </is>
      </c>
      <c r="C712" s="3" t="n">
        <v>2.737733508118045</v>
      </c>
      <c r="D712" s="3" t="n">
        <v>0.3925737060389609</v>
      </c>
      <c r="E712" s="3" t="n">
        <v>24.03198170595694</v>
      </c>
      <c r="F712" s="3" t="n">
        <v>0.06100925415136557</v>
      </c>
      <c r="H712" s="3" t="n">
        <v>1.458917703886896</v>
      </c>
      <c r="I712" s="3" t="n">
        <v>20.23755522953848</v>
      </c>
      <c r="J712" s="3" t="n">
        <v>0.4189063910108047</v>
      </c>
      <c r="K712" s="3" t="n">
        <v>0.0052808078721479</v>
      </c>
      <c r="L712" s="3" t="n">
        <v>13879.33806433057</v>
      </c>
      <c r="M712" s="4" t="n">
        <v>27349981951.9043</v>
      </c>
    </row>
    <row r="713">
      <c r="A713" t="inlineStr">
        <is>
          <t>BBG0112Z87D8</t>
        </is>
      </c>
      <c r="B713" t="inlineStr">
        <is>
          <t>mq</t>
        </is>
      </c>
      <c r="C713" s="3" t="n">
        <v>1.475670339211244</v>
      </c>
      <c r="D713" s="3" t="n">
        <v>-0.1086614279658614</v>
      </c>
      <c r="H713" s="3" t="n">
        <v>1.313072566471259</v>
      </c>
      <c r="I713" s="3" t="n">
        <v>17.15008876824272</v>
      </c>
      <c r="J713" s="3" t="n">
        <v>0.6145245603666275</v>
      </c>
    </row>
    <row r="714">
      <c r="A714" t="inlineStr">
        <is>
          <t>BBG000BX5GS3</t>
        </is>
      </c>
      <c r="B714" t="inlineStr">
        <is>
          <t>mrcy</t>
        </is>
      </c>
      <c r="C714" s="3" t="n">
        <v>1.254371310417505</v>
      </c>
      <c r="D714" s="3" t="n">
        <v>-0.05657633098889103</v>
      </c>
      <c r="E714" s="3" t="n">
        <v>21.62044929527771</v>
      </c>
      <c r="F714" s="3" t="n">
        <v>0.5952011087468102</v>
      </c>
      <c r="H714" s="3" t="n">
        <v>1.622766450851314</v>
      </c>
      <c r="I714" s="3" t="n">
        <v>16.5953611985883</v>
      </c>
      <c r="J714" s="3" t="n">
        <v>0.4488190870273212</v>
      </c>
      <c r="K714" s="3" t="n">
        <v>-0.01496645340134844</v>
      </c>
      <c r="L714" s="3" t="n">
        <v>10106.34557581996</v>
      </c>
      <c r="M714" s="4" t="n">
        <v>2452685282.254395</v>
      </c>
    </row>
    <row r="715">
      <c r="A715" t="inlineStr">
        <is>
          <t>BBG000BPD168</t>
        </is>
      </c>
      <c r="B715" t="inlineStr">
        <is>
          <t>mrk</t>
        </is>
      </c>
      <c r="C715" s="3" t="n">
        <v>0.2383865598644776</v>
      </c>
      <c r="D715" s="3" t="n">
        <v>0.02491335017574881</v>
      </c>
      <c r="E715" s="3" t="n">
        <v>26.21335564711061</v>
      </c>
      <c r="F715" s="3" t="n">
        <v>0.1836808242969295</v>
      </c>
      <c r="H715" s="3" t="n">
        <v>2.641049840397262</v>
      </c>
      <c r="I715" s="3" t="n">
        <v>20.78111413635349</v>
      </c>
      <c r="J715" s="3" t="n">
        <v>0.2072814322193479</v>
      </c>
      <c r="K715" s="3" t="n">
        <v>0.01958486160821829</v>
      </c>
      <c r="L715" s="3" t="n">
        <v>18012.24557373227</v>
      </c>
      <c r="M715" s="4" t="n">
        <v>242278964993.518</v>
      </c>
    </row>
    <row r="716">
      <c r="A716" t="inlineStr">
        <is>
          <t>mrna</t>
        </is>
      </c>
      <c r="B716" t="inlineStr">
        <is>
          <t>mrna</t>
        </is>
      </c>
      <c r="C716" s="3" t="n">
        <v>1.427015816675077</v>
      </c>
      <c r="D716" s="3" t="n">
        <v>-0.3003860650527175</v>
      </c>
      <c r="E716" s="3" t="n">
        <v>23.53087508595625</v>
      </c>
      <c r="F716" s="3" t="n">
        <v>1.022856891345647</v>
      </c>
      <c r="H716" s="3" t="n">
        <v>0.932385391413512</v>
      </c>
      <c r="I716" s="3" t="n">
        <v>19.75421000393707</v>
      </c>
      <c r="J716" s="3" t="n">
        <v>0.5801503720219742</v>
      </c>
      <c r="K716" s="3" t="n">
        <v>-0.1473121524440807</v>
      </c>
      <c r="L716" s="3" t="n">
        <v>13029.0945336911</v>
      </c>
      <c r="M716" s="4" t="n">
        <v>16570255470.12684</v>
      </c>
    </row>
    <row r="717">
      <c r="A717" t="inlineStr">
        <is>
          <t>BBG000BP4MH0</t>
        </is>
      </c>
      <c r="B717" t="inlineStr">
        <is>
          <t>mrsh</t>
        </is>
      </c>
      <c r="C717" s="3" t="n">
        <v>0.2888915459415216</v>
      </c>
      <c r="D717" s="3" t="n">
        <v>0.1103679955785453</v>
      </c>
      <c r="E717" s="3" t="n">
        <v>25.49191891404275</v>
      </c>
      <c r="F717" s="3" t="n">
        <v>-0.03331337170582685</v>
      </c>
      <c r="H717" s="3" t="n">
        <v>-4.607698191335126</v>
      </c>
      <c r="I717" s="3" t="n">
        <v>19.79393164188524</v>
      </c>
      <c r="J717" s="3" t="n">
        <v>0.1430238124632611</v>
      </c>
      <c r="K717" s="3" t="n">
        <v>0.00355806850490478</v>
      </c>
      <c r="L717" s="3" t="n">
        <v>16565.61581679337</v>
      </c>
      <c r="M717" s="4" t="n">
        <v>117760520748.5051</v>
      </c>
    </row>
    <row r="718">
      <c r="A718" t="inlineStr">
        <is>
          <t>BBG000BPDJM1</t>
        </is>
      </c>
      <c r="B718" t="inlineStr">
        <is>
          <t>mrtn</t>
        </is>
      </c>
      <c r="C718" s="3" t="n">
        <v>0.8509275556738295</v>
      </c>
      <c r="D718" s="3" t="n">
        <v>-0.1679094647993333</v>
      </c>
      <c r="E718" s="3" t="n">
        <v>21.04298849804983</v>
      </c>
      <c r="F718" s="3" t="n">
        <v>0.5537906505790758</v>
      </c>
      <c r="H718" s="3" t="n">
        <v>1.311602783588239</v>
      </c>
      <c r="I718" s="3" t="n">
        <v>15.52019026193829</v>
      </c>
      <c r="J718" s="3" t="n">
        <v>0.2436834455514519</v>
      </c>
      <c r="K718" s="3" t="n">
        <v>0.01634433792435802</v>
      </c>
      <c r="L718" s="3" t="n">
        <v>9317.990287053904</v>
      </c>
      <c r="M718" s="4" t="n">
        <v>1376745885.19862</v>
      </c>
    </row>
    <row r="719">
      <c r="A719" t="inlineStr">
        <is>
          <t>BBG000BLZRJ2</t>
        </is>
      </c>
      <c r="B719" t="inlineStr">
        <is>
          <t>ms</t>
        </is>
      </c>
      <c r="C719" s="3" t="n">
        <v>1.03510809529748</v>
      </c>
      <c r="D719" s="3" t="n">
        <v>0.5185833434057605</v>
      </c>
      <c r="E719" s="3" t="n">
        <v>26.0415125823779</v>
      </c>
      <c r="F719" s="3" t="n">
        <v>0.5080091343666355</v>
      </c>
      <c r="H719" s="3" t="n">
        <v>12.13761131521281</v>
      </c>
      <c r="I719" s="3" t="n">
        <v>20.38895078086002</v>
      </c>
      <c r="J719" s="3" t="n">
        <v>0.2319615106577342</v>
      </c>
      <c r="K719" s="3" t="n">
        <v>0.01562547030170516</v>
      </c>
      <c r="L719" s="3" t="n">
        <v>17660.32200557144</v>
      </c>
      <c r="M719" s="4" t="n">
        <v>204025858961.6006</v>
      </c>
    </row>
    <row r="720">
      <c r="A720" t="inlineStr">
        <is>
          <t>BBG000RTDY25</t>
        </is>
      </c>
      <c r="B720" t="inlineStr">
        <is>
          <t>msci</t>
        </is>
      </c>
      <c r="C720" s="3" t="n">
        <v>0.6470730209755142</v>
      </c>
      <c r="D720" s="3" t="n">
        <v>0.1064869545979645</v>
      </c>
      <c r="E720" s="3" t="n">
        <v>24.56966749329489</v>
      </c>
      <c r="F720" s="3" t="n">
        <v>-0.02240496225548601</v>
      </c>
      <c r="G720" s="3" t="n">
        <v>0.01595636902971886</v>
      </c>
      <c r="H720" s="3" t="n">
        <v>-5.155818919484793</v>
      </c>
      <c r="I720" s="3" t="n">
        <v>19.39111247110678</v>
      </c>
      <c r="J720" s="3" t="n">
        <v>0.2652677644647477</v>
      </c>
      <c r="K720" s="3" t="n">
        <v>0.005271304826927501</v>
      </c>
      <c r="L720" s="3" t="n">
        <v>14831.93581331832</v>
      </c>
      <c r="M720" s="4" t="n">
        <v>46824269910.14978</v>
      </c>
    </row>
    <row r="721">
      <c r="A721" t="inlineStr">
        <is>
          <t>BBG000BPH459</t>
        </is>
      </c>
      <c r="B721" t="inlineStr">
        <is>
          <t>msft</t>
        </is>
      </c>
      <c r="C721" s="3" t="n">
        <v>1.166677823340153</v>
      </c>
      <c r="D721" s="3" t="n">
        <v>0.07827936182173945</v>
      </c>
      <c r="E721" s="3" t="n">
        <v>28.76611433289221</v>
      </c>
      <c r="F721" s="3" t="n">
        <v>0.08628640313808729</v>
      </c>
      <c r="H721" s="3" t="n">
        <v>1.948073764225807</v>
      </c>
      <c r="I721" s="3" t="n">
        <v>22.84001924569646</v>
      </c>
      <c r="J721" s="3" t="n">
        <v>0.13498733689312</v>
      </c>
      <c r="K721" s="3" t="n">
        <v>0.007927780428890368</v>
      </c>
      <c r="L721" s="3" t="n">
        <v>23803.65278571434</v>
      </c>
      <c r="M721" s="4" t="n">
        <v>3111463570572.76</v>
      </c>
    </row>
    <row r="722">
      <c r="A722" t="inlineStr">
        <is>
          <t>BBG007FG0C23</t>
        </is>
      </c>
      <c r="B722" t="inlineStr">
        <is>
          <t>msgs</t>
        </is>
      </c>
      <c r="C722" s="3" t="n">
        <v>0.685873758198028</v>
      </c>
      <c r="D722" s="3" t="n">
        <v>0.3162716102292598</v>
      </c>
      <c r="E722" s="3" t="n">
        <v>22.4693641085416</v>
      </c>
      <c r="F722" s="3" t="n">
        <v>-0.04841584618404755</v>
      </c>
      <c r="H722" s="3" t="n">
        <v>-4.948300916114356</v>
      </c>
      <c r="I722" s="3" t="n">
        <v>16.84281629754804</v>
      </c>
      <c r="J722" s="3" t="n">
        <v>0.1623893093287408</v>
      </c>
      <c r="K722" s="3" t="n">
        <v>-0.00328338530758933</v>
      </c>
      <c r="L722" s="3" t="n">
        <v>11344.16006374857</v>
      </c>
      <c r="M722" s="4" t="n">
        <v>5732193523.925781</v>
      </c>
    </row>
    <row r="723">
      <c r="A723" t="inlineStr">
        <is>
          <t>BBG000BP8Z50</t>
        </is>
      </c>
      <c r="B723" t="inlineStr">
        <is>
          <t>msi</t>
        </is>
      </c>
      <c r="C723" s="3" t="n">
        <v>0.6547350850143951</v>
      </c>
      <c r="D723" s="3" t="n">
        <v>0.4066984169135872</v>
      </c>
      <c r="E723" s="3" t="n">
        <v>25.13240682090065</v>
      </c>
      <c r="F723" s="3" t="n">
        <v>0.01613161783390497</v>
      </c>
      <c r="H723" s="3" t="n">
        <v>10.47435896645976</v>
      </c>
      <c r="I723" s="3" t="n">
        <v>19.59486053520313</v>
      </c>
      <c r="J723" s="3" t="n">
        <v>0.1549681991484966</v>
      </c>
      <c r="K723" s="3" t="n">
        <v>0.01354033985606051</v>
      </c>
      <c r="L723" s="3" t="n">
        <v>15874.57997795425</v>
      </c>
      <c r="M723" s="4" t="n">
        <v>82198823058.95691</v>
      </c>
    </row>
    <row r="724">
      <c r="A724" t="inlineStr">
        <is>
          <t>BBG000GQJPZ0</t>
        </is>
      </c>
      <c r="B724" t="inlineStr">
        <is>
          <t>mstr</t>
        </is>
      </c>
      <c r="C724" s="3" t="n">
        <v>2.761661691079529</v>
      </c>
      <c r="D724" s="3" t="n">
        <v>3.906682540951152</v>
      </c>
      <c r="H724" s="3" t="n">
        <v>1.26204848377206</v>
      </c>
      <c r="I724" s="3" t="n">
        <v>22.58885187260023</v>
      </c>
      <c r="J724" s="3" t="n">
        <v>1.023971289052086</v>
      </c>
    </row>
    <row r="725">
      <c r="A725" t="inlineStr">
        <is>
          <t>BBG000BJH5W0</t>
        </is>
      </c>
      <c r="B725" t="inlineStr">
        <is>
          <t>mt</t>
        </is>
      </c>
      <c r="C725" s="3" t="n">
        <v>0.9110233282678983</v>
      </c>
      <c r="D725" s="3" t="n">
        <v>-0.01310568696678138</v>
      </c>
      <c r="I725" s="3" t="n">
        <v>17.43118510530735</v>
      </c>
      <c r="J725" s="3" t="n">
        <v>0.268617580512553</v>
      </c>
    </row>
    <row r="726">
      <c r="A726" t="inlineStr">
        <is>
          <t>BBG000D9KWL9</t>
        </is>
      </c>
      <c r="B726" t="inlineStr">
        <is>
          <t>mtb</t>
        </is>
      </c>
      <c r="C726" s="3" t="n">
        <v>0.8318476554742449</v>
      </c>
      <c r="D726" s="3" t="n">
        <v>0.5591890631733301</v>
      </c>
      <c r="E726" s="3" t="n">
        <v>24.27067928286134</v>
      </c>
      <c r="F726" s="3" t="n">
        <v>0.8316008959332744</v>
      </c>
      <c r="H726" s="3" t="n">
        <v>7.334291452855856</v>
      </c>
      <c r="I726" s="3" t="n">
        <v>19.10887105077788</v>
      </c>
      <c r="J726" s="3" t="n">
        <v>0.2668498759390091</v>
      </c>
      <c r="K726" s="3" t="n">
        <v>0.06505701703536733</v>
      </c>
      <c r="L726" s="3" t="n">
        <v>14297.0288764579</v>
      </c>
      <c r="M726" s="4" t="n">
        <v>34723387312.80701</v>
      </c>
    </row>
    <row r="727">
      <c r="A727" t="inlineStr">
        <is>
          <t>mtd</t>
        </is>
      </c>
      <c r="B727" t="inlineStr">
        <is>
          <t>mtd</t>
        </is>
      </c>
      <c r="C727" s="3" t="n">
        <v>1.130354616340984</v>
      </c>
      <c r="D727" s="3" t="n">
        <v>0.1829970203768749</v>
      </c>
      <c r="E727" s="3" t="n">
        <v>24.00876576793808</v>
      </c>
      <c r="F727" s="3" t="n">
        <v>-0.003961928439008898</v>
      </c>
      <c r="G727" s="3" t="n">
        <v>0.01843579400033524</v>
      </c>
      <c r="H727" s="3" t="n">
        <v>-31.35699742478651</v>
      </c>
      <c r="I727" s="3" t="n">
        <v>18.97948930356931</v>
      </c>
      <c r="J727" s="3" t="n">
        <v>0.30208147926818</v>
      </c>
      <c r="K727" s="3" t="n">
        <v>0.022858738908831</v>
      </c>
      <c r="L727" s="3" t="n">
        <v>13839.15278005606</v>
      </c>
      <c r="M727" s="4" t="n">
        <v>26722340301.15967</v>
      </c>
    </row>
    <row r="728">
      <c r="A728" t="inlineStr">
        <is>
          <t>BBG000JCPGZ1</t>
        </is>
      </c>
      <c r="B728" t="inlineStr">
        <is>
          <t>mtdr</t>
        </is>
      </c>
      <c r="C728" s="3" t="n">
        <v>0.8570763597232519</v>
      </c>
      <c r="D728" s="3" t="n">
        <v>-0.09057298892246568</v>
      </c>
      <c r="E728" s="3" t="n">
        <v>22.69266647526002</v>
      </c>
      <c r="F728" s="3" t="n">
        <v>0.6796499816934465</v>
      </c>
      <c r="H728" s="3" t="n">
        <v>2.181091767968191</v>
      </c>
      <c r="I728" s="3" t="n">
        <v>18.18991905323634</v>
      </c>
      <c r="J728" s="3" t="n">
        <v>0.3118127230483745</v>
      </c>
      <c r="K728" s="3" t="n">
        <v>0.03464664193433858</v>
      </c>
      <c r="L728" s="3" t="n">
        <v>11685.74998617365</v>
      </c>
      <c r="M728" s="4" t="n">
        <v>7166379946.313644</v>
      </c>
    </row>
    <row r="729">
      <c r="A729" t="inlineStr">
        <is>
          <t>BBG000CBMH27</t>
        </is>
      </c>
      <c r="B729" t="inlineStr">
        <is>
          <t>mtg</t>
        </is>
      </c>
      <c r="C729" s="3" t="n">
        <v>0.7087680768760294</v>
      </c>
      <c r="D729" s="3" t="n">
        <v>0.4479925426022062</v>
      </c>
      <c r="E729" s="3" t="n">
        <v>22.58583850236668</v>
      </c>
      <c r="F729" s="3" t="n">
        <v>0.7875455280505615</v>
      </c>
      <c r="H729" s="3" t="n">
        <v>1.316593378666398</v>
      </c>
      <c r="I729" s="3" t="n">
        <v>17.42507351766188</v>
      </c>
      <c r="J729" s="3" t="n">
        <v>0.2133834420454783</v>
      </c>
      <c r="K729" s="3" t="n">
        <v>0.02839067269113587</v>
      </c>
      <c r="L729" s="3" t="n">
        <v>11521.49021472178</v>
      </c>
      <c r="M729" s="4" t="n">
        <v>6440284172.227341</v>
      </c>
    </row>
    <row r="730">
      <c r="A730" t="inlineStr">
        <is>
          <t>BBG000F4F1N0</t>
        </is>
      </c>
      <c r="B730" t="inlineStr">
        <is>
          <t>mth</t>
        </is>
      </c>
      <c r="C730" s="3" t="n">
        <v>1.181869741456071</v>
      </c>
      <c r="D730" s="3" t="n">
        <v>0.3011113741482343</v>
      </c>
      <c r="E730" s="3" t="n">
        <v>21.92690150796484</v>
      </c>
      <c r="F730" s="3" t="n">
        <v>1.416649419205937</v>
      </c>
      <c r="H730" s="3" t="n">
        <v>1.504785965283285</v>
      </c>
      <c r="I730" s="3" t="n">
        <v>18.05299852306927</v>
      </c>
      <c r="J730" s="3" t="n">
        <v>0.3546957940734767</v>
      </c>
      <c r="K730" s="3" t="n">
        <v>0.0394035820209027</v>
      </c>
      <c r="L730" s="3" t="n">
        <v>10542.21326268073</v>
      </c>
      <c r="M730" s="4" t="n">
        <v>3332209744.051804</v>
      </c>
    </row>
    <row r="731">
      <c r="A731" t="inlineStr">
        <is>
          <t>BBG000BCMWM1</t>
        </is>
      </c>
      <c r="B731" t="inlineStr">
        <is>
          <t>mtn</t>
        </is>
      </c>
      <c r="C731" s="3" t="n">
        <v>0.8495497714654073</v>
      </c>
      <c r="D731" s="3" t="n">
        <v>-0.2027351145161079</v>
      </c>
      <c r="E731" s="3" t="n">
        <v>22.54105442302578</v>
      </c>
      <c r="F731" s="3" t="n">
        <v>0.1174911602659254</v>
      </c>
      <c r="H731" s="3" t="n">
        <v>7.875805925784299</v>
      </c>
      <c r="I731" s="3" t="n">
        <v>18.25193725710016</v>
      </c>
      <c r="J731" s="3" t="n">
        <v>0.2574765132154556</v>
      </c>
      <c r="K731" s="3" t="n">
        <v>0.04354306641261936</v>
      </c>
      <c r="L731" s="3" t="n">
        <v>11453.0902430976</v>
      </c>
      <c r="M731" s="4" t="n">
        <v>6158224995.351822</v>
      </c>
    </row>
    <row r="732">
      <c r="A732" t="inlineStr">
        <is>
          <t>BBG000BDTT76</t>
        </is>
      </c>
      <c r="B732" t="inlineStr">
        <is>
          <t>mtrn</t>
        </is>
      </c>
      <c r="C732" s="3" t="n">
        <v>1.753131818119812</v>
      </c>
      <c r="D732" s="3" t="n">
        <v>-0.09847606637276718</v>
      </c>
      <c r="E732" s="3" t="n">
        <v>21.59129893172387</v>
      </c>
      <c r="F732" s="3" t="n">
        <v>0.3715243605310999</v>
      </c>
      <c r="H732" s="3" t="n">
        <v>2.098199766456698</v>
      </c>
      <c r="I732" s="3" t="n">
        <v>16.14084700168414</v>
      </c>
      <c r="J732" s="3" t="n">
        <v>0.3335082196052242</v>
      </c>
      <c r="K732" s="3" t="n">
        <v>0.01115094024103431</v>
      </c>
      <c r="L732" s="3" t="n">
        <v>10065.5221940131</v>
      </c>
      <c r="M732" s="4" t="n">
        <v>2382220639.215363</v>
      </c>
    </row>
    <row r="733">
      <c r="A733" t="inlineStr">
        <is>
          <t>BBG000DYXD23</t>
        </is>
      </c>
      <c r="B733" t="inlineStr">
        <is>
          <t>mtz</t>
        </is>
      </c>
      <c r="C733" s="3" t="n">
        <v>1.863024560250966</v>
      </c>
      <c r="D733" s="3" t="n">
        <v>1.026550142258517</v>
      </c>
      <c r="E733" s="3" t="n">
        <v>23.1581581497194</v>
      </c>
      <c r="F733" s="3" t="n">
        <v>0.2370783473048061</v>
      </c>
      <c r="H733" s="3" t="n">
        <v>3.463778456101587</v>
      </c>
      <c r="I733" s="3" t="n">
        <v>18.51803990639245</v>
      </c>
      <c r="J733" s="3" t="n">
        <v>0.335210329173511</v>
      </c>
      <c r="K733" s="3" t="n">
        <v>0.001252432255493967</v>
      </c>
      <c r="L733" s="3" t="n">
        <v>12419.72690579496</v>
      </c>
      <c r="M733" s="4" t="n">
        <v>11414589440.69525</v>
      </c>
    </row>
    <row r="734">
      <c r="A734" t="inlineStr">
        <is>
          <t>BBG000C5Z1S3</t>
        </is>
      </c>
      <c r="B734" t="inlineStr">
        <is>
          <t>mu</t>
        </is>
      </c>
      <c r="C734" s="3" t="n">
        <v>2.280427908163174</v>
      </c>
      <c r="D734" s="3" t="n">
        <v>0.3147617672748595</v>
      </c>
      <c r="E734" s="3" t="n">
        <v>25.40595925627771</v>
      </c>
      <c r="F734" s="3" t="n">
        <v>0.4065584088073992</v>
      </c>
      <c r="H734" s="3" t="n">
        <v>1.462545239308435</v>
      </c>
      <c r="I734" s="3" t="n">
        <v>21.49818611973344</v>
      </c>
      <c r="J734" s="3" t="n">
        <v>0.3989544033435191</v>
      </c>
      <c r="K734" s="3" t="n">
        <v>0.007199654975807629</v>
      </c>
      <c r="L734" s="3" t="n">
        <v>16398.60072762245</v>
      </c>
      <c r="M734" s="4" t="n">
        <v>108060733827.8078</v>
      </c>
    </row>
    <row r="735">
      <c r="A735" t="inlineStr">
        <is>
          <t>BBG01ZPFR6N2</t>
        </is>
      </c>
      <c r="B735" t="inlineStr">
        <is>
          <t>mwh</t>
        </is>
      </c>
    </row>
    <row r="736">
      <c r="A736" t="inlineStr">
        <is>
          <t>BBG000BB6R33</t>
        </is>
      </c>
      <c r="B736" t="inlineStr">
        <is>
          <t>mxl</t>
        </is>
      </c>
      <c r="C736" s="3" t="n">
        <v>2.655280471071597</v>
      </c>
      <c r="D736" s="3" t="n">
        <v>-0.3075279987177078</v>
      </c>
      <c r="E736" s="3" t="n">
        <v>20.9673045258398</v>
      </c>
      <c r="F736" s="3" t="n">
        <v>0.5376593394801381</v>
      </c>
      <c r="H736" s="3" t="n">
        <v>1.304602447590067</v>
      </c>
      <c r="I736" s="3" t="n">
        <v>16.73110581990558</v>
      </c>
      <c r="J736" s="3" t="n">
        <v>0.641457125318302</v>
      </c>
      <c r="K736" s="3" t="n">
        <v>0.007468698656152006</v>
      </c>
      <c r="L736" s="3" t="n">
        <v>9217.811199358719</v>
      </c>
      <c r="M736" s="4" t="n">
        <v>1276393710.794439</v>
      </c>
    </row>
    <row r="737">
      <c r="A737" t="inlineStr">
        <is>
          <t>BBG000BWM9L9</t>
        </is>
      </c>
      <c r="B737" t="inlineStr">
        <is>
          <t>nak</t>
        </is>
      </c>
      <c r="C737" s="3" t="n">
        <v>1.205242581786778</v>
      </c>
      <c r="D737" s="3" t="n">
        <v>0.2424241822175328</v>
      </c>
      <c r="I737" s="3" t="n">
        <v>13.67489016188502</v>
      </c>
      <c r="J737" s="3" t="n">
        <v>0.7902747868814139</v>
      </c>
    </row>
    <row r="738">
      <c r="A738" t="inlineStr">
        <is>
          <t>BBG019Y0WP19</t>
        </is>
      </c>
      <c r="B738" t="inlineStr">
        <is>
          <t>natl</t>
        </is>
      </c>
      <c r="C738" s="3" t="n">
        <v>1.032018122385191</v>
      </c>
      <c r="D738" s="3" t="n">
        <v>0.1787483739014926</v>
      </c>
      <c r="E738" s="3" t="n">
        <v>21.58966026009995</v>
      </c>
      <c r="F738" s="3" t="n">
        <v>0.1059571391137495</v>
      </c>
      <c r="H738" s="3" t="n">
        <v>22.6825395925296</v>
      </c>
      <c r="I738" s="3" t="n">
        <v>16.28781490604536</v>
      </c>
      <c r="J738" s="3" t="n">
        <v>0.3776758629526333</v>
      </c>
      <c r="K738" s="3" t="n">
        <v>0.0130344099703422</v>
      </c>
      <c r="L738" s="3" t="n">
        <v>10063.23059953361</v>
      </c>
      <c r="M738" s="4" t="n">
        <v>2378320158.526649</v>
      </c>
    </row>
    <row r="739">
      <c r="A739" t="inlineStr">
        <is>
          <t>BBG004MN1R41</t>
        </is>
      </c>
      <c r="B739" t="inlineStr">
        <is>
          <t>navi</t>
        </is>
      </c>
      <c r="C739" s="3" t="n">
        <v>1.049860639769957</v>
      </c>
      <c r="D739" s="3" t="n">
        <v>-0.1429120725031491</v>
      </c>
      <c r="E739" s="3" t="n">
        <v>21.1393747394819</v>
      </c>
      <c r="F739" s="3" t="n">
        <v>1.963654306654545</v>
      </c>
      <c r="G739" s="3" t="n">
        <v>-0.06001274401900014</v>
      </c>
      <c r="H739" s="3" t="n">
        <v>20.61639233435795</v>
      </c>
      <c r="I739" s="3" t="n">
        <v>16.10049201694939</v>
      </c>
      <c r="J739" s="3" t="n">
        <v>0.2773469477098283</v>
      </c>
      <c r="K739" s="3" t="n">
        <v>0.05210906624981829</v>
      </c>
      <c r="L739" s="3" t="n">
        <v>9446.619282767548</v>
      </c>
      <c r="M739" s="4" t="n">
        <v>1516050960.674553</v>
      </c>
    </row>
    <row r="740">
      <c r="A740" t="inlineStr">
        <is>
          <t>BBG01KS1NK29</t>
        </is>
      </c>
      <c r="B740" t="inlineStr">
        <is>
          <t>nbbk</t>
        </is>
      </c>
      <c r="C740" s="3" t="n">
        <v>0.6682498677627725</v>
      </c>
      <c r="E740" s="3" t="n">
        <v>20.55793235299112</v>
      </c>
      <c r="F740" s="3" t="n">
        <v>0.8818302343927665</v>
      </c>
      <c r="H740" s="3" t="n">
        <v>6.065179020822586</v>
      </c>
      <c r="I740" s="3" t="n">
        <v>14.9049978912348</v>
      </c>
      <c r="J740" s="3" t="n">
        <v>0.2374634811254308</v>
      </c>
      <c r="K740" s="3" t="n">
        <v>0.02765891454146573</v>
      </c>
      <c r="L740" s="3" t="n">
        <v>8688.369812151332</v>
      </c>
      <c r="M740" s="4" t="n">
        <v>847610991.2843571</v>
      </c>
    </row>
    <row r="741">
      <c r="A741" t="inlineStr">
        <is>
          <t>BBG000GJS7C1</t>
        </is>
      </c>
      <c r="B741" t="inlineStr">
        <is>
          <t>nbix</t>
        </is>
      </c>
      <c r="C741" s="3" t="n">
        <v>0.5809684463242636</v>
      </c>
      <c r="D741" s="3" t="n">
        <v>0.03156360254537383</v>
      </c>
      <c r="E741" s="3" t="n">
        <v>23.27528939739276</v>
      </c>
      <c r="F741" s="3" t="n">
        <v>0.1955264561365176</v>
      </c>
      <c r="H741" s="3" t="n">
        <v>1.408815558182363</v>
      </c>
      <c r="I741" s="3" t="n">
        <v>18.56343412195306</v>
      </c>
      <c r="J741" s="3" t="n">
        <v>0.3245230795971598</v>
      </c>
      <c r="K741" s="3" t="n">
        <v>0.01011451219772038</v>
      </c>
      <c r="L741" s="3" t="n">
        <v>12609.13424967333</v>
      </c>
      <c r="M741" s="4" t="n">
        <v>12833045969.25</v>
      </c>
    </row>
    <row r="742">
      <c r="A742" t="inlineStr">
        <is>
          <t>nclh</t>
        </is>
      </c>
      <c r="B742" t="inlineStr">
        <is>
          <t>nclh</t>
        </is>
      </c>
      <c r="C742" s="3" t="n">
        <v>1.651062348139003</v>
      </c>
      <c r="D742" s="3" t="n">
        <v>0.6594629595904409</v>
      </c>
      <c r="E742" s="3" t="n">
        <v>23.19337650811368</v>
      </c>
      <c r="F742" s="3" t="n">
        <v>0.02544090195156115</v>
      </c>
      <c r="H742" s="3" t="n">
        <v>65.77640458574301</v>
      </c>
      <c r="I742" s="3" t="n">
        <v>19.44495994439261</v>
      </c>
      <c r="J742" s="3" t="n">
        <v>0.4671431261313317</v>
      </c>
      <c r="K742" s="3" t="n">
        <v>0.02925195848561553</v>
      </c>
      <c r="L742" s="3" t="n">
        <v>12476.47596828762</v>
      </c>
      <c r="M742" s="4" t="n">
        <v>11823755327.04337</v>
      </c>
    </row>
    <row r="743">
      <c r="A743" t="inlineStr">
        <is>
          <t>BBG000F5VVB6</t>
        </is>
      </c>
      <c r="B743" t="inlineStr">
        <is>
          <t>ndaq</t>
        </is>
      </c>
      <c r="C743" s="3" t="n">
        <v>0.637365774004847</v>
      </c>
      <c r="D743" s="3" t="n">
        <v>0.3438047540196987</v>
      </c>
      <c r="E743" s="3" t="n">
        <v>24.56622174963164</v>
      </c>
      <c r="F743" s="3" t="n">
        <v>0.237274753033789</v>
      </c>
      <c r="G743" s="3" t="n">
        <v>0.2349939831528278</v>
      </c>
      <c r="H743" s="3" t="n">
        <v>2.760115606687128</v>
      </c>
      <c r="I743" s="3" t="n">
        <v>19.09551419142173</v>
      </c>
      <c r="J743" s="3" t="n">
        <v>0.1730468255049835</v>
      </c>
      <c r="K743" s="3" t="n">
        <v>0.01632978340062746</v>
      </c>
      <c r="L743" s="3" t="n">
        <v>14825.69642708188</v>
      </c>
      <c r="M743" s="4" t="n">
        <v>46663203135.59033</v>
      </c>
    </row>
    <row r="744">
      <c r="A744" t="inlineStr">
        <is>
          <t>BBG000BPWGR1</t>
        </is>
      </c>
      <c r="B744" t="inlineStr">
        <is>
          <t>ndsn</t>
        </is>
      </c>
      <c r="C744" s="3" t="n">
        <v>0.8708578896640086</v>
      </c>
      <c r="D744" s="3" t="n">
        <v>0.06477393133994069</v>
      </c>
      <c r="E744" s="3" t="n">
        <v>23.40487587150499</v>
      </c>
      <c r="F744" s="3" t="n">
        <v>0.1674825709031947</v>
      </c>
      <c r="G744" s="3" t="n">
        <v>-0.03901016364769927</v>
      </c>
      <c r="H744" s="3" t="n">
        <v>2.127110763287015</v>
      </c>
      <c r="I744" s="3" t="n">
        <v>17.73301067831497</v>
      </c>
      <c r="J744" s="3" t="n">
        <v>0.18733519715714</v>
      </c>
      <c r="K744" s="3" t="n">
        <v>0.008754503941202266</v>
      </c>
      <c r="L744" s="3" t="n">
        <v>12820.91516566317</v>
      </c>
      <c r="M744" s="4" t="n">
        <v>14608594713.09828</v>
      </c>
    </row>
    <row r="745">
      <c r="A745" t="inlineStr">
        <is>
          <t>BBG000BJSBJ0</t>
        </is>
      </c>
      <c r="B745" t="inlineStr">
        <is>
          <t>nee</t>
        </is>
      </c>
      <c r="C745" s="3" t="n">
        <v>0.2547671988278878</v>
      </c>
      <c r="D745" s="3" t="n">
        <v>0.3846311460599192</v>
      </c>
      <c r="E745" s="3" t="n">
        <v>25.76467678284653</v>
      </c>
      <c r="F745" s="3" t="n">
        <v>0.3068626130369039</v>
      </c>
      <c r="G745" s="3" t="n">
        <v>0.02652959155320933</v>
      </c>
      <c r="H745" s="3" t="n">
        <v>3.918703126234122</v>
      </c>
      <c r="I745" s="3" t="n">
        <v>20.49911608745229</v>
      </c>
      <c r="J745" s="3" t="n">
        <v>0.256195696674005</v>
      </c>
      <c r="K745" s="3" t="n">
        <v>0.01197247744468581</v>
      </c>
      <c r="L745" s="3" t="n">
        <v>17103.07089140454</v>
      </c>
      <c r="M745" s="4" t="n">
        <v>154688117688.6301</v>
      </c>
    </row>
    <row r="746">
      <c r="A746" t="inlineStr">
        <is>
          <t>nem</t>
        </is>
      </c>
      <c r="B746" t="inlineStr">
        <is>
          <t>nem</t>
        </is>
      </c>
      <c r="C746" s="3" t="n">
        <v>0.6433313328649034</v>
      </c>
      <c r="D746" s="3" t="n">
        <v>0.1519710076984966</v>
      </c>
      <c r="E746" s="3" t="n">
        <v>24.5680075961988</v>
      </c>
      <c r="F746" s="3" t="n">
        <v>0.6209434103031665</v>
      </c>
      <c r="G746" s="3" t="n">
        <v>-0.03372090212477941</v>
      </c>
      <c r="H746" s="3" t="n">
        <v>1.935267164986555</v>
      </c>
      <c r="I746" s="3" t="n">
        <v>19.99188906352959</v>
      </c>
      <c r="J746" s="3" t="n">
        <v>0.3593185085420815</v>
      </c>
      <c r="K746" s="3" t="n">
        <v>0.01972335495571432</v>
      </c>
      <c r="L746" s="3" t="n">
        <v>14828.92993332821</v>
      </c>
      <c r="M746" s="4" t="n">
        <v>46746610911.30197</v>
      </c>
    </row>
    <row r="747">
      <c r="A747" t="inlineStr">
        <is>
          <t>BBG001WMKHH5</t>
        </is>
      </c>
      <c r="B747" t="inlineStr">
        <is>
          <t>net</t>
        </is>
      </c>
      <c r="C747" s="3" t="n">
        <v>1.727764600338398</v>
      </c>
      <c r="D747" s="3" t="n">
        <v>0.1368761808131858</v>
      </c>
      <c r="H747" s="3" t="n">
        <v>3.147443707008145</v>
      </c>
      <c r="I747" s="3" t="n">
        <v>19.25750900170417</v>
      </c>
      <c r="J747" s="3" t="n">
        <v>0.4245360049998426</v>
      </c>
    </row>
    <row r="748">
      <c r="A748" t="inlineStr">
        <is>
          <t>BBG000BJ5SS8</t>
        </is>
      </c>
      <c r="B748" t="inlineStr">
        <is>
          <t>neu</t>
        </is>
      </c>
      <c r="C748" s="3" t="n">
        <v>0.7635259128196917</v>
      </c>
      <c r="D748" s="3" t="n">
        <v>0.006839399166546523</v>
      </c>
      <c r="E748" s="3" t="n">
        <v>22.32616593326848</v>
      </c>
      <c r="F748" s="3" t="n">
        <v>0.1956636403692205</v>
      </c>
      <c r="H748" s="3" t="n">
        <v>3.257684860884142</v>
      </c>
      <c r="I748" s="3" t="n">
        <v>16.53069534151694</v>
      </c>
      <c r="J748" s="3" t="n">
        <v>0.2119008549647584</v>
      </c>
      <c r="K748" s="3" t="n">
        <v>0.02663798619974216</v>
      </c>
      <c r="L748" s="3" t="n">
        <v>11128.64899227059</v>
      </c>
      <c r="M748" s="4" t="n">
        <v>4967417543.546997</v>
      </c>
    </row>
    <row r="749">
      <c r="A749" t="inlineStr">
        <is>
          <t>BBG000CL9VN6</t>
        </is>
      </c>
      <c r="B749" t="inlineStr">
        <is>
          <t>nflx</t>
        </is>
      </c>
      <c r="C749" s="3" t="n">
        <v>1.15911465351459</v>
      </c>
      <c r="D749" s="3" t="n">
        <v>0.5951009103618969</v>
      </c>
      <c r="E749" s="3" t="n">
        <v>24.35841252105114</v>
      </c>
      <c r="F749" s="3" t="n">
        <v>0.602315305918058</v>
      </c>
      <c r="H749" s="3" t="n">
        <v>2.134352361252101</v>
      </c>
      <c r="I749" s="3" t="n">
        <v>21.6143992969914</v>
      </c>
      <c r="J749" s="3" t="n">
        <v>0.2630546184001623</v>
      </c>
      <c r="K749" s="3" t="n">
        <v>0.04425050066687269</v>
      </c>
      <c r="L749" s="3" t="n">
        <v>14452.63196441997</v>
      </c>
      <c r="M749" s="4" t="n">
        <v>37907412903.27411</v>
      </c>
    </row>
    <row r="750">
      <c r="A750" t="inlineStr">
        <is>
          <t>BBG000D25424</t>
        </is>
      </c>
      <c r="B750" t="inlineStr">
        <is>
          <t>ng</t>
        </is>
      </c>
      <c r="C750" s="3" t="n">
        <v>1.26673850766268</v>
      </c>
      <c r="D750" s="3" t="n">
        <v>-0.176190429696148</v>
      </c>
      <c r="E750" s="3" t="n">
        <v>20.92581144704123</v>
      </c>
      <c r="F750" s="3" t="n">
        <v>0.01739789528751987</v>
      </c>
      <c r="G750" s="3" t="n">
        <v>-0.028519744609942</v>
      </c>
      <c r="H750" s="3" t="n">
        <v>5.385420325505993</v>
      </c>
      <c r="I750" s="3" t="n">
        <v>15.27378081625331</v>
      </c>
      <c r="J750" s="3" t="n">
        <v>0.5640776863079825</v>
      </c>
      <c r="K750" s="3" t="n">
        <v>-0.008704664188400031</v>
      </c>
      <c r="L750" s="3" t="n">
        <v>9163.194884413682</v>
      </c>
      <c r="M750" s="4" t="n">
        <v>1224515933.136132</v>
      </c>
    </row>
    <row r="751">
      <c r="A751" t="inlineStr">
        <is>
          <t>BBG000BPZBB6</t>
        </is>
      </c>
      <c r="B751" t="inlineStr">
        <is>
          <t>ni</t>
        </is>
      </c>
      <c r="C751" s="3" t="n">
        <v>0.2080490449082952</v>
      </c>
      <c r="D751" s="3" t="n">
        <v>0.4211053781452401</v>
      </c>
      <c r="E751" s="3" t="n">
        <v>23.56034283494846</v>
      </c>
      <c r="F751" s="3" t="n">
        <v>0.4889894125893146</v>
      </c>
      <c r="H751" s="3" t="n">
        <v>3.694200119389551</v>
      </c>
      <c r="I751" s="3" t="n">
        <v>18.54557757149299</v>
      </c>
      <c r="J751" s="3" t="n">
        <v>0.157041569254216</v>
      </c>
      <c r="K751" s="3" t="n">
        <v>0.005021736687705724</v>
      </c>
      <c r="L751" s="3" t="n">
        <v>13078.10492019462</v>
      </c>
      <c r="M751" s="4" t="n">
        <v>17065809166.13769</v>
      </c>
    </row>
    <row r="752">
      <c r="A752" t="inlineStr">
        <is>
          <t>BBG000KC17R4</t>
        </is>
      </c>
      <c r="B752" t="inlineStr">
        <is>
          <t>nice</t>
        </is>
      </c>
      <c r="C752" s="3" t="n">
        <v>1.313541400334675</v>
      </c>
      <c r="D752" s="3" t="n">
        <v>-0.08458499632019922</v>
      </c>
      <c r="E752" s="3" t="n">
        <v>23.16301166662053</v>
      </c>
      <c r="F752" s="3" t="n">
        <v>0.2912899378170539</v>
      </c>
      <c r="H752" s="3" t="n">
        <v>1.531706618735295</v>
      </c>
      <c r="I752" s="3" t="n">
        <v>18.35179334498179</v>
      </c>
      <c r="J752" s="3" t="n">
        <v>0.3167359273675793</v>
      </c>
      <c r="K752" s="3" t="n">
        <v>0.02933708218515121</v>
      </c>
      <c r="L752" s="3" t="n">
        <v>12427.53737004211</v>
      </c>
      <c r="M752" s="4" t="n">
        <v>11470125005.85284</v>
      </c>
    </row>
    <row r="753">
      <c r="A753" t="inlineStr">
        <is>
          <t>BBG000C5HS04</t>
        </is>
      </c>
      <c r="B753" t="inlineStr">
        <is>
          <t>nke</t>
        </is>
      </c>
      <c r="C753" s="3" t="n">
        <v>0.660487833202951</v>
      </c>
      <c r="D753" s="3" t="n">
        <v>-0.2897663225725473</v>
      </c>
      <c r="E753" s="3" t="n">
        <v>24.88972086283492</v>
      </c>
      <c r="F753" s="3" t="n">
        <v>0.2162314931436982</v>
      </c>
      <c r="H753" s="3" t="n">
        <v>2.715648307321024</v>
      </c>
      <c r="I753" s="3" t="n">
        <v>20.619046378251</v>
      </c>
      <c r="J753" s="3" t="n">
        <v>0.3322894857540842</v>
      </c>
      <c r="K753" s="3" t="n">
        <v>0.01629799908878563</v>
      </c>
      <c r="L753" s="3" t="n">
        <v>15419.1373882641</v>
      </c>
      <c r="M753" s="4" t="n">
        <v>64486443658.4045</v>
      </c>
    </row>
    <row r="754">
      <c r="A754" t="inlineStr">
        <is>
          <t>BBG000BG22J4</t>
        </is>
      </c>
      <c r="B754" t="inlineStr">
        <is>
          <t>nmfc</t>
        </is>
      </c>
      <c r="C754" s="3" t="n">
        <v>0.35142314162747</v>
      </c>
      <c r="D754" s="3" t="n">
        <v>0.004496759485375978</v>
      </c>
      <c r="E754" s="3" t="n">
        <v>20.77905297815538</v>
      </c>
      <c r="F754" s="3" t="n">
        <v>1.248331017910717</v>
      </c>
      <c r="H754" s="3" t="n">
        <v>2.393432784706832</v>
      </c>
      <c r="I754" s="3" t="n">
        <v>15.35357368394872</v>
      </c>
      <c r="J754" s="3" t="n">
        <v>0.1064952934652872</v>
      </c>
      <c r="K754" s="3" t="n">
        <v>0.02259279298009481</v>
      </c>
      <c r="L754" s="3" t="n">
        <v>8971.751811946333</v>
      </c>
      <c r="M754" s="4" t="n">
        <v>1057372587.729831</v>
      </c>
    </row>
    <row r="755">
      <c r="A755" t="inlineStr">
        <is>
          <t>BBG012W9C4X1</t>
        </is>
      </c>
      <c r="B755" t="inlineStr">
        <is>
          <t>nmra</t>
        </is>
      </c>
      <c r="C755" s="3" t="n">
        <v>1.714114992262427</v>
      </c>
      <c r="D755" s="3" t="n">
        <v>-0.06530613801917251</v>
      </c>
      <c r="E755" s="3" t="n">
        <v>21.19696071350258</v>
      </c>
      <c r="F755" s="3" t="n">
        <v>-0.3197805546506459</v>
      </c>
      <c r="H755" s="3" t="n">
        <v>-0.9662227572213762</v>
      </c>
      <c r="I755" s="3" t="n">
        <v>16.46199830854227</v>
      </c>
      <c r="J755" s="3" t="n">
        <v>0.6717856057044027</v>
      </c>
      <c r="K755" s="3" t="n">
        <v>-0.1151790599633149</v>
      </c>
      <c r="L755" s="3" t="n">
        <v>9524.030656691613</v>
      </c>
      <c r="M755" s="4" t="n">
        <v>1605916908.36628</v>
      </c>
    </row>
    <row r="756">
      <c r="A756" t="inlineStr">
        <is>
          <t>BBG000CLP0Y4</t>
        </is>
      </c>
      <c r="B756" t="inlineStr">
        <is>
          <t>nnn</t>
        </is>
      </c>
      <c r="C756" s="3" t="n">
        <v>0.2059044363274963</v>
      </c>
      <c r="D756" s="3" t="n">
        <v>0.127661111092519</v>
      </c>
      <c r="E756" s="3" t="n">
        <v>22.74683880775125</v>
      </c>
      <c r="F756" s="3" t="n">
        <v>0.5774948476216339</v>
      </c>
      <c r="H756" s="3" t="n">
        <v>2.04252555386781</v>
      </c>
      <c r="I756" s="3" t="n">
        <v>17.66412979909323</v>
      </c>
      <c r="J756" s="3" t="n">
        <v>0.1777215397022447</v>
      </c>
      <c r="K756" s="3" t="n">
        <v>0.03908076530893796</v>
      </c>
      <c r="L756" s="3" t="n">
        <v>11769.63921331025</v>
      </c>
      <c r="M756" s="4" t="n">
        <v>7565307322.507854</v>
      </c>
    </row>
    <row r="757">
      <c r="A757" t="inlineStr">
        <is>
          <t>BBG000BQ2C28</t>
        </is>
      </c>
      <c r="B757" t="inlineStr">
        <is>
          <t>noc</t>
        </is>
      </c>
      <c r="C757" s="3" t="n">
        <v>0.008141299738319152</v>
      </c>
      <c r="D757" s="3" t="n">
        <v>0.08469557908018999</v>
      </c>
      <c r="E757" s="3" t="n">
        <v>24.96169857974574</v>
      </c>
      <c r="F757" s="3" t="n">
        <v>0.2298440655087771</v>
      </c>
      <c r="H757" s="3" t="n">
        <v>3.031705173089421</v>
      </c>
      <c r="I757" s="3" t="n">
        <v>19.63045920612</v>
      </c>
      <c r="J757" s="3" t="n">
        <v>0.1826151007878645</v>
      </c>
      <c r="K757" s="3" t="n">
        <v>0.03738862215803877</v>
      </c>
      <c r="L757" s="3" t="n">
        <v>15553.29480574463</v>
      </c>
      <c r="M757" s="4" t="n">
        <v>69299157080.74658</v>
      </c>
    </row>
    <row r="758">
      <c r="A758" t="inlineStr">
        <is>
          <t>BBG000BNGBW9</t>
        </is>
      </c>
      <c r="B758" t="inlineStr">
        <is>
          <t>nok</t>
        </is>
      </c>
      <c r="C758" s="3" t="n">
        <v>0.7881458872343959</v>
      </c>
      <c r="D758" s="3" t="n">
        <v>0.4033539731004327</v>
      </c>
      <c r="I758" s="3" t="n">
        <v>18.31196162892692</v>
      </c>
      <c r="J758" s="3" t="n">
        <v>0.322258529686756</v>
      </c>
    </row>
    <row r="759">
      <c r="A759" t="inlineStr">
        <is>
          <t>BBG000M1R011</t>
        </is>
      </c>
      <c r="B759" t="inlineStr">
        <is>
          <t>now</t>
        </is>
      </c>
      <c r="C759" s="3" t="n">
        <v>1.380889534333587</v>
      </c>
      <c r="D759" s="3" t="n">
        <v>0.3605594978533357</v>
      </c>
      <c r="E759" s="3" t="n">
        <v>24.4899607842147</v>
      </c>
      <c r="F759" s="3" t="n">
        <v>0.2004305204023532</v>
      </c>
      <c r="H759" s="3" t="n">
        <v>2.127163627725921</v>
      </c>
      <c r="I759" s="3" t="n">
        <v>20.88617736225283</v>
      </c>
      <c r="J759" s="3" t="n">
        <v>0.2882262101734369</v>
      </c>
      <c r="K759" s="3" t="n">
        <v>0.009991459129219548</v>
      </c>
      <c r="L759" s="3" t="n">
        <v>14688.05428892305</v>
      </c>
      <c r="M759" s="4" t="n">
        <v>43236928100.58594</v>
      </c>
    </row>
    <row r="760">
      <c r="A760" t="inlineStr">
        <is>
          <t>BBG01X1D5ZD9</t>
        </is>
      </c>
      <c r="B760" t="inlineStr">
        <is>
          <t>np</t>
        </is>
      </c>
    </row>
    <row r="761">
      <c r="A761" t="inlineStr">
        <is>
          <t>BBG000QKT8D3</t>
        </is>
      </c>
      <c r="B761" t="inlineStr">
        <is>
          <t>npb</t>
        </is>
      </c>
    </row>
    <row r="762">
      <c r="A762" t="inlineStr">
        <is>
          <t>BBG000D8RG11</t>
        </is>
      </c>
      <c r="B762" t="inlineStr">
        <is>
          <t>nrg</t>
        </is>
      </c>
      <c r="C762" s="3" t="n">
        <v>1.041418707858505</v>
      </c>
      <c r="D762" s="3" t="n">
        <v>0.9250217942481493</v>
      </c>
      <c r="I762" s="3" t="n">
        <v>19.2664953133881</v>
      </c>
      <c r="J762" s="3" t="n">
        <v>0.3264732853305055</v>
      </c>
    </row>
    <row r="763">
      <c r="A763" t="inlineStr">
        <is>
          <t>BBG008417VN4</t>
        </is>
      </c>
      <c r="B763" t="inlineStr">
        <is>
          <t>nsa</t>
        </is>
      </c>
      <c r="C763" s="3" t="n">
        <v>0.5102079738237819</v>
      </c>
      <c r="D763" s="3" t="n">
        <v>0.3418130231327348</v>
      </c>
      <c r="E763" s="3" t="n">
        <v>21.84367786336787</v>
      </c>
      <c r="F763" s="3" t="n">
        <v>0.4638400548199439</v>
      </c>
      <c r="H763" s="3" t="n">
        <v>4.170904968843145</v>
      </c>
      <c r="I763" s="3" t="n">
        <v>16.92646754298637</v>
      </c>
      <c r="J763" s="3" t="n">
        <v>0.2668062522855497</v>
      </c>
      <c r="K763" s="3" t="n">
        <v>0.0285840339565019</v>
      </c>
      <c r="L763" s="3" t="n">
        <v>10422.62925391348</v>
      </c>
      <c r="M763" s="4" t="n">
        <v>3066117263.392082</v>
      </c>
    </row>
    <row r="764">
      <c r="A764" t="inlineStr">
        <is>
          <t>BBG000BQ5DS5</t>
        </is>
      </c>
      <c r="B764" t="inlineStr">
        <is>
          <t>nsc</t>
        </is>
      </c>
      <c r="C764" s="3" t="n">
        <v>0.9154729569304869</v>
      </c>
      <c r="D764" s="3" t="n">
        <v>0.1677403443817402</v>
      </c>
      <c r="E764" s="3" t="n">
        <v>24.82708358583539</v>
      </c>
      <c r="F764" s="3" t="n">
        <v>0.2082676668340834</v>
      </c>
      <c r="H764" s="3" t="n">
        <v>3.42885453797631</v>
      </c>
      <c r="I764" s="3" t="n">
        <v>19.50088595636163</v>
      </c>
      <c r="J764" s="3" t="n">
        <v>0.2543891569873191</v>
      </c>
      <c r="K764" s="3" t="n">
        <v>0.007693438980949891</v>
      </c>
      <c r="L764" s="3" t="n">
        <v>15303.01905969721</v>
      </c>
      <c r="M764" s="4" t="n">
        <v>60571091958.51068</v>
      </c>
    </row>
    <row r="765">
      <c r="A765" t="inlineStr">
        <is>
          <t>BBG000FP1N32</t>
        </is>
      </c>
      <c r="B765" t="inlineStr">
        <is>
          <t>ntap</t>
        </is>
      </c>
      <c r="C765" s="3" t="n">
        <v>1.333092145002268</v>
      </c>
      <c r="D765" s="3" t="n">
        <v>0.2856331146418678</v>
      </c>
      <c r="E765" s="3" t="n">
        <v>23.90942921254408</v>
      </c>
      <c r="F765" s="3" t="n">
        <v>0.04790162687090431</v>
      </c>
      <c r="H765" s="3" t="n">
        <v>7.76876617103644</v>
      </c>
      <c r="I765" s="3" t="n">
        <v>19.10242479755206</v>
      </c>
      <c r="J765" s="3" t="n">
        <v>0.2615160415342239</v>
      </c>
      <c r="K765" s="3" t="n">
        <v>0.02260758403657002</v>
      </c>
      <c r="L765" s="3" t="n">
        <v>13668.0835571808</v>
      </c>
      <c r="M765" s="4" t="n">
        <v>24195420399.30341</v>
      </c>
    </row>
    <row r="766">
      <c r="A766" t="inlineStr">
        <is>
          <t>BBG000BX72V8</t>
        </is>
      </c>
      <c r="B766" t="inlineStr">
        <is>
          <t>ntes</t>
        </is>
      </c>
      <c r="C766" s="3" t="n">
        <v>0.5996306754077493</v>
      </c>
      <c r="D766" s="3" t="n">
        <v>-0.2756327526651065</v>
      </c>
      <c r="E766" s="3" t="n">
        <v>26.31972701928838</v>
      </c>
      <c r="F766" s="3" t="n">
        <v>0.4612211545255007</v>
      </c>
      <c r="H766" s="3" t="n">
        <v>1.495947356023299</v>
      </c>
      <c r="I766" s="3" t="n">
        <v>18.77211878092547</v>
      </c>
      <c r="J766" s="3" t="n">
        <v>0.4302388969404253</v>
      </c>
      <c r="K766" s="3" t="n">
        <v>0.04306405997830567</v>
      </c>
      <c r="L766" s="3" t="n">
        <v>18232.41265794398</v>
      </c>
      <c r="M766" s="4" t="n">
        <v>269471108989.7918</v>
      </c>
    </row>
    <row r="767">
      <c r="A767" t="inlineStr">
        <is>
          <t>BBG001NDW1Z7</t>
        </is>
      </c>
      <c r="B767" t="inlineStr">
        <is>
          <t>ntnx</t>
        </is>
      </c>
      <c r="C767" s="3" t="n">
        <v>1.499963679857397</v>
      </c>
      <c r="D767" s="3" t="n">
        <v>0.44116960441439</v>
      </c>
      <c r="E767" s="3" t="n">
        <v>23.57473572169793</v>
      </c>
      <c r="F767" s="3" t="n">
        <v>-0.04205736162580834</v>
      </c>
      <c r="H767" s="3" t="n">
        <v>-2.944343736361761</v>
      </c>
      <c r="I767" s="3" t="n">
        <v>18.79314403959819</v>
      </c>
      <c r="J767" s="3" t="n">
        <v>0.4265573445450088</v>
      </c>
      <c r="K767" s="3" t="n">
        <v>-0.007206924000148645</v>
      </c>
      <c r="L767" s="3" t="n">
        <v>13102.08759703494</v>
      </c>
      <c r="M767" s="4" t="n">
        <v>17313211571.29166</v>
      </c>
    </row>
    <row r="768">
      <c r="A768" t="inlineStr">
        <is>
          <t>BBG001J1BQ86</t>
        </is>
      </c>
      <c r="B768" t="inlineStr">
        <is>
          <t>ntra</t>
        </is>
      </c>
      <c r="C768" s="3" t="n">
        <v>1.508751907254767</v>
      </c>
      <c r="D768" s="3" t="n">
        <v>1.16193024906257</v>
      </c>
      <c r="E768" s="3" t="n">
        <v>23.82112375527516</v>
      </c>
      <c r="F768" s="3" t="n">
        <v>0.02691353614930428</v>
      </c>
      <c r="H768" s="3" t="n">
        <v>2.418361574547282</v>
      </c>
      <c r="I768" s="3" t="n">
        <v>18.92961433591216</v>
      </c>
      <c r="J768" s="3" t="n">
        <v>0.4112632700893321</v>
      </c>
      <c r="K768" s="3" t="n">
        <v>-0.004922247107439348</v>
      </c>
      <c r="L768" s="3" t="n">
        <v>13517.19988885072</v>
      </c>
      <c r="M768" s="4" t="n">
        <v>22150452347.32178</v>
      </c>
    </row>
    <row r="769">
      <c r="A769" t="inlineStr">
        <is>
          <t>BBG000BQ74K1</t>
        </is>
      </c>
      <c r="B769" t="inlineStr">
        <is>
          <t>ntrs</t>
        </is>
      </c>
      <c r="C769" s="3" t="n">
        <v>0.8057256947538787</v>
      </c>
      <c r="D769" s="3" t="n">
        <v>0.3150353807476698</v>
      </c>
      <c r="E769" s="3" t="n">
        <v>23.77165591472006</v>
      </c>
      <c r="F769" s="3" t="n">
        <v>0.5740516662044832</v>
      </c>
      <c r="H769" s="3" t="n">
        <v>12.45955973388591</v>
      </c>
      <c r="I769" s="3" t="n">
        <v>18.53299991898285</v>
      </c>
      <c r="J769" s="3" t="n">
        <v>0.2106498500483647</v>
      </c>
      <c r="K769" s="3" t="n">
        <v>0.01018434387728293</v>
      </c>
      <c r="L769" s="3" t="n">
        <v>13433.16366807478</v>
      </c>
      <c r="M769" s="4" t="n">
        <v>21081377708.45728</v>
      </c>
    </row>
    <row r="770">
      <c r="A770" t="inlineStr">
        <is>
          <t>BBG005CY8T44</t>
        </is>
      </c>
      <c r="B770" t="inlineStr">
        <is>
          <t>ntsk</t>
        </is>
      </c>
    </row>
    <row r="771">
      <c r="A771" t="inlineStr">
        <is>
          <t>BBG000BQ8KV2</t>
        </is>
      </c>
      <c r="B771" t="inlineStr">
        <is>
          <t>nue</t>
        </is>
      </c>
      <c r="C771" s="3" t="n">
        <v>1.01117840280969</v>
      </c>
      <c r="D771" s="3" t="n">
        <v>-0.1546516825413154</v>
      </c>
      <c r="E771" s="3" t="n">
        <v>24.29139192043788</v>
      </c>
      <c r="F771" s="3" t="n">
        <v>0.5775119901659909</v>
      </c>
      <c r="H771" s="3" t="n">
        <v>1.677645153320672</v>
      </c>
      <c r="I771" s="3" t="n">
        <v>19.39645728112799</v>
      </c>
      <c r="J771" s="3" t="n">
        <v>0.2986242309714524</v>
      </c>
      <c r="K771" s="3" t="n">
        <v>0.1054835378162974</v>
      </c>
      <c r="L771" s="3" t="n">
        <v>14333.66344647981</v>
      </c>
      <c r="M771" s="4" t="n">
        <v>35450100340.83984</v>
      </c>
    </row>
    <row r="772">
      <c r="A772" t="inlineStr">
        <is>
          <t>BBG000BBJQV0</t>
        </is>
      </c>
      <c r="B772" t="inlineStr">
        <is>
          <t>nvda</t>
        </is>
      </c>
      <c r="C772" s="3" t="n">
        <v>2.767153694721933</v>
      </c>
      <c r="D772" s="3" t="n">
        <v>1.839430625745395</v>
      </c>
      <c r="E772" s="3" t="n">
        <v>28.84903303618707</v>
      </c>
      <c r="F772" s="3" t="n">
        <v>0.006537866807967019</v>
      </c>
      <c r="H772" s="3" t="n">
        <v>4.344283063918181</v>
      </c>
      <c r="I772" s="3" t="n">
        <v>24.23372617693981</v>
      </c>
      <c r="J772" s="3" t="n">
        <v>0.3997080218598371</v>
      </c>
      <c r="K772" s="3" t="n">
        <v>0.01502428475226628</v>
      </c>
      <c r="L772" s="3" t="n">
        <v>24010.08972871043</v>
      </c>
      <c r="M772" s="4" t="n">
        <v>3380460423736.572</v>
      </c>
    </row>
    <row r="773">
      <c r="A773" t="inlineStr">
        <is>
          <t>BBG000BQBKR3</t>
        </is>
      </c>
      <c r="B773" t="inlineStr">
        <is>
          <t>nvo</t>
        </is>
      </c>
      <c r="C773" s="3" t="n">
        <v>0.7910363397923132</v>
      </c>
      <c r="D773" s="3" t="n">
        <v>0.1113487506524016</v>
      </c>
      <c r="I773" s="3" t="n">
        <v>20.08204617675066</v>
      </c>
      <c r="J773" s="3" t="n">
        <v>0.2877031503002149</v>
      </c>
    </row>
    <row r="774">
      <c r="A774" t="inlineStr">
        <is>
          <t>nvr</t>
        </is>
      </c>
      <c r="B774" t="inlineStr">
        <is>
          <t>nvr</t>
        </is>
      </c>
      <c r="C774" s="3" t="n">
        <v>0.7744768013457796</v>
      </c>
      <c r="D774" s="3" t="n">
        <v>0.4869584814312977</v>
      </c>
      <c r="E774" s="3" t="n">
        <v>24.0660100427534</v>
      </c>
      <c r="F774" s="3" t="n">
        <v>0.1467756695279162</v>
      </c>
      <c r="G774" s="3" t="n">
        <v>-0.1762588402488552</v>
      </c>
      <c r="H774" s="3" t="n">
        <v>1.58953502304344</v>
      </c>
      <c r="I774" s="3" t="n">
        <v>19.00549237199874</v>
      </c>
      <c r="J774" s="3" t="n">
        <v>0.2124912797211112</v>
      </c>
      <c r="K774" s="3" t="n">
        <v>0.0153077011221547</v>
      </c>
      <c r="L774" s="3" t="n">
        <v>13938.37936895873</v>
      </c>
      <c r="M774" s="4" t="n">
        <v>28296672147.44531</v>
      </c>
    </row>
    <row r="775">
      <c r="A775" t="inlineStr">
        <is>
          <t>BBG000BKSDY6</t>
        </is>
      </c>
      <c r="B775" t="inlineStr">
        <is>
          <t>nwbo</t>
        </is>
      </c>
      <c r="C775" s="3" t="n">
        <v>0.9828841820148052</v>
      </c>
      <c r="D775" s="3" t="n">
        <v>-0.6447368235304083</v>
      </c>
      <c r="E775" s="3" t="n">
        <v>19.71069759426748</v>
      </c>
      <c r="F775" s="3" t="n">
        <v>-0.1928542136588609</v>
      </c>
      <c r="H775" s="3" t="n">
        <v>-0.4185067358231646</v>
      </c>
      <c r="I775" s="3" t="n">
        <v>13.32477788968041</v>
      </c>
      <c r="J775" s="3" t="n">
        <v>0.643502935783914</v>
      </c>
      <c r="K775" s="3" t="n">
        <v>-0.06474810256324812</v>
      </c>
      <c r="L775" s="3" t="n">
        <v>7657.834652618731</v>
      </c>
      <c r="M775" s="4" t="n">
        <v>363284775.9866757</v>
      </c>
    </row>
    <row r="776">
      <c r="A776" t="inlineStr">
        <is>
          <t>BBG00KXKRKY3</t>
        </is>
      </c>
      <c r="B776" t="inlineStr">
        <is>
          <t>nwn</t>
        </is>
      </c>
      <c r="C776" s="3" t="n">
        <v>0.4869363619881718</v>
      </c>
      <c r="D776" s="3" t="n">
        <v>0.1162045698652416</v>
      </c>
      <c r="E776" s="3" t="n">
        <v>21.22162370726838</v>
      </c>
      <c r="F776" s="3" t="n">
        <v>0.740904062885567</v>
      </c>
      <c r="H776" s="3" t="n">
        <v>3.825309539805739</v>
      </c>
      <c r="I776" s="3" t="n">
        <v>15.99286456220093</v>
      </c>
      <c r="J776" s="3" t="n">
        <v>0.2392188524898225</v>
      </c>
      <c r="K776" s="3" t="n">
        <v>-0.01439050341732983</v>
      </c>
      <c r="L776" s="3" t="n">
        <v>9557.313425482955</v>
      </c>
      <c r="M776" s="4" t="n">
        <v>1646016077.316956</v>
      </c>
    </row>
    <row r="777">
      <c r="A777" t="inlineStr">
        <is>
          <t>nws</t>
        </is>
      </c>
      <c r="B777" t="inlineStr">
        <is>
          <t>nws</t>
        </is>
      </c>
      <c r="C777" s="3" t="n">
        <v>0.9621110357749539</v>
      </c>
      <c r="D777" s="3" t="n">
        <v>0.2696538452240658</v>
      </c>
      <c r="E777" s="3" t="n">
        <v>23.63533423752171</v>
      </c>
      <c r="F777" s="3" t="n">
        <v>0.4486592311913411</v>
      </c>
      <c r="H777" s="3" t="n">
        <v>2.051011753053313</v>
      </c>
      <c r="I777" s="3" t="n">
        <v>16.88909259538501</v>
      </c>
      <c r="J777" s="3" t="n">
        <v>0.1762487419029661</v>
      </c>
      <c r="K777" s="3" t="n">
        <v>0.001630895060673723</v>
      </c>
      <c r="L777" s="3" t="n">
        <v>13203.38370929593</v>
      </c>
      <c r="M777" s="4" t="n">
        <v>18394807073.59314</v>
      </c>
    </row>
    <row r="778">
      <c r="A778" t="inlineStr">
        <is>
          <t>nwsa</t>
        </is>
      </c>
      <c r="B778" t="inlineStr">
        <is>
          <t>nwsa</t>
        </is>
      </c>
      <c r="C778" s="3" t="n">
        <v>0.9614086564031783</v>
      </c>
      <c r="D778" s="3" t="n">
        <v>0.2457976251148335</v>
      </c>
      <c r="E778" s="3" t="n">
        <v>23.544811706701</v>
      </c>
      <c r="F778" s="3" t="n">
        <v>0.4911679762800708</v>
      </c>
      <c r="H778" s="3" t="n">
        <v>2.051011753053313</v>
      </c>
      <c r="I778" s="3" t="n">
        <v>18.03669020280466</v>
      </c>
      <c r="J778" s="3" t="n">
        <v>0.1719046348493704</v>
      </c>
      <c r="K778" s="3" t="n">
        <v>0.001785416126063507</v>
      </c>
      <c r="L778" s="3" t="n">
        <v>13052.25845534134</v>
      </c>
      <c r="M778" s="4" t="n">
        <v>16802805553.43628</v>
      </c>
    </row>
    <row r="779">
      <c r="A779" t="inlineStr">
        <is>
          <t>nxpi</t>
        </is>
      </c>
      <c r="B779" t="inlineStr">
        <is>
          <t>nxpi</t>
        </is>
      </c>
      <c r="C779" s="3" t="n">
        <v>1.866096719839912</v>
      </c>
      <c r="D779" s="3" t="n">
        <v>0.1686416072489543</v>
      </c>
      <c r="E779" s="3" t="n">
        <v>24.7604584672722</v>
      </c>
      <c r="F779" s="3" t="n">
        <v>0.1659871593712184</v>
      </c>
      <c r="H779" s="3" t="n">
        <v>2.516372527905978</v>
      </c>
      <c r="I779" s="3" t="n">
        <v>20.11894726283188</v>
      </c>
      <c r="J779" s="3" t="n">
        <v>0.2721325352599404</v>
      </c>
      <c r="K779" s="3" t="n">
        <v>0.01388814527165096</v>
      </c>
      <c r="L779" s="3" t="n">
        <v>15180.14939214991</v>
      </c>
      <c r="M779" s="4" t="n">
        <v>56667033976.99677</v>
      </c>
    </row>
    <row r="780">
      <c r="A780" t="inlineStr">
        <is>
          <t>BBG00835TPZ2</t>
        </is>
      </c>
      <c r="B780" t="inlineStr">
        <is>
          <t>nxt</t>
        </is>
      </c>
      <c r="C780" s="3" t="n">
        <v>1.287440304373513</v>
      </c>
      <c r="D780" s="3" t="n">
        <v>-0.0201771581481146</v>
      </c>
      <c r="E780" s="3" t="n">
        <v>22.37393375828587</v>
      </c>
      <c r="F780" s="3" t="n">
        <v>0.242972651435751</v>
      </c>
      <c r="H780" s="3" t="n">
        <v>1.989560811667655</v>
      </c>
      <c r="I780" s="3" t="n">
        <v>18.53230076758454</v>
      </c>
      <c r="J780" s="3" t="n">
        <v>0.6006254198215268</v>
      </c>
      <c r="K780" s="3" t="n">
        <v>0.01145426953969829</v>
      </c>
      <c r="L780" s="3" t="n">
        <v>11200.23264893179</v>
      </c>
      <c r="M780" s="4" t="n">
        <v>5210458840.84528</v>
      </c>
    </row>
    <row r="781">
      <c r="A781" t="inlineStr">
        <is>
          <t>BBG000FFC0B3</t>
        </is>
      </c>
      <c r="B781" t="inlineStr">
        <is>
          <t>nyt</t>
        </is>
      </c>
      <c r="C781" s="3" t="n">
        <v>0.6772298701636296</v>
      </c>
      <c r="D781" s="3" t="n">
        <v>0.2004402524124964</v>
      </c>
      <c r="G781" s="3" t="n">
        <v>-0.006486071453140951</v>
      </c>
      <c r="H781" s="3" t="n">
        <v>1.491373351562822</v>
      </c>
      <c r="I781" s="3" t="n">
        <v>17.83631009451624</v>
      </c>
      <c r="J781" s="3" t="n">
        <v>0.2020220749838968</v>
      </c>
    </row>
    <row r="782">
      <c r="A782" t="inlineStr">
        <is>
          <t>BBG000DHPN63</t>
        </is>
      </c>
      <c r="B782" t="inlineStr">
        <is>
          <t>o</t>
        </is>
      </c>
      <c r="C782" s="3" t="n">
        <v>0.1429105677832284</v>
      </c>
      <c r="D782" s="3" t="n">
        <v>0.1526499464695825</v>
      </c>
      <c r="E782" s="3" t="n">
        <v>24.56104154075647</v>
      </c>
      <c r="F782" s="3" t="n">
        <v>0.8284370915016501</v>
      </c>
      <c r="G782" s="3" t="n">
        <v>0.07851524368430196</v>
      </c>
      <c r="H782" s="3" t="n">
        <v>1.780361337390863</v>
      </c>
      <c r="I782" s="3" t="n">
        <v>19.36225281043062</v>
      </c>
      <c r="J782" s="3" t="n">
        <v>0.1756922663374634</v>
      </c>
      <c r="K782" s="3" t="n">
        <v>0.005029349918585154</v>
      </c>
      <c r="L782" s="3" t="n">
        <v>14816.31964808504</v>
      </c>
      <c r="M782" s="4" t="n">
        <v>46422103010.21385</v>
      </c>
    </row>
    <row r="783">
      <c r="A783" t="inlineStr">
        <is>
          <t>BBG00DB0XYC4</t>
        </is>
      </c>
      <c r="B783" t="inlineStr">
        <is>
          <t>obdc</t>
        </is>
      </c>
      <c r="C783" s="3" t="n">
        <v>0.4373541274162868</v>
      </c>
      <c r="D783" s="3" t="n">
        <v>0.1438267021880595</v>
      </c>
      <c r="E783" s="3" t="n">
        <v>22.33217265649726</v>
      </c>
      <c r="F783" s="3" t="n">
        <v>1.177105586422175</v>
      </c>
      <c r="H783" s="3" t="n">
        <v>2.296917772839277</v>
      </c>
      <c r="I783" s="3" t="n">
        <v>16.85109652093715</v>
      </c>
      <c r="J783" s="3" t="n">
        <v>0.1194386274946996</v>
      </c>
      <c r="K783" s="3" t="n">
        <v>0.02708598135267725</v>
      </c>
      <c r="L783" s="3" t="n">
        <v>11137.6337011902</v>
      </c>
      <c r="M783" s="4" t="n">
        <v>4997345239.608047</v>
      </c>
    </row>
    <row r="784">
      <c r="A784" t="inlineStr">
        <is>
          <t>BBG000M44VW8</t>
        </is>
      </c>
      <c r="B784" t="inlineStr">
        <is>
          <t>oc</t>
        </is>
      </c>
      <c r="C784" s="3" t="n">
        <v>1.197013447793304</v>
      </c>
      <c r="D784" s="3" t="n">
        <v>0.3233249791953505</v>
      </c>
      <c r="E784" s="3" t="n">
        <v>23.56001838510248</v>
      </c>
      <c r="F784" s="3" t="n">
        <v>0.3295961312111346</v>
      </c>
      <c r="H784" s="3" t="n">
        <v>2.677218566125339</v>
      </c>
      <c r="I784" s="3" t="n">
        <v>18.68795848831828</v>
      </c>
      <c r="J784" s="3" t="n">
        <v>0.2600307095874627</v>
      </c>
      <c r="K784" s="3" t="n">
        <v>0.06242572999108276</v>
      </c>
      <c r="L784" s="3" t="n">
        <v>13077.56463127895</v>
      </c>
      <c r="M784" s="4" t="n">
        <v>17060273065.12402</v>
      </c>
    </row>
    <row r="785">
      <c r="A785" t="inlineStr">
        <is>
          <t>BBG000CHSS88</t>
        </is>
      </c>
      <c r="B785" t="inlineStr">
        <is>
          <t>odfl</t>
        </is>
      </c>
      <c r="C785" s="3" t="n">
        <v>1.181434375783882</v>
      </c>
      <c r="D785" s="3" t="n">
        <v>0.04009632382813577</v>
      </c>
      <c r="E785" s="3" t="n">
        <v>24.58483464523596</v>
      </c>
      <c r="F785" s="3" t="n">
        <v>0.08783658142481775</v>
      </c>
      <c r="H785" s="3" t="n">
        <v>1.299369931724827</v>
      </c>
      <c r="I785" s="3" t="n">
        <v>19.44905178549216</v>
      </c>
      <c r="J785" s="3" t="n">
        <v>0.3034610745999897</v>
      </c>
      <c r="K785" s="3" t="n">
        <v>0.006490972209972427</v>
      </c>
      <c r="L785" s="3" t="n">
        <v>14859.42057135843</v>
      </c>
      <c r="M785" s="4" t="n">
        <v>47539873845.00293</v>
      </c>
    </row>
    <row r="786">
      <c r="A786" t="inlineStr">
        <is>
          <t>BBG00FY48ZN9</t>
        </is>
      </c>
      <c r="B786" t="inlineStr">
        <is>
          <t>ofrm</t>
        </is>
      </c>
    </row>
    <row r="787">
      <c r="A787" t="inlineStr">
        <is>
          <t>BBG000BQGLS5</t>
        </is>
      </c>
      <c r="B787" t="inlineStr">
        <is>
          <t>oge</t>
        </is>
      </c>
      <c r="C787" s="3" t="n">
        <v>0.2124141466647219</v>
      </c>
      <c r="D787" s="3" t="n">
        <v>0.195021763306185</v>
      </c>
      <c r="E787" s="3" t="n">
        <v>22.84444909060986</v>
      </c>
      <c r="F787" s="3" t="n">
        <v>0.553542662958982</v>
      </c>
      <c r="G787" s="3" t="n">
        <v>-3.127272158676142e-05</v>
      </c>
      <c r="H787" s="3" t="n">
        <v>2.91867189298073</v>
      </c>
      <c r="I787" s="3" t="n">
        <v>17.51025713398597</v>
      </c>
      <c r="J787" s="3" t="n">
        <v>0.1721700929183085</v>
      </c>
      <c r="K787" s="3" t="n">
        <v>0.04419133775891377</v>
      </c>
      <c r="L787" s="3" t="n">
        <v>11921.80647296819</v>
      </c>
      <c r="M787" s="4" t="n">
        <v>8341001170.109608</v>
      </c>
    </row>
    <row r="788">
      <c r="A788" t="inlineStr">
        <is>
          <t>BBG000BGBTC2</t>
        </is>
      </c>
      <c r="B788" t="inlineStr">
        <is>
          <t>ohi</t>
        </is>
      </c>
      <c r="C788" s="3" t="n">
        <v>0.2139263599883906</v>
      </c>
      <c r="D788" s="3" t="n">
        <v>0.4237811815797097</v>
      </c>
      <c r="E788" s="3" t="n">
        <v>23.01941048092928</v>
      </c>
      <c r="F788" s="3" t="n">
        <v>0.423512848204817</v>
      </c>
      <c r="H788" s="3" t="n">
        <v>2.274716606635381</v>
      </c>
      <c r="I788" s="3" t="n">
        <v>17.92767601539485</v>
      </c>
      <c r="J788" s="3" t="n">
        <v>0.1863767307072217</v>
      </c>
      <c r="K788" s="3" t="n">
        <v>0.01654209618437894</v>
      </c>
      <c r="L788" s="3" t="n">
        <v>12197.83043745512</v>
      </c>
      <c r="M788" s="4" t="n">
        <v>9935802461.278496</v>
      </c>
    </row>
    <row r="789">
      <c r="A789" t="inlineStr">
        <is>
          <t>BBG000BQHGR6</t>
        </is>
      </c>
      <c r="B789" t="inlineStr">
        <is>
          <t>oke</t>
        </is>
      </c>
      <c r="C789" s="3" t="n">
        <v>0.5725456780657648</v>
      </c>
      <c r="D789" s="3" t="n">
        <v>0.4621128836727948</v>
      </c>
      <c r="E789" s="3" t="n">
        <v>24.8416010362799</v>
      </c>
      <c r="F789" s="3" t="n">
        <v>0.1174482705338028</v>
      </c>
      <c r="H789" s="3" t="n">
        <v>6.087420337200413</v>
      </c>
      <c r="I789" s="3" t="n">
        <v>19.41834108127919</v>
      </c>
      <c r="J789" s="3" t="n">
        <v>0.1929362207452357</v>
      </c>
      <c r="K789" s="3" t="n">
        <v>0.01874002847306626</v>
      </c>
      <c r="L789" s="3" t="n">
        <v>15329.87973613619</v>
      </c>
      <c r="M789" s="4" t="n">
        <v>61456843656.16214</v>
      </c>
    </row>
    <row r="790">
      <c r="A790" t="inlineStr">
        <is>
          <t>BBG0112CBLW3</t>
        </is>
      </c>
      <c r="B790" t="inlineStr">
        <is>
          <t>oklo</t>
        </is>
      </c>
      <c r="C790" s="3" t="n">
        <v>2.102586522521867</v>
      </c>
      <c r="D790" s="3" t="n">
        <v>1.170048140740578</v>
      </c>
      <c r="E790" s="3" t="n">
        <v>21.77902153095623</v>
      </c>
      <c r="F790" s="3" t="n">
        <v>0.09160166975975825</v>
      </c>
      <c r="H790" s="3" t="n">
        <v>1.115913190796955</v>
      </c>
      <c r="I790" s="3" t="n">
        <v>19.48959282301231</v>
      </c>
      <c r="J790" s="3" t="n">
        <v>1.241789265068402</v>
      </c>
      <c r="K790" s="3" t="n">
        <v>-0.006211151445802517</v>
      </c>
      <c r="L790" s="3" t="n">
        <v>10330.35135017146</v>
      </c>
      <c r="M790" s="4" t="n">
        <v>2874146307.582474</v>
      </c>
    </row>
    <row r="791">
      <c r="A791" t="inlineStr">
        <is>
          <t>BBG001YV1SM4</t>
        </is>
      </c>
      <c r="B791" t="inlineStr">
        <is>
          <t>okta</t>
        </is>
      </c>
      <c r="C791" s="3" t="n">
        <v>1.491686950866243</v>
      </c>
      <c r="D791" s="3" t="n">
        <v>0.07218487871140722</v>
      </c>
      <c r="G791" s="3" t="n">
        <v>0</v>
      </c>
      <c r="H791" s="3" t="n">
        <v>1.658799853337212</v>
      </c>
      <c r="I791" s="3" t="n">
        <v>18.88553730469935</v>
      </c>
      <c r="J791" s="3" t="n">
        <v>0.3943971531834808</v>
      </c>
    </row>
    <row r="792">
      <c r="A792" t="inlineStr">
        <is>
          <t>BBG000BQHTV3</t>
        </is>
      </c>
      <c r="B792" t="inlineStr">
        <is>
          <t>oln</t>
        </is>
      </c>
      <c r="C792" s="3" t="n">
        <v>1.017543515763689</v>
      </c>
      <c r="D792" s="3" t="n">
        <v>-0.1190310362231196</v>
      </c>
      <c r="E792" s="3" t="n">
        <v>22.2754901471538</v>
      </c>
      <c r="F792" s="3" t="n">
        <v>0.4727696200844478</v>
      </c>
      <c r="H792" s="3" t="n">
        <v>3.367810426730061</v>
      </c>
      <c r="I792" s="3" t="n">
        <v>17.89955258869503</v>
      </c>
      <c r="J792" s="3" t="n">
        <v>0.2837145527488656</v>
      </c>
      <c r="K792" s="3" t="n">
        <v>0.02009757971063165</v>
      </c>
      <c r="L792" s="3" t="n">
        <v>11053.04166014058</v>
      </c>
      <c r="M792" s="4" t="n">
        <v>4721961616.587105</v>
      </c>
    </row>
    <row r="793">
      <c r="A793" t="inlineStr">
        <is>
          <t>omc</t>
        </is>
      </c>
      <c r="B793" t="inlineStr">
        <is>
          <t>omc</t>
        </is>
      </c>
      <c r="C793" s="3" t="n">
        <v>0.801859834236475</v>
      </c>
      <c r="D793" s="3" t="n">
        <v>0.2911064970666943</v>
      </c>
      <c r="E793" s="3" t="n">
        <v>23.67580026441542</v>
      </c>
      <c r="F793" s="3" t="n">
        <v>0.2062863991155354</v>
      </c>
      <c r="H793" s="3" t="n">
        <v>7.287879936403746</v>
      </c>
      <c r="I793" s="3" t="n">
        <v>18.76258907044087</v>
      </c>
      <c r="J793" s="3" t="n">
        <v>0.1880614488385005</v>
      </c>
      <c r="K793" s="3" t="n">
        <v>0.05041651497630464</v>
      </c>
      <c r="L793" s="3" t="n">
        <v>13271.31637548056</v>
      </c>
      <c r="M793" s="4" t="n">
        <v>19154437794.90619</v>
      </c>
    </row>
    <row r="794">
      <c r="A794" t="inlineStr">
        <is>
          <t>BBG000BTNGZ4</t>
        </is>
      </c>
      <c r="B794" t="inlineStr">
        <is>
          <t>omcl</t>
        </is>
      </c>
      <c r="C794" s="3" t="n">
        <v>0.3617889232001911</v>
      </c>
      <c r="D794" s="3" t="n">
        <v>0.4580335281695262</v>
      </c>
      <c r="E794" s="3" t="n">
        <v>21.49240177354194</v>
      </c>
      <c r="F794" s="3" t="n">
        <v>0.5509771131590299</v>
      </c>
      <c r="H794" s="3" t="n">
        <v>1.937491272212809</v>
      </c>
      <c r="I794" s="3" t="n">
        <v>17.07571471350881</v>
      </c>
      <c r="J794" s="3" t="n">
        <v>0.6329111250815976</v>
      </c>
      <c r="K794" s="3" t="n">
        <v>-0.007264467107962926</v>
      </c>
      <c r="L794" s="3" t="n">
        <v>9927.841882802033</v>
      </c>
      <c r="M794" s="4" t="n">
        <v>2157900883.817387</v>
      </c>
    </row>
    <row r="795">
      <c r="A795" t="inlineStr">
        <is>
          <t>BBG005TP6Y82</t>
        </is>
      </c>
      <c r="B795" t="inlineStr">
        <is>
          <t>omda</t>
        </is>
      </c>
    </row>
    <row r="796">
      <c r="A796" t="inlineStr">
        <is>
          <t>BBG005497GZ3</t>
        </is>
      </c>
      <c r="B796" t="inlineStr">
        <is>
          <t>omf</t>
        </is>
      </c>
      <c r="C796" s="3" t="n">
        <v>1.086246800272903</v>
      </c>
      <c r="D796" s="3" t="n">
        <v>0.25218875881479</v>
      </c>
      <c r="E796" s="3" t="n">
        <v>22.53354587826643</v>
      </c>
      <c r="F796" s="3" t="n">
        <v>0.5158570118309421</v>
      </c>
      <c r="H796" s="3" t="n">
        <v>8.112274022165471</v>
      </c>
      <c r="I796" s="3" t="n">
        <v>17.72729806140809</v>
      </c>
      <c r="J796" s="3" t="n">
        <v>0.287726182389581</v>
      </c>
      <c r="K796" s="3" t="n">
        <v>0.07787755713020249</v>
      </c>
      <c r="L796" s="3" t="n">
        <v>11441.64879986872</v>
      </c>
      <c r="M796" s="4" t="n">
        <v>6112158848.618019</v>
      </c>
    </row>
    <row r="797">
      <c r="A797" t="inlineStr">
        <is>
          <t>BBG000DV7MX4</t>
        </is>
      </c>
      <c r="B797" t="inlineStr">
        <is>
          <t>on</t>
        </is>
      </c>
      <c r="C797" s="3" t="n">
        <v>2.207791783933171</v>
      </c>
      <c r="D797" s="3" t="n">
        <v>-0.01177630654313888</v>
      </c>
      <c r="E797" s="3" t="n">
        <v>24.13384292335386</v>
      </c>
      <c r="F797" s="3" t="n">
        <v>0.2834653369435884</v>
      </c>
      <c r="H797" s="3" t="n">
        <v>1.622022110457471</v>
      </c>
      <c r="I797" s="3" t="n">
        <v>19.87369752659404</v>
      </c>
      <c r="J797" s="3" t="n">
        <v>0.3741035591999407</v>
      </c>
      <c r="K797" s="3" t="n">
        <v>0.01924199995771588</v>
      </c>
      <c r="L797" s="3" t="n">
        <v>14056.57277203347</v>
      </c>
      <c r="M797" s="4" t="n">
        <v>30282714960.04759</v>
      </c>
    </row>
    <row r="798">
      <c r="A798" t="inlineStr">
        <is>
          <t>BBG000KFW1C2</t>
        </is>
      </c>
      <c r="B798" t="inlineStr">
        <is>
          <t>onb</t>
        </is>
      </c>
      <c r="C798" s="3" t="n">
        <v>1.168012301626185</v>
      </c>
      <c r="D798" s="3" t="n">
        <v>0.3253775623978181</v>
      </c>
      <c r="E798" s="3" t="n">
        <v>22.67938660176747</v>
      </c>
      <c r="F798" s="3" t="n">
        <v>0.7912237325659057</v>
      </c>
      <c r="H798" s="3" t="n">
        <v>9.579693382577339</v>
      </c>
      <c r="I798" s="3" t="n">
        <v>17.62499350656716</v>
      </c>
      <c r="J798" s="3" t="n">
        <v>0.2855185486138521</v>
      </c>
      <c r="K798" s="3" t="n">
        <v>0.02033445196318881</v>
      </c>
      <c r="L798" s="3" t="n">
        <v>11665.24629383531</v>
      </c>
      <c r="M798" s="4" t="n">
        <v>7071840452.842712</v>
      </c>
    </row>
    <row r="799">
      <c r="A799" t="inlineStr">
        <is>
          <t>BBG00SHY8ZQ1</t>
        </is>
      </c>
      <c r="B799" t="inlineStr">
        <is>
          <t>open</t>
        </is>
      </c>
      <c r="C799" s="3" t="n">
        <v>3.546070376086661</v>
      </c>
      <c r="D799" s="3" t="n">
        <v>-0.4186046493207248</v>
      </c>
      <c r="E799" s="3" t="n">
        <v>21.23804154303383</v>
      </c>
      <c r="F799" s="3" t="n">
        <v>0.6490312031789212</v>
      </c>
      <c r="H799" s="3" t="n">
        <v>3.284530383715902</v>
      </c>
      <c r="I799" s="3" t="n">
        <v>18.0799587044232</v>
      </c>
      <c r="J799" s="3" t="n">
        <v>0.7189565390860251</v>
      </c>
      <c r="K799" s="3" t="n">
        <v>-0.04661550078080649</v>
      </c>
      <c r="L799" s="3" t="n">
        <v>9579.512267667706</v>
      </c>
      <c r="M799" s="4" t="n">
        <v>1673263155.965071</v>
      </c>
    </row>
    <row r="800">
      <c r="A800" t="inlineStr">
        <is>
          <t>BBG01YKH1ZM1</t>
        </is>
      </c>
      <c r="B800" t="inlineStr">
        <is>
          <t>openl</t>
        </is>
      </c>
      <c r="H800" s="3" t="n">
        <v>3.284530383715902</v>
      </c>
    </row>
    <row r="801">
      <c r="A801" t="inlineStr">
        <is>
          <t>BBG01YKH5T05</t>
        </is>
      </c>
      <c r="B801" t="inlineStr">
        <is>
          <t>openw</t>
        </is>
      </c>
      <c r="H801" s="3" t="n">
        <v>3.284530383715902</v>
      </c>
    </row>
    <row r="802">
      <c r="A802" t="inlineStr">
        <is>
          <t>BBG000N49069</t>
        </is>
      </c>
      <c r="B802" t="inlineStr">
        <is>
          <t>opk</t>
        </is>
      </c>
      <c r="C802" s="3" t="n">
        <v>1.1249051131419</v>
      </c>
      <c r="D802" s="3" t="n">
        <v>0.03424654178759057</v>
      </c>
      <c r="E802" s="3" t="n">
        <v>20.77303061138639</v>
      </c>
      <c r="F802" s="3" t="n">
        <v>1.460811774305053</v>
      </c>
      <c r="H802" s="3" t="n">
        <v>1.469440803342668</v>
      </c>
      <c r="I802" s="3" t="n">
        <v>15.55760074962779</v>
      </c>
      <c r="J802" s="3" t="n">
        <v>0.6189835614603462</v>
      </c>
      <c r="K802" s="3" t="n">
        <v>-0.06398617944191747</v>
      </c>
      <c r="L802" s="3" t="n">
        <v>8963.953258024838</v>
      </c>
      <c r="M802" s="4" t="n">
        <v>1051023838.625339</v>
      </c>
    </row>
    <row r="803">
      <c r="A803" t="inlineStr">
        <is>
          <t>BBG000VZHLL9</t>
        </is>
      </c>
      <c r="B803" t="inlineStr">
        <is>
          <t>opln</t>
        </is>
      </c>
      <c r="C803" s="3" t="n">
        <v>1.060245295474427</v>
      </c>
      <c r="D803" s="3" t="n">
        <v>0.08071137581480614</v>
      </c>
      <c r="E803" s="3" t="n">
        <v>21.4925658444938</v>
      </c>
      <c r="F803" s="3" t="n">
        <v>0.6049331624643473</v>
      </c>
      <c r="H803" s="3" t="n">
        <v>3.62231923742163</v>
      </c>
      <c r="I803" s="3" t="n">
        <v>16.2188507926041</v>
      </c>
      <c r="J803" s="3" t="n">
        <v>0.2458198423586051</v>
      </c>
      <c r="K803" s="3" t="n">
        <v>0.005884383550319555</v>
      </c>
      <c r="L803" s="3" t="n">
        <v>9928.069249141003</v>
      </c>
      <c r="M803" s="4" t="n">
        <v>2158254961.715733</v>
      </c>
    </row>
    <row r="804">
      <c r="A804" t="inlineStr">
        <is>
          <t>BBG00LBLDHJ2</t>
        </is>
      </c>
      <c r="B804" t="inlineStr">
        <is>
          <t>opra</t>
        </is>
      </c>
      <c r="C804" s="3" t="n">
        <v>1.832829503831092</v>
      </c>
      <c r="D804" s="3" t="n">
        <v>0.7191129522543518</v>
      </c>
      <c r="I804" s="3" t="n">
        <v>15.81516953001116</v>
      </c>
      <c r="J804" s="3" t="n">
        <v>0.5043668443765288</v>
      </c>
    </row>
    <row r="805">
      <c r="A805" t="inlineStr">
        <is>
          <t>BBG00GFMPRK0</t>
        </is>
      </c>
      <c r="B805" t="inlineStr">
        <is>
          <t>optu</t>
        </is>
      </c>
      <c r="C805" s="3" t="n">
        <v>1.275553811885767</v>
      </c>
      <c r="D805" s="3" t="n">
        <v>0.05652179005916813</v>
      </c>
      <c r="E805" s="3" t="n">
        <v>20.82989115964195</v>
      </c>
      <c r="F805" s="3" t="n">
        <v>-0.3794817251798493</v>
      </c>
      <c r="H805" s="3" t="n">
        <v>-75.61612600221736</v>
      </c>
      <c r="I805" s="3" t="n">
        <v>15.92670779263582</v>
      </c>
      <c r="J805" s="3" t="n">
        <v>0.8382326291112773</v>
      </c>
      <c r="K805" s="3" t="n">
        <v>0.07038092539102328</v>
      </c>
      <c r="L805" s="3" t="n">
        <v>9037.764113870579</v>
      </c>
      <c r="M805" s="4" t="n">
        <v>1112517340.381629</v>
      </c>
    </row>
    <row r="806">
      <c r="A806" t="inlineStr">
        <is>
          <t>BBG000Q5BQ63</t>
        </is>
      </c>
      <c r="B806" t="inlineStr">
        <is>
          <t>ora</t>
        </is>
      </c>
      <c r="C806" s="3" t="n">
        <v>0.8082713817351144</v>
      </c>
      <c r="D806" s="3" t="n">
        <v>0.1798319432073952</v>
      </c>
      <c r="E806" s="3" t="n">
        <v>22.31211374314949</v>
      </c>
      <c r="F806" s="3" t="n">
        <v>0.4876984403400231</v>
      </c>
      <c r="H806" s="3" t="n">
        <v>2.097629894002031</v>
      </c>
      <c r="I806" s="3" t="n">
        <v>17.2040914458927</v>
      </c>
      <c r="J806" s="3" t="n">
        <v>0.2508096080671158</v>
      </c>
      <c r="K806" s="3" t="n">
        <v>0.01810354073630822</v>
      </c>
      <c r="L806" s="3" t="n">
        <v>11107.64894886156</v>
      </c>
      <c r="M806" s="4" t="n">
        <v>4898102601.777512</v>
      </c>
    </row>
    <row r="807">
      <c r="A807" t="inlineStr">
        <is>
          <t>BBG000BQLTW7</t>
        </is>
      </c>
      <c r="B807" t="inlineStr">
        <is>
          <t>orcl</t>
        </is>
      </c>
      <c r="C807" s="3" t="n">
        <v>1.394074421127013</v>
      </c>
      <c r="D807" s="3" t="n">
        <v>0.4619436194767117</v>
      </c>
      <c r="E807" s="3" t="n">
        <v>26.94592950500596</v>
      </c>
      <c r="F807" s="3" t="n">
        <v>0.02145844191078776</v>
      </c>
      <c r="H807" s="3" t="n">
        <v>13.33339496918145</v>
      </c>
      <c r="I807" s="3" t="n">
        <v>21.1036587575149</v>
      </c>
      <c r="J807" s="3" t="n">
        <v>0.2932389556741307</v>
      </c>
      <c r="K807" s="3" t="n">
        <v>0.005811000032978676</v>
      </c>
      <c r="L807" s="3" t="n">
        <v>19564.98448245928</v>
      </c>
      <c r="M807" s="4" t="n">
        <v>504044051518.0664</v>
      </c>
    </row>
    <row r="808">
      <c r="A808" t="inlineStr">
        <is>
          <t>BBG000BGYWY6</t>
        </is>
      </c>
      <c r="B808" t="inlineStr">
        <is>
          <t>orly</t>
        </is>
      </c>
      <c r="C808" s="3" t="n">
        <v>0.4298204757525924</v>
      </c>
      <c r="D808" s="3" t="n">
        <v>0.1738228065693503</v>
      </c>
      <c r="E808" s="3" t="n">
        <v>22.28870938593749</v>
      </c>
      <c r="F808" s="3" t="n">
        <v>-0.3007576022688975</v>
      </c>
      <c r="H808" s="3" t="n">
        <v>-10.12986358503156</v>
      </c>
      <c r="I808" s="3" t="n">
        <v>19.7941634387912</v>
      </c>
      <c r="J808" s="3" t="n">
        <v>0.1896889287750806</v>
      </c>
      <c r="K808" s="3" t="n">
        <v>0.3749536482086806</v>
      </c>
      <c r="L808" s="3" t="n">
        <v>11072.73139843517</v>
      </c>
      <c r="M808" s="4" t="n">
        <v>4784796756.068771</v>
      </c>
    </row>
    <row r="809">
      <c r="A809" t="inlineStr">
        <is>
          <t>BBG00YMWFTZ2</t>
        </is>
      </c>
      <c r="B809" t="inlineStr">
        <is>
          <t>oscr</t>
        </is>
      </c>
      <c r="C809" s="3" t="n">
        <v>1.301867454258719</v>
      </c>
      <c r="D809" s="3" t="n">
        <v>0.9764704984777115</v>
      </c>
      <c r="H809" s="3" t="n">
        <v>4.479636596427917</v>
      </c>
      <c r="I809" s="3" t="n">
        <v>18.02959197466179</v>
      </c>
      <c r="J809" s="3" t="n">
        <v>0.698173810448446</v>
      </c>
    </row>
    <row r="810">
      <c r="A810" t="inlineStr">
        <is>
          <t>BBG000CC53X1</t>
        </is>
      </c>
      <c r="B810" t="inlineStr">
        <is>
          <t>osk</t>
        </is>
      </c>
      <c r="C810" s="3" t="n">
        <v>1.233822311391452</v>
      </c>
      <c r="D810" s="3" t="n">
        <v>0.06418980729301138</v>
      </c>
      <c r="E810" s="3" t="n">
        <v>22.69832671383498</v>
      </c>
      <c r="F810" s="3" t="n">
        <v>0.5691642528171262</v>
      </c>
      <c r="G810" s="3" t="n">
        <v>0.02424634493466171</v>
      </c>
      <c r="H810" s="3" t="n">
        <v>2.225548512377975</v>
      </c>
      <c r="I810" s="3" t="n">
        <v>17.85196043208834</v>
      </c>
      <c r="J810" s="3" t="n">
        <v>0.2528500007589304</v>
      </c>
      <c r="K810" s="3" t="n">
        <v>0.03184378255034873</v>
      </c>
      <c r="L810" s="3" t="n">
        <v>11694.49650778367</v>
      </c>
      <c r="M810" s="4" t="n">
        <v>7207058382.756195</v>
      </c>
    </row>
    <row r="811">
      <c r="A811" t="inlineStr">
        <is>
          <t>BBG00MXMSTD8</t>
        </is>
      </c>
      <c r="B811" t="inlineStr">
        <is>
          <t>otf</t>
        </is>
      </c>
      <c r="H811" s="3" t="n">
        <v>1.893777722598458</v>
      </c>
    </row>
    <row r="812">
      <c r="A812" t="inlineStr">
        <is>
          <t>BBG00RP60KV0</t>
        </is>
      </c>
      <c r="B812" t="inlineStr">
        <is>
          <t>otis</t>
        </is>
      </c>
      <c r="C812" s="3" t="n">
        <v>0.6847008875274978</v>
      </c>
      <c r="D812" s="3" t="n">
        <v>0.158428483440191</v>
      </c>
      <c r="E812" s="3" t="n">
        <v>24.41178724919876</v>
      </c>
      <c r="F812" s="3" t="n">
        <v>-0.123144082844442</v>
      </c>
      <c r="H812" s="3" t="n">
        <v>-2.05463038222068</v>
      </c>
      <c r="I812" s="3" t="n">
        <v>19.16783964600514</v>
      </c>
      <c r="J812" s="3" t="n">
        <v>0.1617102775262092</v>
      </c>
      <c r="K812" s="3" t="n">
        <v>0.03271171006509548</v>
      </c>
      <c r="L812" s="3" t="n">
        <v>14547.84714203928</v>
      </c>
      <c r="M812" s="4" t="n">
        <v>39985680888.11014</v>
      </c>
    </row>
    <row r="813">
      <c r="A813" t="inlineStr">
        <is>
          <t>BBG00XV417R8</t>
        </is>
      </c>
      <c r="B813" t="inlineStr">
        <is>
          <t>owl</t>
        </is>
      </c>
      <c r="C813" s="3" t="n">
        <v>1.255921681754929</v>
      </c>
      <c r="D813" s="3" t="n">
        <v>0.7052479237020681</v>
      </c>
      <c r="E813" s="3" t="n">
        <v>18.82245675895459</v>
      </c>
      <c r="F813" s="3" t="n">
        <v>13.40773793665634</v>
      </c>
      <c r="H813" s="3" t="n">
        <v>5.365852609043595</v>
      </c>
      <c r="I813" s="3" t="n">
        <v>18.5528009814738</v>
      </c>
      <c r="J813" s="3" t="n">
        <v>0.2782337381898078</v>
      </c>
      <c r="K813" s="3" t="n">
        <v>0.1994343765590315</v>
      </c>
      <c r="L813" s="3" t="n">
        <v>6668.511804839493</v>
      </c>
      <c r="M813" s="4" t="n">
        <v>149447654.4857025</v>
      </c>
    </row>
    <row r="814">
      <c r="A814" t="inlineStr">
        <is>
          <t>BBG000BQQ2S6</t>
        </is>
      </c>
      <c r="B814" t="inlineStr">
        <is>
          <t>oxy</t>
        </is>
      </c>
      <c r="C814" s="3" t="n">
        <v>0.4864541244696489</v>
      </c>
      <c r="D814" s="3" t="n">
        <v>-0.1402603920802609</v>
      </c>
      <c r="E814" s="3" t="n">
        <v>24.54752825673811</v>
      </c>
      <c r="F814" s="3" t="n">
        <v>0.6604946629866556</v>
      </c>
      <c r="H814" s="3" t="n">
        <v>2.446545454464577</v>
      </c>
      <c r="I814" s="3" t="n">
        <v>20.22743433844936</v>
      </c>
      <c r="J814" s="3" t="n">
        <v>0.2084326776319175</v>
      </c>
      <c r="K814" s="3" t="n">
        <v>0.0193890664704843</v>
      </c>
      <c r="L814" s="3" t="n">
        <v>14791.87764742076</v>
      </c>
      <c r="M814" s="4" t="n">
        <v>45799007462.91218</v>
      </c>
    </row>
    <row r="815">
      <c r="A815" t="inlineStr">
        <is>
          <t>BBG00212PVZ5</t>
        </is>
      </c>
      <c r="B815" t="inlineStr">
        <is>
          <t>p</t>
        </is>
      </c>
      <c r="C815" s="3" t="n">
        <v>2.089405044620322</v>
      </c>
      <c r="D815" s="3" t="n">
        <v>0.5025517013995735</v>
      </c>
      <c r="E815" s="3" t="n">
        <v>23.57768762556146</v>
      </c>
      <c r="F815" s="3" t="n">
        <v>0.05420477093740207</v>
      </c>
      <c r="H815" s="3" t="n">
        <v>4.017361265470546</v>
      </c>
      <c r="I815" s="3" t="n">
        <v>18.7881495995298</v>
      </c>
      <c r="J815" s="3" t="n">
        <v>0.4348635610848238</v>
      </c>
      <c r="K815" s="3" t="n">
        <v>0.002054433916385083</v>
      </c>
      <c r="L815" s="3" t="n">
        <v>13107.00993590746</v>
      </c>
      <c r="M815" s="4" t="n">
        <v>17364394013.07996</v>
      </c>
    </row>
    <row r="816">
      <c r="A816" t="inlineStr">
        <is>
          <t>BBG000C0RGY3</t>
        </is>
      </c>
      <c r="B816" t="inlineStr">
        <is>
          <t>paas</t>
        </is>
      </c>
      <c r="C816" s="3" t="n">
        <v>1.354435243513535</v>
      </c>
      <c r="D816" s="3" t="n">
        <v>0.5218467498379746</v>
      </c>
      <c r="I816" s="3" t="n">
        <v>18.19890481066199</v>
      </c>
      <c r="J816" s="3" t="n">
        <v>0.4406379936448457</v>
      </c>
    </row>
    <row r="817">
      <c r="A817" t="inlineStr">
        <is>
          <t>BBG000QKXH20</t>
        </is>
      </c>
      <c r="B817" t="inlineStr">
        <is>
          <t>pacb</t>
        </is>
      </c>
      <c r="C817" s="3" t="n">
        <v>3.007365385019055</v>
      </c>
      <c r="D817" s="3" t="n">
        <v>-0.7441037507742981</v>
      </c>
      <c r="E817" s="3" t="n">
        <v>20.07524375219793</v>
      </c>
      <c r="F817" s="3" t="n">
        <v>1.340721986803178</v>
      </c>
      <c r="H817" s="3" t="n">
        <v>2.06765111553955</v>
      </c>
      <c r="I817" s="3" t="n">
        <v>16.7343491917907</v>
      </c>
      <c r="J817" s="3" t="n">
        <v>1.110386965765411</v>
      </c>
      <c r="K817" s="3" t="n">
        <v>-0.5968922181588325</v>
      </c>
      <c r="L817" s="3" t="n">
        <v>8090.632625973913</v>
      </c>
      <c r="M817" s="4" t="n">
        <v>523079359.898818</v>
      </c>
    </row>
    <row r="818">
      <c r="A818" t="inlineStr">
        <is>
          <t>BBG01LYPSDK8</t>
        </is>
      </c>
      <c r="B818" t="inlineStr">
        <is>
          <t>pacs</t>
        </is>
      </c>
      <c r="C818" s="3" t="n">
        <v>0.464119759938181</v>
      </c>
      <c r="E818" s="3" t="n">
        <v>21.60266012742442</v>
      </c>
      <c r="F818" s="3" t="n">
        <v>0.2374527015068777</v>
      </c>
      <c r="H818" s="3" t="n">
        <v>6.810273213668491</v>
      </c>
      <c r="I818" s="3" t="n">
        <v>17.65660239843644</v>
      </c>
      <c r="J818" s="3" t="n">
        <v>0.7619760745251969</v>
      </c>
      <c r="K818" s="3" t="n">
        <v>0.02441023798717597</v>
      </c>
      <c r="L818" s="3" t="n">
        <v>10081.41978571504</v>
      </c>
      <c r="M818" s="4" t="n">
        <v>2409439842.679473</v>
      </c>
    </row>
    <row r="819">
      <c r="A819" t="inlineStr">
        <is>
          <t>BBG000H6K1B0</t>
        </is>
      </c>
      <c r="B819" t="inlineStr">
        <is>
          <t>pag</t>
        </is>
      </c>
      <c r="C819" s="3" t="n">
        <v>1.065187588507477</v>
      </c>
      <c r="D819" s="3" t="n">
        <v>0.02728552280665064</v>
      </c>
      <c r="E819" s="3" t="n">
        <v>23.08344475171816</v>
      </c>
      <c r="F819" s="3" t="n">
        <v>0.4912088549747614</v>
      </c>
      <c r="H819" s="3" t="n">
        <v>3.279726326892602</v>
      </c>
      <c r="I819" s="3" t="n">
        <v>17.01188713324574</v>
      </c>
      <c r="J819" s="3" t="n">
        <v>0.2200946101546399</v>
      </c>
      <c r="K819" s="3" t="n">
        <v>0.02486583752625298</v>
      </c>
      <c r="L819" s="3" t="n">
        <v>12299.90785083941</v>
      </c>
      <c r="M819" s="4" t="n">
        <v>10592846498.61644</v>
      </c>
    </row>
    <row r="820">
      <c r="A820" t="inlineStr">
        <is>
          <t>BBG000TBYFR3</t>
        </is>
      </c>
      <c r="B820" t="inlineStr">
        <is>
          <t>pagp</t>
        </is>
      </c>
      <c r="C820" s="3" t="n">
        <v>0.5795397547843855</v>
      </c>
      <c r="D820" s="3" t="n">
        <v>0.1421270416720386</v>
      </c>
      <c r="I820" s="3" t="n">
        <v>16.95186452320643</v>
      </c>
      <c r="J820" s="3" t="n">
        <v>0.1767010390365804</v>
      </c>
    </row>
    <row r="821">
      <c r="A821" t="inlineStr">
        <is>
          <t>BBG000C31ZH2</t>
        </is>
      </c>
      <c r="B821" t="inlineStr">
        <is>
          <t>pahc</t>
        </is>
      </c>
      <c r="C821" s="3" t="n">
        <v>1.031660481554276</v>
      </c>
      <c r="D821" s="3" t="n">
        <v>1.464169443046735</v>
      </c>
      <c r="E821" s="3" t="n">
        <v>20.3608733600337</v>
      </c>
      <c r="F821" s="3" t="n">
        <v>0.3714419576566078</v>
      </c>
      <c r="H821" s="3" t="n">
        <v>3.737671486004667</v>
      </c>
      <c r="I821" s="3" t="n">
        <v>15.26624453411879</v>
      </c>
      <c r="J821" s="3" t="n">
        <v>0.5007934219043425</v>
      </c>
      <c r="K821" s="3" t="n">
        <v>-0.01151565326104318</v>
      </c>
      <c r="L821" s="3" t="n">
        <v>8440.908803346183</v>
      </c>
      <c r="M821" s="4" t="n">
        <v>696009145.7076645</v>
      </c>
    </row>
    <row r="822">
      <c r="A822" t="inlineStr">
        <is>
          <t>BBG000S7QCQ0</t>
        </is>
      </c>
      <c r="B822" t="inlineStr">
        <is>
          <t>pam</t>
        </is>
      </c>
      <c r="C822" s="3" t="n">
        <v>1.070633279442072</v>
      </c>
      <c r="D822" s="3" t="n">
        <v>0.4252555709121855</v>
      </c>
      <c r="I822" s="3" t="n">
        <v>16.71551425407792</v>
      </c>
      <c r="J822" s="3" t="n">
        <v>0.367431351361067</v>
      </c>
    </row>
    <row r="823">
      <c r="A823" t="inlineStr">
        <is>
          <t>BBG0014GJCT9</t>
        </is>
      </c>
      <c r="B823" t="inlineStr">
        <is>
          <t>panw</t>
        </is>
      </c>
      <c r="C823" s="3" t="n">
        <v>1.312703180898648</v>
      </c>
      <c r="D823" s="3" t="n">
        <v>0.2210850623335683</v>
      </c>
      <c r="E823" s="3" t="n">
        <v>24.87622315072719</v>
      </c>
      <c r="F823" s="3" t="n">
        <v>0.02748111521198288</v>
      </c>
      <c r="H823" s="3" t="n">
        <v>11.65328299493635</v>
      </c>
      <c r="I823" s="3" t="n">
        <v>20.62694132536154</v>
      </c>
      <c r="J823" s="3" t="n">
        <v>0.4027398747522535</v>
      </c>
      <c r="K823" s="3" t="n">
        <v>0.005512255264723402</v>
      </c>
      <c r="L823" s="3" t="n">
        <v>15394.06556439565</v>
      </c>
      <c r="M823" s="4" t="n">
        <v>63621872201.53809</v>
      </c>
    </row>
    <row r="824">
      <c r="A824" t="inlineStr">
        <is>
          <t>BBG003C5DL16</t>
        </is>
      </c>
      <c r="B824" t="inlineStr">
        <is>
          <t>parr</t>
        </is>
      </c>
      <c r="C824" s="3" t="n">
        <v>0.806109389755559</v>
      </c>
      <c r="D824" s="3" t="n">
        <v>-0.5491683804233791</v>
      </c>
      <c r="E824" s="3" t="n">
        <v>20.6981998325341</v>
      </c>
      <c r="F824" s="3" t="n">
        <v>1.369320797743018</v>
      </c>
      <c r="G824" s="3" t="n">
        <v>0.7131592747207911</v>
      </c>
      <c r="H824" s="3" t="n">
        <v>2.893425606478972</v>
      </c>
      <c r="I824" s="3" t="n">
        <v>16.77933677804274</v>
      </c>
      <c r="J824" s="3" t="n">
        <v>0.388067478978636</v>
      </c>
      <c r="K824" s="3" t="n">
        <v>0.2439283138352212</v>
      </c>
      <c r="L824" s="3" t="n">
        <v>8867.429139963222</v>
      </c>
      <c r="M824" s="4" t="n">
        <v>975245538.3952332</v>
      </c>
    </row>
    <row r="825">
      <c r="A825" t="inlineStr">
        <is>
          <t>BBG00GKS1G03</t>
        </is>
      </c>
      <c r="B825" t="inlineStr">
        <is>
          <t>path</t>
        </is>
      </c>
      <c r="C825" s="3" t="n">
        <v>2.105524957419468</v>
      </c>
      <c r="D825" s="3" t="n">
        <v>-0.3744939517454315</v>
      </c>
      <c r="H825" s="3" t="n">
        <v>1.510970131728027</v>
      </c>
      <c r="I825" s="3" t="n">
        <v>18.49766944095573</v>
      </c>
      <c r="J825" s="3" t="n">
        <v>0.5288180918857314</v>
      </c>
    </row>
    <row r="826">
      <c r="A826" t="inlineStr">
        <is>
          <t>BBG0064N0ZZ5</t>
        </is>
      </c>
      <c r="B826" t="inlineStr">
        <is>
          <t>payc</t>
        </is>
      </c>
      <c r="C826" s="3" t="n">
        <v>0.7692324413927919</v>
      </c>
      <c r="D826" s="3" t="n">
        <v>0.1581816016108948</v>
      </c>
      <c r="E826" s="3" t="n">
        <v>23.30391903610499</v>
      </c>
      <c r="F826" s="3" t="n">
        <v>0.08955235294507945</v>
      </c>
      <c r="H826" s="3" t="n">
        <v>3.549394681792519</v>
      </c>
      <c r="I826" s="3" t="n">
        <v>18.64854559160475</v>
      </c>
      <c r="J826" s="3" t="n">
        <v>0.3649230164748788</v>
      </c>
      <c r="K826" s="3" t="n">
        <v>0.01961499934950231</v>
      </c>
      <c r="L826" s="3" t="n">
        <v>12655.72089017651</v>
      </c>
      <c r="M826" s="4" t="n">
        <v>13205761334.21883</v>
      </c>
    </row>
    <row r="827">
      <c r="A827" t="inlineStr">
        <is>
          <t>BBG00Z5JLLB3</t>
        </is>
      </c>
      <c r="B827" t="inlineStr">
        <is>
          <t>payo</t>
        </is>
      </c>
      <c r="C827" s="3" t="n">
        <v>0.9287920687987576</v>
      </c>
      <c r="D827" s="3" t="n">
        <v>0.6640926971466266</v>
      </c>
      <c r="E827" s="3" t="n">
        <v>22.08184285866549</v>
      </c>
      <c r="F827" s="3" t="n">
        <v>0.1707356045698525</v>
      </c>
      <c r="H827" s="3" t="n">
        <v>10.9640448867197</v>
      </c>
      <c r="I827" s="3" t="n">
        <v>17.08570722325014</v>
      </c>
      <c r="J827" s="3" t="n">
        <v>0.4761376681096848</v>
      </c>
      <c r="K827" s="3" t="n">
        <v>0.01068560971827403</v>
      </c>
      <c r="L827" s="3" t="n">
        <v>10767.27846371847</v>
      </c>
      <c r="M827" s="4" t="n">
        <v>3890653045.115101</v>
      </c>
    </row>
    <row r="828">
      <c r="A828" t="inlineStr">
        <is>
          <t>BBG000BQSQ38</t>
        </is>
      </c>
      <c r="B828" t="inlineStr">
        <is>
          <t>payx</t>
        </is>
      </c>
      <c r="C828" s="3" t="n">
        <v>0.5208684088868755</v>
      </c>
      <c r="D828" s="3" t="n">
        <v>0.1693345268801798</v>
      </c>
      <c r="E828" s="3" t="n">
        <v>24.63278335792578</v>
      </c>
      <c r="F828" s="3" t="n">
        <v>0.07720118425544609</v>
      </c>
      <c r="H828" s="3" t="n">
        <v>2.724158528276502</v>
      </c>
      <c r="I828" s="3" t="n">
        <v>19.17178554926464</v>
      </c>
      <c r="J828" s="3" t="n">
        <v>0.1840597890978297</v>
      </c>
      <c r="K828" s="3" t="n">
        <v>0.003617051121878889</v>
      </c>
      <c r="L828" s="3" t="n">
        <v>14946.53288232447</v>
      </c>
      <c r="M828" s="4" t="n">
        <v>49874882581.88443</v>
      </c>
    </row>
    <row r="829">
      <c r="A829" t="inlineStr">
        <is>
          <t>BBG000BS6FX9</t>
        </is>
      </c>
      <c r="B829" t="inlineStr">
        <is>
          <t>pbr</t>
        </is>
      </c>
      <c r="C829" s="3" t="n">
        <v>0.4323117291922742</v>
      </c>
      <c r="D829" s="3" t="n">
        <v>-0.007340059761998141</v>
      </c>
      <c r="E829" s="3" t="n">
        <v>25.23046572303081</v>
      </c>
      <c r="F829" s="3" t="n">
        <v>1.920907053084688</v>
      </c>
      <c r="H829" s="3" t="n">
        <v>1.773937208597793</v>
      </c>
      <c r="I829" s="3" t="n">
        <v>19.05320591436175</v>
      </c>
      <c r="J829" s="3" t="n">
        <v>0.2943703323038748</v>
      </c>
      <c r="K829" s="3" t="n">
        <v>0.1856562115280687</v>
      </c>
      <c r="L829" s="3" t="n">
        <v>16061.11905545468</v>
      </c>
      <c r="M829" s="4" t="n">
        <v>90667583170.35585</v>
      </c>
    </row>
    <row r="830">
      <c r="A830" t="inlineStr">
        <is>
          <t>BBG0018YXYX7</t>
        </is>
      </c>
      <c r="B830" t="inlineStr">
        <is>
          <t>pbyi</t>
        </is>
      </c>
      <c r="C830" s="3" t="n">
        <v>1.057533241209078</v>
      </c>
      <c r="D830" s="3" t="n">
        <v>-0.2692308115535929</v>
      </c>
      <c r="E830" s="3" t="n">
        <v>18.92994868461673</v>
      </c>
      <c r="F830" s="3" t="n">
        <v>0.3211518634152296</v>
      </c>
      <c r="H830" s="3" t="n">
        <v>4.130103586503058</v>
      </c>
      <c r="I830" s="3" t="n">
        <v>13.83672984520416</v>
      </c>
      <c r="J830" s="3" t="n">
        <v>0.7736704901022773</v>
      </c>
      <c r="K830" s="3" t="n">
        <v>0.06594063465542671</v>
      </c>
      <c r="L830" s="3" t="n">
        <v>6783.413791331879</v>
      </c>
      <c r="M830" s="4" t="n">
        <v>166407253.909503</v>
      </c>
    </row>
    <row r="831">
      <c r="A831" t="inlineStr">
        <is>
          <t>pcar</t>
        </is>
      </c>
      <c r="B831" t="inlineStr">
        <is>
          <t>pcar</t>
        </is>
      </c>
      <c r="C831" s="3" t="n">
        <v>0.9167871477267318</v>
      </c>
      <c r="D831" s="3" t="n">
        <v>0.184138504480557</v>
      </c>
      <c r="E831" s="3" t="n">
        <v>24.77990568493372</v>
      </c>
      <c r="F831" s="3" t="n">
        <v>0.2748155972276619</v>
      </c>
      <c r="G831" s="3" t="n">
        <v>0.03132952617547269</v>
      </c>
      <c r="H831" s="3" t="n">
        <v>2.725760132835872</v>
      </c>
      <c r="I831" s="3" t="n">
        <v>19.33583844022252</v>
      </c>
      <c r="J831" s="3" t="n">
        <v>0.2299331810161871</v>
      </c>
      <c r="K831" s="3" t="n">
        <v>0.05509707621320638</v>
      </c>
      <c r="L831" s="3" t="n">
        <v>15215.94561061464</v>
      </c>
      <c r="M831" s="4" t="n">
        <v>57779835496.64003</v>
      </c>
    </row>
    <row r="832">
      <c r="A832" t="inlineStr">
        <is>
          <t>BBG000BQWPC5</t>
        </is>
      </c>
      <c r="B832" t="inlineStr">
        <is>
          <t>pcg</t>
        </is>
      </c>
      <c r="C832" s="3" t="n">
        <v>0.2818570470065788</v>
      </c>
      <c r="D832" s="3" t="n">
        <v>0.1802870671906451</v>
      </c>
      <c r="E832" s="3" t="n">
        <v>24.74657817887541</v>
      </c>
      <c r="F832" s="3" t="n">
        <v>0.4801567807921695</v>
      </c>
      <c r="H832" s="3" t="n">
        <v>4.931020347136803</v>
      </c>
      <c r="I832" s="3" t="n">
        <v>19.39830123092971</v>
      </c>
      <c r="J832" s="3" t="n">
        <v>0.1800899986920177</v>
      </c>
      <c r="K832" s="3" t="n">
        <v>-0.01946823349116347</v>
      </c>
      <c r="L832" s="3" t="n">
        <v>15154.63450643488</v>
      </c>
      <c r="M832" s="4" t="n">
        <v>55885912837.15441</v>
      </c>
    </row>
    <row r="833">
      <c r="A833" t="inlineStr">
        <is>
          <t>BBG0018FQNS6</t>
        </is>
      </c>
      <c r="B833" t="inlineStr">
        <is>
          <t>pcrx</t>
        </is>
      </c>
      <c r="C833" s="3" t="n">
        <v>0.404498759873397</v>
      </c>
      <c r="D833" s="3" t="n">
        <v>-0.3914956025057582</v>
      </c>
      <c r="E833" s="3" t="n">
        <v>20.4758161226273</v>
      </c>
      <c r="F833" s="3" t="n">
        <v>1.114423310846946</v>
      </c>
      <c r="H833" s="3" t="n">
        <v>1.748808796675429</v>
      </c>
      <c r="I833" s="3" t="n">
        <v>16.28861540565826</v>
      </c>
      <c r="J833" s="3" t="n">
        <v>0.6588893911791694</v>
      </c>
      <c r="K833" s="3" t="n">
        <v>0.01390643732451029</v>
      </c>
      <c r="L833" s="3" t="n">
        <v>8584.671131343563</v>
      </c>
      <c r="M833" s="4" t="n">
        <v>780789481.3545227</v>
      </c>
    </row>
    <row r="834">
      <c r="A834" t="inlineStr">
        <is>
          <t>BBG00YRJF1V1</t>
        </is>
      </c>
      <c r="B834" t="inlineStr">
        <is>
          <t>pct</t>
        </is>
      </c>
      <c r="C834" s="3" t="n">
        <v>1.865876917702861</v>
      </c>
      <c r="D834" s="3" t="n">
        <v>2.222772420966011</v>
      </c>
      <c r="E834" s="3" t="n">
        <v>21.55902857901579</v>
      </c>
      <c r="F834" s="3" t="n">
        <v>0.1821906590886342</v>
      </c>
      <c r="H834" s="3" t="n">
        <v>2.473307849700388</v>
      </c>
      <c r="I834" s="3" t="n">
        <v>17.2884245292488</v>
      </c>
      <c r="J834" s="3" t="n">
        <v>1.083117565940188</v>
      </c>
      <c r="K834" s="3" t="n">
        <v>-0.03150995417470644</v>
      </c>
      <c r="L834" s="3" t="n">
        <v>10020.45782969532</v>
      </c>
      <c r="M834" s="4" t="n">
        <v>2306572696.536369</v>
      </c>
    </row>
    <row r="835">
      <c r="A835" t="inlineStr">
        <is>
          <t>BBG0043BYPB8</t>
        </is>
      </c>
      <c r="B835" t="inlineStr">
        <is>
          <t>pd</t>
        </is>
      </c>
      <c r="C835" s="3" t="n">
        <v>1.733406219704118</v>
      </c>
      <c r="D835" s="3" t="n">
        <v>-0.1715596285324666</v>
      </c>
      <c r="E835" s="3" t="n">
        <v>21.37292795393686</v>
      </c>
      <c r="F835" s="3" t="n">
        <v>0.08961332899871505</v>
      </c>
      <c r="H835" s="3" t="n">
        <v>5.051013956579173</v>
      </c>
      <c r="I835" s="3" t="n">
        <v>16.64519074380374</v>
      </c>
      <c r="J835" s="3" t="n">
        <v>0.3806137886777296</v>
      </c>
      <c r="K835" s="3" t="n">
        <v>-0.01774249914179105</v>
      </c>
      <c r="L835" s="3" t="n">
        <v>9763.197289416312</v>
      </c>
      <c r="M835" s="4" t="n">
        <v>1914893708.645142</v>
      </c>
    </row>
    <row r="836">
      <c r="A836" t="inlineStr">
        <is>
          <t>BBG00LBLDDR2</t>
        </is>
      </c>
      <c r="B836" t="inlineStr">
        <is>
          <t>pdd</t>
        </is>
      </c>
      <c r="C836" s="3" t="n">
        <v>0.7283264925576695</v>
      </c>
      <c r="D836" s="3" t="n">
        <v>-0.1821080145070264</v>
      </c>
      <c r="E836" s="3" t="n">
        <v>26.99881303350276</v>
      </c>
      <c r="F836" s="3" t="n">
        <v>0.1132366439220181</v>
      </c>
      <c r="H836" s="3" t="n">
        <v>5.784345384221262</v>
      </c>
      <c r="I836" s="3" t="n">
        <v>21.22926488212039</v>
      </c>
      <c r="J836" s="3" t="n">
        <v>0.532008570847489</v>
      </c>
      <c r="K836" s="3" t="n">
        <v>0.1129556141954623</v>
      </c>
      <c r="L836" s="3" t="n">
        <v>19680.40421838891</v>
      </c>
      <c r="M836" s="4" t="n">
        <v>531417091814.6223</v>
      </c>
    </row>
    <row r="837">
      <c r="A837" t="inlineStr">
        <is>
          <t>BBG000BQZMH4</t>
        </is>
      </c>
      <c r="B837" t="inlineStr">
        <is>
          <t>peg</t>
        </is>
      </c>
      <c r="C837" s="3" t="n">
        <v>0.340291856103029</v>
      </c>
      <c r="D837" s="3" t="n">
        <v>0.4816618148354135</v>
      </c>
      <c r="E837" s="3" t="n">
        <v>24.53370392901212</v>
      </c>
      <c r="F837" s="3" t="n">
        <v>0.2906782179866929</v>
      </c>
      <c r="H837" s="3" t="n">
        <v>3.051789794131623</v>
      </c>
      <c r="I837" s="3" t="n">
        <v>19.20534179535484</v>
      </c>
      <c r="J837" s="3" t="n">
        <v>0.1852824798605386</v>
      </c>
      <c r="K837" s="3" t="n">
        <v>0.03360620981750189</v>
      </c>
      <c r="L837" s="3" t="n">
        <v>14766.90088113478</v>
      </c>
      <c r="M837" s="4" t="n">
        <v>45170223247.72339</v>
      </c>
    </row>
    <row r="838">
      <c r="A838" t="inlineStr">
        <is>
          <t>BBG000H1RYG7</t>
        </is>
      </c>
      <c r="B838" t="inlineStr">
        <is>
          <t>pega</t>
        </is>
      </c>
      <c r="C838" s="3" t="n">
        <v>1.277019955053086</v>
      </c>
      <c r="D838" s="3" t="n">
        <v>0.5313000783515189</v>
      </c>
      <c r="E838" s="3" t="n">
        <v>22.12436760954348</v>
      </c>
      <c r="F838" s="3" t="n">
        <v>0.0322299569004892</v>
      </c>
      <c r="H838" s="3" t="n">
        <v>12.06967119318824</v>
      </c>
      <c r="I838" s="3" t="n">
        <v>17.57792971177184</v>
      </c>
      <c r="J838" s="3" t="n">
        <v>0.4809693930484614</v>
      </c>
      <c r="K838" s="3" t="n">
        <v>-0.005117164270543802</v>
      </c>
      <c r="L838" s="3" t="n">
        <v>10829.60453464059</v>
      </c>
      <c r="M838" s="4" t="n">
        <v>4059670336.257385</v>
      </c>
    </row>
    <row r="839">
      <c r="A839" t="inlineStr">
        <is>
          <t>BBG001BP92V1</t>
        </is>
      </c>
      <c r="B839" t="inlineStr">
        <is>
          <t>pen</t>
        </is>
      </c>
      <c r="C839" s="3" t="n">
        <v>0.6756787271430031</v>
      </c>
      <c r="D839" s="3" t="n">
        <v>0.03052815926468688</v>
      </c>
      <c r="E839" s="3" t="n">
        <v>22.96068606586246</v>
      </c>
      <c r="F839" s="3" t="n">
        <v>0.1178636666277367</v>
      </c>
      <c r="H839" s="3" t="n">
        <v>1.409339115614392</v>
      </c>
      <c r="I839" s="3" t="n">
        <v>18.17007329851215</v>
      </c>
      <c r="J839" s="3" t="n">
        <v>0.3864697018653189</v>
      </c>
      <c r="K839" s="3" t="n">
        <v>0.001174281939579055</v>
      </c>
      <c r="L839" s="3" t="n">
        <v>12104.71537115448</v>
      </c>
      <c r="M839" s="4" t="n">
        <v>9369129872.481567</v>
      </c>
    </row>
    <row r="840">
      <c r="A840" t="inlineStr">
        <is>
          <t>BBG000CDZLV8</t>
        </is>
      </c>
      <c r="B840" t="inlineStr">
        <is>
          <t>penn</t>
        </is>
      </c>
      <c r="C840" s="3" t="n">
        <v>1.626745310339885</v>
      </c>
      <c r="D840" s="3" t="n">
        <v>-0.1958468880511363</v>
      </c>
      <c r="E840" s="3" t="n">
        <v>21.91575358380977</v>
      </c>
      <c r="F840" s="3" t="n">
        <v>0.9300303475919933</v>
      </c>
      <c r="G840" s="3" t="n">
        <v>0.01341178151412459</v>
      </c>
      <c r="H840" s="3" t="n">
        <v>5.062322574783071</v>
      </c>
      <c r="I840" s="3" t="n">
        <v>17.86160462846889</v>
      </c>
      <c r="J840" s="3" t="n">
        <v>0.5027873954921224</v>
      </c>
      <c r="K840" s="3" t="n">
        <v>-0.04002708351466177</v>
      </c>
      <c r="L840" s="3" t="n">
        <v>10526.14203802663</v>
      </c>
      <c r="M840" s="4" t="n">
        <v>3295268812.469398</v>
      </c>
    </row>
    <row r="841">
      <c r="A841" t="inlineStr">
        <is>
          <t>BBG000DH7JK6</t>
        </is>
      </c>
      <c r="B841" t="inlineStr">
        <is>
          <t>pep</t>
        </is>
      </c>
      <c r="C841" s="3" t="n">
        <v>0.05324527538476363</v>
      </c>
      <c r="D841" s="3" t="n">
        <v>0.009871677518454414</v>
      </c>
      <c r="E841" s="3" t="n">
        <v>26.06901160820731</v>
      </c>
      <c r="F841" s="3" t="n">
        <v>0.09275956357910226</v>
      </c>
      <c r="H841" s="3" t="n">
        <v>5.166966534459108</v>
      </c>
      <c r="I841" s="3" t="n">
        <v>20.59355196376066</v>
      </c>
      <c r="J841" s="3" t="n">
        <v>0.1637475308894201</v>
      </c>
      <c r="K841" s="3" t="n">
        <v>0.03840941163983286</v>
      </c>
      <c r="L841" s="3" t="n">
        <v>17716.32735308051</v>
      </c>
      <c r="M841" s="4" t="n">
        <v>209714225135.5934</v>
      </c>
    </row>
    <row r="842">
      <c r="A842" t="inlineStr">
        <is>
          <t>BBG000BR2B91</t>
        </is>
      </c>
      <c r="B842" t="inlineStr">
        <is>
          <t>pfe</t>
        </is>
      </c>
      <c r="C842" s="3" t="n">
        <v>0.2059226470583861</v>
      </c>
      <c r="D842" s="3" t="n">
        <v>-0.02951754414056307</v>
      </c>
      <c r="E842" s="3" t="n">
        <v>25.62122285586356</v>
      </c>
      <c r="F842" s="3" t="n">
        <v>0.688620768391603</v>
      </c>
      <c r="H842" s="3" t="n">
        <v>2.378215547294517</v>
      </c>
      <c r="I842" s="3" t="n">
        <v>20.67167636842219</v>
      </c>
      <c r="J842" s="3" t="n">
        <v>0.2449904770762609</v>
      </c>
      <c r="K842" s="3" t="n">
        <v>0.04095042343294885</v>
      </c>
      <c r="L842" s="3" t="n">
        <v>16818.97643347334</v>
      </c>
      <c r="M842" s="4" t="n">
        <v>134015708261.1113</v>
      </c>
    </row>
    <row r="843">
      <c r="A843" t="inlineStr">
        <is>
          <t>pfg</t>
        </is>
      </c>
      <c r="B843" t="inlineStr">
        <is>
          <t>pfg</t>
        </is>
      </c>
      <c r="C843" s="3" t="n">
        <v>0.7039257426398785</v>
      </c>
      <c r="D843" s="3" t="n">
        <v>0.145786128290111</v>
      </c>
      <c r="E843" s="3" t="n">
        <v>23.6515738981407</v>
      </c>
      <c r="F843" s="3" t="n">
        <v>0.6010599733170002</v>
      </c>
      <c r="H843" s="3" t="n">
        <v>28.73064053706991</v>
      </c>
      <c r="I843" s="3" t="n">
        <v>18.35004278556235</v>
      </c>
      <c r="J843" s="3" t="n">
        <v>0.1847859257291703</v>
      </c>
      <c r="K843" s="3" t="n">
        <v>0.06665607157773557</v>
      </c>
      <c r="L843" s="3" t="n">
        <v>13230.61825068648</v>
      </c>
      <c r="M843" s="4" t="n">
        <v>18695971281.17582</v>
      </c>
    </row>
    <row r="844">
      <c r="A844" t="inlineStr">
        <is>
          <t>BBG001LV74X3</t>
        </is>
      </c>
      <c r="B844" t="inlineStr">
        <is>
          <t>pflt</t>
        </is>
      </c>
      <c r="C844" s="3" t="n">
        <v>0.44599127864891</v>
      </c>
      <c r="D844" s="3" t="n">
        <v>0.1123330543442889</v>
      </c>
      <c r="E844" s="3" t="n">
        <v>20.44750842620898</v>
      </c>
      <c r="F844" s="3" t="n">
        <v>1.15585959088452</v>
      </c>
      <c r="H844" s="3" t="n">
        <v>2.40380647490601</v>
      </c>
      <c r="I844" s="3" t="n">
        <v>15.68558256576521</v>
      </c>
      <c r="J844" s="3" t="n">
        <v>0.1275527701694686</v>
      </c>
      <c r="K844" s="3" t="n">
        <v>0.1210004730081859</v>
      </c>
      <c r="L844" s="3" t="n">
        <v>8549.115558676636</v>
      </c>
      <c r="M844" s="4" t="n">
        <v>758997031.9602509</v>
      </c>
    </row>
    <row r="845">
      <c r="A845" t="inlineStr">
        <is>
          <t>BBG00LMYX123</t>
        </is>
      </c>
      <c r="B845" t="inlineStr">
        <is>
          <t>pfsi</t>
        </is>
      </c>
      <c r="C845" s="3" t="n">
        <v>1.10392860270344</v>
      </c>
      <c r="D845" s="3" t="n">
        <v>0.2910281703643529</v>
      </c>
      <c r="E845" s="3" t="n">
        <v>22.82217241113553</v>
      </c>
      <c r="F845" s="3" t="n">
        <v>0.2027388977294494</v>
      </c>
      <c r="H845" s="3" t="n">
        <v>4.228182397758736</v>
      </c>
      <c r="I845" s="3" t="n">
        <v>17.22418079811707</v>
      </c>
      <c r="J845" s="3" t="n">
        <v>0.2632816236736699</v>
      </c>
      <c r="K845" s="3" t="n">
        <v>0.007639588453863775</v>
      </c>
      <c r="L845" s="3" t="n">
        <v>11886.96395603617</v>
      </c>
      <c r="M845" s="4" t="n">
        <v>8157245690.485153</v>
      </c>
    </row>
    <row r="846">
      <c r="A846" t="inlineStr">
        <is>
          <t>BBG000BR2TH3</t>
        </is>
      </c>
      <c r="B846" t="inlineStr">
        <is>
          <t>pg</t>
        </is>
      </c>
      <c r="C846" s="3" t="n">
        <v>0.009949407245439112</v>
      </c>
      <c r="D846" s="3" t="n">
        <v>0.102737413761568</v>
      </c>
      <c r="I846" s="3" t="n">
        <v>20.88106969071115</v>
      </c>
      <c r="J846" s="3" t="n">
        <v>0.1549259639403196</v>
      </c>
    </row>
    <row r="847">
      <c r="A847" t="inlineStr">
        <is>
          <t>BBG000BR37X2</t>
        </is>
      </c>
      <c r="B847" t="inlineStr">
        <is>
          <t>pgr</t>
        </is>
      </c>
      <c r="C847" s="3" t="n">
        <v>0.1738219110144265</v>
      </c>
      <c r="D847" s="3" t="n">
        <v>0.48984377461828</v>
      </c>
      <c r="E847" s="3" t="n">
        <v>25.70046209112472</v>
      </c>
      <c r="F847" s="3" t="n">
        <v>0.1199121126173116</v>
      </c>
      <c r="H847" s="3" t="n">
        <v>4.923893235246078</v>
      </c>
      <c r="I847" s="3" t="n">
        <v>20.08574703291645</v>
      </c>
      <c r="J847" s="3" t="n">
        <v>0.2034658352890552</v>
      </c>
      <c r="K847" s="3" t="n">
        <v>0.01319803227406856</v>
      </c>
      <c r="L847" s="3" t="n">
        <v>16975.50863616402</v>
      </c>
      <c r="M847" s="4" t="n">
        <v>145067079715.2543</v>
      </c>
    </row>
    <row r="848">
      <c r="A848" t="inlineStr">
        <is>
          <t>ph</t>
        </is>
      </c>
      <c r="B848" t="inlineStr">
        <is>
          <t>ph</t>
        </is>
      </c>
      <c r="C848" s="3" t="n">
        <v>1.338471740889909</v>
      </c>
      <c r="D848" s="3" t="n">
        <v>0.4763846692755991</v>
      </c>
      <c r="E848" s="3" t="n">
        <v>25.21454516554458</v>
      </c>
      <c r="F848" s="3" t="n">
        <v>0.1444704744427745</v>
      </c>
      <c r="H848" s="3" t="n">
        <v>2.296080096626868</v>
      </c>
      <c r="I848" s="3" t="n">
        <v>19.73760517448808</v>
      </c>
      <c r="J848" s="3" t="n">
        <v>0.201011272660814</v>
      </c>
      <c r="K848" s="3" t="n">
        <v>0.03187312114329587</v>
      </c>
      <c r="L848" s="3" t="n">
        <v>16030.73428293465</v>
      </c>
      <c r="M848" s="4" t="n">
        <v>89235534454.91089</v>
      </c>
    </row>
    <row r="849">
      <c r="A849" t="inlineStr">
        <is>
          <t>BBG000BR54L0</t>
        </is>
      </c>
      <c r="B849" t="inlineStr">
        <is>
          <t>phm</t>
        </is>
      </c>
      <c r="C849" s="3" t="n">
        <v>1.006268868193356</v>
      </c>
      <c r="D849" s="3" t="n">
        <v>0.475058797626781</v>
      </c>
      <c r="E849" s="3" t="n">
        <v>24.03422177082706</v>
      </c>
      <c r="F849" s="3" t="n">
        <v>0.3540517672850335</v>
      </c>
      <c r="G849" s="3" t="n">
        <v>0.03106589737033727</v>
      </c>
      <c r="H849" s="3" t="n">
        <v>1.747042691621398</v>
      </c>
      <c r="I849" s="3" t="n">
        <v>19.29766157118693</v>
      </c>
      <c r="J849" s="3" t="n">
        <v>0.2851480170837103</v>
      </c>
      <c r="K849" s="3" t="n">
        <v>0.06899993328773489</v>
      </c>
      <c r="L849" s="3" t="n">
        <v>13883.21958139839</v>
      </c>
      <c r="M849" s="4" t="n">
        <v>27411316356.55078</v>
      </c>
    </row>
    <row r="850">
      <c r="A850" t="inlineStr">
        <is>
          <t>BBG000GRK2Z7</t>
        </is>
      </c>
      <c r="B850" t="inlineStr">
        <is>
          <t>pi</t>
        </is>
      </c>
      <c r="C850" s="3" t="n">
        <v>1.809841118930317</v>
      </c>
      <c r="D850" s="3" t="n">
        <v>1.272879696335663</v>
      </c>
      <c r="E850" s="3" t="n">
        <v>22.41655663538643</v>
      </c>
      <c r="F850" s="3" t="n">
        <v>0.01580238294416974</v>
      </c>
      <c r="H850" s="3" t="n">
        <v>4.182919542114224</v>
      </c>
      <c r="I850" s="3" t="n">
        <v>18.57583975253503</v>
      </c>
      <c r="J850" s="3" t="n">
        <v>0.5225011992475638</v>
      </c>
      <c r="K850" s="3" t="n">
        <v>-0.0008014941851505616</v>
      </c>
      <c r="L850" s="3" t="n">
        <v>11264.36479766321</v>
      </c>
      <c r="M850" s="4" t="n">
        <v>5437344499.735641</v>
      </c>
    </row>
    <row r="851">
      <c r="A851" t="inlineStr">
        <is>
          <t>BBG000D5S4M0</t>
        </is>
      </c>
      <c r="B851" t="inlineStr">
        <is>
          <t>pii</t>
        </is>
      </c>
      <c r="C851" s="3" t="n">
        <v>0.9953443804839046</v>
      </c>
      <c r="D851" s="3" t="n">
        <v>-0.1326732795687292</v>
      </c>
      <c r="E851" s="3" t="n">
        <v>21.98598781080589</v>
      </c>
      <c r="F851" s="3" t="n">
        <v>0.3794875143406052</v>
      </c>
      <c r="H851" s="3" t="n">
        <v>4.196570999480752</v>
      </c>
      <c r="I851" s="3" t="n">
        <v>17.62789750405561</v>
      </c>
      <c r="J851" s="3" t="n">
        <v>0.3266924499915554</v>
      </c>
      <c r="K851" s="3" t="n">
        <v>0.04291334768950414</v>
      </c>
      <c r="L851" s="3" t="n">
        <v>10627.66725707442</v>
      </c>
      <c r="M851" s="4" t="n">
        <v>3535030663.52919</v>
      </c>
    </row>
    <row r="852">
      <c r="A852" t="inlineStr">
        <is>
          <t>BBG0079T1PZ6</t>
        </is>
      </c>
      <c r="B852" t="inlineStr">
        <is>
          <t>pjt</t>
        </is>
      </c>
      <c r="C852" s="3" t="n">
        <v>1.171260855464243</v>
      </c>
      <c r="D852" s="3" t="n">
        <v>0.5576473188601745</v>
      </c>
      <c r="E852" s="3" t="n">
        <v>22.1354173807831</v>
      </c>
      <c r="F852" s="3" t="n">
        <v>0.03876288039219577</v>
      </c>
      <c r="H852" s="3" t="n">
        <v>9.801354950246964</v>
      </c>
      <c r="I852" s="3" t="n">
        <v>17.21549491199634</v>
      </c>
      <c r="J852" s="3" t="n">
        <v>0.2761674989521641</v>
      </c>
      <c r="K852" s="3" t="n">
        <v>0.01385872918536412</v>
      </c>
      <c r="L852" s="3" t="n">
        <v>10845.83881938618</v>
      </c>
      <c r="M852" s="4" t="n">
        <v>4104777517.856277</v>
      </c>
    </row>
    <row r="853">
      <c r="A853" t="inlineStr">
        <is>
          <t>BBG00FGXCJX5</t>
        </is>
      </c>
      <c r="B853" t="inlineStr">
        <is>
          <t>pk</t>
        </is>
      </c>
      <c r="C853" s="3" t="n">
        <v>1.269604726335278</v>
      </c>
      <c r="D853" s="3" t="n">
        <v>0.09033244400702656</v>
      </c>
      <c r="E853" s="3" t="n">
        <v>21.7277102633851</v>
      </c>
      <c r="F853" s="3" t="n">
        <v>1.374162706216557</v>
      </c>
      <c r="H853" s="3" t="n">
        <v>2.510394455620897</v>
      </c>
      <c r="I853" s="3" t="n">
        <v>17.40031232010838</v>
      </c>
      <c r="J853" s="3" t="n">
        <v>0.2301527263914583</v>
      </c>
      <c r="K853" s="3" t="n">
        <v>-0.03296232504250803</v>
      </c>
      <c r="L853" s="3" t="n">
        <v>10257.50846665496</v>
      </c>
      <c r="M853" s="4" t="n">
        <v>2730389917.913077</v>
      </c>
    </row>
    <row r="854">
      <c r="A854" t="inlineStr">
        <is>
          <t>BBG000BB8SW7</t>
        </is>
      </c>
      <c r="B854" t="inlineStr">
        <is>
          <t>pkg</t>
        </is>
      </c>
      <c r="C854" s="3" t="n">
        <v>0.5090686279990773</v>
      </c>
      <c r="D854" s="3" t="n">
        <v>0.4000004870087968</v>
      </c>
      <c r="E854" s="3" t="n">
        <v>23.78708024902046</v>
      </c>
      <c r="F854" s="3" t="n">
        <v>0.1991492892574774</v>
      </c>
      <c r="G854" s="3" t="n">
        <v>0.1247393661384486</v>
      </c>
      <c r="H854" s="3" t="n">
        <v>2.053147574337849</v>
      </c>
      <c r="I854" s="3" t="n">
        <v>18.6077739443296</v>
      </c>
      <c r="J854" s="3" t="n">
        <v>0.179158371268587</v>
      </c>
      <c r="K854" s="3" t="n">
        <v>0.02690449165313514</v>
      </c>
      <c r="L854" s="3" t="n">
        <v>13459.32912469442</v>
      </c>
      <c r="M854" s="4" t="n">
        <v>21409064605.23944</v>
      </c>
    </row>
    <row r="855">
      <c r="A855" t="inlineStr">
        <is>
          <t>BBG000BR9JS6</t>
        </is>
      </c>
      <c r="B855" t="inlineStr">
        <is>
          <t>plab</t>
        </is>
      </c>
      <c r="C855" s="3" t="n">
        <v>2.558838056530603</v>
      </c>
      <c r="D855" s="3" t="n">
        <v>0.07903455478572563</v>
      </c>
      <c r="E855" s="3" t="n">
        <v>21.17951417112295</v>
      </c>
      <c r="F855" s="3" t="n">
        <v>0.676741296276687</v>
      </c>
      <c r="H855" s="3" t="n">
        <v>1.540365393868912</v>
      </c>
      <c r="I855" s="3" t="n">
        <v>16.07927525625256</v>
      </c>
      <c r="J855" s="3" t="n">
        <v>0.3809286148381901</v>
      </c>
      <c r="K855" s="3" t="n">
        <v>0.05124633246542657</v>
      </c>
      <c r="L855" s="3" t="n">
        <v>9500.533229571376</v>
      </c>
      <c r="M855" s="4" t="n">
        <v>1578142201.752983</v>
      </c>
    </row>
    <row r="856">
      <c r="A856" t="inlineStr">
        <is>
          <t>BBG001WWJTK5</t>
        </is>
      </c>
      <c r="B856" t="inlineStr">
        <is>
          <t>play</t>
        </is>
      </c>
      <c r="C856" s="3" t="n">
        <v>1.590692053562313</v>
      </c>
      <c r="D856" s="3" t="n">
        <v>-0.1001462114684446</v>
      </c>
      <c r="E856" s="3" t="n">
        <v>21.15850111255963</v>
      </c>
      <c r="F856" s="3" t="n">
        <v>0.1892803768244161</v>
      </c>
      <c r="H856" s="3" t="n">
        <v>13.10735038253897</v>
      </c>
      <c r="I856" s="3" t="n">
        <v>17.715583629384</v>
      </c>
      <c r="J856" s="3" t="n">
        <v>0.4399186800017024</v>
      </c>
      <c r="K856" s="3" t="n">
        <v>-0.03674627759991272</v>
      </c>
      <c r="L856" s="3" t="n">
        <v>9472.283677845868</v>
      </c>
      <c r="M856" s="4" t="n">
        <v>1545326592.846199</v>
      </c>
    </row>
    <row r="857">
      <c r="A857" t="inlineStr">
        <is>
          <t>pld</t>
        </is>
      </c>
      <c r="B857" t="inlineStr">
        <is>
          <t>pld</t>
        </is>
      </c>
      <c r="C857" s="3" t="n">
        <v>0.86274650578064</v>
      </c>
      <c r="D857" s="3" t="n">
        <v>0.01234269174841751</v>
      </c>
      <c r="E857" s="3" t="n">
        <v>25.35517363573988</v>
      </c>
      <c r="F857" s="3" t="n">
        <v>0.5167155914061592</v>
      </c>
      <c r="H857" s="3" t="n">
        <v>1.807084968247298</v>
      </c>
      <c r="I857" s="3" t="n">
        <v>19.86795637833454</v>
      </c>
      <c r="J857" s="3" t="n">
        <v>0.2295382116534683</v>
      </c>
      <c r="K857" s="3" t="n">
        <v>0.009791847863096687</v>
      </c>
      <c r="L857" s="3" t="n">
        <v>16300.45649493108</v>
      </c>
      <c r="M857" s="4" t="n">
        <v>102709826996.0403</v>
      </c>
    </row>
    <row r="858">
      <c r="A858" t="inlineStr">
        <is>
          <t>BBG00NLMRY30</t>
        </is>
      </c>
      <c r="B858" t="inlineStr">
        <is>
          <t>plmr</t>
        </is>
      </c>
      <c r="C858" s="3" t="n">
        <v>0.7516892378281376</v>
      </c>
      <c r="D858" s="3" t="n">
        <v>0.5342676331957561</v>
      </c>
      <c r="E858" s="3" t="n">
        <v>21.77627160552158</v>
      </c>
      <c r="F858" s="3" t="n">
        <v>0.2453771117700613</v>
      </c>
      <c r="H858" s="3" t="n">
        <v>3.236128148866681</v>
      </c>
      <c r="I858" s="3" t="n">
        <v>16.54668632775152</v>
      </c>
      <c r="J858" s="3" t="n">
        <v>0.3765864280895316</v>
      </c>
      <c r="K858" s="3" t="n">
        <v>0.006040289225529845</v>
      </c>
      <c r="L858" s="3" t="n">
        <v>10326.43876266474</v>
      </c>
      <c r="M858" s="4" t="n">
        <v>2866253476.867416</v>
      </c>
    </row>
    <row r="859">
      <c r="A859" t="inlineStr">
        <is>
          <t>BBG000N7QR55</t>
        </is>
      </c>
      <c r="B859" t="inlineStr">
        <is>
          <t>pltr</t>
        </is>
      </c>
      <c r="C859" s="3" t="n">
        <v>2.350624262387623</v>
      </c>
      <c r="D859" s="3" t="n">
        <v>1.072818102480086</v>
      </c>
      <c r="E859" s="3" t="n">
        <v>25.71766734169473</v>
      </c>
      <c r="F859" s="3" t="n">
        <v>0.03047840558275361</v>
      </c>
      <c r="H859" s="3" t="n">
        <v>1.005398227445104</v>
      </c>
      <c r="I859" s="3" t="n">
        <v>21.89241365303825</v>
      </c>
      <c r="J859" s="3" t="n">
        <v>0.5693715001972481</v>
      </c>
      <c r="K859" s="3" t="n">
        <v>0.0004845018024537675</v>
      </c>
      <c r="L859" s="3" t="n">
        <v>17009.62437866807</v>
      </c>
      <c r="M859" s="4" t="n">
        <v>147584590268.5547</v>
      </c>
    </row>
    <row r="860">
      <c r="A860" t="inlineStr">
        <is>
          <t>BBG000J2XL74</t>
        </is>
      </c>
      <c r="B860" t="inlineStr">
        <is>
          <t>pm</t>
        </is>
      </c>
      <c r="C860" s="3" t="n">
        <v>0.09676070999491909</v>
      </c>
      <c r="D860" s="3" t="n">
        <v>0.4966568687031998</v>
      </c>
      <c r="E860" s="3" t="n">
        <v>26.00078153858459</v>
      </c>
      <c r="F860" s="3" t="n">
        <v>-0.04948881650055876</v>
      </c>
      <c r="H860" s="3" t="n">
        <v>-6.900350733123617</v>
      </c>
      <c r="I860" s="3" t="n">
        <v>20.30538444875722</v>
      </c>
      <c r="J860" s="3" t="n">
        <v>0.1972976186663644</v>
      </c>
      <c r="K860" s="3" t="n">
        <v>0.01573391091961235</v>
      </c>
      <c r="L860" s="3" t="n">
        <v>17577.58500789263</v>
      </c>
      <c r="M860" s="4" t="n">
        <v>195882639461.4036</v>
      </c>
    </row>
    <row r="861">
      <c r="A861" t="inlineStr">
        <is>
          <t>BBG000BRD0D8</t>
        </is>
      </c>
      <c r="B861" t="inlineStr">
        <is>
          <t>pnc</t>
        </is>
      </c>
      <c r="C861" s="3" t="n">
        <v>0.8570546776950259</v>
      </c>
      <c r="D861" s="3" t="n">
        <v>0.4601668008458115</v>
      </c>
      <c r="E861" s="3" t="n">
        <v>25.11659202893659</v>
      </c>
      <c r="F861" s="3" t="n">
        <v>0.6882910098164512</v>
      </c>
      <c r="H861" s="3" t="n">
        <v>10.14349332884154</v>
      </c>
      <c r="I861" s="3" t="n">
        <v>19.62451281789777</v>
      </c>
      <c r="J861" s="3" t="n">
        <v>0.2250073168037124</v>
      </c>
      <c r="K861" s="3" t="n">
        <v>0.01226067413201745</v>
      </c>
      <c r="L861" s="3" t="n">
        <v>15844.63116676417</v>
      </c>
      <c r="M861" s="4" t="n">
        <v>80909091074.95459</v>
      </c>
    </row>
    <row r="862">
      <c r="A862" t="inlineStr">
        <is>
          <t>BBG000QVWX13</t>
        </is>
      </c>
      <c r="B862" t="inlineStr">
        <is>
          <t>pnnt</t>
        </is>
      </c>
      <c r="C862" s="3" t="n">
        <v>0.6121366270585401</v>
      </c>
      <c r="D862" s="3" t="n">
        <v>0.2052168081598149</v>
      </c>
      <c r="E862" s="3" t="n">
        <v>19.64960103943323</v>
      </c>
      <c r="F862" s="3" t="n">
        <v>1.469441033001137</v>
      </c>
      <c r="H862" s="3" t="n">
        <v>2.766073190333336</v>
      </c>
      <c r="I862" s="3" t="n">
        <v>14.72142058499626</v>
      </c>
      <c r="J862" s="3" t="n">
        <v>0.1558144037191383</v>
      </c>
      <c r="K862" s="3" t="n">
        <v>-0.07239130275464742</v>
      </c>
      <c r="L862" s="3" t="n">
        <v>7586.844991428656</v>
      </c>
      <c r="M862" s="4" t="n">
        <v>341753760.2750273</v>
      </c>
    </row>
    <row r="863">
      <c r="A863" t="inlineStr">
        <is>
          <t>pnr</t>
        </is>
      </c>
      <c r="B863" t="inlineStr">
        <is>
          <t>pnr</t>
        </is>
      </c>
      <c r="C863" s="3" t="n">
        <v>0.998447151756029</v>
      </c>
      <c r="D863" s="3" t="n">
        <v>0.5534190110344432</v>
      </c>
      <c r="E863" s="3" t="n">
        <v>23.68547696364982</v>
      </c>
      <c r="F863" s="3" t="n">
        <v>0.2345262853397773</v>
      </c>
      <c r="H863" s="3" t="n">
        <v>2.793469873058606</v>
      </c>
      <c r="I863" s="3" t="n">
        <v>18.74855536795631</v>
      </c>
      <c r="J863" s="3" t="n">
        <v>0.2225890308148624</v>
      </c>
      <c r="K863" s="3" t="n">
        <v>0.004865390209324068</v>
      </c>
      <c r="L863" s="3" t="n">
        <v>13287.5956603856</v>
      </c>
      <c r="M863" s="4" t="n">
        <v>19340689224.63828</v>
      </c>
    </row>
    <row r="864">
      <c r="A864" t="inlineStr">
        <is>
          <t>pnw</t>
        </is>
      </c>
      <c r="B864" t="inlineStr">
        <is>
          <t>pnw</t>
        </is>
      </c>
      <c r="C864" s="3" t="n">
        <v>0.168663083492542</v>
      </c>
      <c r="D864" s="3" t="n">
        <v>0.2131426735037019</v>
      </c>
      <c r="E864" s="3" t="n">
        <v>23.03043010933641</v>
      </c>
      <c r="F864" s="3" t="n">
        <v>0.658635175400611</v>
      </c>
      <c r="H864" s="3" t="n">
        <v>3.727174653536747</v>
      </c>
      <c r="I864" s="3" t="n">
        <v>18.49975245922406</v>
      </c>
      <c r="J864" s="3" t="n">
        <v>0.1898869907404335</v>
      </c>
      <c r="K864" s="3" t="n">
        <v>0.008628896129224741</v>
      </c>
      <c r="L864" s="3" t="n">
        <v>12215.35650511215</v>
      </c>
      <c r="M864" s="4" t="n">
        <v>10045896797.59644</v>
      </c>
    </row>
    <row r="865">
      <c r="A865" t="inlineStr">
        <is>
          <t>podd</t>
        </is>
      </c>
      <c r="B865" t="inlineStr">
        <is>
          <t>podd</t>
        </is>
      </c>
      <c r="C865" s="3" t="n">
        <v>1.015695490357516</v>
      </c>
      <c r="D865" s="3" t="n">
        <v>0.2244434040051961</v>
      </c>
      <c r="E865" s="3" t="n">
        <v>23.65249622267919</v>
      </c>
      <c r="F865" s="3" t="n">
        <v>0.03246367556934075</v>
      </c>
      <c r="G865" s="3" t="n">
        <v>0</v>
      </c>
      <c r="H865" s="3" t="n">
        <v>4.980082296329083</v>
      </c>
      <c r="I865" s="3" t="n">
        <v>18.78172352067261</v>
      </c>
      <c r="J865" s="3" t="n">
        <v>0.3550204151895239</v>
      </c>
      <c r="K865" s="3" t="n">
        <v>0.01697195614950226</v>
      </c>
      <c r="L865" s="3" t="n">
        <v>13232.16614764251</v>
      </c>
      <c r="M865" s="4" t="n">
        <v>18713222988.87405</v>
      </c>
    </row>
    <row r="866">
      <c r="A866" t="inlineStr">
        <is>
          <t>BBG01QDDKJ40</t>
        </is>
      </c>
      <c r="B866" t="inlineStr">
        <is>
          <t>pony</t>
        </is>
      </c>
    </row>
    <row r="867">
      <c r="A867" t="inlineStr">
        <is>
          <t>BBG000BCVG28</t>
        </is>
      </c>
      <c r="B867" t="inlineStr">
        <is>
          <t>pool</t>
        </is>
      </c>
      <c r="C867" s="3" t="n">
        <v>0.836269725786519</v>
      </c>
      <c r="D867" s="3" t="n">
        <v>0.05106082211823404</v>
      </c>
      <c r="E867" s="3" t="n">
        <v>23.3573888161189</v>
      </c>
      <c r="F867" s="3" t="n">
        <v>0.101802951276822</v>
      </c>
      <c r="G867" s="3" t="n">
        <v>0.01784127462733731</v>
      </c>
      <c r="H867" s="3" t="n">
        <v>2.374366989200334</v>
      </c>
      <c r="I867" s="3" t="n">
        <v>18.48264749290524</v>
      </c>
      <c r="J867" s="3" t="n">
        <v>0.2978780670243495</v>
      </c>
      <c r="K867" s="3" t="n">
        <v>0.007300147044195724</v>
      </c>
      <c r="L867" s="3" t="n">
        <v>12743.03484614454</v>
      </c>
      <c r="M867" s="4" t="n">
        <v>13931089247.51862</v>
      </c>
    </row>
    <row r="868">
      <c r="A868" t="inlineStr">
        <is>
          <t>BBG000BCRMW7</t>
        </is>
      </c>
      <c r="B868" t="inlineStr">
        <is>
          <t>por</t>
        </is>
      </c>
      <c r="C868" s="3" t="n">
        <v>0.2179064400958593</v>
      </c>
      <c r="D868" s="3" t="n">
        <v>0.2073401190336854</v>
      </c>
      <c r="E868" s="3" t="n">
        <v>21.9754505373061</v>
      </c>
      <c r="F868" s="3" t="n">
        <v>0.5463158257092506</v>
      </c>
      <c r="H868" s="3" t="n">
        <v>3.684981683053385</v>
      </c>
      <c r="I868" s="3" t="n">
        <v>17.5519330385539</v>
      </c>
      <c r="J868" s="3" t="n">
        <v>0.1853628592379166</v>
      </c>
      <c r="K868" s="3" t="n">
        <v>0.03001735306094784</v>
      </c>
      <c r="L868" s="3" t="n">
        <v>10612.39394199691</v>
      </c>
      <c r="M868" s="4" t="n">
        <v>3497976645.601913</v>
      </c>
    </row>
    <row r="869">
      <c r="A869" t="inlineStr">
        <is>
          <t>BBG000BTT3D1</t>
        </is>
      </c>
      <c r="B869" t="inlineStr">
        <is>
          <t>powi</t>
        </is>
      </c>
      <c r="C869" s="3" t="n">
        <v>1.845877315265238</v>
      </c>
      <c r="D869" s="3" t="n">
        <v>-0.2023774366715638</v>
      </c>
      <c r="E869" s="3" t="n">
        <v>22.01305345089463</v>
      </c>
      <c r="F869" s="3" t="n">
        <v>0.2161491573515518</v>
      </c>
      <c r="G869" s="3" t="n">
        <v>0.06204907102411261</v>
      </c>
      <c r="H869" s="3" t="n">
        <v>1.050867642666879</v>
      </c>
      <c r="I869" s="3" t="n">
        <v>17.00148910323256</v>
      </c>
      <c r="J869" s="3" t="n">
        <v>0.3060397834869438</v>
      </c>
      <c r="K869" s="3" t="n">
        <v>0.005450417891861761</v>
      </c>
      <c r="L869" s="3" t="n">
        <v>10666.96485883351</v>
      </c>
      <c r="M869" s="4" t="n">
        <v>3632015083.487045</v>
      </c>
    </row>
    <row r="870">
      <c r="A870" t="inlineStr">
        <is>
          <t>BBG000BFLXV3</t>
        </is>
      </c>
      <c r="B870" t="inlineStr">
        <is>
          <t>ppc</t>
        </is>
      </c>
      <c r="C870" s="3" t="n">
        <v>0.03173156140996858</v>
      </c>
      <c r="D870" s="3" t="n">
        <v>0.8951486092795036</v>
      </c>
      <c r="E870" s="3" t="n">
        <v>23.06191574285986</v>
      </c>
      <c r="F870" s="3" t="n">
        <v>0.3213367389310464</v>
      </c>
      <c r="G870" s="3" t="n">
        <v>0.004301754443436723</v>
      </c>
      <c r="H870" s="3" t="n">
        <v>2.944841043586594</v>
      </c>
      <c r="I870" s="3" t="n">
        <v>17.81275792600893</v>
      </c>
      <c r="J870" s="3" t="n">
        <v>0.2710405443534664</v>
      </c>
      <c r="K870" s="3" t="n">
        <v>0.03374671801360397</v>
      </c>
      <c r="L870" s="3" t="n">
        <v>12265.52503686203</v>
      </c>
      <c r="M870" s="4" t="n">
        <v>10367230372.6015</v>
      </c>
    </row>
    <row r="871">
      <c r="A871" t="inlineStr">
        <is>
          <t>BBG000BRJ809</t>
        </is>
      </c>
      <c r="B871" t="inlineStr">
        <is>
          <t>ppg</t>
        </is>
      </c>
      <c r="C871" s="3" t="n">
        <v>0.6608925335263095</v>
      </c>
      <c r="D871" s="3" t="n">
        <v>-0.1096295326094131</v>
      </c>
      <c r="E871" s="3" t="n">
        <v>24.04719738106273</v>
      </c>
      <c r="F871" s="3" t="n">
        <v>0.2804534681843329</v>
      </c>
      <c r="H871" s="3" t="n">
        <v>2.779532613921478</v>
      </c>
      <c r="I871" s="3" t="n">
        <v>18.97167637608518</v>
      </c>
      <c r="J871" s="3" t="n">
        <v>0.1611533189724736</v>
      </c>
      <c r="K871" s="3" t="n">
        <v>0.01534067507017537</v>
      </c>
      <c r="L871" s="3" t="n">
        <v>13905.71756629304</v>
      </c>
      <c r="M871" s="4" t="n">
        <v>27769312500</v>
      </c>
    </row>
    <row r="872">
      <c r="A872" t="inlineStr">
        <is>
          <t>BBG000BRJL00</t>
        </is>
      </c>
      <c r="B872" t="inlineStr">
        <is>
          <t>ppl</t>
        </is>
      </c>
      <c r="C872" s="3" t="n">
        <v>0.09838355332593124</v>
      </c>
      <c r="D872" s="3" t="n">
        <v>0.2921446457345729</v>
      </c>
      <c r="E872" s="3" t="n">
        <v>23.91707285143986</v>
      </c>
      <c r="F872" s="3" t="n">
        <v>0.5714679445412139</v>
      </c>
      <c r="G872" s="3" t="n">
        <v>0.1063030144851886</v>
      </c>
      <c r="H872" s="3" t="n">
        <v>2.715639129927823</v>
      </c>
      <c r="I872" s="3" t="n">
        <v>18.83520403473755</v>
      </c>
      <c r="J872" s="3" t="n">
        <v>0.1623637466729113</v>
      </c>
      <c r="K872" s="3" t="n">
        <v>0.03035141598797805</v>
      </c>
      <c r="L872" s="3" t="n">
        <v>13681.1964546671</v>
      </c>
      <c r="M872" s="4" t="n">
        <v>24381070071.41797</v>
      </c>
    </row>
    <row r="873">
      <c r="A873" t="inlineStr">
        <is>
          <t>BBG0024TXN82</t>
        </is>
      </c>
      <c r="B873" t="inlineStr">
        <is>
          <t>ppta</t>
        </is>
      </c>
      <c r="C873" s="3" t="n">
        <v>1.591198754634967</v>
      </c>
      <c r="D873" s="3" t="n">
        <v>2.235759526500715</v>
      </c>
      <c r="E873" s="3" t="n">
        <v>20.27056057172121</v>
      </c>
      <c r="F873" s="3" t="n">
        <v>0.1136922147207736</v>
      </c>
      <c r="H873" s="3" t="n">
        <v>1.1492406743917</v>
      </c>
      <c r="I873" s="3" t="n">
        <v>15.26701861417838</v>
      </c>
      <c r="J873" s="3" t="n">
        <v>0.7284441920778078</v>
      </c>
      <c r="K873" s="3" t="n">
        <v>-0.005777139574477819</v>
      </c>
      <c r="L873" s="3" t="n">
        <v>8329.084673295407</v>
      </c>
      <c r="M873" s="4" t="n">
        <v>635905528.4820461</v>
      </c>
    </row>
    <row r="874">
      <c r="A874" t="inlineStr">
        <is>
          <t>BBG00CNYBQ76</t>
        </is>
      </c>
      <c r="B874" t="inlineStr">
        <is>
          <t>pr</t>
        </is>
      </c>
      <c r="C874" s="3" t="n">
        <v>0.9123048142053468</v>
      </c>
      <c r="D874" s="3" t="n">
        <v>0.07520825458540958</v>
      </c>
      <c r="E874" s="3" t="n">
        <v>23.20374335234586</v>
      </c>
      <c r="F874" s="3" t="n">
        <v>0.7531543620443076</v>
      </c>
      <c r="H874" s="3" t="n">
        <v>1.846605617476478</v>
      </c>
      <c r="I874" s="3" t="n">
        <v>18.70571272710218</v>
      </c>
      <c r="J874" s="3" t="n">
        <v>0.2746777922100743</v>
      </c>
      <c r="K874" s="3" t="n">
        <v>0.06428836214566831</v>
      </c>
      <c r="L874" s="3" t="n">
        <v>12493.21344123536</v>
      </c>
      <c r="M874" s="4" t="n">
        <v>11946967916.14347</v>
      </c>
    </row>
    <row r="875">
      <c r="A875" t="inlineStr">
        <is>
          <t>BBG000BNTW77</t>
        </is>
      </c>
      <c r="B875" t="inlineStr">
        <is>
          <t>praa</t>
        </is>
      </c>
      <c r="C875" s="3" t="n">
        <v>1.200225439312958</v>
      </c>
      <c r="D875" s="3" t="n">
        <v>0.08796541286376391</v>
      </c>
      <c r="E875" s="3" t="n">
        <v>20.54395497786658</v>
      </c>
      <c r="F875" s="3" t="n">
        <v>1.458261400038758</v>
      </c>
      <c r="H875" s="3" t="n">
        <v>3.712708856384204</v>
      </c>
      <c r="I875" s="3" t="n">
        <v>15.50979178678094</v>
      </c>
      <c r="J875" s="3" t="n">
        <v>0.5195208749002037</v>
      </c>
      <c r="K875" s="3" t="n">
        <v>0.06238589191162149</v>
      </c>
      <c r="L875" s="3" t="n">
        <v>8670.660143732939</v>
      </c>
      <c r="M875" s="4" t="n">
        <v>835846027.6801834</v>
      </c>
    </row>
    <row r="876">
      <c r="A876" t="inlineStr">
        <is>
          <t>BBG000C4QP94</t>
        </is>
      </c>
      <c r="B876" t="inlineStr">
        <is>
          <t>prgs</t>
        </is>
      </c>
      <c r="C876" s="3" t="n">
        <v>0.6090545672301855</v>
      </c>
      <c r="D876" s="3" t="n">
        <v>0.2016532523076533</v>
      </c>
      <c r="E876" s="3" t="n">
        <v>21.80001857655125</v>
      </c>
      <c r="F876" s="3" t="n">
        <v>0.1450060395342982</v>
      </c>
      <c r="H876" s="3" t="n">
        <v>3.806011099766898</v>
      </c>
      <c r="I876" s="3" t="n">
        <v>17.38389833102482</v>
      </c>
      <c r="J876" s="3" t="n">
        <v>0.2558912165880094</v>
      </c>
      <c r="K876" s="3" t="n">
        <v>0.006506689997053719</v>
      </c>
      <c r="L876" s="3" t="n">
        <v>10360.25848498322</v>
      </c>
      <c r="M876" s="4" t="n">
        <v>2935132917.372894</v>
      </c>
    </row>
    <row r="877">
      <c r="A877" t="inlineStr">
        <is>
          <t>BBG003RY97K2</t>
        </is>
      </c>
      <c r="B877" t="inlineStr">
        <is>
          <t>prks</t>
        </is>
      </c>
      <c r="C877" s="3" t="n">
        <v>0.9722317528839268</v>
      </c>
      <c r="D877" s="3" t="n">
        <v>0.07627810686799941</v>
      </c>
      <c r="E877" s="3" t="n">
        <v>21.89432460682225</v>
      </c>
      <c r="F877" s="3" t="n">
        <v>-0.06455497798087907</v>
      </c>
      <c r="H877" s="3" t="n">
        <v>-12.60732130387348</v>
      </c>
      <c r="I877" s="3" t="n">
        <v>17.60529283322793</v>
      </c>
      <c r="J877" s="3" t="n">
        <v>0.3248265403282198</v>
      </c>
      <c r="K877" s="3" t="n">
        <v>-0.005105404111168861</v>
      </c>
      <c r="L877" s="3" t="n">
        <v>10495.29519005402</v>
      </c>
      <c r="M877" s="4" t="n">
        <v>3225405792.828522</v>
      </c>
    </row>
    <row r="878">
      <c r="A878" t="inlineStr">
        <is>
          <t>BBG01QNB0RS1</t>
        </is>
      </c>
      <c r="B878" t="inlineStr">
        <is>
          <t>prmb</t>
        </is>
      </c>
      <c r="C878" s="3" t="n">
        <v>0.51072671729318</v>
      </c>
      <c r="D878" s="3" t="n">
        <v>0.8503248377959323</v>
      </c>
      <c r="I878" s="3" t="n">
        <v>17.67720837645429</v>
      </c>
      <c r="J878" s="3" t="n">
        <v>0.2411496777900809</v>
      </c>
    </row>
    <row r="879">
      <c r="A879" t="inlineStr">
        <is>
          <t>BBG000HCJMF9</t>
        </is>
      </c>
      <c r="B879" t="inlineStr">
        <is>
          <t>pru</t>
        </is>
      </c>
      <c r="C879" s="3" t="n">
        <v>0.8859926862078985</v>
      </c>
      <c r="D879" s="3" t="n">
        <v>0.2959717730701361</v>
      </c>
      <c r="E879" s="3" t="n">
        <v>24.47578961013743</v>
      </c>
      <c r="F879" s="3" t="n">
        <v>0.7135127393853123</v>
      </c>
      <c r="H879" s="3" t="n">
        <v>24.99651499128759</v>
      </c>
      <c r="I879" s="3" t="n">
        <v>18.93025259083171</v>
      </c>
      <c r="J879" s="3" t="n">
        <v>0.195341175796176</v>
      </c>
      <c r="K879" s="3" t="n">
        <v>0.02746986513085878</v>
      </c>
      <c r="L879" s="3" t="n">
        <v>14662.57120777306</v>
      </c>
      <c r="M879" s="4" t="n">
        <v>42628531097.41211</v>
      </c>
    </row>
    <row r="880">
      <c r="A880" t="inlineStr">
        <is>
          <t>BBG00ZXYXVP9</t>
        </is>
      </c>
      <c r="B880" t="inlineStr">
        <is>
          <t>prva</t>
        </is>
      </c>
      <c r="C880" s="3" t="n">
        <v>1.314705395564979</v>
      </c>
      <c r="D880" s="3" t="n">
        <v>-0.1113261981629998</v>
      </c>
      <c r="E880" s="3" t="n">
        <v>21.6701358410667</v>
      </c>
      <c r="F880" s="3" t="n">
        <v>0.2178114029558713</v>
      </c>
      <c r="H880" s="3" t="n">
        <v>1.780965626097023</v>
      </c>
      <c r="I880" s="3" t="n">
        <v>16.53724515074666</v>
      </c>
      <c r="J880" s="3" t="n">
        <v>0.4144091681159603</v>
      </c>
      <c r="K880" s="3" t="n">
        <v>0.003874102828843362</v>
      </c>
      <c r="L880" s="3" t="n">
        <v>10176.18283257087</v>
      </c>
      <c r="M880" s="4" t="n">
        <v>2577629050.467739</v>
      </c>
    </row>
    <row r="881">
      <c r="A881" t="inlineStr">
        <is>
          <t>psa</t>
        </is>
      </c>
      <c r="B881" t="inlineStr">
        <is>
          <t>psa</t>
        </is>
      </c>
      <c r="C881" s="3" t="n">
        <v>0.4475056659838206</v>
      </c>
      <c r="D881" s="3" t="n">
        <v>0.3243820389907326</v>
      </c>
      <c r="E881" s="3" t="n">
        <v>24.76322634324861</v>
      </c>
      <c r="F881" s="3" t="n">
        <v>0.1691194975773415</v>
      </c>
      <c r="H881" s="3" t="n">
        <v>2.06067525238277</v>
      </c>
      <c r="I881" s="3" t="n">
        <v>19.26293660370564</v>
      </c>
      <c r="J881" s="3" t="n">
        <v>0.2228583812842955</v>
      </c>
      <c r="K881" s="3" t="n">
        <v>0.0300758840542556</v>
      </c>
      <c r="L881" s="3" t="n">
        <v>15185.24075198202</v>
      </c>
      <c r="M881" s="4" t="n">
        <v>56824098566.37625</v>
      </c>
    </row>
    <row r="882">
      <c r="A882" t="inlineStr">
        <is>
          <t>BBG000Q3RGN4</t>
        </is>
      </c>
      <c r="B882" t="inlineStr">
        <is>
          <t>psec</t>
        </is>
      </c>
      <c r="C882" s="3" t="n">
        <v>0.5356007971120086</v>
      </c>
      <c r="D882" s="3" t="n">
        <v>0.04535623348459095</v>
      </c>
      <c r="E882" s="3" t="n">
        <v>21.19765526288381</v>
      </c>
      <c r="F882" s="3" t="n">
        <v>2.184655627667394</v>
      </c>
      <c r="H882" s="3" t="n">
        <v>2.162662892565721</v>
      </c>
      <c r="I882" s="3" t="n">
        <v>16.27065236274859</v>
      </c>
      <c r="J882" s="3" t="n">
        <v>0.257385148554766</v>
      </c>
      <c r="K882" s="3" t="n">
        <v>0.4575743895451163</v>
      </c>
      <c r="L882" s="3" t="n">
        <v>9524.966893698193</v>
      </c>
      <c r="M882" s="4" t="n">
        <v>1607032684.397915</v>
      </c>
    </row>
    <row r="883">
      <c r="A883" t="inlineStr">
        <is>
          <t>psky</t>
        </is>
      </c>
      <c r="B883" t="inlineStr">
        <is>
          <t>psky</t>
        </is>
      </c>
      <c r="C883" s="3" t="n">
        <v>0.7081135186622058</v>
      </c>
      <c r="D883" s="3" t="n">
        <v>-0.2255274846573557</v>
      </c>
      <c r="I883" s="3" t="n">
        <v>18.32748377622191</v>
      </c>
      <c r="J883" s="3" t="n">
        <v>0.5378783169985637</v>
      </c>
    </row>
    <row r="884">
      <c r="A884" t="inlineStr">
        <is>
          <t>BBG000C3TKY6</t>
        </is>
      </c>
      <c r="B884" t="inlineStr">
        <is>
          <t>psn</t>
        </is>
      </c>
      <c r="C884" s="3" t="n">
        <v>0.9421872234842343</v>
      </c>
      <c r="D884" s="3" t="n">
        <v>0.7363943180669914</v>
      </c>
      <c r="E884" s="3" t="n">
        <v>23.04415031012952</v>
      </c>
      <c r="F884" s="3" t="n">
        <v>0.2270520393012674</v>
      </c>
      <c r="H884" s="3" t="n">
        <v>2.353926480483086</v>
      </c>
      <c r="I884" s="3" t="n">
        <v>18.43883612598971</v>
      </c>
      <c r="J884" s="3" t="n">
        <v>0.2828482307908759</v>
      </c>
      <c r="K884" s="3" t="n">
        <v>0.0114133206226199</v>
      </c>
      <c r="L884" s="3" t="n">
        <v>12237.20112647756</v>
      </c>
      <c r="M884" s="4" t="n">
        <v>10184678397.46921</v>
      </c>
    </row>
    <row r="885">
      <c r="A885" t="inlineStr">
        <is>
          <t>BBG00286S4N9</t>
        </is>
      </c>
      <c r="B885" t="inlineStr">
        <is>
          <t>psx</t>
        </is>
      </c>
      <c r="C885" s="3" t="n">
        <v>0.5305002693379103</v>
      </c>
      <c r="D885" s="3" t="n">
        <v>-0.03247287990055336</v>
      </c>
      <c r="E885" s="3" t="n">
        <v>24.68435687104794</v>
      </c>
      <c r="F885" s="3" t="n">
        <v>0.5823714904838683</v>
      </c>
      <c r="H885" s="3" t="n">
        <v>2.468724454681728</v>
      </c>
      <c r="I885" s="3" t="n">
        <v>19.62750570058989</v>
      </c>
      <c r="J885" s="3" t="n">
        <v>0.2424345194852686</v>
      </c>
      <c r="K885" s="3" t="n">
        <v>0.1095885926081373</v>
      </c>
      <c r="L885" s="3" t="n">
        <v>15040.60997936943</v>
      </c>
      <c r="M885" s="4" t="n">
        <v>52514589912.37274</v>
      </c>
    </row>
    <row r="886">
      <c r="A886" t="inlineStr">
        <is>
          <t>BBG000C2VBB0</t>
        </is>
      </c>
      <c r="B886" t="inlineStr">
        <is>
          <t>ptc</t>
        </is>
      </c>
      <c r="C886" s="3" t="n">
        <v>1.077740289858413</v>
      </c>
      <c r="D886" s="3" t="n">
        <v>0.1777453044751907</v>
      </c>
      <c r="E886" s="3" t="n">
        <v>23.90269469869341</v>
      </c>
      <c r="F886" s="3" t="n">
        <v>0.09553662711378992</v>
      </c>
      <c r="H886" s="3" t="n">
        <v>2.739002121597937</v>
      </c>
      <c r="I886" s="3" t="n">
        <v>18.74920473482307</v>
      </c>
      <c r="J886" s="3" t="n">
        <v>0.1695108064841916</v>
      </c>
      <c r="K886" s="3" t="n">
        <v>0.01302711665132679</v>
      </c>
      <c r="L886" s="3" t="n">
        <v>13656.537237184</v>
      </c>
      <c r="M886" s="4" t="n">
        <v>24033023451.51611</v>
      </c>
    </row>
    <row r="887">
      <c r="A887" t="inlineStr">
        <is>
          <t>BBG002B63KM7</t>
        </is>
      </c>
      <c r="B887" t="inlineStr">
        <is>
          <t>ptgx</t>
        </is>
      </c>
      <c r="C887" s="3" t="n">
        <v>1.266028290387153</v>
      </c>
      <c r="D887" s="3" t="n">
        <v>1.517298322748124</v>
      </c>
      <c r="E887" s="3" t="n">
        <v>21.68276667679584</v>
      </c>
      <c r="F887" s="3" t="n">
        <v>0.08259598769684603</v>
      </c>
      <c r="H887" s="3" t="n">
        <v>2.8007170290494</v>
      </c>
      <c r="I887" s="3" t="n">
        <v>17.23848402783841</v>
      </c>
      <c r="J887" s="3" t="n">
        <v>0.4949262790805172</v>
      </c>
      <c r="K887" s="3" t="n">
        <v>-0.01306508181700556</v>
      </c>
      <c r="L887" s="3" t="n">
        <v>10193.9873300727</v>
      </c>
      <c r="M887" s="4" t="n">
        <v>2610393142.930321</v>
      </c>
    </row>
    <row r="888">
      <c r="A888" t="inlineStr">
        <is>
          <t>BBG00JG0FFZ2</t>
        </is>
      </c>
      <c r="B888" t="inlineStr">
        <is>
          <t>pton</t>
        </is>
      </c>
      <c r="C888" s="3" t="n">
        <v>1.434888616568363</v>
      </c>
      <c r="D888" s="3" t="n">
        <v>0.5017668249384155</v>
      </c>
      <c r="H888" s="3" t="n">
        <v>-5.815853345418855</v>
      </c>
      <c r="I888" s="3" t="n">
        <v>18.55056069902625</v>
      </c>
      <c r="J888" s="3" t="n">
        <v>0.886569875327935</v>
      </c>
    </row>
    <row r="889">
      <c r="A889" t="inlineStr">
        <is>
          <t>BBG01WX45CV7</t>
        </is>
      </c>
      <c r="B889" t="inlineStr">
        <is>
          <t>ptrn</t>
        </is>
      </c>
    </row>
    <row r="890">
      <c r="A890" t="inlineStr">
        <is>
          <t>BBG000BRRG02</t>
        </is>
      </c>
      <c r="B890" t="inlineStr">
        <is>
          <t>pvh</t>
        </is>
      </c>
      <c r="C890" s="3" t="n">
        <v>1.362390509476672</v>
      </c>
      <c r="D890" s="3" t="n">
        <v>0.007949786696890948</v>
      </c>
      <c r="E890" s="3" t="n">
        <v>22.52021807608093</v>
      </c>
      <c r="F890" s="3" t="n">
        <v>0.8499747968664919</v>
      </c>
      <c r="H890" s="3" t="n">
        <v>2.192123126913209</v>
      </c>
      <c r="I890" s="3" t="n">
        <v>18.03169035140137</v>
      </c>
      <c r="J890" s="3" t="n">
        <v>0.3411247635506313</v>
      </c>
      <c r="K890" s="3" t="n">
        <v>0.01561868482069748</v>
      </c>
      <c r="L890" s="3" t="n">
        <v>11421.358803328</v>
      </c>
      <c r="M890" s="4" t="n">
        <v>6031237653.220963</v>
      </c>
    </row>
    <row r="891">
      <c r="A891" t="inlineStr">
        <is>
          <t>pwr</t>
        </is>
      </c>
      <c r="B891" t="inlineStr">
        <is>
          <t>pwr</t>
        </is>
      </c>
      <c r="C891" s="3" t="n">
        <v>1.624989637856542</v>
      </c>
      <c r="D891" s="3" t="n">
        <v>0.6040402043721982</v>
      </c>
      <c r="E891" s="3" t="n">
        <v>24.65058976035484</v>
      </c>
      <c r="F891" s="3" t="n">
        <v>0.1392650708713843</v>
      </c>
      <c r="H891" s="3" t="n">
        <v>2.668267846686043</v>
      </c>
      <c r="I891" s="3" t="n">
        <v>19.29271250401275</v>
      </c>
      <c r="J891" s="3" t="n">
        <v>0.245426173700871</v>
      </c>
      <c r="K891" s="3" t="n">
        <v>0.01181195644762722</v>
      </c>
      <c r="L891" s="3" t="n">
        <v>14978.96970570493</v>
      </c>
      <c r="M891" s="4" t="n">
        <v>50770928816.67847</v>
      </c>
    </row>
    <row r="892">
      <c r="A892" t="inlineStr">
        <is>
          <t>BBG0077VNXV6</t>
        </is>
      </c>
      <c r="B892" t="inlineStr">
        <is>
          <t>pypl</t>
        </is>
      </c>
      <c r="C892" s="3" t="n">
        <v>1.089389683504157</v>
      </c>
      <c r="D892" s="3" t="n">
        <v>0.3764971499650558</v>
      </c>
      <c r="E892" s="3" t="n">
        <v>25.18043915093544</v>
      </c>
      <c r="F892" s="3" t="n">
        <v>0.2302553507196799</v>
      </c>
      <c r="G892" s="3" t="n">
        <v>0.008026683623885589</v>
      </c>
      <c r="H892" s="3" t="n">
        <v>4.137677510114933</v>
      </c>
      <c r="I892" s="3" t="n">
        <v>20.52495749833227</v>
      </c>
      <c r="J892" s="3" t="n">
        <v>0.3097300479608345</v>
      </c>
      <c r="K892" s="3" t="n">
        <v>0.01193135038224145</v>
      </c>
      <c r="L892" s="3" t="n">
        <v>15965.77115433292</v>
      </c>
      <c r="M892" s="4" t="n">
        <v>86243381262.1601</v>
      </c>
    </row>
    <row r="893">
      <c r="A893" t="inlineStr">
        <is>
          <t>BBG000BFWF13</t>
        </is>
      </c>
      <c r="B893" t="inlineStr">
        <is>
          <t>pzza</t>
        </is>
      </c>
      <c r="C893" s="3" t="n">
        <v>0.6907928217538895</v>
      </c>
      <c r="D893" s="3" t="n">
        <v>-0.1765391134307666</v>
      </c>
      <c r="E893" s="3" t="n">
        <v>21.13842559830969</v>
      </c>
      <c r="F893" s="3" t="n">
        <v>-0.2845169597365221</v>
      </c>
      <c r="G893" s="3" t="n">
        <v>0.06868705421373256</v>
      </c>
      <c r="H893" s="3" t="n">
        <v>-1.997700343203469</v>
      </c>
      <c r="I893" s="3" t="n">
        <v>17.67980695969393</v>
      </c>
      <c r="J893" s="3" t="n">
        <v>0.3323932554501413</v>
      </c>
      <c r="K893" s="3" t="n">
        <v>0.03697644954098183</v>
      </c>
      <c r="L893" s="3" t="n">
        <v>9445.346902740912</v>
      </c>
      <c r="M893" s="4" t="n">
        <v>1514612696.953285</v>
      </c>
    </row>
    <row r="894">
      <c r="A894" t="inlineStr">
        <is>
          <t>BBG01TRL73S5</t>
        </is>
      </c>
      <c r="B894" t="inlineStr">
        <is>
          <t>q</t>
        </is>
      </c>
    </row>
    <row r="895">
      <c r="A895" t="inlineStr">
        <is>
          <t>BBG000CGC1X8</t>
        </is>
      </c>
      <c r="B895" t="inlineStr">
        <is>
          <t>qcom</t>
        </is>
      </c>
      <c r="C895" s="3" t="n">
        <v>2.026322365906206</v>
      </c>
      <c r="D895" s="3" t="n">
        <v>0.2794737150782998</v>
      </c>
      <c r="E895" s="3" t="n">
        <v>25.88441296447915</v>
      </c>
      <c r="F895" s="3" t="n">
        <v>0.02815368935384323</v>
      </c>
      <c r="H895" s="3" t="n">
        <v>6.713587287285885</v>
      </c>
      <c r="I895" s="3" t="n">
        <v>20.99942022753477</v>
      </c>
      <c r="J895" s="3" t="n">
        <v>0.2889747959259986</v>
      </c>
      <c r="K895" s="3" t="n">
        <v>0.01402236106541998</v>
      </c>
      <c r="L895" s="3" t="n">
        <v>17342.63005597587</v>
      </c>
      <c r="M895" s="4" t="n">
        <v>174364359081.8311</v>
      </c>
    </row>
    <row r="896">
      <c r="A896" t="inlineStr">
        <is>
          <t>BBG000BSWKH7</t>
        </is>
      </c>
      <c r="B896" t="inlineStr">
        <is>
          <t>qqq</t>
        </is>
      </c>
      <c r="C896" s="3" t="n">
        <v>1.351186380826422</v>
      </c>
      <c r="D896" s="3" t="n">
        <v>0.2529086527011404</v>
      </c>
      <c r="I896" s="3" t="n">
        <v>23.41541191245441</v>
      </c>
      <c r="J896" s="3" t="n">
        <v>0.05746122080991438</v>
      </c>
    </row>
    <row r="897">
      <c r="A897" t="inlineStr">
        <is>
          <t>BBG00VJ17DS2</t>
        </is>
      </c>
      <c r="B897" t="inlineStr">
        <is>
          <t>qs</t>
        </is>
      </c>
      <c r="C897" s="3" t="n">
        <v>1.406286371418334</v>
      </c>
      <c r="D897" s="3" t="n">
        <v>-0.18769716539119</v>
      </c>
      <c r="E897" s="3" t="n">
        <v>20.02852382612161</v>
      </c>
      <c r="F897" s="3" t="n">
        <v>2.681086470007255</v>
      </c>
      <c r="H897" s="3" t="n">
        <v>1.122213197388976</v>
      </c>
      <c r="I897" s="3" t="n">
        <v>17.66426084141553</v>
      </c>
      <c r="J897" s="3" t="n">
        <v>0.7985389389959527</v>
      </c>
      <c r="K897" s="3" t="n">
        <v>-0.6646291258573492</v>
      </c>
      <c r="L897" s="3" t="n">
        <v>8034.277431072556</v>
      </c>
      <c r="M897" s="4" t="n">
        <v>499203219.4005632</v>
      </c>
    </row>
    <row r="898">
      <c r="A898" t="inlineStr">
        <is>
          <t>BBG000BV5627</t>
        </is>
      </c>
      <c r="B898" t="inlineStr">
        <is>
          <t>qxo</t>
        </is>
      </c>
      <c r="C898" s="3" t="n">
        <v>-0.7847832074955238</v>
      </c>
      <c r="D898" s="3" t="n">
        <v>-0.3794423844726516</v>
      </c>
      <c r="E898" s="3" t="n">
        <v>22.64208638160636</v>
      </c>
      <c r="F898" s="3" t="n">
        <v>0.7402968676524726</v>
      </c>
      <c r="H898" s="3" t="n">
        <v>1.003942634222276</v>
      </c>
      <c r="I898" s="3" t="n">
        <v>17.43570746291464</v>
      </c>
      <c r="J898" s="3" t="n">
        <v>2.960797818060554</v>
      </c>
      <c r="K898" s="3" t="n">
        <v>0.002514634626069758</v>
      </c>
      <c r="L898" s="3" t="n">
        <v>11607.7842870203</v>
      </c>
      <c r="M898" s="4" t="n">
        <v>6812918194.903641</v>
      </c>
    </row>
    <row r="899">
      <c r="A899" t="inlineStr">
        <is>
          <t>BBG01V4YRP24</t>
        </is>
      </c>
      <c r="B899" t="inlineStr">
        <is>
          <t>ral</t>
        </is>
      </c>
    </row>
    <row r="900">
      <c r="A900" t="inlineStr">
        <is>
          <t>BBG01FRNQ4P1</t>
        </is>
      </c>
      <c r="B900" t="inlineStr">
        <is>
          <t>rapp</t>
        </is>
      </c>
      <c r="C900" s="3" t="n">
        <v>2.267244396064048</v>
      </c>
      <c r="E900" s="3" t="n">
        <v>20.54342873269611</v>
      </c>
      <c r="F900" s="3" t="n">
        <v>-0.01204443896000909</v>
      </c>
      <c r="H900" s="3" t="n">
        <v>-32.91035906483393</v>
      </c>
      <c r="I900" s="3" t="n">
        <v>14.98935172669833</v>
      </c>
      <c r="J900" s="3" t="n">
        <v>0.9640468404200073</v>
      </c>
      <c r="K900" s="3" t="n">
        <v>-0.01042486771046702</v>
      </c>
      <c r="L900" s="3" t="n">
        <v>8669.993849027247</v>
      </c>
      <c r="M900" s="4" t="n">
        <v>835406283.4611244</v>
      </c>
    </row>
    <row r="901">
      <c r="A901" t="inlineStr">
        <is>
          <t>BBG000GMGNB3</t>
        </is>
      </c>
      <c r="B901" t="inlineStr">
        <is>
          <t>rbc</t>
        </is>
      </c>
      <c r="C901" s="3" t="n">
        <v>1.020609456170085</v>
      </c>
      <c r="D901" s="3" t="n">
        <v>0.08772412790339712</v>
      </c>
      <c r="E901" s="3" t="n">
        <v>23.07707528814965</v>
      </c>
      <c r="F901" s="3" t="n">
        <v>0.2502662518043279</v>
      </c>
      <c r="H901" s="3" t="n">
        <v>1.776099004716385</v>
      </c>
      <c r="I901" s="3" t="n">
        <v>17.59238503562591</v>
      </c>
      <c r="J901" s="3" t="n">
        <v>0.219626927478654</v>
      </c>
      <c r="K901" s="3" t="n">
        <v>0.004750327458133928</v>
      </c>
      <c r="L901" s="3" t="n">
        <v>12289.72884156995</v>
      </c>
      <c r="M901" s="4" t="n">
        <v>10525590169.50195</v>
      </c>
    </row>
    <row r="902">
      <c r="A902" t="inlineStr">
        <is>
          <t>BBG001R1GCT0</t>
        </is>
      </c>
      <c r="B902" t="inlineStr">
        <is>
          <t>rblx</t>
        </is>
      </c>
      <c r="C902" s="3" t="n">
        <v>1.171118576730415</v>
      </c>
      <c r="D902" s="3" t="n">
        <v>0.3156957368066646</v>
      </c>
      <c r="E902" s="3" t="n">
        <v>24.17778624951841</v>
      </c>
      <c r="F902" s="3" t="n">
        <v>0.002410951434103459</v>
      </c>
      <c r="H902" s="3" t="n">
        <v>80.85041183837447</v>
      </c>
      <c r="I902" s="3" t="n">
        <v>19.78334266280079</v>
      </c>
      <c r="J902" s="3" t="n">
        <v>0.4598880915657824</v>
      </c>
      <c r="K902" s="3" t="n">
        <v>-0.007563226386359629</v>
      </c>
      <c r="L902" s="3" t="n">
        <v>14133.49603106407</v>
      </c>
      <c r="M902" s="4" t="n">
        <v>31643109404.21677</v>
      </c>
    </row>
    <row r="903">
      <c r="A903" t="inlineStr">
        <is>
          <t>BBG008D32605</t>
        </is>
      </c>
      <c r="B903" t="inlineStr">
        <is>
          <t>rbrk</t>
        </is>
      </c>
      <c r="C903" s="3" t="n">
        <v>1.830046780441773</v>
      </c>
      <c r="H903" s="3" t="n">
        <v>-0.8583392583995283</v>
      </c>
      <c r="I903" s="3" t="n">
        <v>18.10949789755335</v>
      </c>
      <c r="J903" s="3" t="n">
        <v>0.4925191274797339</v>
      </c>
    </row>
    <row r="904">
      <c r="A904" t="inlineStr">
        <is>
          <t>rcl</t>
        </is>
      </c>
      <c r="B904" t="inlineStr">
        <is>
          <t>rcl</t>
        </is>
      </c>
      <c r="C904" s="3" t="n">
        <v>1.370877210990077</v>
      </c>
      <c r="D904" s="3" t="n">
        <v>0.924737070423761</v>
      </c>
      <c r="E904" s="3" t="n">
        <v>24.88160188757717</v>
      </c>
      <c r="F904" s="3" t="n">
        <v>0.1101383578102697</v>
      </c>
      <c r="H904" s="3" t="n">
        <v>5.261462029061539</v>
      </c>
      <c r="I904" s="3" t="n">
        <v>19.66821119209379</v>
      </c>
      <c r="J904" s="3" t="n">
        <v>0.2940606289023086</v>
      </c>
      <c r="K904" s="3" t="n">
        <v>0.03634800310984769</v>
      </c>
      <c r="L904" s="3" t="n">
        <v>15404.05323796597</v>
      </c>
      <c r="M904" s="4" t="n">
        <v>63964999478.4375</v>
      </c>
    </row>
    <row r="905">
      <c r="A905" t="inlineStr">
        <is>
          <t>BBG005K1D4S0</t>
        </is>
      </c>
      <c r="B905" t="inlineStr">
        <is>
          <t>rddt</t>
        </is>
      </c>
      <c r="C905" s="3" t="n">
        <v>1.745244763772443</v>
      </c>
      <c r="H905" s="3" t="n">
        <v>1.146725030878231</v>
      </c>
      <c r="I905" s="3" t="n">
        <v>20.21646074586799</v>
      </c>
      <c r="J905" s="3" t="n">
        <v>0.9156891569280393</v>
      </c>
    </row>
    <row r="906">
      <c r="A906" t="inlineStr">
        <is>
          <t>BBG000BMWV95</t>
        </is>
      </c>
      <c r="B906" t="inlineStr">
        <is>
          <t>rdn</t>
        </is>
      </c>
      <c r="C906" s="3" t="n">
        <v>0.7866824410359431</v>
      </c>
      <c r="D906" s="3" t="n">
        <v>0.3901458779043814</v>
      </c>
      <c r="E906" s="3" t="n">
        <v>22.35157289167686</v>
      </c>
      <c r="F906" s="3" t="n">
        <v>0.8150544076258016</v>
      </c>
      <c r="H906" s="3" t="n">
        <v>2.027444201742579</v>
      </c>
      <c r="I906" s="3" t="n">
        <v>17.35536536431106</v>
      </c>
      <c r="J906" s="3" t="n">
        <v>0.2481997801909046</v>
      </c>
      <c r="K906" s="3" t="n">
        <v>0.08952451118702905</v>
      </c>
      <c r="L906" s="3" t="n">
        <v>11166.68512523277</v>
      </c>
      <c r="M906" s="4" t="n">
        <v>5095241446.864952</v>
      </c>
    </row>
    <row r="907">
      <c r="A907" t="inlineStr">
        <is>
          <t>BBG000CXSF54</t>
        </is>
      </c>
      <c r="B907" t="inlineStr">
        <is>
          <t>rdnt</t>
        </is>
      </c>
      <c r="C907" s="3" t="n">
        <v>1.401855385357418</v>
      </c>
      <c r="D907" s="3" t="n">
        <v>0.95726758385475</v>
      </c>
      <c r="E907" s="3" t="n">
        <v>22.5237250494709</v>
      </c>
      <c r="F907" s="3" t="n">
        <v>0.1479262983020001</v>
      </c>
      <c r="H907" s="3" t="n">
        <v>3.658320605577803</v>
      </c>
      <c r="I907" s="3" t="n">
        <v>17.53104622133685</v>
      </c>
      <c r="J907" s="3" t="n">
        <v>0.3958152811217378</v>
      </c>
      <c r="K907" s="3" t="n">
        <v>0.0005302006016344209</v>
      </c>
      <c r="L907" s="3" t="n">
        <v>11426.69542650138</v>
      </c>
      <c r="M907" s="4" t="n">
        <v>6052426175.258171</v>
      </c>
    </row>
    <row r="908">
      <c r="A908" t="inlineStr">
        <is>
          <t>reg</t>
        </is>
      </c>
      <c r="B908" t="inlineStr">
        <is>
          <t>reg</t>
        </is>
      </c>
      <c r="C908" s="3" t="n">
        <v>0.3509630362908625</v>
      </c>
      <c r="D908" s="3" t="n">
        <v>0.1861806038231535</v>
      </c>
      <c r="E908" s="3" t="n">
        <v>23.27322277105905</v>
      </c>
      <c r="F908" s="3" t="n">
        <v>0.5491475664426556</v>
      </c>
      <c r="H908" s="3" t="n">
        <v>1.767022049784524</v>
      </c>
      <c r="I908" s="3" t="n">
        <v>18.06271993113105</v>
      </c>
      <c r="J908" s="3" t="n">
        <v>0.1741620842336395</v>
      </c>
      <c r="K908" s="3" t="n">
        <v>0.007923209780183566</v>
      </c>
      <c r="L908" s="3" t="n">
        <v>12605.77583103822</v>
      </c>
      <c r="M908" s="4" t="n">
        <v>12806552244.25043</v>
      </c>
    </row>
    <row r="909">
      <c r="A909" t="inlineStr">
        <is>
          <t>BBG000C734W3</t>
        </is>
      </c>
      <c r="B909" t="inlineStr">
        <is>
          <t>regn</t>
        </is>
      </c>
      <c r="C909" s="3" t="n">
        <v>0.6950242577095801</v>
      </c>
      <c r="D909" s="3" t="n">
        <v>0.01746773821490177</v>
      </c>
      <c r="E909" s="3" t="n">
        <v>24.97046862329104</v>
      </c>
      <c r="F909" s="3" t="n">
        <v>0.3860858193488214</v>
      </c>
      <c r="H909" s="3" t="n">
        <v>1.387194297328112</v>
      </c>
      <c r="I909" s="3" t="n">
        <v>20.35601827676047</v>
      </c>
      <c r="J909" s="3" t="n">
        <v>0.195627571445847</v>
      </c>
      <c r="K909" s="3" t="n">
        <v>0.02048789115868997</v>
      </c>
      <c r="L909" s="3" t="n">
        <v>15569.69405058209</v>
      </c>
      <c r="M909" s="4" t="n">
        <v>69909586539.94995</v>
      </c>
    </row>
    <row r="910">
      <c r="A910" t="inlineStr">
        <is>
          <t>BBG004MB82R0</t>
        </is>
      </c>
      <c r="B910" t="inlineStr">
        <is>
          <t>rexr</t>
        </is>
      </c>
      <c r="C910" s="3" t="n">
        <v>0.8440715230692321</v>
      </c>
      <c r="D910" s="3" t="n">
        <v>-0.09934939831589695</v>
      </c>
      <c r="E910" s="3" t="n">
        <v>22.89104630525745</v>
      </c>
      <c r="F910" s="3" t="n">
        <v>0.9235327232092259</v>
      </c>
      <c r="H910" s="3" t="n">
        <v>1.53895092916067</v>
      </c>
      <c r="I910" s="3" t="n">
        <v>18.17528874357311</v>
      </c>
      <c r="J910" s="3" t="n">
        <v>0.2394456155411668</v>
      </c>
      <c r="K910" s="3" t="n">
        <v>0.007755010501893872</v>
      </c>
      <c r="L910" s="3" t="n">
        <v>11994.9082856886</v>
      </c>
      <c r="M910" s="4" t="n">
        <v>8738866307.87859</v>
      </c>
    </row>
    <row r="911">
      <c r="A911" t="inlineStr">
        <is>
          <t>BBG000Q3JN03</t>
        </is>
      </c>
      <c r="B911" t="inlineStr">
        <is>
          <t>rf</t>
        </is>
      </c>
      <c r="C911" s="3" t="n">
        <v>0.9291683610712841</v>
      </c>
      <c r="D911" s="3" t="n">
        <v>0.5049618539847596</v>
      </c>
      <c r="E911" s="3" t="n">
        <v>23.8623174978141</v>
      </c>
      <c r="F911" s="3" t="n">
        <v>0.7438274234583897</v>
      </c>
      <c r="H911" s="3" t="n">
        <v>9.1692003023374</v>
      </c>
      <c r="I911" s="3" t="n">
        <v>18.9551748146175</v>
      </c>
      <c r="J911" s="3" t="n">
        <v>0.2584966850562807</v>
      </c>
      <c r="K911" s="3" t="n">
        <v>0.02651420485506055</v>
      </c>
      <c r="L911" s="3" t="n">
        <v>13587.44689218974</v>
      </c>
      <c r="M911" s="4" t="n">
        <v>23081966942.58694</v>
      </c>
    </row>
    <row r="912">
      <c r="A912" t="inlineStr">
        <is>
          <t>BBG00ZCW9TW0</t>
        </is>
      </c>
      <c r="B912" t="inlineStr">
        <is>
          <t>rgtiw</t>
        </is>
      </c>
      <c r="H912" s="3" t="n">
        <v>1.459219974274373</v>
      </c>
    </row>
    <row r="913">
      <c r="A913" t="inlineStr">
        <is>
          <t>BBG002293PJ4</t>
        </is>
      </c>
      <c r="B913" t="inlineStr">
        <is>
          <t>rh</t>
        </is>
      </c>
      <c r="C913" s="3" t="n">
        <v>1.943441218413963</v>
      </c>
      <c r="D913" s="3" t="n">
        <v>0.1780938117378448</v>
      </c>
      <c r="E913" s="3" t="n">
        <v>22.6859524978141</v>
      </c>
      <c r="F913" s="3" t="n">
        <v>-0.03997821881288466</v>
      </c>
      <c r="H913" s="3" t="n">
        <v>-15.37833037710864</v>
      </c>
      <c r="I913" s="3" t="n">
        <v>19.27972227547098</v>
      </c>
      <c r="J913" s="3" t="n">
        <v>0.5888040364528841</v>
      </c>
      <c r="K913" s="3" t="n">
        <v>0.003557949370915693</v>
      </c>
      <c r="L913" s="3" t="n">
        <v>11675.38082335469</v>
      </c>
      <c r="M913" s="4" t="n">
        <v>7118426193.322632</v>
      </c>
    </row>
    <row r="914">
      <c r="A914" t="inlineStr">
        <is>
          <t>BBG000BS5DR2</t>
        </is>
      </c>
      <c r="B914" t="inlineStr">
        <is>
          <t>rhi</t>
        </is>
      </c>
      <c r="C914" s="3" t="n">
        <v>0.8619707175907037</v>
      </c>
      <c r="D914" s="3" t="n">
        <v>-0.1497637244956918</v>
      </c>
      <c r="E914" s="3" t="n">
        <v>22.65750593410334</v>
      </c>
      <c r="F914" s="3" t="n">
        <v>0.2310349470775173</v>
      </c>
      <c r="H914" s="3" t="n">
        <v>1.865661836540027</v>
      </c>
      <c r="I914" s="3" t="n">
        <v>18.09083493608781</v>
      </c>
      <c r="J914" s="3" t="n">
        <v>0.2289980918190825</v>
      </c>
      <c r="K914" s="3" t="n">
        <v>0.01536281419345207</v>
      </c>
      <c r="L914" s="3" t="n">
        <v>11631.51559289669</v>
      </c>
      <c r="M914" s="4" t="n">
        <v>6918784452.261414</v>
      </c>
    </row>
    <row r="915">
      <c r="A915" t="inlineStr">
        <is>
          <t>BBG000BDVP80</t>
        </is>
      </c>
      <c r="B915" t="inlineStr">
        <is>
          <t>rhp</t>
        </is>
      </c>
      <c r="C915" s="3" t="n">
        <v>0.9285399384893278</v>
      </c>
      <c r="D915" s="3" t="n">
        <v>0.1113839368847198</v>
      </c>
      <c r="E915" s="3" t="n">
        <v>22.59920274720038</v>
      </c>
      <c r="F915" s="3" t="n">
        <v>0.08455366936044433</v>
      </c>
      <c r="G915" s="3" t="n">
        <v>0.006756652265784258</v>
      </c>
      <c r="H915" s="3" t="n">
        <v>9.430549599129968</v>
      </c>
      <c r="I915" s="3" t="n">
        <v>17.63665296738742</v>
      </c>
      <c r="J915" s="3" t="n">
        <v>0.1907893202345284</v>
      </c>
      <c r="K915" s="3" t="n">
        <v>0.004188645214948988</v>
      </c>
      <c r="L915" s="3" t="n">
        <v>11541.95442857419</v>
      </c>
      <c r="M915" s="4" t="n">
        <v>6526931404.512451</v>
      </c>
    </row>
    <row r="916">
      <c r="A916" t="inlineStr">
        <is>
          <t>BBG000RTNP69</t>
        </is>
      </c>
      <c r="B916" t="inlineStr">
        <is>
          <t>rily</t>
        </is>
      </c>
      <c r="C916" s="3" t="n">
        <v>0.887793404661795</v>
      </c>
      <c r="D916" s="3" t="n">
        <v>-0.666849946090486</v>
      </c>
      <c r="E916" s="3" t="n">
        <v>18.99465287396743</v>
      </c>
      <c r="F916" s="3" t="n">
        <v>1.286815645380563</v>
      </c>
      <c r="H916" s="3" t="n">
        <v>21.87640995637359</v>
      </c>
      <c r="I916" s="3" t="n">
        <v>16.20476201776576</v>
      </c>
      <c r="J916" s="3" t="n">
        <v>1.335316992459699</v>
      </c>
      <c r="K916" s="3" t="n">
        <v>-0.276938359131077</v>
      </c>
      <c r="L916" s="3" t="n">
        <v>6853.210692083983</v>
      </c>
      <c r="M916" s="4" t="n">
        <v>177530479.6248593</v>
      </c>
    </row>
    <row r="917">
      <c r="A917" t="inlineStr">
        <is>
          <t>BBG003T1GM03</t>
        </is>
      </c>
      <c r="B917" t="inlineStr">
        <is>
          <t>ritm</t>
        </is>
      </c>
      <c r="C917" s="3" t="n">
        <v>0.7602462800770167</v>
      </c>
      <c r="D917" s="3" t="n">
        <v>0.1170126836282597</v>
      </c>
      <c r="E917" s="3" t="n">
        <v>22.35021836008577</v>
      </c>
      <c r="F917" s="3" t="n">
        <v>1.504721637547751</v>
      </c>
      <c r="H917" s="3" t="n">
        <v>5.521547716250816</v>
      </c>
      <c r="I917" s="3" t="n">
        <v>17.55692169963669</v>
      </c>
      <c r="J917" s="3" t="n">
        <v>0.1580559443723815</v>
      </c>
      <c r="K917" s="3" t="n">
        <v>0.01240973376792718</v>
      </c>
      <c r="L917" s="3" t="n">
        <v>11164.65510552487</v>
      </c>
      <c r="M917" s="4" t="n">
        <v>5088344453.511791</v>
      </c>
    </row>
    <row r="918">
      <c r="A918" t="inlineStr">
        <is>
          <t>BBG00741Y1N2</t>
        </is>
      </c>
      <c r="B918" t="inlineStr">
        <is>
          <t>rivn</t>
        </is>
      </c>
      <c r="C918" s="3" t="n">
        <v>1.61941828876739</v>
      </c>
      <c r="D918" s="3" t="n">
        <v>-0.3973746871396338</v>
      </c>
      <c r="E918" s="3" t="n">
        <v>23.19463455759483</v>
      </c>
      <c r="F918" s="3" t="n">
        <v>0.4982836052366465</v>
      </c>
      <c r="H918" s="3" t="n">
        <v>2.417697914490982</v>
      </c>
      <c r="I918" s="3" t="n">
        <v>19.80617696933988</v>
      </c>
      <c r="J918" s="3" t="n">
        <v>0.7296608915734677</v>
      </c>
      <c r="K918" s="3" t="n">
        <v>-0.1139489037911911</v>
      </c>
      <c r="L918" s="3" t="n">
        <v>12478.50631632792</v>
      </c>
      <c r="M918" s="4" t="n">
        <v>11838639556.88477</v>
      </c>
    </row>
    <row r="919">
      <c r="A919" t="inlineStr">
        <is>
          <t>rjf</t>
        </is>
      </c>
      <c r="B919" t="inlineStr">
        <is>
          <t>rjf</t>
        </is>
      </c>
      <c r="C919" s="3" t="n">
        <v>0.7248463752955071</v>
      </c>
      <c r="D919" s="3" t="n">
        <v>0.4307182446974935</v>
      </c>
      <c r="E919" s="3" t="n">
        <v>24.24530316432598</v>
      </c>
      <c r="F919" s="3" t="n">
        <v>0.3017133154199562</v>
      </c>
      <c r="H919" s="3" t="n">
        <v>7.671822987304501</v>
      </c>
      <c r="I919" s="3" t="n">
        <v>18.91283760204133</v>
      </c>
      <c r="J919" s="3" t="n">
        <v>0.2261234839220924</v>
      </c>
      <c r="K919" s="3" t="n">
        <v>0.06108705074294785</v>
      </c>
      <c r="L919" s="3" t="n">
        <v>14252.23113099503</v>
      </c>
      <c r="M919" s="4" t="n">
        <v>33853328566.16345</v>
      </c>
    </row>
    <row r="920">
      <c r="A920" t="inlineStr">
        <is>
          <t>BBG00VY1MYW7</t>
        </is>
      </c>
      <c r="B920" t="inlineStr">
        <is>
          <t>rkt</t>
        </is>
      </c>
      <c r="C920" s="3" t="n">
        <v>1.236168775875055</v>
      </c>
      <c r="D920" s="3" t="n">
        <v>0.7237687130497383</v>
      </c>
      <c r="I920" s="3" t="n">
        <v>17.8450949322451</v>
      </c>
      <c r="J920" s="3" t="n">
        <v>0.4823441860852471</v>
      </c>
    </row>
    <row r="921">
      <c r="A921" t="inlineStr">
        <is>
          <t>BBG000BS0ZF1</t>
        </is>
      </c>
      <c r="B921" t="inlineStr">
        <is>
          <t>rl</t>
        </is>
      </c>
      <c r="C921" s="3" t="n">
        <v>1.09598772564821</v>
      </c>
      <c r="D921" s="3" t="n">
        <v>0.5578673509774756</v>
      </c>
      <c r="H921" s="3" t="n">
        <v>2.797778233779972</v>
      </c>
      <c r="I921" s="3" t="n">
        <v>18.69474749033081</v>
      </c>
      <c r="J921" s="3" t="n">
        <v>0.2985109741645712</v>
      </c>
    </row>
    <row r="922">
      <c r="A922" t="inlineStr">
        <is>
          <t>BBG000BS7ZF4</t>
        </is>
      </c>
      <c r="B922" t="inlineStr">
        <is>
          <t>rli</t>
        </is>
      </c>
      <c r="C922" s="3" t="n">
        <v>0.3931696145101237</v>
      </c>
      <c r="D922" s="3" t="n">
        <v>0.1568401812836639</v>
      </c>
      <c r="E922" s="3" t="n">
        <v>22.03038176920501</v>
      </c>
      <c r="F922" s="3" t="n">
        <v>0.3515331918122592</v>
      </c>
      <c r="H922" s="3" t="n">
        <v>3.987573615714701</v>
      </c>
      <c r="I922" s="3" t="n">
        <v>16.87470463906723</v>
      </c>
      <c r="J922" s="3" t="n">
        <v>0.1845213452849234</v>
      </c>
      <c r="K922" s="3" t="n">
        <v>0.02673819325679352</v>
      </c>
      <c r="L922" s="3" t="n">
        <v>10692.17527835503</v>
      </c>
      <c r="M922" s="4" t="n">
        <v>3695500254.047882</v>
      </c>
    </row>
    <row r="923">
      <c r="A923" t="inlineStr">
        <is>
          <t>BBG000BR32C6</t>
        </is>
      </c>
      <c r="B923" t="inlineStr">
        <is>
          <t>rmbs</t>
        </is>
      </c>
      <c r="C923" s="3" t="n">
        <v>2.950960616734531</v>
      </c>
      <c r="D923" s="3" t="n">
        <v>-0.2933352890680367</v>
      </c>
      <c r="E923" s="3" t="n">
        <v>22.54152541601787</v>
      </c>
      <c r="F923" s="3" t="n">
        <v>0.1264861292758165</v>
      </c>
      <c r="H923" s="3" t="n">
        <v>1.606024401985348</v>
      </c>
      <c r="I923" s="3" t="n">
        <v>18.03897029182074</v>
      </c>
      <c r="J923" s="3" t="n">
        <v>0.4531674336393901</v>
      </c>
      <c r="K923" s="3" t="n">
        <v>0.04469296567452402</v>
      </c>
      <c r="L923" s="3" t="n">
        <v>11453.80819149375</v>
      </c>
      <c r="M923" s="4" t="n">
        <v>6161126159.32909</v>
      </c>
    </row>
    <row r="924">
      <c r="A924" t="inlineStr">
        <is>
          <t>BBG000L4M7F1</t>
        </is>
      </c>
      <c r="B924" t="inlineStr">
        <is>
          <t>rmd</t>
        </is>
      </c>
      <c r="C924" s="3" t="n">
        <v>0.8744230145066929</v>
      </c>
      <c r="D924" s="3" t="n">
        <v>0.5482488187635119</v>
      </c>
      <c r="E924" s="3" t="n">
        <v>24.30793292557948</v>
      </c>
      <c r="F924" s="3" t="n">
        <v>0.1179305202916153</v>
      </c>
      <c r="H924" s="3" t="n">
        <v>1.699241901963675</v>
      </c>
      <c r="I924" s="3" t="n">
        <v>19.30026437019169</v>
      </c>
      <c r="J924" s="3" t="n">
        <v>0.3547539237261225</v>
      </c>
      <c r="K924" s="3" t="n">
        <v>0.008638825634578183</v>
      </c>
      <c r="L924" s="3" t="n">
        <v>14362.96452786789</v>
      </c>
      <c r="M924" s="4" t="n">
        <v>36041357142.93347</v>
      </c>
    </row>
    <row r="925">
      <c r="A925" t="inlineStr">
        <is>
          <t>BBG000J094P3</t>
        </is>
      </c>
      <c r="B925" t="inlineStr">
        <is>
          <t>rng</t>
        </is>
      </c>
      <c r="C925" s="3" t="n">
        <v>1.102295448863219</v>
      </c>
      <c r="D925" s="3" t="n">
        <v>0.2652846464582892</v>
      </c>
      <c r="E925" s="3" t="n">
        <v>21.05293993793733</v>
      </c>
      <c r="F925" s="3" t="n">
        <v>-0.3472001662464404</v>
      </c>
      <c r="H925" s="3" t="n">
        <v>-3.766427024270386</v>
      </c>
      <c r="I925" s="3" t="n">
        <v>17.59013880011968</v>
      </c>
      <c r="J925" s="3" t="n">
        <v>0.4277797974612397</v>
      </c>
      <c r="K925" s="3" t="n">
        <v>-0.03912147974912355</v>
      </c>
      <c r="L925" s="3" t="n">
        <v>9331.216252395336</v>
      </c>
      <c r="M925" s="4" t="n">
        <v>1390514886.188507</v>
      </c>
    </row>
    <row r="926">
      <c r="A926" t="inlineStr">
        <is>
          <t>BBG000BS9HN3</t>
        </is>
      </c>
      <c r="B926" t="inlineStr">
        <is>
          <t>rog</t>
        </is>
      </c>
      <c r="C926" s="3" t="n">
        <v>1.370505639850799</v>
      </c>
      <c r="D926" s="3" t="n">
        <v>-0.2250386127566785</v>
      </c>
      <c r="E926" s="3" t="n">
        <v>21.38226688207518</v>
      </c>
      <c r="F926" s="3" t="n">
        <v>0.6513661906596689</v>
      </c>
      <c r="H926" s="3" t="n">
        <v>1.205083398566256</v>
      </c>
      <c r="I926" s="3" t="n">
        <v>16.41387626037614</v>
      </c>
      <c r="J926" s="3" t="n">
        <v>0.2771664739768664</v>
      </c>
      <c r="K926" s="3" t="n">
        <v>0.005535836568751754</v>
      </c>
      <c r="L926" s="3" t="n">
        <v>9776.001006923889</v>
      </c>
      <c r="M926" s="4" t="n">
        <v>1932860528.2285</v>
      </c>
    </row>
    <row r="927">
      <c r="A927" t="inlineStr">
        <is>
          <t>rok</t>
        </is>
      </c>
      <c r="B927" t="inlineStr">
        <is>
          <t>rok</t>
        </is>
      </c>
      <c r="C927" s="3" t="n">
        <v>1.461631155720748</v>
      </c>
      <c r="D927" s="3" t="n">
        <v>-0.01810424866859983</v>
      </c>
      <c r="E927" s="3" t="n">
        <v>24.20668016808937</v>
      </c>
      <c r="F927" s="3" t="n">
        <v>0.1093496810063396</v>
      </c>
      <c r="H927" s="3" t="n">
        <v>3.173854446548221</v>
      </c>
      <c r="I927" s="3" t="n">
        <v>19.15767848294951</v>
      </c>
      <c r="J927" s="3" t="n">
        <v>0.2823093835803624</v>
      </c>
      <c r="K927" s="3" t="n">
        <v>0.02862078072610899</v>
      </c>
      <c r="L927" s="3" t="n">
        <v>14184.22776096695</v>
      </c>
      <c r="M927" s="4" t="n">
        <v>32570739732.51157</v>
      </c>
    </row>
    <row r="928">
      <c r="A928" t="inlineStr">
        <is>
          <t>BBG001ZZPQJ6</t>
        </is>
      </c>
      <c r="B928" t="inlineStr">
        <is>
          <t>roku</t>
        </is>
      </c>
      <c r="C928" s="3" t="n">
        <v>2.054588807217882</v>
      </c>
      <c r="D928" s="3" t="n">
        <v>-0.3850287552034742</v>
      </c>
      <c r="E928" s="3" t="n">
        <v>23.01640070548173</v>
      </c>
      <c r="F928" s="3" t="n">
        <v>0.2413489586559923</v>
      </c>
      <c r="H928" s="3" t="n">
        <v>1.799998242504881</v>
      </c>
      <c r="I928" s="3" t="n">
        <v>19.40005795945833</v>
      </c>
      <c r="J928" s="3" t="n">
        <v>0.4811149003463863</v>
      </c>
      <c r="K928" s="3" t="n">
        <v>-0.009472899357643443</v>
      </c>
      <c r="L928" s="3" t="n">
        <v>12193.0464838477</v>
      </c>
      <c r="M928" s="4" t="n">
        <v>9905942884.82666</v>
      </c>
    </row>
    <row r="929">
      <c r="A929" t="inlineStr">
        <is>
          <t>BBG000BSBBP1</t>
        </is>
      </c>
      <c r="B929" t="inlineStr">
        <is>
          <t>rol</t>
        </is>
      </c>
      <c r="C929" s="3" t="n">
        <v>0.4517016645857665</v>
      </c>
      <c r="D929" s="3" t="n">
        <v>0.1687524974196954</v>
      </c>
      <c r="E929" s="3" t="n">
        <v>23.89832023452922</v>
      </c>
      <c r="F929" s="3" t="n">
        <v>0.05609403989220645</v>
      </c>
      <c r="G929" s="3" t="n">
        <v>0</v>
      </c>
      <c r="H929" s="3" t="n">
        <v>1.9336996390816</v>
      </c>
      <c r="I929" s="3" t="n">
        <v>18.1404852603348</v>
      </c>
      <c r="J929" s="3" t="n">
        <v>0.204607258521155</v>
      </c>
      <c r="K929" s="3" t="n">
        <v>0.01507448048224287</v>
      </c>
      <c r="L929" s="3" t="n">
        <v>13649.04070580114</v>
      </c>
      <c r="M929" s="4" t="n">
        <v>23928121463.94168</v>
      </c>
    </row>
    <row r="930">
      <c r="A930" t="inlineStr">
        <is>
          <t>BBG000F1ZSN5</t>
        </is>
      </c>
      <c r="B930" t="inlineStr">
        <is>
          <t>rop</t>
        </is>
      </c>
      <c r="C930" s="3" t="n">
        <v>0.8798519203326465</v>
      </c>
      <c r="D930" s="3" t="n">
        <v>0.004586082697017657</v>
      </c>
      <c r="E930" s="3" t="n">
        <v>24.81910853811338</v>
      </c>
      <c r="F930" s="3" t="n">
        <v>0.2668965189337937</v>
      </c>
      <c r="H930" s="3" t="n">
        <v>1.967395777353041</v>
      </c>
      <c r="I930" s="3" t="n">
        <v>19.31614125326053</v>
      </c>
      <c r="J930" s="3" t="n">
        <v>0.1412751683269358</v>
      </c>
      <c r="K930" s="3" t="n">
        <v>0.005778003926586763</v>
      </c>
      <c r="L930" s="3" t="n">
        <v>15288.2767189564</v>
      </c>
      <c r="M930" s="4" t="n">
        <v>60089955701.93793</v>
      </c>
    </row>
    <row r="931">
      <c r="A931" t="inlineStr">
        <is>
          <t>BBG000BSBZH7</t>
        </is>
      </c>
      <c r="B931" t="inlineStr">
        <is>
          <t>rost</t>
        </is>
      </c>
      <c r="C931" s="3" t="n">
        <v>0.6889384536617896</v>
      </c>
      <c r="D931" s="3" t="n">
        <v>0.08244161573736819</v>
      </c>
      <c r="E931" s="3" t="n">
        <v>24.645041029005</v>
      </c>
      <c r="F931" s="3" t="n">
        <v>0.09648101625222012</v>
      </c>
      <c r="H931" s="3" t="n">
        <v>2.871354123523789</v>
      </c>
      <c r="I931" s="3" t="n">
        <v>19.72609167073843</v>
      </c>
      <c r="J931" s="3" t="n">
        <v>0.1915999774396985</v>
      </c>
      <c r="K931" s="3" t="n">
        <v>0.01619152477094583</v>
      </c>
      <c r="L931" s="3" t="n">
        <v>14968.85689635136</v>
      </c>
      <c r="M931" s="4" t="n">
        <v>50489994707.03052</v>
      </c>
    </row>
    <row r="932">
      <c r="A932" t="inlineStr">
        <is>
          <t>BBG009DFHWG6</t>
        </is>
      </c>
      <c r="B932" t="inlineStr">
        <is>
          <t>rpd</t>
        </is>
      </c>
      <c r="C932" s="3" t="n">
        <v>1.374407951784132</v>
      </c>
      <c r="D932" s="3" t="n">
        <v>-0.2535549948299054</v>
      </c>
      <c r="E932" s="3" t="n">
        <v>21.71377353351458</v>
      </c>
      <c r="F932" s="3" t="n">
        <v>-0.0412322486047098</v>
      </c>
      <c r="H932" s="3" t="n">
        <v>-13.55900644520011</v>
      </c>
      <c r="I932" s="3" t="n">
        <v>17.13679693677394</v>
      </c>
      <c r="J932" s="3" t="n">
        <v>0.373706170371489</v>
      </c>
      <c r="K932" s="3" t="n">
        <v>0.006147958453300841</v>
      </c>
      <c r="L932" s="3" t="n">
        <v>10237.78281033871</v>
      </c>
      <c r="M932" s="4" t="n">
        <v>2692601148.754379</v>
      </c>
    </row>
    <row r="933">
      <c r="A933" t="inlineStr">
        <is>
          <t>BBG000DCNK80</t>
        </is>
      </c>
      <c r="B933" t="inlineStr">
        <is>
          <t>rpm</t>
        </is>
      </c>
      <c r="C933" s="3" t="n">
        <v>0.8427392866091599</v>
      </c>
      <c r="D933" s="3" t="n">
        <v>0.2553241870549645</v>
      </c>
      <c r="E933" s="3" t="n">
        <v>23.57760367684224</v>
      </c>
      <c r="F933" s="3" t="n">
        <v>0.1446117147714806</v>
      </c>
      <c r="H933" s="3" t="n">
        <v>2.648419838332468</v>
      </c>
      <c r="I933" s="3" t="n">
        <v>18.19643766663014</v>
      </c>
      <c r="J933" s="3" t="n">
        <v>0.187914583956611</v>
      </c>
      <c r="K933" s="3" t="n">
        <v>0.01158110563039904</v>
      </c>
      <c r="L933" s="3" t="n">
        <v>13106.86993327488</v>
      </c>
      <c r="M933" s="4" t="n">
        <v>17362936355.62759</v>
      </c>
    </row>
    <row r="934">
      <c r="A934" t="inlineStr">
        <is>
          <t>BBG000FVXD63</t>
        </is>
      </c>
      <c r="B934" t="inlineStr">
        <is>
          <t>rrc</t>
        </is>
      </c>
      <c r="C934" s="3" t="n">
        <v>0.8958705820247661</v>
      </c>
      <c r="D934" s="3" t="n">
        <v>-0.0665872299845699</v>
      </c>
      <c r="E934" s="3" t="n">
        <v>22.86097716753539</v>
      </c>
      <c r="F934" s="3" t="n">
        <v>0.4065538871962269</v>
      </c>
      <c r="G934" s="3" t="n">
        <v>-0.002071686052703137</v>
      </c>
      <c r="H934" s="3" t="n">
        <v>2.10040173046009</v>
      </c>
      <c r="I934" s="3" t="n">
        <v>18.05473491089486</v>
      </c>
      <c r="J934" s="3" t="n">
        <v>0.2848544073843886</v>
      </c>
      <c r="K934" s="3" t="n">
        <v>0.01086532061866177</v>
      </c>
      <c r="L934" s="3" t="n">
        <v>11947.70166494432</v>
      </c>
      <c r="M934" s="4" t="n">
        <v>8480007468.061523</v>
      </c>
    </row>
    <row r="935">
      <c r="A935" t="inlineStr">
        <is>
          <t>BBG000BRXTR8</t>
        </is>
      </c>
      <c r="B935" t="inlineStr">
        <is>
          <t>rrx</t>
        </is>
      </c>
      <c r="C935" s="3" t="n">
        <v>1.689211807204195</v>
      </c>
      <c r="D935" s="3" t="n">
        <v>0.4025890850374896</v>
      </c>
      <c r="E935" s="3" t="n">
        <v>23.14573141715473</v>
      </c>
      <c r="F935" s="3" t="n">
        <v>0.5741810857720178</v>
      </c>
      <c r="H935" s="3" t="n">
        <v>2.249154191616203</v>
      </c>
      <c r="I935" s="3" t="n">
        <v>18.1584067336946</v>
      </c>
      <c r="J935" s="3" t="n">
        <v>0.3050527267794718</v>
      </c>
      <c r="K935" s="3" t="n">
        <v>-0.01237401885730121</v>
      </c>
      <c r="L935" s="3" t="n">
        <v>12399.74425158706</v>
      </c>
      <c r="M935" s="4" t="n">
        <v>11273621092.41614</v>
      </c>
    </row>
    <row r="936">
      <c r="A936" t="inlineStr">
        <is>
          <t>rsg</t>
        </is>
      </c>
      <c r="B936" t="inlineStr">
        <is>
          <t>rsg</t>
        </is>
      </c>
      <c r="C936" s="3" t="n">
        <v>0.3731098840669739</v>
      </c>
      <c r="D936" s="3" t="n">
        <v>0.2378579141771893</v>
      </c>
      <c r="E936" s="3" t="n">
        <v>24.9318832295047</v>
      </c>
      <c r="F936" s="3" t="n">
        <v>0.1669375504085263</v>
      </c>
      <c r="H936" s="3" t="n">
        <v>2.833268024826048</v>
      </c>
      <c r="I936" s="3" t="n">
        <v>19.07057766127093</v>
      </c>
      <c r="J936" s="3" t="n">
        <v>0.1384782243802917</v>
      </c>
      <c r="K936" s="3" t="n">
        <v>0.008409749679577574</v>
      </c>
      <c r="L936" s="3" t="n">
        <v>15497.6287313484</v>
      </c>
      <c r="M936" s="4" t="n">
        <v>67263476505.76016</v>
      </c>
    </row>
    <row r="937">
      <c r="A937" t="inlineStr">
        <is>
          <t>BBG000BW8S60</t>
        </is>
      </c>
      <c r="B937" t="inlineStr">
        <is>
          <t>rtx</t>
        </is>
      </c>
      <c r="C937" s="3" t="n">
        <v>0.2388907090302816</v>
      </c>
      <c r="D937" s="3" t="n">
        <v>0.5117181764043159</v>
      </c>
      <c r="E937" s="3" t="n">
        <v>25.78589043241305</v>
      </c>
      <c r="F937" s="3" t="n">
        <v>0.3784571661478615</v>
      </c>
      <c r="H937" s="3" t="n">
        <v>2.75631292011846</v>
      </c>
      <c r="I937" s="3" t="n">
        <v>20.20691553196923</v>
      </c>
      <c r="J937" s="3" t="n">
        <v>0.1762512629580526</v>
      </c>
      <c r="K937" s="3" t="n">
        <v>0.009316180283114019</v>
      </c>
      <c r="L937" s="3" t="n">
        <v>17145.3517282694</v>
      </c>
      <c r="M937" s="4" t="n">
        <v>158004670933.5099</v>
      </c>
    </row>
    <row r="938">
      <c r="A938" t="inlineStr">
        <is>
          <t>BBG0025XVR85</t>
        </is>
      </c>
      <c r="B938" t="inlineStr">
        <is>
          <t>run</t>
        </is>
      </c>
      <c r="C938" s="3" t="n">
        <v>1.383139942948656</v>
      </c>
      <c r="D938" s="3" t="n">
        <v>0.1201550570984791</v>
      </c>
      <c r="E938" s="3" t="n">
        <v>21.67362283727813</v>
      </c>
      <c r="F938" s="3" t="n">
        <v>2.022021738321165</v>
      </c>
      <c r="H938" s="3" t="n">
        <v>3.910008702505893</v>
      </c>
      <c r="I938" s="3" t="n">
        <v>18.67142682318946</v>
      </c>
      <c r="J938" s="3" t="n">
        <v>0.8866631216679677</v>
      </c>
      <c r="K938" s="3" t="n">
        <v>-0.03238418534186478</v>
      </c>
      <c r="L938" s="3" t="n">
        <v>10181.0960488175</v>
      </c>
      <c r="M938" s="4" t="n">
        <v>2586632922.314924</v>
      </c>
    </row>
    <row r="939">
      <c r="A939" t="inlineStr">
        <is>
          <t>BBG000PLLP24</t>
        </is>
      </c>
      <c r="B939" t="inlineStr">
        <is>
          <t>rusha</t>
        </is>
      </c>
      <c r="C939" s="3" t="n">
        <v>1.211908538252883</v>
      </c>
      <c r="D939" s="3" t="n">
        <v>0.4420285914885187</v>
      </c>
      <c r="G939" s="3" t="n">
        <v>-0.1044483589546076</v>
      </c>
      <c r="H939" s="3" t="n">
        <v>2.095041160631415</v>
      </c>
      <c r="I939" s="3" t="n">
        <v>16.84783751528122</v>
      </c>
      <c r="J939" s="3" t="n">
        <v>0.2954670626132896</v>
      </c>
    </row>
    <row r="940">
      <c r="A940" t="inlineStr">
        <is>
          <t>rvty</t>
        </is>
      </c>
      <c r="B940" t="inlineStr">
        <is>
          <t>rvty</t>
        </is>
      </c>
      <c r="C940" s="3" t="n">
        <v>0.9290321044811243</v>
      </c>
      <c r="D940" s="3" t="n">
        <v>0.3374220332545212</v>
      </c>
      <c r="E940" s="3" t="n">
        <v>23.36768388564873</v>
      </c>
      <c r="F940" s="3" t="n">
        <v>0.5591597386813526</v>
      </c>
      <c r="H940" s="3" t="n">
        <v>1.622519380850304</v>
      </c>
      <c r="I940" s="3" t="n">
        <v>18.39787767635764</v>
      </c>
      <c r="J940" s="3" t="n">
        <v>0.266671108435613</v>
      </c>
      <c r="K940" s="3" t="n">
        <v>0.001848137479942735</v>
      </c>
      <c r="L940" s="3" t="n">
        <v>12759.89224358226</v>
      </c>
      <c r="M940" s="4" t="n">
        <v>14075251587.32124</v>
      </c>
    </row>
    <row r="941">
      <c r="A941" t="inlineStr">
        <is>
          <t>BBG000BG7L34</t>
        </is>
      </c>
      <c r="B941" t="inlineStr">
        <is>
          <t>ryn</t>
        </is>
      </c>
      <c r="C941" s="3" t="n">
        <v>0.4248548817374065</v>
      </c>
      <c r="D941" s="3" t="n">
        <v>0.06103549775602901</v>
      </c>
      <c r="E941" s="3" t="n">
        <v>22.0951185062031</v>
      </c>
      <c r="F941" s="3" t="n">
        <v>0.4532499067435116</v>
      </c>
      <c r="H941" s="3" t="n">
        <v>2.041172239562188</v>
      </c>
      <c r="I941" s="3" t="n">
        <v>16.59063021188768</v>
      </c>
      <c r="J941" s="3" t="n">
        <v>0.2000114724795006</v>
      </c>
      <c r="K941" s="3" t="n">
        <v>0.007294081895758494</v>
      </c>
      <c r="L941" s="3" t="n">
        <v>10786.71006858913</v>
      </c>
      <c r="M941" s="4" t="n">
        <v>3942648355.707205</v>
      </c>
    </row>
    <row r="942">
      <c r="A942" t="inlineStr">
        <is>
          <t>BBG00B6F2F09</t>
        </is>
      </c>
      <c r="B942" t="inlineStr">
        <is>
          <t>s</t>
        </is>
      </c>
      <c r="C942" s="3" t="n">
        <v>1.837366424740938</v>
      </c>
      <c r="D942" s="3" t="n">
        <v>0.350969130926444</v>
      </c>
      <c r="H942" s="3" t="n">
        <v>1.43670054212545</v>
      </c>
      <c r="I942" s="3" t="n">
        <v>18.3892975788069</v>
      </c>
      <c r="J942" s="3" t="n">
        <v>0.4615248540760912</v>
      </c>
    </row>
    <row r="943">
      <c r="A943" t="inlineStr">
        <is>
          <t>BBG005WQVVH4</t>
        </is>
      </c>
      <c r="B943" t="inlineStr">
        <is>
          <t>sabr</t>
        </is>
      </c>
      <c r="C943" s="3" t="n">
        <v>1.967988751811486</v>
      </c>
      <c r="D943" s="3" t="n">
        <v>-0.09348439840812028</v>
      </c>
      <c r="I943" s="3" t="n">
        <v>16.37325298795652</v>
      </c>
      <c r="J943" s="3" t="n">
        <v>0.5934648867943197</v>
      </c>
    </row>
    <row r="944">
      <c r="A944" t="inlineStr">
        <is>
          <t>BBG01RW30Q09</t>
        </is>
      </c>
      <c r="B944" t="inlineStr">
        <is>
          <t>sail</t>
        </is>
      </c>
    </row>
    <row r="945">
      <c r="A945" t="inlineStr">
        <is>
          <t>BBG000RD8M04</t>
        </is>
      </c>
      <c r="B945" t="inlineStr">
        <is>
          <t>saro</t>
        </is>
      </c>
      <c r="E945" s="3" t="n">
        <v>22.98353513961313</v>
      </c>
      <c r="F945" s="3" t="n">
        <v>0.1208917027053082</v>
      </c>
      <c r="H945" s="3" t="n">
        <v>5.228684493964001</v>
      </c>
      <c r="K945" s="3" t="n">
        <v>0.0005637581775893278</v>
      </c>
      <c r="L945" s="3" t="n">
        <v>12140.88896742485</v>
      </c>
      <c r="M945" s="4" t="n">
        <v>9585670264.765205</v>
      </c>
    </row>
    <row r="946">
      <c r="A946" t="inlineStr">
        <is>
          <t>BBG000TGLV00</t>
        </is>
      </c>
      <c r="B946" t="inlineStr">
        <is>
          <t>sats</t>
        </is>
      </c>
      <c r="C946" s="3" t="n">
        <v>1.360011480625703</v>
      </c>
      <c r="D946" s="3" t="n">
        <v>1.393505141051342</v>
      </c>
      <c r="E946" s="3" t="n">
        <v>20.9105792975709</v>
      </c>
      <c r="F946" s="3" t="n">
        <v>16.48432029560981</v>
      </c>
      <c r="H946" s="3" t="n">
        <v>2.894711500662458</v>
      </c>
      <c r="I946" s="3" t="n">
        <v>17.66445692633133</v>
      </c>
      <c r="J946" s="3" t="n">
        <v>0.7092938632341489</v>
      </c>
      <c r="K946" s="3" t="n">
        <v>0.3255052135383343</v>
      </c>
      <c r="L946" s="3" t="n">
        <v>9143.199447580264</v>
      </c>
      <c r="M946" s="4" t="n">
        <v>1206005259.968788</v>
      </c>
    </row>
    <row r="947">
      <c r="A947" t="inlineStr">
        <is>
          <t>BBG000D2M0Z7</t>
        </is>
      </c>
      <c r="B947" t="inlineStr">
        <is>
          <t>sbac</t>
        </is>
      </c>
      <c r="C947" s="3" t="n">
        <v>0.257581621575682</v>
      </c>
      <c r="D947" s="3" t="n">
        <v>-0.05782654359578121</v>
      </c>
      <c r="E947" s="3" t="n">
        <v>23.88160379471588</v>
      </c>
      <c r="F947" s="3" t="n">
        <v>-0.2199121307575813</v>
      </c>
      <c r="H947" s="3" t="n">
        <v>-1.966904754371121</v>
      </c>
      <c r="I947" s="3" t="n">
        <v>19.09427306242343</v>
      </c>
      <c r="J947" s="3" t="n">
        <v>0.2586483247656681</v>
      </c>
      <c r="K947" s="3" t="n">
        <v>0.02447388168320091</v>
      </c>
      <c r="L947" s="3" t="n">
        <v>13620.41896925377</v>
      </c>
      <c r="M947" s="4" t="n">
        <v>23531453139.72949</v>
      </c>
    </row>
    <row r="948">
      <c r="A948" t="inlineStr">
        <is>
          <t>BBG000LR8515</t>
        </is>
      </c>
      <c r="B948" t="inlineStr">
        <is>
          <t>sbh</t>
        </is>
      </c>
      <c r="C948" s="3" t="n">
        <v>1.543613857073496</v>
      </c>
      <c r="D948" s="3" t="n">
        <v>0.3443640018028093</v>
      </c>
      <c r="E948" s="3" t="n">
        <v>21.07336049036257</v>
      </c>
      <c r="F948" s="3" t="n">
        <v>0.1978161141385741</v>
      </c>
      <c r="H948" s="3" t="n">
        <v>9.707345882121436</v>
      </c>
      <c r="I948" s="3" t="n">
        <v>16.74983487998008</v>
      </c>
      <c r="J948" s="3" t="n">
        <v>0.4602848968055738</v>
      </c>
      <c r="K948" s="3" t="n">
        <v>0.1300731089152663</v>
      </c>
      <c r="L948" s="3" t="n">
        <v>9358.395374535765</v>
      </c>
      <c r="M948" s="4" t="n">
        <v>1419201873.541603</v>
      </c>
    </row>
    <row r="949">
      <c r="A949" t="inlineStr">
        <is>
          <t>BBG000CTQBF3</t>
        </is>
      </c>
      <c r="B949" t="inlineStr">
        <is>
          <t>sbux</t>
        </is>
      </c>
      <c r="C949" s="3" t="n">
        <v>0.7504349146294852</v>
      </c>
      <c r="D949" s="3" t="n">
        <v>0.003343977706378398</v>
      </c>
      <c r="E949" s="3" t="n">
        <v>25.43983793063079</v>
      </c>
      <c r="F949" s="3" t="n">
        <v>-0.0715198129590482</v>
      </c>
      <c r="H949" s="3" t="n">
        <v>-3.919960474798614</v>
      </c>
      <c r="I949" s="3" t="n">
        <v>20.44429126679989</v>
      </c>
      <c r="J949" s="3" t="n">
        <v>0.3585543351156525</v>
      </c>
      <c r="K949" s="3" t="n">
        <v>0.03364422681714169</v>
      </c>
      <c r="L949" s="3" t="n">
        <v>16464.29051522914</v>
      </c>
      <c r="M949" s="4" t="n">
        <v>111784408671.5698</v>
      </c>
    </row>
    <row r="950">
      <c r="A950" t="inlineStr">
        <is>
          <t>BBG000BSLZY7</t>
        </is>
      </c>
      <c r="B950" t="inlineStr">
        <is>
          <t>schw</t>
        </is>
      </c>
      <c r="C950" s="3" t="n">
        <v>0.705488053493538</v>
      </c>
      <c r="D950" s="3" t="n">
        <v>0.1681915081464733</v>
      </c>
      <c r="E950" s="3" t="n">
        <v>25.37367340608676</v>
      </c>
      <c r="F950" s="3" t="n">
        <v>0.3611283525733801</v>
      </c>
      <c r="H950" s="3" t="n">
        <v>13.05256193063062</v>
      </c>
      <c r="I950" s="3" t="n">
        <v>20.13334048654823</v>
      </c>
      <c r="J950" s="3" t="n">
        <v>0.2538169111778028</v>
      </c>
      <c r="K950" s="3" t="n">
        <v>0.01345724964067645</v>
      </c>
      <c r="L950" s="3" t="n">
        <v>16336.16219918961</v>
      </c>
      <c r="M950" s="4" t="n">
        <v>104627619876.402</v>
      </c>
    </row>
    <row r="951">
      <c r="A951" t="inlineStr">
        <is>
          <t>BBG000BTHH16</t>
        </is>
      </c>
      <c r="B951" t="inlineStr">
        <is>
          <t>sci</t>
        </is>
      </c>
      <c r="C951" s="3" t="n">
        <v>0.4028577202831383</v>
      </c>
      <c r="D951" s="3" t="n">
        <v>0.3543861737969867</v>
      </c>
      <c r="E951" s="3" t="n">
        <v>23.24720128747662</v>
      </c>
      <c r="F951" s="3" t="n">
        <v>0.1235224211598415</v>
      </c>
      <c r="H951" s="3" t="n">
        <v>10.61167975725659</v>
      </c>
      <c r="I951" s="3" t="n">
        <v>18.0572867372725</v>
      </c>
      <c r="J951" s="3" t="n">
        <v>0.2063770558799867</v>
      </c>
      <c r="K951" s="3" t="n">
        <v>0.03197103889659804</v>
      </c>
      <c r="L951" s="3" t="n">
        <v>12563.54003420004</v>
      </c>
      <c r="M951" s="4" t="n">
        <v>12477605161.91663</v>
      </c>
    </row>
    <row r="952">
      <c r="A952" t="inlineStr">
        <is>
          <t>BBG003LB3TH0</t>
        </is>
      </c>
      <c r="B952" t="inlineStr">
        <is>
          <t>scm</t>
        </is>
      </c>
      <c r="C952" s="3" t="n">
        <v>0.1715946753078511</v>
      </c>
      <c r="D952" s="3" t="n">
        <v>0.2259353070664238</v>
      </c>
      <c r="E952" s="3" t="n">
        <v>19.55335322882983</v>
      </c>
      <c r="F952" s="3" t="n">
        <v>1.030753558277349</v>
      </c>
      <c r="H952" s="3" t="n">
        <v>2.838303828474426</v>
      </c>
      <c r="I952" s="3" t="n">
        <v>14.30074268874951</v>
      </c>
      <c r="J952" s="3" t="n">
        <v>0.1315987793708284</v>
      </c>
      <c r="K952" s="3" t="n">
        <v>0.0498102531376602</v>
      </c>
      <c r="L952" s="3" t="n">
        <v>7475.904371832222</v>
      </c>
      <c r="M952" s="4" t="n">
        <v>310394065.0022564</v>
      </c>
    </row>
    <row r="953">
      <c r="A953" t="inlineStr">
        <is>
          <t>BBG00HTBWMG5</t>
        </is>
      </c>
      <c r="B953" t="inlineStr">
        <is>
          <t>se</t>
        </is>
      </c>
      <c r="C953" s="3" t="n">
        <v>1.316202429696629</v>
      </c>
      <c r="D953" s="3" t="n">
        <v>1.596631691939299</v>
      </c>
      <c r="H953" s="3" t="n">
        <v>2.863772950945994</v>
      </c>
      <c r="I953" s="3" t="n">
        <v>19.74389814769452</v>
      </c>
      <c r="J953" s="3" t="n">
        <v>0.3706733406171636</v>
      </c>
    </row>
    <row r="954">
      <c r="A954" t="inlineStr">
        <is>
          <t>BBG0084BBZY6</t>
        </is>
      </c>
      <c r="B954" t="inlineStr">
        <is>
          <t>sedg</t>
        </is>
      </c>
      <c r="C954" s="3" t="n">
        <v>1.941452351975169</v>
      </c>
      <c r="D954" s="3" t="n">
        <v>-0.7850844034237126</v>
      </c>
      <c r="E954" s="3" t="n">
        <v>20.6351033932825</v>
      </c>
      <c r="F954" s="3" t="n">
        <v>1.044509972558067</v>
      </c>
      <c r="H954" s="3" t="n">
        <v>2.944891387873585</v>
      </c>
      <c r="I954" s="3" t="n">
        <v>18.18401855178816</v>
      </c>
      <c r="J954" s="3" t="n">
        <v>0.8466899168664522</v>
      </c>
      <c r="K954" s="3" t="n">
        <v>-0.0668143180343219</v>
      </c>
      <c r="L954" s="3" t="n">
        <v>8786.58162411617</v>
      </c>
      <c r="M954" s="4" t="n">
        <v>915612128.2531109</v>
      </c>
    </row>
    <row r="955">
      <c r="A955" t="inlineStr">
        <is>
          <t>BBG000QCHMH9</t>
        </is>
      </c>
      <c r="B955" t="inlineStr">
        <is>
          <t>sem</t>
        </is>
      </c>
      <c r="C955" s="3" t="n">
        <v>1.183892501439681</v>
      </c>
      <c r="D955" s="3" t="n">
        <v>0.4367322057250753</v>
      </c>
      <c r="E955" s="3" t="n">
        <v>21.70312584453273</v>
      </c>
      <c r="F955" s="3" t="n">
        <v>0.718893071252473</v>
      </c>
      <c r="H955" s="3" t="n">
        <v>4.178518485008274</v>
      </c>
      <c r="I955" s="3" t="n">
        <v>16.88371989742764</v>
      </c>
      <c r="J955" s="3" t="n">
        <v>0.3346192593758993</v>
      </c>
      <c r="K955" s="3" t="n">
        <v>0.02657762275931296</v>
      </c>
      <c r="L955" s="3" t="n">
        <v>10222.72942291245</v>
      </c>
      <c r="M955" s="4" t="n">
        <v>2664083263.376589</v>
      </c>
    </row>
    <row r="956">
      <c r="A956" t="inlineStr">
        <is>
          <t>BBG014WY1V28</t>
        </is>
      </c>
      <c r="B956" t="inlineStr">
        <is>
          <t>sepn</t>
        </is>
      </c>
      <c r="E956" s="3" t="n">
        <v>20.83922088002589</v>
      </c>
      <c r="F956" s="3" t="n">
        <v>-0.06576366123052899</v>
      </c>
      <c r="H956" s="3" t="n">
        <v>-2.359964283334429</v>
      </c>
      <c r="K956" s="3" t="n">
        <v>-0.009437680696030362</v>
      </c>
      <c r="L956" s="3" t="n">
        <v>9049.913613447427</v>
      </c>
      <c r="M956" s="4" t="n">
        <v>1122945385.831924</v>
      </c>
    </row>
    <row r="957">
      <c r="A957" t="inlineStr">
        <is>
          <t>BBG000FB8PF8</t>
        </is>
      </c>
      <c r="B957" t="inlineStr">
        <is>
          <t>sfbs</t>
        </is>
      </c>
      <c r="C957" s="3" t="n">
        <v>1.428496920302362</v>
      </c>
      <c r="D957" s="3" t="n">
        <v>0.6535625064699713</v>
      </c>
      <c r="E957" s="3" t="n">
        <v>22.34966251324636</v>
      </c>
      <c r="F957" s="3" t="n">
        <v>0.308674424014655</v>
      </c>
      <c r="H957" s="3" t="n">
        <v>10.27518570549222</v>
      </c>
      <c r="I957" s="3" t="n">
        <v>16.70782483556452</v>
      </c>
      <c r="J957" s="3" t="n">
        <v>0.3668291184611164</v>
      </c>
      <c r="K957" s="3" t="n">
        <v>0.03240162273220508</v>
      </c>
      <c r="L957" s="3" t="n">
        <v>11163.82213595609</v>
      </c>
      <c r="M957" s="4" t="n">
        <v>5085516899.245262</v>
      </c>
    </row>
    <row r="958">
      <c r="A958" t="inlineStr">
        <is>
          <t>BBG01RMP2W97</t>
        </is>
      </c>
      <c r="B958" t="inlineStr">
        <is>
          <t>sfd</t>
        </is>
      </c>
      <c r="H958" s="3" t="n">
        <v>2.052484181713</v>
      </c>
    </row>
    <row r="959">
      <c r="A959" t="inlineStr">
        <is>
          <t>BBG001KFKQM7</t>
        </is>
      </c>
      <c r="B959" t="inlineStr">
        <is>
          <t>sfm</t>
        </is>
      </c>
      <c r="C959" s="3" t="n">
        <v>0.6270662390382266</v>
      </c>
      <c r="D959" s="3" t="n">
        <v>1.981197474861784</v>
      </c>
      <c r="E959" s="3" t="n">
        <v>23.46065829069037</v>
      </c>
      <c r="F959" s="3" t="n">
        <v>0.06960426208172513</v>
      </c>
      <c r="H959" s="3" t="n">
        <v>3.334908609904908</v>
      </c>
      <c r="I959" s="3" t="n">
        <v>18.87406381673855</v>
      </c>
      <c r="J959" s="3" t="n">
        <v>0.315591578038402</v>
      </c>
      <c r="K959" s="3" t="n">
        <v>0.004228294177055465</v>
      </c>
      <c r="L959" s="3" t="n">
        <v>12912.8046800008</v>
      </c>
      <c r="M959" s="4" t="n">
        <v>15446654669.9111</v>
      </c>
    </row>
    <row r="960">
      <c r="A960" t="inlineStr">
        <is>
          <t>BBG000BSTBM5</t>
        </is>
      </c>
      <c r="B960" t="inlineStr">
        <is>
          <t>sfnc</t>
        </is>
      </c>
      <c r="C960" s="3" t="n">
        <v>1.02026916841198</v>
      </c>
      <c r="D960" s="3" t="n">
        <v>0.517438271791347</v>
      </c>
      <c r="E960" s="3" t="n">
        <v>21.77234201727645</v>
      </c>
      <c r="F960" s="3" t="n">
        <v>1.175590698038668</v>
      </c>
      <c r="H960" s="3" t="n">
        <v>8.124778103162571</v>
      </c>
      <c r="I960" s="3" t="n">
        <v>16.43456196774017</v>
      </c>
      <c r="J960" s="3" t="n">
        <v>0.2962308910765306</v>
      </c>
      <c r="K960" s="3" t="n">
        <v>0.0365581601778516</v>
      </c>
      <c r="L960" s="3" t="n">
        <v>10320.84946836016</v>
      </c>
      <c r="M960" s="4" t="n">
        <v>2855012381.795837</v>
      </c>
    </row>
    <row r="961">
      <c r="A961" t="inlineStr">
        <is>
          <t>BBG000PXGT62</t>
        </is>
      </c>
      <c r="B961" t="inlineStr">
        <is>
          <t>sgi</t>
        </is>
      </c>
      <c r="C961" s="3" t="n">
        <v>1.153797182037432</v>
      </c>
      <c r="D961" s="3" t="n">
        <v>0.1973215087857347</v>
      </c>
      <c r="E961" s="3" t="n">
        <v>23.0265386658483</v>
      </c>
      <c r="F961" s="3" t="n">
        <v>0.02856035126509857</v>
      </c>
      <c r="H961" s="3" t="n">
        <v>15.12736173853267</v>
      </c>
      <c r="I961" s="3" t="n">
        <v>18.04280502408534</v>
      </c>
      <c r="J961" s="3" t="n">
        <v>0.2779875500540022</v>
      </c>
      <c r="K961" s="3" t="n">
        <v>0.0348560200184268</v>
      </c>
      <c r="L961" s="3" t="n">
        <v>12209.16547814662</v>
      </c>
      <c r="M961" s="4" t="n">
        <v>10006879723.52406</v>
      </c>
    </row>
    <row r="962">
      <c r="A962" t="inlineStr">
        <is>
          <t>BBG009T0TKV8</t>
        </is>
      </c>
      <c r="B962" t="inlineStr">
        <is>
          <t>sgry</t>
        </is>
      </c>
      <c r="C962" s="3" t="n">
        <v>1.237933281063452</v>
      </c>
      <c r="D962" s="3" t="n">
        <v>-0.1206107103187619</v>
      </c>
      <c r="E962" s="3" t="n">
        <v>21.83195590516291</v>
      </c>
      <c r="F962" s="3" t="n">
        <v>0.6258278247364473</v>
      </c>
      <c r="H962" s="3" t="n">
        <v>3.972791983141159</v>
      </c>
      <c r="I962" s="3" t="n">
        <v>17.05375990695475</v>
      </c>
      <c r="J962" s="3" t="n">
        <v>0.4856445906164892</v>
      </c>
      <c r="K962" s="3" t="n">
        <v>-0.00359690128638401</v>
      </c>
      <c r="L962" s="3" t="n">
        <v>10405.85899090541</v>
      </c>
      <c r="M962" s="4" t="n">
        <v>3030386193.155983</v>
      </c>
    </row>
    <row r="963">
      <c r="A963" t="inlineStr">
        <is>
          <t>BBG008LZG0Z5</t>
        </is>
      </c>
      <c r="B963" t="inlineStr">
        <is>
          <t>shc</t>
        </is>
      </c>
      <c r="C963" s="3" t="n">
        <v>0.546539525615283</v>
      </c>
      <c r="D963" s="3" t="n">
        <v>0.1479853856568216</v>
      </c>
      <c r="E963" s="3" t="n">
        <v>22.03974324637014</v>
      </c>
      <c r="F963" s="3" t="n">
        <v>0.1260403424231352</v>
      </c>
      <c r="H963" s="3" t="n">
        <v>6.65815896474593</v>
      </c>
      <c r="I963" s="3" t="n">
        <v>16.90547793363817</v>
      </c>
      <c r="J963" s="3" t="n">
        <v>0.3875492723886604</v>
      </c>
      <c r="K963" s="3" t="n">
        <v>0.003403249824128442</v>
      </c>
      <c r="L963" s="3" t="n">
        <v>10705.81150519663</v>
      </c>
      <c r="M963" s="4" t="n">
        <v>3730258033.539423</v>
      </c>
    </row>
    <row r="964">
      <c r="A964" t="inlineStr">
        <is>
          <t>BBG0147BN6G2</t>
        </is>
      </c>
      <c r="B964" t="inlineStr">
        <is>
          <t>shel</t>
        </is>
      </c>
      <c r="C964" s="3" t="n">
        <v>0.2823501209506423</v>
      </c>
      <c r="D964" s="3" t="n">
        <v>0.05763106577292243</v>
      </c>
      <c r="I964" s="3" t="n">
        <v>19.46023311165811</v>
      </c>
      <c r="J964" s="3" t="n">
        <v>0.1661945173329164</v>
      </c>
    </row>
    <row r="965">
      <c r="A965" t="inlineStr">
        <is>
          <t>BBG00YQ82275</t>
        </is>
      </c>
      <c r="B965" t="inlineStr">
        <is>
          <t>shls</t>
        </is>
      </c>
      <c r="C965" s="3" t="n">
        <v>1.344513530525904</v>
      </c>
      <c r="D965" s="3" t="n">
        <v>-0.6093863033642737</v>
      </c>
      <c r="H965" s="3" t="n">
        <v>1.548622372368563</v>
      </c>
      <c r="I965" s="3" t="n">
        <v>17.21081803468659</v>
      </c>
      <c r="J965" s="3" t="n">
        <v>0.6500534529940004</v>
      </c>
    </row>
    <row r="966">
      <c r="A966" t="inlineStr">
        <is>
          <t>BBG000Q3TSJ1</t>
        </is>
      </c>
      <c r="B966" t="inlineStr">
        <is>
          <t>sho</t>
        </is>
      </c>
      <c r="C966" s="3" t="n">
        <v>1.036958848497574</v>
      </c>
      <c r="D966" s="3" t="n">
        <v>0.05824704347556353</v>
      </c>
      <c r="E966" s="3" t="n">
        <v>21.43645407370571</v>
      </c>
      <c r="F966" s="3" t="n">
        <v>1.061824251204941</v>
      </c>
      <c r="G966" s="3" t="n">
        <v>0.002298144553005921</v>
      </c>
      <c r="H966" s="3" t="n">
        <v>1.453552000170978</v>
      </c>
      <c r="I966" s="3" t="n">
        <v>16.97029865515353</v>
      </c>
      <c r="J966" s="3" t="n">
        <v>0.1826506340575441</v>
      </c>
      <c r="L966" s="3" t="n">
        <v>9850.512886573844</v>
      </c>
      <c r="M966" s="4" t="n">
        <v>2040486451.952393</v>
      </c>
    </row>
    <row r="967">
      <c r="A967" t="inlineStr">
        <is>
          <t>BBG008HBD923</t>
        </is>
      </c>
      <c r="B967" t="inlineStr">
        <is>
          <t>shop</t>
        </is>
      </c>
      <c r="C967" s="3" t="n">
        <v>1.925207715288956</v>
      </c>
      <c r="D967" s="3" t="n">
        <v>0.07401811881676701</v>
      </c>
      <c r="H967" s="3" t="n">
        <v>1.246304875221012</v>
      </c>
      <c r="I967" s="3" t="n">
        <v>20.30510814667706</v>
      </c>
      <c r="J967" s="3" t="n">
        <v>0.4691766141185683</v>
      </c>
    </row>
    <row r="968">
      <c r="A968" t="inlineStr">
        <is>
          <t>BBG000BSXQV7</t>
        </is>
      </c>
      <c r="B968" t="inlineStr">
        <is>
          <t>shw</t>
        </is>
      </c>
      <c r="C968" s="3" t="n">
        <v>0.7782114507583895</v>
      </c>
      <c r="D968" s="3" t="n">
        <v>0.2952321508617497</v>
      </c>
      <c r="E968" s="3" t="n">
        <v>25.31563369519753</v>
      </c>
      <c r="F968" s="3" t="n">
        <v>0.03800140548729602</v>
      </c>
      <c r="H968" s="3" t="n">
        <v>6.388480194469726</v>
      </c>
      <c r="I968" s="3" t="n">
        <v>20.28831897001805</v>
      </c>
      <c r="J968" s="3" t="n">
        <v>0.1883522887493973</v>
      </c>
      <c r="K968" s="3" t="n">
        <v>0.008039265295396038</v>
      </c>
      <c r="L968" s="3" t="n">
        <v>16224.31647060112</v>
      </c>
      <c r="M968" s="4" t="n">
        <v>98727927345.11453</v>
      </c>
    </row>
    <row r="969">
      <c r="A969" t="inlineStr">
        <is>
          <t>BBG000GT7XY1</t>
        </is>
      </c>
      <c r="B969" t="inlineStr">
        <is>
          <t>simo</t>
        </is>
      </c>
      <c r="C969" s="3" t="n">
        <v>1.515336042801658</v>
      </c>
      <c r="D969" s="3" t="n">
        <v>-0.06434116159403613</v>
      </c>
      <c r="E969" s="3" t="n">
        <v>22.57514549849683</v>
      </c>
      <c r="F969" s="3" t="n">
        <v>0.9731646515161244</v>
      </c>
      <c r="H969" s="3" t="n">
        <v>1.223776269817008</v>
      </c>
      <c r="I969" s="3" t="n">
        <v>16.50383439935151</v>
      </c>
      <c r="J969" s="3" t="n">
        <v>0.2953358722805972</v>
      </c>
      <c r="K969" s="3" t="n">
        <v>0.1916938481173454</v>
      </c>
      <c r="L969" s="3" t="n">
        <v>11505.13381227836</v>
      </c>
      <c r="M969" s="4" t="n">
        <v>6371785071.895508</v>
      </c>
    </row>
    <row r="970">
      <c r="A970" t="inlineStr">
        <is>
          <t>BBG000BGZ832</t>
        </is>
      </c>
      <c r="B970" t="inlineStr">
        <is>
          <t>sitc</t>
        </is>
      </c>
      <c r="C970" s="3" t="n">
        <v>0.6672019549716282</v>
      </c>
      <c r="D970" s="3" t="n">
        <v>0.1623015899492257</v>
      </c>
      <c r="E970" s="3" t="n">
        <v>19.81343519774506</v>
      </c>
      <c r="F970" s="3" t="n">
        <v>6.587123823642683</v>
      </c>
      <c r="H970" s="3" t="n">
        <v>1.531472219989746</v>
      </c>
      <c r="I970" s="3" t="n">
        <v>16.58292094380708</v>
      </c>
      <c r="J970" s="3" t="n">
        <v>0.2118880971469433</v>
      </c>
      <c r="K970" s="3" t="n">
        <v>0.8021835451731592</v>
      </c>
      <c r="L970" s="3" t="n">
        <v>7778.204129166616</v>
      </c>
      <c r="M970" s="4" t="n">
        <v>402592400.6308355</v>
      </c>
    </row>
    <row r="971">
      <c r="A971" t="inlineStr">
        <is>
          <t>BBG000BT1715</t>
        </is>
      </c>
      <c r="B971" t="inlineStr">
        <is>
          <t>sjm</t>
        </is>
      </c>
      <c r="C971" s="3" t="n">
        <v>0.05121700581103351</v>
      </c>
      <c r="D971" s="3" t="n">
        <v>0.06264878999468926</v>
      </c>
      <c r="E971" s="3" t="n">
        <v>23.1908739681087</v>
      </c>
      <c r="F971" s="3" t="n">
        <v>0.6523459079603028</v>
      </c>
      <c r="H971" s="3" t="n">
        <v>2.635035547299154</v>
      </c>
      <c r="I971" s="3" t="n">
        <v>18.53744862705661</v>
      </c>
      <c r="J971" s="3" t="n">
        <v>0.2293469458283013</v>
      </c>
      <c r="K971" s="3" t="n">
        <v>0.01652506758100092</v>
      </c>
      <c r="L971" s="3" t="n">
        <v>12472.4378096227</v>
      </c>
      <c r="M971" s="4" t="n">
        <v>11794202899.8147</v>
      </c>
    </row>
    <row r="972">
      <c r="A972" t="inlineStr">
        <is>
          <t>BBG000BT41Q8</t>
        </is>
      </c>
      <c r="B972" t="inlineStr">
        <is>
          <t>slb</t>
        </is>
      </c>
      <c r="C972" s="3" t="n">
        <v>0.7713211421670743</v>
      </c>
      <c r="D972" s="3" t="n">
        <v>-0.2118043085814548</v>
      </c>
      <c r="E972" s="3" t="n">
        <v>24.80260990464893</v>
      </c>
      <c r="F972" s="3" t="n">
        <v>0.3639351321888183</v>
      </c>
      <c r="H972" s="3" t="n">
        <v>2.313932406568084</v>
      </c>
      <c r="I972" s="3" t="n">
        <v>20.06287706980003</v>
      </c>
      <c r="J972" s="3" t="n">
        <v>0.253536270515281</v>
      </c>
      <c r="K972" s="3" t="n">
        <v>0.05229526723981393</v>
      </c>
      <c r="L972" s="3" t="n">
        <v>15257.80809406681</v>
      </c>
      <c r="M972" s="4" t="n">
        <v>59106687145.76212</v>
      </c>
    </row>
    <row r="973">
      <c r="A973" t="inlineStr">
        <is>
          <t>BBG013PZCC16</t>
        </is>
      </c>
      <c r="B973" t="inlineStr">
        <is>
          <t>slde</t>
        </is>
      </c>
    </row>
    <row r="974">
      <c r="A974" t="inlineStr">
        <is>
          <t>BBG0112HCSY4</t>
        </is>
      </c>
      <c r="B974" t="inlineStr">
        <is>
          <t>sldp</t>
        </is>
      </c>
      <c r="C974" s="3" t="n">
        <v>2.231185485928538</v>
      </c>
      <c r="D974" s="3" t="n">
        <v>-0.1631205847646974</v>
      </c>
      <c r="E974" s="3" t="n">
        <v>19.15903879072064</v>
      </c>
      <c r="F974" s="3" t="n">
        <v>2.529566459202852</v>
      </c>
      <c r="H974" s="3" t="n">
        <v>1.006576472042757</v>
      </c>
      <c r="I974" s="3" t="n">
        <v>14.53730915726191</v>
      </c>
      <c r="J974" s="3" t="n">
        <v>0.7403161080649883</v>
      </c>
      <c r="K974" s="3" t="n">
        <v>-0.1498831364924951</v>
      </c>
      <c r="L974" s="3" t="n">
        <v>7032.684753178547</v>
      </c>
      <c r="M974" s="4" t="n">
        <v>209249690.018912</v>
      </c>
    </row>
    <row r="975">
      <c r="A975" t="inlineStr">
        <is>
          <t>BBG000BBCQD7</t>
        </is>
      </c>
      <c r="B975" t="inlineStr">
        <is>
          <t>slm</t>
        </is>
      </c>
      <c r="C975" s="3" t="n">
        <v>1.051789053851332</v>
      </c>
      <c r="D975" s="3" t="n">
        <v>0.4999838672207739</v>
      </c>
      <c r="E975" s="3" t="n">
        <v>23.1392229001198</v>
      </c>
      <c r="F975" s="3" t="n">
        <v>0.1633820350192718</v>
      </c>
      <c r="H975" s="3" t="n">
        <v>5.850770342351699</v>
      </c>
      <c r="I975" s="3" t="n">
        <v>17.54462876914733</v>
      </c>
      <c r="J975" s="3" t="n">
        <v>0.2841046187811256</v>
      </c>
      <c r="K975" s="3" t="n">
        <v>0.004409630554144868</v>
      </c>
      <c r="L975" s="3" t="n">
        <v>12389.28686914814</v>
      </c>
      <c r="M975" s="4" t="n">
        <v>11200484800.06241</v>
      </c>
    </row>
    <row r="976">
      <c r="A976" t="inlineStr">
        <is>
          <t>BBG000GTP1B6</t>
        </is>
      </c>
      <c r="B976" t="inlineStr">
        <is>
          <t>slqt</t>
        </is>
      </c>
      <c r="C976" s="3" t="n">
        <v>2.428380550435263</v>
      </c>
      <c r="D976" s="3" t="n">
        <v>0.5873015993156252</v>
      </c>
      <c r="E976" s="3" t="n">
        <v>20.05539345000456</v>
      </c>
      <c r="F976" s="3" t="n">
        <v>0.6766206037804817</v>
      </c>
      <c r="H976" s="3" t="n">
        <v>3.305389505417213</v>
      </c>
      <c r="I976" s="3" t="n">
        <v>15.00253202984038</v>
      </c>
      <c r="J976" s="3" t="n">
        <v>0.8505634938369327</v>
      </c>
      <c r="K976" s="3" t="n">
        <v>-0.06055205455223142</v>
      </c>
      <c r="L976" s="3" t="n">
        <v>8066.656416034837</v>
      </c>
      <c r="M976" s="4" t="n">
        <v>512798453.6455944</v>
      </c>
    </row>
    <row r="977">
      <c r="A977" t="inlineStr">
        <is>
          <t>BBG000V86JM5</t>
        </is>
      </c>
      <c r="B977" t="inlineStr">
        <is>
          <t>slrc</t>
        </is>
      </c>
      <c r="C977" s="3" t="n">
        <v>0.4945395643813664</v>
      </c>
      <c r="D977" s="3" t="n">
        <v>0.1276557831294372</v>
      </c>
      <c r="I977" s="3" t="n">
        <v>14.55953884695807</v>
      </c>
      <c r="J977" s="3" t="n">
        <v>0.1219639982972435</v>
      </c>
    </row>
    <row r="978">
      <c r="A978" t="inlineStr">
        <is>
          <t>BBG01T1Z99G0</t>
        </is>
      </c>
      <c r="B978" t="inlineStr">
        <is>
          <t>sma</t>
        </is>
      </c>
      <c r="H978" s="3" t="n">
        <v>5.633443434163933</v>
      </c>
    </row>
    <row r="979">
      <c r="A979" t="inlineStr">
        <is>
          <t>BBG000MYZDJ3</t>
        </is>
      </c>
      <c r="B979" t="inlineStr">
        <is>
          <t>smci</t>
        </is>
      </c>
      <c r="C979" s="3" t="n">
        <v>3.290448925858251</v>
      </c>
      <c r="D979" s="3" t="n">
        <v>0.06446778368419381</v>
      </c>
      <c r="E979" s="3" t="n">
        <v>21.37104163108425</v>
      </c>
      <c r="F979" s="3" t="n">
        <v>2.665218940435178</v>
      </c>
      <c r="H979" s="3" t="n">
        <v>0.721384776005506</v>
      </c>
      <c r="I979" s="3" t="n">
        <v>21.74599025105758</v>
      </c>
      <c r="J979" s="3" t="n">
        <v>1.087421699117179</v>
      </c>
      <c r="K979" s="3" t="n">
        <v>0.04491533167803691</v>
      </c>
      <c r="L979" s="3" t="n">
        <v>9760.61248912367</v>
      </c>
      <c r="M979" s="4" t="n">
        <v>1911285005.539932</v>
      </c>
    </row>
    <row r="980">
      <c r="A980" t="inlineStr">
        <is>
          <t>BBG00YG48NM6</t>
        </is>
      </c>
      <c r="B980" t="inlineStr">
        <is>
          <t>smr</t>
        </is>
      </c>
      <c r="C980" s="3" t="n">
        <v>3.046278554777091</v>
      </c>
      <c r="D980" s="3" t="n">
        <v>5.909747119653937</v>
      </c>
      <c r="E980" s="3" t="n">
        <v>22.67199830221571</v>
      </c>
      <c r="F980" s="3" t="n">
        <v>0.02280255308270382</v>
      </c>
      <c r="H980" s="3" t="n">
        <v>1.404756689897752</v>
      </c>
      <c r="I980" s="3" t="n">
        <v>19.0993516796045</v>
      </c>
      <c r="J980" s="3" t="n">
        <v>1.261465257096367</v>
      </c>
      <c r="K980" s="3" t="n">
        <v>-0.005642196302511106</v>
      </c>
      <c r="L980" s="3" t="n">
        <v>11653.84939036507</v>
      </c>
      <c r="M980" s="4" t="n">
        <v>7019784117.885155</v>
      </c>
    </row>
    <row r="981">
      <c r="A981" t="inlineStr">
        <is>
          <t>BBG000DBKR53</t>
        </is>
      </c>
      <c r="B981" t="inlineStr">
        <is>
          <t>smtc</t>
        </is>
      </c>
      <c r="C981" s="3" t="n">
        <v>2.561356284066228</v>
      </c>
      <c r="D981" s="3" t="n">
        <v>1.699449991523543</v>
      </c>
      <c r="E981" s="3" t="n">
        <v>22.29553321589488</v>
      </c>
      <c r="F981" s="3" t="n">
        <v>-0.02935864376263643</v>
      </c>
      <c r="H981" s="3" t="n">
        <v>-9.672150920000783</v>
      </c>
      <c r="I981" s="3" t="n">
        <v>18.12007315572828</v>
      </c>
      <c r="J981" s="3" t="n">
        <v>0.5623927055189475</v>
      </c>
      <c r="K981" s="3" t="n">
        <v>-0.0792936829444533</v>
      </c>
      <c r="L981" s="3" t="n">
        <v>11082.9044735075</v>
      </c>
      <c r="M981" s="4" t="n">
        <v>4817559050.552689</v>
      </c>
    </row>
    <row r="982">
      <c r="A982" t="inlineStr">
        <is>
          <t>BBG000BT7JW9</t>
        </is>
      </c>
      <c r="B982" t="inlineStr">
        <is>
          <t>sna</t>
        </is>
      </c>
      <c r="C982" s="3" t="n">
        <v>0.8208848353784937</v>
      </c>
      <c r="D982" s="3" t="n">
        <v>0.2265729592953758</v>
      </c>
      <c r="E982" s="3" t="n">
        <v>23.64907890828754</v>
      </c>
      <c r="F982" s="3" t="n">
        <v>0.2935753934178981</v>
      </c>
      <c r="H982" s="3" t="n">
        <v>1.45265753398125</v>
      </c>
      <c r="I982" s="3" t="n">
        <v>18.54147629423163</v>
      </c>
      <c r="J982" s="3" t="n">
        <v>0.2159695944440332</v>
      </c>
      <c r="K982" s="3" t="n">
        <v>0.01303528367851891</v>
      </c>
      <c r="L982" s="3" t="n">
        <v>13226.43162323587</v>
      </c>
      <c r="M982" s="4" t="n">
        <v>18649383165.1377</v>
      </c>
    </row>
    <row r="983">
      <c r="A983" t="inlineStr">
        <is>
          <t>BBG00441QMJ7</t>
        </is>
      </c>
      <c r="B983" t="inlineStr">
        <is>
          <t>snap</t>
        </is>
      </c>
      <c r="C983" s="3" t="n">
        <v>2.039833214845085</v>
      </c>
      <c r="D983" s="3" t="n">
        <v>-0.1207519946136364</v>
      </c>
      <c r="E983" s="3" t="n">
        <v>23.71630947133243</v>
      </c>
      <c r="F983" s="3" t="n">
        <v>0.1210305704723626</v>
      </c>
      <c r="G983" s="3" t="n">
        <v>-0.02295331398230904</v>
      </c>
      <c r="H983" s="3" t="n">
        <v>3.300492270739513</v>
      </c>
      <c r="I983" s="3" t="n">
        <v>19.5223223406769</v>
      </c>
      <c r="J983" s="3" t="n">
        <v>0.6500528283048896</v>
      </c>
      <c r="K983" s="3" t="n">
        <v>-0.05385650622800011</v>
      </c>
      <c r="L983" s="3" t="n">
        <v>13339.55451771503</v>
      </c>
      <c r="M983" s="4" t="n">
        <v>19946299438.70449</v>
      </c>
    </row>
    <row r="984">
      <c r="A984" t="inlineStr">
        <is>
          <t>BBG01R388JG1</t>
        </is>
      </c>
      <c r="B984" t="inlineStr">
        <is>
          <t>sndk</t>
        </is>
      </c>
    </row>
    <row r="985">
      <c r="A985" t="inlineStr">
        <is>
          <t>BBG007DHGNJ4</t>
        </is>
      </c>
      <c r="B985" t="inlineStr">
        <is>
          <t>snow</t>
        </is>
      </c>
      <c r="C985" s="3" t="n">
        <v>1.933199114354213</v>
      </c>
      <c r="D985" s="3" t="n">
        <v>-0.3882139589957427</v>
      </c>
      <c r="E985" s="3" t="n">
        <v>24.77854867752076</v>
      </c>
      <c r="F985" s="3" t="n">
        <v>0.0897777303020557</v>
      </c>
      <c r="H985" s="3" t="n">
        <v>1.587431287562934</v>
      </c>
      <c r="I985" s="3" t="n">
        <v>20.64249009427645</v>
      </c>
      <c r="J985" s="3" t="n">
        <v>0.4922743541928629</v>
      </c>
      <c r="K985" s="3" t="n">
        <v>-0.003713093602725115</v>
      </c>
      <c r="L985" s="3" t="n">
        <v>15213.44596184324</v>
      </c>
      <c r="M985" s="4" t="n">
        <v>57701481007.38525</v>
      </c>
    </row>
    <row r="986">
      <c r="A986" t="inlineStr">
        <is>
          <t>snps</t>
        </is>
      </c>
      <c r="B986" t="inlineStr">
        <is>
          <t>snps</t>
        </is>
      </c>
      <c r="C986" s="3" t="n">
        <v>2.061765658099236</v>
      </c>
      <c r="D986" s="3" t="n">
        <v>-0.05452570031504622</v>
      </c>
      <c r="E986" s="3" t="n">
        <v>25.17518854961338</v>
      </c>
      <c r="F986" s="3" t="n">
        <v>0.07165384587778666</v>
      </c>
      <c r="H986" s="3" t="n">
        <v>1.680919680341229</v>
      </c>
      <c r="I986" s="3" t="n">
        <v>20.05658642862718</v>
      </c>
      <c r="J986" s="3" t="n">
        <v>0.2469364027437941</v>
      </c>
      <c r="K986" s="3" t="n">
        <v>0.004756343765378314</v>
      </c>
      <c r="L986" s="3" t="n">
        <v>15955.78573433544</v>
      </c>
      <c r="M986" s="4" t="n">
        <v>85791738386.42578</v>
      </c>
    </row>
    <row r="987">
      <c r="A987" t="inlineStr">
        <is>
          <t>BBG000CL9JV4</t>
        </is>
      </c>
      <c r="B987" t="inlineStr">
        <is>
          <t>snx</t>
        </is>
      </c>
      <c r="C987" s="3" t="n">
        <v>0.9209704933357963</v>
      </c>
      <c r="D987" s="3" t="n">
        <v>0.1861803002659188</v>
      </c>
      <c r="E987" s="3" t="n">
        <v>23.01934696561048</v>
      </c>
      <c r="F987" s="3" t="n">
        <v>0.8236578580330932</v>
      </c>
      <c r="H987" s="3" t="n">
        <v>3.569216350856034</v>
      </c>
      <c r="I987" s="3" t="n">
        <v>18.05069784930996</v>
      </c>
      <c r="J987" s="3" t="n">
        <v>0.2096977878457668</v>
      </c>
      <c r="K987" s="3" t="n">
        <v>0.01797211066538139</v>
      </c>
      <c r="L987" s="3" t="n">
        <v>12197.7294687159</v>
      </c>
      <c r="M987" s="4" t="n">
        <v>9935171405.658531</v>
      </c>
    </row>
    <row r="988">
      <c r="A988" t="inlineStr">
        <is>
          <t>BBG000BBD5N1</t>
        </is>
      </c>
      <c r="B988" t="inlineStr">
        <is>
          <t>sny</t>
        </is>
      </c>
      <c r="C988" s="3" t="n">
        <v>0.06983057303781708</v>
      </c>
      <c r="D988" s="3" t="n">
        <v>0.1790622314566699</v>
      </c>
      <c r="I988" s="3" t="n">
        <v>18.39792263513423</v>
      </c>
      <c r="J988" s="3" t="n">
        <v>0.2067629210639278</v>
      </c>
    </row>
    <row r="989">
      <c r="A989" t="inlineStr">
        <is>
          <t>BBG000BT9DW0</t>
        </is>
      </c>
      <c r="B989" t="inlineStr">
        <is>
          <t>so</t>
        </is>
      </c>
      <c r="C989" s="3" t="n">
        <v>-0.01986525966599517</v>
      </c>
      <c r="D989" s="3" t="n">
        <v>0.3187814098287747</v>
      </c>
      <c r="E989" s="3" t="n">
        <v>25.25148431501882</v>
      </c>
      <c r="F989" s="3" t="n">
        <v>0.3395920304979256</v>
      </c>
      <c r="H989" s="3" t="n">
        <v>4.431083831432671</v>
      </c>
      <c r="I989" s="3" t="n">
        <v>19.72604992637662</v>
      </c>
      <c r="J989" s="3" t="n">
        <v>0.1704894578313591</v>
      </c>
      <c r="K989" s="3" t="n">
        <v>0.01189068902106017</v>
      </c>
      <c r="L989" s="3" t="n">
        <v>16101.29232267756</v>
      </c>
      <c r="M989" s="4" t="n">
        <v>92593456782.7041</v>
      </c>
    </row>
    <row r="990">
      <c r="A990" t="inlineStr">
        <is>
          <t>BBG00YB1ZD58</t>
        </is>
      </c>
      <c r="B990" t="inlineStr">
        <is>
          <t>sofi</t>
        </is>
      </c>
      <c r="C990" s="3" t="n">
        <v>2.147756221399234</v>
      </c>
      <c r="D990" s="3" t="n">
        <v>0.5322359581267639</v>
      </c>
      <c r="E990" s="3" t="n">
        <v>23.6028720793006</v>
      </c>
      <c r="F990" s="3" t="n">
        <v>0.2952537888482665</v>
      </c>
      <c r="H990" s="3" t="n">
        <v>6.539062901442474</v>
      </c>
      <c r="I990" s="3" t="n">
        <v>20.11385421035692</v>
      </c>
      <c r="J990" s="3" t="n">
        <v>0.5217349661055972</v>
      </c>
      <c r="K990" s="3" t="n">
        <v>0.003411249109364022</v>
      </c>
      <c r="L990" s="3" t="n">
        <v>13149.05548390332</v>
      </c>
      <c r="M990" s="4" t="n">
        <v>17807260053.16973</v>
      </c>
    </row>
    <row r="991">
      <c r="A991" t="inlineStr">
        <is>
          <t>BBG018YZH6T3</t>
        </is>
      </c>
      <c r="B991" t="inlineStr">
        <is>
          <t>solv</t>
        </is>
      </c>
      <c r="C991" s="3" t="n">
        <v>0.4770485122077301</v>
      </c>
      <c r="E991" s="3" t="n">
        <v>23.23721691040683</v>
      </c>
      <c r="F991" s="3" t="n">
        <v>0.9494364642527449</v>
      </c>
      <c r="H991" s="3" t="n">
        <v>1.257140421071094</v>
      </c>
      <c r="I991" s="3" t="n">
        <v>18.16491852635013</v>
      </c>
      <c r="J991" s="3" t="n">
        <v>0.3381728010029081</v>
      </c>
      <c r="K991" s="3" t="n">
        <v>0.08693791138267951</v>
      </c>
      <c r="L991" s="3" t="n">
        <v>12547.35934397125</v>
      </c>
      <c r="M991" s="4" t="n">
        <v>12353643914.74251</v>
      </c>
    </row>
    <row r="992">
      <c r="A992" t="inlineStr">
        <is>
          <t>BBG000BJ2D31</t>
        </is>
      </c>
      <c r="B992" t="inlineStr">
        <is>
          <t>spg</t>
        </is>
      </c>
      <c r="C992" s="3" t="n">
        <v>0.7722635827429369</v>
      </c>
      <c r="D992" s="3" t="n">
        <v>0.4279208879375545</v>
      </c>
      <c r="G992" s="3" t="n">
        <v>0.0247659093129855</v>
      </c>
      <c r="H992" s="3" t="n">
        <v>12.26474381960037</v>
      </c>
      <c r="I992" s="3" t="n">
        <v>19.22846710470072</v>
      </c>
      <c r="J992" s="3" t="n">
        <v>0.1955283466649661</v>
      </c>
    </row>
    <row r="993">
      <c r="A993" t="inlineStr">
        <is>
          <t>BBG000BP1Q11</t>
        </is>
      </c>
      <c r="B993" t="inlineStr">
        <is>
          <t>spgi</t>
        </is>
      </c>
      <c r="C993" s="3" t="n">
        <v>0.6743838516858961</v>
      </c>
      <c r="D993" s="3" t="n">
        <v>0.1621431469917645</v>
      </c>
      <c r="E993" s="3" t="n">
        <v>25.79968052459441</v>
      </c>
      <c r="F993" s="3" t="n">
        <v>0.2134849280157384</v>
      </c>
      <c r="H993" s="3" t="n">
        <v>1.771608187082702</v>
      </c>
      <c r="I993" s="3" t="n">
        <v>20.16986784370992</v>
      </c>
      <c r="J993" s="3" t="n">
        <v>0.1368686954553292</v>
      </c>
      <c r="K993" s="3" t="n">
        <v>0.006061224125826958</v>
      </c>
      <c r="L993" s="3" t="n">
        <v>17172.87404107284</v>
      </c>
      <c r="M993" s="4" t="n">
        <v>160198662817.3828</v>
      </c>
    </row>
    <row r="994">
      <c r="A994" t="inlineStr">
        <is>
          <t>BBG000BDTBL9</t>
        </is>
      </c>
      <c r="B994" t="inlineStr">
        <is>
          <t>spy</t>
        </is>
      </c>
      <c r="C994" s="3" t="n">
        <v>1</v>
      </c>
      <c r="D994" s="3" t="n">
        <v>0.2627729028697572</v>
      </c>
      <c r="I994" s="3" t="n">
        <v>23.98959817009061</v>
      </c>
      <c r="J994" s="3" t="n">
        <v>2.650985503474594e-17</v>
      </c>
    </row>
    <row r="995">
      <c r="A995" t="inlineStr">
        <is>
          <t>BBG000BKK4S1</t>
        </is>
      </c>
      <c r="B995" t="inlineStr">
        <is>
          <t>sqm</t>
        </is>
      </c>
      <c r="C995" s="3" t="n">
        <v>1.528209737638009</v>
      </c>
      <c r="D995" s="3" t="n">
        <v>-0.2244778157879703</v>
      </c>
      <c r="I995" s="3" t="n">
        <v>17.51847076737709</v>
      </c>
      <c r="J995" s="3" t="n">
        <v>0.4262783639402087</v>
      </c>
    </row>
    <row r="996">
      <c r="A996" t="inlineStr">
        <is>
          <t>BBG000C2ZCH8</t>
        </is>
      </c>
      <c r="B996" t="inlineStr">
        <is>
          <t>sre</t>
        </is>
      </c>
      <c r="C996" s="3" t="n">
        <v>0.3274775568719158</v>
      </c>
      <c r="D996" s="3" t="n">
        <v>0.1820546380354173</v>
      </c>
      <c r="E996" s="3" t="n">
        <v>24.76043177246629</v>
      </c>
      <c r="F996" s="3" t="n">
        <v>0.5241811833302801</v>
      </c>
      <c r="G996" s="3" t="n">
        <v>0.03636055943041572</v>
      </c>
      <c r="H996" s="3" t="n">
        <v>3.156179510380898</v>
      </c>
      <c r="I996" s="3" t="n">
        <v>19.26719216276047</v>
      </c>
      <c r="J996" s="3" t="n">
        <v>0.1869681742005104</v>
      </c>
      <c r="K996" s="3" t="n">
        <v>0.04106553592598599</v>
      </c>
      <c r="L996" s="3" t="n">
        <v>15180.1002940237</v>
      </c>
      <c r="M996" s="4" t="n">
        <v>56665521281.71362</v>
      </c>
    </row>
    <row r="997">
      <c r="A997" t="inlineStr">
        <is>
          <t>BBG000BCJ161</t>
        </is>
      </c>
      <c r="B997" t="inlineStr">
        <is>
          <t>srpt</t>
        </is>
      </c>
      <c r="C997" s="3" t="n">
        <v>0.4487873347263567</v>
      </c>
      <c r="D997" s="3" t="n">
        <v>0.550196873675322</v>
      </c>
      <c r="E997" s="3" t="n">
        <v>23.26774477325173</v>
      </c>
      <c r="F997" s="3" t="n">
        <v>0.03022394585857583</v>
      </c>
      <c r="H997" s="3" t="n">
        <v>9.351692403294733</v>
      </c>
      <c r="I997" s="3" t="n">
        <v>18.60492298638454</v>
      </c>
      <c r="J997" s="3" t="n">
        <v>0.5126123016525034</v>
      </c>
      <c r="K997" s="3" t="n">
        <v>0.002835845435682298</v>
      </c>
      <c r="L997" s="3" t="n">
        <v>12596.87657022928</v>
      </c>
      <c r="M997" s="4" t="n">
        <v>12736589781.19659</v>
      </c>
    </row>
    <row r="998">
      <c r="A998" t="inlineStr">
        <is>
          <t>BBG000RJ2J04</t>
        </is>
      </c>
      <c r="B998" t="inlineStr">
        <is>
          <t>ssnc</t>
        </is>
      </c>
      <c r="C998" s="3" t="n">
        <v>0.7587201039974995</v>
      </c>
      <c r="D998" s="3" t="n">
        <v>0.2567280064276067</v>
      </c>
      <c r="E998" s="3" t="n">
        <v>23.65293649407216</v>
      </c>
      <c r="F998" s="3" t="n">
        <v>0.3386273691734699</v>
      </c>
      <c r="G998" s="3" t="n">
        <v>-0.02511565596809839</v>
      </c>
      <c r="H998" s="3" t="n">
        <v>2.855464066683156</v>
      </c>
      <c r="I998" s="3" t="n">
        <v>18.42104510971978</v>
      </c>
      <c r="J998" s="3" t="n">
        <v>0.1639819045331155</v>
      </c>
      <c r="K998" s="3" t="n">
        <v>0.008332681808167913</v>
      </c>
      <c r="L998" s="3" t="n">
        <v>13232.90507844401</v>
      </c>
      <c r="M998" s="4" t="n">
        <v>18721463699.56813</v>
      </c>
    </row>
    <row r="999">
      <c r="A999" t="inlineStr">
        <is>
          <t>BBG002ZCK2V9</t>
        </is>
      </c>
      <c r="B999" t="inlineStr">
        <is>
          <t>sstk</t>
        </is>
      </c>
      <c r="C999" s="3" t="n">
        <v>1.401706545059768</v>
      </c>
      <c r="D999" s="3" t="n">
        <v>-0.2521457434533987</v>
      </c>
      <c r="E999" s="3" t="n">
        <v>20.70779020457431</v>
      </c>
      <c r="F999" s="3" t="n">
        <v>0.535314558072156</v>
      </c>
      <c r="H999" s="3" t="n">
        <v>2.559014136835149</v>
      </c>
      <c r="I999" s="3" t="n">
        <v>16.53426598745999</v>
      </c>
      <c r="J999" s="3" t="n">
        <v>0.393637471533083</v>
      </c>
      <c r="K999" s="3" t="n">
        <v>0.1130104449101662</v>
      </c>
      <c r="L999" s="3" t="n">
        <v>8879.760843427444</v>
      </c>
      <c r="M999" s="4" t="n">
        <v>984643498.8858223</v>
      </c>
    </row>
    <row r="1000">
      <c r="A1000" t="inlineStr">
        <is>
          <t>ste</t>
        </is>
      </c>
      <c r="B1000" t="inlineStr">
        <is>
          <t>ste</t>
        </is>
      </c>
      <c r="C1000" s="3" t="n">
        <v>0.6334078003292031</v>
      </c>
      <c r="D1000" s="3" t="n">
        <v>0.1117259279218079</v>
      </c>
      <c r="E1000" s="3" t="n">
        <v>23.78397320730278</v>
      </c>
      <c r="F1000" s="3" t="n">
        <v>0.2952849951124439</v>
      </c>
      <c r="H1000" s="3" t="n">
        <v>1.755539366834068</v>
      </c>
      <c r="I1000" s="3" t="n">
        <v>18.63543858920293</v>
      </c>
      <c r="J1000" s="3" t="n">
        <v>0.1978145090568751</v>
      </c>
      <c r="K1000" s="3" t="n">
        <v>0.01384247101964418</v>
      </c>
      <c r="L1000" s="3" t="n">
        <v>13454.05568618436</v>
      </c>
      <c r="M1000" s="4" t="n">
        <v>21342648979.8605</v>
      </c>
    </row>
    <row r="1001">
      <c r="A1001" t="inlineStr">
        <is>
          <t>BBG000HGYNZ9</t>
        </is>
      </c>
      <c r="B1001" t="inlineStr">
        <is>
          <t>stld</t>
        </is>
      </c>
      <c r="C1001" s="3" t="n">
        <v>1.077121155267538</v>
      </c>
      <c r="D1001" s="3" t="n">
        <v>0.1109370281019704</v>
      </c>
      <c r="E1001" s="3" t="n">
        <v>23.79806148571781</v>
      </c>
      <c r="F1001" s="3" t="n">
        <v>0.419556930742121</v>
      </c>
      <c r="G1001" s="3" t="n">
        <v>0.08627343048729696</v>
      </c>
      <c r="H1001" s="3" t="n">
        <v>1.641624920454609</v>
      </c>
      <c r="I1001" s="3" t="n">
        <v>19.00418493114256</v>
      </c>
      <c r="J1001" s="3" t="n">
        <v>0.288558129200115</v>
      </c>
      <c r="K1001" s="3" t="n">
        <v>0.09362758611132291</v>
      </c>
      <c r="L1001" s="3" t="n">
        <v>13477.9781122123</v>
      </c>
      <c r="M1001" s="4" t="n">
        <v>21645458182.55676</v>
      </c>
    </row>
    <row r="1002">
      <c r="A1002" t="inlineStr">
        <is>
          <t>BBG000BD4GX2</t>
        </is>
      </c>
      <c r="B1002" t="inlineStr">
        <is>
          <t>stm</t>
        </is>
      </c>
      <c r="C1002" s="3" t="n">
        <v>1.809170611711628</v>
      </c>
      <c r="D1002" s="3" t="n">
        <v>-0.4232785387856042</v>
      </c>
      <c r="E1002" s="3" t="n">
        <v>23.83993702593132</v>
      </c>
      <c r="F1002" s="3" t="n">
        <v>0.7411683780697091</v>
      </c>
      <c r="H1002" s="3" t="n">
        <v>1.461713192572078</v>
      </c>
      <c r="I1002" s="3" t="n">
        <v>18.73250480745808</v>
      </c>
      <c r="J1002" s="3" t="n">
        <v>0.3137140124715101</v>
      </c>
      <c r="K1002" s="3" t="n">
        <v>0.1865658461385346</v>
      </c>
      <c r="L1002" s="3" t="n">
        <v>13549.25173117909</v>
      </c>
      <c r="M1002" s="4" t="n">
        <v>22571119457.13018</v>
      </c>
    </row>
    <row r="1003">
      <c r="A1003" t="inlineStr">
        <is>
          <t>BBG000BKFBD7</t>
        </is>
      </c>
      <c r="B1003" t="inlineStr">
        <is>
          <t>stt</t>
        </is>
      </c>
      <c r="C1003" s="3" t="n">
        <v>0.7490201791025792</v>
      </c>
      <c r="D1003" s="3" t="n">
        <v>0.3208886133296993</v>
      </c>
      <c r="E1003" s="3" t="n">
        <v>24.04242503106835</v>
      </c>
      <c r="F1003" s="3" t="n">
        <v>0.8757791905849828</v>
      </c>
      <c r="H1003" s="3" t="n">
        <v>13.9845066925308</v>
      </c>
      <c r="I1003" s="3" t="n">
        <v>19.03426082066891</v>
      </c>
      <c r="J1003" s="3" t="n">
        <v>0.1878632328569146</v>
      </c>
      <c r="K1003" s="3" t="n">
        <v>0.02572628509774925</v>
      </c>
      <c r="L1003" s="3" t="n">
        <v>13897.44012164101</v>
      </c>
      <c r="M1003" s="4" t="n">
        <v>27637103346.74313</v>
      </c>
    </row>
    <row r="1004">
      <c r="A1004" t="inlineStr">
        <is>
          <t>BBG00RFFBJZ8</t>
        </is>
      </c>
      <c r="B1004" t="inlineStr">
        <is>
          <t>stub</t>
        </is>
      </c>
    </row>
    <row r="1005">
      <c r="A1005" t="inlineStr">
        <is>
          <t>BBG000M1J270</t>
        </is>
      </c>
      <c r="B1005" t="inlineStr">
        <is>
          <t>stwd</t>
        </is>
      </c>
      <c r="C1005" s="3" t="n">
        <v>0.8716055339539905</v>
      </c>
      <c r="D1005" s="3" t="n">
        <v>0.09219264770637037</v>
      </c>
      <c r="E1005" s="3" t="n">
        <v>22.49795104290688</v>
      </c>
      <c r="F1005" s="3" t="n">
        <v>1.059789689821131</v>
      </c>
      <c r="G1005" s="3" t="n">
        <v>0.05039358743051903</v>
      </c>
      <c r="H1005" s="3" t="n">
        <v>11.11873403000362</v>
      </c>
      <c r="I1005" s="3" t="n">
        <v>17.64501071480995</v>
      </c>
      <c r="J1005" s="3" t="n">
        <v>0.1852212836649379</v>
      </c>
      <c r="K1005" s="3" t="n">
        <v>0.04547858843057552</v>
      </c>
      <c r="L1005" s="3" t="n">
        <v>11387.51342978643</v>
      </c>
      <c r="M1005" s="4" t="n">
        <v>5898424054.300112</v>
      </c>
    </row>
    <row r="1006">
      <c r="A1006" t="inlineStr">
        <is>
          <t>stx</t>
        </is>
      </c>
      <c r="B1006" t="inlineStr">
        <is>
          <t>stx</t>
        </is>
      </c>
      <c r="C1006" s="3" t="n">
        <v>1.298062927599351</v>
      </c>
      <c r="D1006" s="3" t="n">
        <v>0.3073203645384206</v>
      </c>
      <c r="E1006" s="3" t="n">
        <v>23.75989405064301</v>
      </c>
      <c r="F1006" s="3" t="n">
        <v>-0.06239538596376121</v>
      </c>
      <c r="H1006" s="3" t="n">
        <v>-6.132307697024852</v>
      </c>
      <c r="I1006" s="3" t="n">
        <v>19.1998298539826</v>
      </c>
      <c r="J1006" s="3" t="n">
        <v>0.2607466404258649</v>
      </c>
      <c r="K1006" s="3" t="n">
        <v>0.01463891747611321</v>
      </c>
      <c r="L1006" s="3" t="n">
        <v>13413.23393961298</v>
      </c>
      <c r="M1006" s="4" t="n">
        <v>20834873923.09161</v>
      </c>
    </row>
    <row r="1007">
      <c r="A1007" t="inlineStr">
        <is>
          <t>BBG000J1QLT0</t>
        </is>
      </c>
      <c r="B1007" t="inlineStr">
        <is>
          <t>stz</t>
        </is>
      </c>
      <c r="C1007" s="3" t="n">
        <v>0.3770598743183998</v>
      </c>
      <c r="D1007" s="3" t="n">
        <v>-0.0224349706167013</v>
      </c>
      <c r="G1007" s="3" t="n">
        <v>-0.0005685378135660279</v>
      </c>
      <c r="H1007" s="3" t="n">
        <v>2.932243227761823</v>
      </c>
      <c r="I1007" s="3" t="n">
        <v>19.52726726127595</v>
      </c>
      <c r="J1007" s="3" t="n">
        <v>0.1897382141804881</v>
      </c>
    </row>
    <row r="1008">
      <c r="A1008" t="inlineStr">
        <is>
          <t>BBG000BRK7L6</t>
        </is>
      </c>
      <c r="B1008" t="inlineStr">
        <is>
          <t>su</t>
        </is>
      </c>
      <c r="C1008" s="3" t="n">
        <v>0.496594214652038</v>
      </c>
      <c r="D1008" s="3" t="n">
        <v>0.1824332109038411</v>
      </c>
      <c r="I1008" s="3" t="n">
        <v>18.79385891049347</v>
      </c>
      <c r="J1008" s="3" t="n">
        <v>0.253343417392821</v>
      </c>
    </row>
    <row r="1009">
      <c r="A1009" t="inlineStr">
        <is>
          <t>BBG01ZZ7RBW8</t>
        </is>
      </c>
      <c r="B1009" t="inlineStr">
        <is>
          <t>sunb</t>
        </is>
      </c>
    </row>
    <row r="1010">
      <c r="A1010" t="inlineStr">
        <is>
          <t>BBG000BP0HX7</t>
        </is>
      </c>
      <c r="B1010" t="inlineStr">
        <is>
          <t>supn</t>
        </is>
      </c>
      <c r="C1010" s="3" t="n">
        <v>0.6796712550652411</v>
      </c>
      <c r="D1010" s="3" t="n">
        <v>0.2502752181586869</v>
      </c>
      <c r="E1010" s="3" t="n">
        <v>21.42605082317139</v>
      </c>
      <c r="F1010" s="3" t="n">
        <v>0.456338634638171</v>
      </c>
      <c r="H1010" s="3" t="n">
        <v>1.457056631184856</v>
      </c>
      <c r="I1010" s="3" t="n">
        <v>16.3275576920084</v>
      </c>
      <c r="J1010" s="3" t="n">
        <v>0.3516288367462038</v>
      </c>
      <c r="K1010" s="3" t="n">
        <v>-0.0004115147272367708</v>
      </c>
      <c r="L1010" s="3" t="n">
        <v>9836.17829165189</v>
      </c>
      <c r="M1010" s="4" t="n">
        <v>2019368796.758415</v>
      </c>
    </row>
    <row r="1011">
      <c r="A1011" t="inlineStr">
        <is>
          <t>BBG00BTHHZ55</t>
        </is>
      </c>
      <c r="B1011" t="inlineStr">
        <is>
          <t>supv</t>
        </is>
      </c>
      <c r="C1011" s="3" t="n">
        <v>1.7941488768548</v>
      </c>
      <c r="D1011" s="3" t="n">
        <v>1.734947020996833</v>
      </c>
      <c r="I1011" s="3" t="n">
        <v>16.17782031704365</v>
      </c>
      <c r="J1011" s="3" t="n">
        <v>0.6061054094723688</v>
      </c>
    </row>
    <row r="1012">
      <c r="A1012" t="inlineStr">
        <is>
          <t>BBG01MF5HF91</t>
        </is>
      </c>
      <c r="B1012" t="inlineStr">
        <is>
          <t>svco</t>
        </is>
      </c>
      <c r="C1012" s="3" t="n">
        <v>1.312954774391082</v>
      </c>
      <c r="E1012" s="3" t="n">
        <v>19.27433139577544</v>
      </c>
      <c r="F1012" s="3" t="n">
        <v>0.04003911589956944</v>
      </c>
      <c r="H1012" s="3" t="n">
        <v>15.57700323580055</v>
      </c>
      <c r="I1012" s="3" t="n">
        <v>15.5439713780645</v>
      </c>
      <c r="J1012" s="3" t="n">
        <v>0.6121819417000993</v>
      </c>
      <c r="K1012" s="3" t="n">
        <v>0.006166415637372532</v>
      </c>
      <c r="L1012" s="3" t="n">
        <v>7160.411236917083</v>
      </c>
      <c r="M1012" s="4" t="n">
        <v>234820368.75</v>
      </c>
    </row>
    <row r="1013">
      <c r="A1013" t="inlineStr">
        <is>
          <t>BBG01F5T0KZ3</t>
        </is>
      </c>
      <c r="B1013" t="inlineStr">
        <is>
          <t>svv</t>
        </is>
      </c>
      <c r="C1013" s="3" t="n">
        <v>0.6421589799741642</v>
      </c>
      <c r="D1013" s="3" t="n">
        <v>-0.3202658197616397</v>
      </c>
      <c r="E1013" s="3" t="n">
        <v>21.1254923339441</v>
      </c>
      <c r="F1013" s="3" t="n">
        <v>-0.008407852385069702</v>
      </c>
      <c r="H1013" s="3" t="n">
        <v>-148.5486555205358</v>
      </c>
      <c r="I1013" s="3" t="n">
        <v>15.68908173249899</v>
      </c>
      <c r="J1013" s="3" t="n">
        <v>0.5429933169770863</v>
      </c>
      <c r="K1013" s="3" t="n">
        <v>-0.01044176210609404</v>
      </c>
      <c r="L1013" s="3" t="n">
        <v>9428.020478632574</v>
      </c>
      <c r="M1013" s="4" t="n">
        <v>1495149940.300472</v>
      </c>
    </row>
    <row r="1014">
      <c r="A1014" t="inlineStr">
        <is>
          <t>sw</t>
        </is>
      </c>
      <c r="B1014" t="inlineStr">
        <is>
          <t>sw</t>
        </is>
      </c>
      <c r="C1014" s="3" t="n">
        <v>0.5761717796945465</v>
      </c>
      <c r="D1014" s="3" t="n">
        <v>0.5367246642633285</v>
      </c>
      <c r="E1014" s="3" t="n">
        <v>24.0300616447426</v>
      </c>
      <c r="F1014" s="3" t="n">
        <v>0.6581184246159385</v>
      </c>
      <c r="H1014" s="3" t="n">
        <v>2.506484831477513</v>
      </c>
      <c r="I1014" s="3" t="n">
        <v>19.07704215976143</v>
      </c>
      <c r="J1014" s="3" t="n">
        <v>0.420650438601148</v>
      </c>
      <c r="K1014" s="3" t="n">
        <v>0.006337572360621061</v>
      </c>
      <c r="L1014" s="3" t="n">
        <v>13876.01161586088</v>
      </c>
      <c r="M1014" s="4" t="n">
        <v>27297518694.79388</v>
      </c>
    </row>
    <row r="1015">
      <c r="A1015" t="inlineStr">
        <is>
          <t>BBG000BTQR96</t>
        </is>
      </c>
      <c r="B1015" t="inlineStr">
        <is>
          <t>swk</t>
        </is>
      </c>
      <c r="C1015" s="3" t="n">
        <v>0.9039335934471983</v>
      </c>
      <c r="D1015" s="3" t="n">
        <v>0.04982552262047535</v>
      </c>
      <c r="E1015" s="3" t="n">
        <v>23.27992332996903</v>
      </c>
      <c r="F1015" s="3" t="n">
        <v>0.6871511297066022</v>
      </c>
      <c r="H1015" s="3" t="n">
        <v>2.537678345388108</v>
      </c>
      <c r="I1015" s="3" t="n">
        <v>18.70553671326674</v>
      </c>
      <c r="J1015" s="3" t="n">
        <v>0.3005583653904227</v>
      </c>
      <c r="K1015" s="3" t="n">
        <v>-0.0008687119212472846</v>
      </c>
      <c r="L1015" s="3" t="n">
        <v>12616.66689650861</v>
      </c>
      <c r="M1015" s="4" t="n">
        <v>12892651436.22121</v>
      </c>
    </row>
    <row r="1016">
      <c r="A1016" t="inlineStr">
        <is>
          <t>BBG000KLB4Q1</t>
        </is>
      </c>
      <c r="B1016" t="inlineStr">
        <is>
          <t>swks</t>
        </is>
      </c>
      <c r="C1016" s="3" t="n">
        <v>1.717795912740163</v>
      </c>
      <c r="D1016" s="3" t="n">
        <v>-0.07797655788233604</v>
      </c>
      <c r="E1016" s="3" t="n">
        <v>23.2931069498282</v>
      </c>
      <c r="F1016" s="3" t="n">
        <v>0.418639409048624</v>
      </c>
      <c r="H1016" s="3" t="n">
        <v>1.540811848319471</v>
      </c>
      <c r="I1016" s="3" t="n">
        <v>19.08022588213073</v>
      </c>
      <c r="J1016" s="3" t="n">
        <v>0.2949131753970043</v>
      </c>
      <c r="K1016" s="3" t="n">
        <v>0.04562243331376484</v>
      </c>
      <c r="L1016" s="3" t="n">
        <v>12638.11381688762</v>
      </c>
      <c r="M1016" s="4" t="n">
        <v>13063748613.65751</v>
      </c>
    </row>
    <row r="1017">
      <c r="A1017" t="inlineStr">
        <is>
          <t>BBG00658F3P3</t>
        </is>
      </c>
      <c r="B1017" t="inlineStr">
        <is>
          <t>syf</t>
        </is>
      </c>
      <c r="C1017" s="3" t="n">
        <v>1.231130825363376</v>
      </c>
      <c r="D1017" s="3" t="n">
        <v>0.7342251877603454</v>
      </c>
      <c r="E1017" s="3" t="n">
        <v>23.96666055445597</v>
      </c>
      <c r="F1017" s="3" t="n">
        <v>0.5426503585658544</v>
      </c>
      <c r="H1017" s="3" t="n">
        <v>8.44990289804719</v>
      </c>
      <c r="I1017" s="3" t="n">
        <v>19.11336401745564</v>
      </c>
      <c r="J1017" s="3" t="n">
        <v>0.3168496601953398</v>
      </c>
      <c r="K1017" s="3" t="n">
        <v>0.02220873581413876</v>
      </c>
      <c r="L1017" s="3" t="n">
        <v>13766.4694303838</v>
      </c>
      <c r="M1017" s="4" t="n">
        <v>25620548811.94762</v>
      </c>
    </row>
    <row r="1018">
      <c r="A1018" t="inlineStr">
        <is>
          <t>BBG000DN7P92</t>
        </is>
      </c>
      <c r="B1018" t="inlineStr">
        <is>
          <t>syk</t>
        </is>
      </c>
      <c r="C1018" s="3" t="n">
        <v>0.5773122841230482</v>
      </c>
      <c r="D1018" s="3" t="n">
        <v>0.2138330700290865</v>
      </c>
      <c r="E1018" s="3" t="n">
        <v>25.69360452714745</v>
      </c>
      <c r="F1018" s="3" t="n">
        <v>0.08141554712938813</v>
      </c>
      <c r="H1018" s="3" t="n">
        <v>1.892327365567577</v>
      </c>
      <c r="I1018" s="3" t="n">
        <v>19.87219173383832</v>
      </c>
      <c r="J1018" s="3" t="n">
        <v>0.1728981429457336</v>
      </c>
      <c r="K1018" s="3" t="n">
        <v>0.003012305835818794</v>
      </c>
      <c r="L1018" s="3" t="n">
        <v>16961.9237156951</v>
      </c>
      <c r="M1018" s="4" t="n">
        <v>144075676127.0289</v>
      </c>
    </row>
    <row r="1019">
      <c r="A1019" t="inlineStr">
        <is>
          <t>BBG000BQV1S2</t>
        </is>
      </c>
      <c r="B1019" t="inlineStr">
        <is>
          <t>syna</t>
        </is>
      </c>
      <c r="C1019" s="3" t="n">
        <v>2.165362031306582</v>
      </c>
      <c r="D1019" s="3" t="n">
        <v>-0.3217107900244233</v>
      </c>
      <c r="E1019" s="3" t="n">
        <v>21.89087193838022</v>
      </c>
      <c r="F1019" s="3" t="n">
        <v>0.4563373482369307</v>
      </c>
      <c r="G1019" s="3" t="n">
        <v>0.03362179032486878</v>
      </c>
      <c r="H1019" s="3" t="n">
        <v>1.902917915255715</v>
      </c>
      <c r="I1019" s="3" t="n">
        <v>17.28423395421682</v>
      </c>
      <c r="J1019" s="3" t="n">
        <v>0.3392843104169526</v>
      </c>
      <c r="K1019" s="3" t="n">
        <v>-0.007186659902013294</v>
      </c>
      <c r="L1019" s="3" t="n">
        <v>10490.33074456218</v>
      </c>
      <c r="M1019" s="4" t="n">
        <v>3214288738.825951</v>
      </c>
    </row>
    <row r="1020">
      <c r="A1020" t="inlineStr">
        <is>
          <t>BBG0067L94B2</t>
        </is>
      </c>
      <c r="B1020" t="inlineStr">
        <is>
          <t>syre</t>
        </is>
      </c>
      <c r="C1020" s="3" t="n">
        <v>1.752470166634983</v>
      </c>
      <c r="D1020" s="3" t="n">
        <v>0.7433011278297705</v>
      </c>
      <c r="E1020" s="3" t="n">
        <v>20.7506584740292</v>
      </c>
      <c r="F1020" s="3" t="n">
        <v>-0.2017657110389419</v>
      </c>
      <c r="H1020" s="3" t="n">
        <v>-0.3430792468646676</v>
      </c>
      <c r="I1020" s="3" t="n">
        <v>16.67018936857066</v>
      </c>
      <c r="J1020" s="3" t="n">
        <v>0.745773698244408</v>
      </c>
      <c r="K1020" s="3" t="n">
        <v>-0.3296356024424245</v>
      </c>
      <c r="L1020" s="3" t="n">
        <v>8935.02244466374</v>
      </c>
      <c r="M1020" s="4" t="n">
        <v>1027771263.662392</v>
      </c>
    </row>
    <row r="1021">
      <c r="A1021" t="inlineStr">
        <is>
          <t>syy</t>
        </is>
      </c>
      <c r="B1021" t="inlineStr">
        <is>
          <t>syy</t>
        </is>
      </c>
      <c r="C1021" s="3" t="n">
        <v>0.303937712795898</v>
      </c>
      <c r="D1021" s="3" t="n">
        <v>0.06693398144236729</v>
      </c>
      <c r="E1021" s="3" t="n">
        <v>24.31575582874959</v>
      </c>
      <c r="F1021" s="3" t="n">
        <v>0.05530715984939853</v>
      </c>
      <c r="H1021" s="3" t="n">
        <v>12.88203085471278</v>
      </c>
      <c r="I1021" s="3" t="n">
        <v>19.30415917827295</v>
      </c>
      <c r="J1021" s="3" t="n">
        <v>0.1836448345437986</v>
      </c>
      <c r="K1021" s="3" t="n">
        <v>0.01348955118278013</v>
      </c>
      <c r="L1021" s="3" t="n">
        <v>14376.83607900994</v>
      </c>
      <c r="M1021" s="4" t="n">
        <v>36324410897.52579</v>
      </c>
    </row>
    <row r="1022">
      <c r="A1022" t="inlineStr">
        <is>
          <t>BBG000BSJK37</t>
        </is>
      </c>
      <c r="B1022" t="inlineStr">
        <is>
          <t>t</t>
        </is>
      </c>
      <c r="C1022" s="3" t="n">
        <v>-0.1602661764614933</v>
      </c>
      <c r="D1022" s="3" t="n">
        <v>0.4445261327826748</v>
      </c>
      <c r="I1022" s="3" t="n">
        <v>20.38912460504614</v>
      </c>
      <c r="J1022" s="3" t="n">
        <v>0.1969832083347418</v>
      </c>
    </row>
    <row r="1023">
      <c r="A1023" t="inlineStr">
        <is>
          <t>BBG00V317301</t>
        </is>
      </c>
      <c r="B1023" t="inlineStr">
        <is>
          <t>talk</t>
        </is>
      </c>
      <c r="C1023" s="3" t="n">
        <v>1.84952196503535</v>
      </c>
      <c r="D1023" s="3" t="n">
        <v>0.5343138102795808</v>
      </c>
      <c r="E1023" s="3" t="n">
        <v>20.17459287378169</v>
      </c>
      <c r="F1023" s="3" t="n">
        <v>0.2037696891316467</v>
      </c>
      <c r="H1023" s="3" t="n">
        <v>1.208119186822069</v>
      </c>
      <c r="I1023" s="3" t="n">
        <v>15.65461822051489</v>
      </c>
      <c r="J1023" s="3" t="n">
        <v>0.5860753767801476</v>
      </c>
      <c r="K1023" s="3" t="n">
        <v>-0.0076404329544184</v>
      </c>
      <c r="L1023" s="3" t="n">
        <v>8211.345730889776</v>
      </c>
      <c r="M1023" s="4" t="n">
        <v>577715951.267786</v>
      </c>
    </row>
    <row r="1024">
      <c r="A1024" t="inlineStr">
        <is>
          <t>BBG000BS7KS3</t>
        </is>
      </c>
      <c r="B1024" t="inlineStr">
        <is>
          <t>tap</t>
        </is>
      </c>
      <c r="C1024" s="3" t="n">
        <v>0.4099955011945882</v>
      </c>
      <c r="D1024" s="3" t="n">
        <v>-0.09373413923127227</v>
      </c>
      <c r="H1024" s="3" t="n">
        <v>1.995856218893854</v>
      </c>
      <c r="I1024" s="3" t="n">
        <v>18.43931121398221</v>
      </c>
      <c r="J1024" s="3" t="n">
        <v>0.2273823393771587</v>
      </c>
    </row>
    <row r="1025">
      <c r="A1025" t="inlineStr">
        <is>
          <t>BBG000CWKYS8</t>
        </is>
      </c>
      <c r="B1025" t="inlineStr">
        <is>
          <t>tcom</t>
        </is>
      </c>
      <c r="C1025" s="3" t="n">
        <v>0.7519024089718526</v>
      </c>
      <c r="D1025" s="3" t="n">
        <v>0.8305855633222716</v>
      </c>
      <c r="E1025" s="3" t="n">
        <v>24.44748751219226</v>
      </c>
      <c r="F1025" s="3" t="n">
        <v>2.948529082861519</v>
      </c>
      <c r="H1025" s="3" t="n">
        <v>1.793499967247811</v>
      </c>
      <c r="I1025" s="3" t="n">
        <v>19.47604675779658</v>
      </c>
      <c r="J1025" s="3" t="n">
        <v>0.4071854830504165</v>
      </c>
      <c r="K1025" s="3" t="n">
        <v>0.2393399417584998</v>
      </c>
      <c r="L1025" s="3" t="n">
        <v>14611.76567353492</v>
      </c>
      <c r="M1025" s="4" t="n">
        <v>41438967214.95895</v>
      </c>
    </row>
    <row r="1026">
      <c r="A1026" t="inlineStr">
        <is>
          <t>BBG000R0L5J4</t>
        </is>
      </c>
      <c r="B1026" t="inlineStr">
        <is>
          <t>tdc</t>
        </is>
      </c>
      <c r="C1026" s="3" t="n">
        <v>1.020061022834436</v>
      </c>
      <c r="D1026" s="3" t="n">
        <v>-0.317883607571718</v>
      </c>
      <c r="E1026" s="3" t="n">
        <v>21.80748502831975</v>
      </c>
      <c r="F1026" s="3" t="n">
        <v>0.04125621851757286</v>
      </c>
      <c r="H1026" s="3" t="n">
        <v>13.59836054427573</v>
      </c>
      <c r="I1026" s="3" t="n">
        <v>16.91575591126553</v>
      </c>
      <c r="J1026" s="3" t="n">
        <v>0.3983975655114114</v>
      </c>
      <c r="K1026" s="3" t="n">
        <v>0.00574881733441589</v>
      </c>
      <c r="L1026" s="3" t="n">
        <v>10370.90721907283</v>
      </c>
      <c r="M1026" s="4" t="n">
        <v>2957129963.493347</v>
      </c>
    </row>
    <row r="1027">
      <c r="A1027" t="inlineStr">
        <is>
          <t>BBG000L8CBX4</t>
        </is>
      </c>
      <c r="B1027" t="inlineStr">
        <is>
          <t>tdg</t>
        </is>
      </c>
      <c r="C1027" s="3" t="n">
        <v>1.058631160676219</v>
      </c>
      <c r="D1027" s="3" t="n">
        <v>0.427989458237978</v>
      </c>
      <c r="E1027" s="3" t="n">
        <v>24.91174083864304</v>
      </c>
      <c r="F1027" s="3" t="n">
        <v>-0.09541552947829003</v>
      </c>
      <c r="H1027" s="3" t="n">
        <v>-3.174880763620808</v>
      </c>
      <c r="I1027" s="3" t="n">
        <v>19.44593104837868</v>
      </c>
      <c r="J1027" s="3" t="n">
        <v>0.1912477703979831</v>
      </c>
      <c r="K1027" s="3" t="n">
        <v>0.02600035254782021</v>
      </c>
      <c r="L1027" s="3" t="n">
        <v>15460.09761091237</v>
      </c>
      <c r="M1027" s="4" t="n">
        <v>65922183048.15625</v>
      </c>
    </row>
    <row r="1028">
      <c r="A1028" t="inlineStr">
        <is>
          <t>BBG000BMT9T6</t>
        </is>
      </c>
      <c r="B1028" t="inlineStr">
        <is>
          <t>tdy</t>
        </is>
      </c>
      <c r="C1028" s="3" t="n">
        <v>0.712100827480828</v>
      </c>
      <c r="D1028" s="3" t="n">
        <v>0.1299384975666442</v>
      </c>
      <c r="E1028" s="3" t="n">
        <v>23.84184575466208</v>
      </c>
      <c r="F1028" s="3" t="n">
        <v>0.4077607242549784</v>
      </c>
      <c r="H1028" s="3" t="n">
        <v>1.575814427452412</v>
      </c>
      <c r="I1028" s="3" t="n">
        <v>18.49910103849643</v>
      </c>
      <c r="J1028" s="3" t="n">
        <v>0.2073491446873633</v>
      </c>
      <c r="K1028" s="3" t="n">
        <v>0.008193951134824915</v>
      </c>
      <c r="L1028" s="3" t="n">
        <v>13552.50642728398</v>
      </c>
      <c r="M1028" s="4" t="n">
        <v>22614242743.56079</v>
      </c>
    </row>
    <row r="1029">
      <c r="A1029" t="inlineStr">
        <is>
          <t>BBG01KR6BS70</t>
        </is>
      </c>
      <c r="B1029" t="inlineStr">
        <is>
          <t>te</t>
        </is>
      </c>
      <c r="C1029" s="3" t="n">
        <v>3.377533272174067</v>
      </c>
      <c r="D1029" s="3" t="n">
        <v>-0.4049079561669635</v>
      </c>
      <c r="E1029" s="3" t="n">
        <v>19.48819833817509</v>
      </c>
      <c r="F1029" s="3" t="n">
        <v>1.852345152120847</v>
      </c>
      <c r="H1029" s="3" t="n">
        <v>1.141630620316637</v>
      </c>
      <c r="I1029" s="3" t="n">
        <v>15.50209968937076</v>
      </c>
      <c r="J1029" s="3" t="n">
        <v>1.100071041624778</v>
      </c>
      <c r="K1029" s="3" t="n">
        <v>-0.09447582664337609</v>
      </c>
      <c r="L1029" s="3" t="n">
        <v>7401.420400463987</v>
      </c>
      <c r="M1029" s="4" t="n">
        <v>290815131.0412536</v>
      </c>
    </row>
    <row r="1030">
      <c r="A1030" t="inlineStr">
        <is>
          <t>BBG01BGWHFR5</t>
        </is>
      </c>
      <c r="B1030" t="inlineStr">
        <is>
          <t>team</t>
        </is>
      </c>
      <c r="C1030" s="3" t="n">
        <v>1.28248543096525</v>
      </c>
      <c r="D1030" s="3" t="n">
        <v>-0.01262112438138774</v>
      </c>
      <c r="H1030" s="3" t="n">
        <v>4.853351459172858</v>
      </c>
      <c r="I1030" s="3" t="n">
        <v>19.85011354822137</v>
      </c>
      <c r="J1030" s="3" t="n">
        <v>0.438088717436293</v>
      </c>
    </row>
    <row r="1031">
      <c r="A1031" t="inlineStr">
        <is>
          <t>BBG000C15114</t>
        </is>
      </c>
      <c r="B1031" t="inlineStr">
        <is>
          <t>tech</t>
        </is>
      </c>
      <c r="C1031" s="3" t="n">
        <v>1.092158831927388</v>
      </c>
      <c r="D1031" s="3" t="n">
        <v>0.1763204962870768</v>
      </c>
      <c r="E1031" s="3" t="n">
        <v>23.1971471768854</v>
      </c>
      <c r="F1031" s="3" t="n">
        <v>0.1743154931454596</v>
      </c>
      <c r="H1031" s="3" t="n">
        <v>1.322482054608849</v>
      </c>
      <c r="I1031" s="3" t="n">
        <v>18.03105411859467</v>
      </c>
      <c r="J1031" s="3" t="n">
        <v>0.3469012603723262</v>
      </c>
      <c r="K1031" s="3" t="n">
        <v>0.002831041675175794</v>
      </c>
      <c r="L1031" s="3" t="n">
        <v>12482.56205588372</v>
      </c>
      <c r="M1031" s="4" t="n">
        <v>11868422952.51007</v>
      </c>
    </row>
    <row r="1032">
      <c r="A1032" t="inlineStr">
        <is>
          <t>BBG000BSJTT0</t>
        </is>
      </c>
      <c r="B1032" t="inlineStr">
        <is>
          <t>teck</t>
        </is>
      </c>
      <c r="C1032" s="3" t="n">
        <v>1.307992622418307</v>
      </c>
      <c r="D1032" s="3" t="n">
        <v>0.2551104891053173</v>
      </c>
      <c r="I1032" s="3" t="n">
        <v>18.7861862047387</v>
      </c>
      <c r="J1032" s="3" t="n">
        <v>0.3220345046151912</v>
      </c>
    </row>
    <row r="1033">
      <c r="A1033" t="inlineStr">
        <is>
          <t>tel</t>
        </is>
      </c>
      <c r="B1033" t="inlineStr">
        <is>
          <t>tel</t>
        </is>
      </c>
      <c r="C1033" s="3" t="n">
        <v>1.020429184560334</v>
      </c>
      <c r="D1033" s="3" t="n">
        <v>0.1397928359906107</v>
      </c>
      <c r="E1033" s="3" t="n">
        <v>24.53889805241524</v>
      </c>
      <c r="F1033" s="3" t="n">
        <v>0.2741741153118208</v>
      </c>
      <c r="H1033" s="3" t="n">
        <v>1.833400272967034</v>
      </c>
      <c r="I1033" s="3" t="n">
        <v>19.25521364963104</v>
      </c>
      <c r="J1033" s="3" t="n">
        <v>0.1696546161169248</v>
      </c>
      <c r="K1033" s="3" t="n">
        <v>0.009536299456182697</v>
      </c>
      <c r="L1033" s="3" t="n">
        <v>14776.28193654017</v>
      </c>
      <c r="M1033" s="4" t="n">
        <v>45405453339.63223</v>
      </c>
    </row>
    <row r="1034">
      <c r="A1034" t="inlineStr">
        <is>
          <t>BBG000BL1FQ7</t>
        </is>
      </c>
      <c r="B1034" t="inlineStr">
        <is>
          <t>teo</t>
        </is>
      </c>
      <c r="C1034" s="3" t="n">
        <v>1.083008108765999</v>
      </c>
      <c r="D1034" s="3" t="n">
        <v>0.1234865823075346</v>
      </c>
      <c r="I1034" s="3" t="n">
        <v>14.50949854876442</v>
      </c>
      <c r="J1034" s="3" t="n">
        <v>0.4993441614793466</v>
      </c>
    </row>
    <row r="1035">
      <c r="A1035" t="inlineStr">
        <is>
          <t>BBG000BV4DR6</t>
        </is>
      </c>
      <c r="B1035" t="inlineStr">
        <is>
          <t>ter</t>
        </is>
      </c>
      <c r="C1035" s="3" t="n">
        <v>2.441466207942453</v>
      </c>
      <c r="D1035" s="3" t="n">
        <v>0.1550257618882349</v>
      </c>
      <c r="E1035" s="3" t="n">
        <v>23.60374958035301</v>
      </c>
      <c r="F1035" s="3" t="n">
        <v>0.1366154769105558</v>
      </c>
      <c r="G1035" s="3" t="n">
        <v>0.152199262558679</v>
      </c>
      <c r="H1035" s="3" t="n">
        <v>1.548217305904137</v>
      </c>
      <c r="I1035" s="3" t="n">
        <v>19.29896893002757</v>
      </c>
      <c r="J1035" s="3" t="n">
        <v>0.3292378262432608</v>
      </c>
      <c r="K1035" s="3" t="n">
        <v>0.01861078354084264</v>
      </c>
      <c r="L1035" s="3" t="n">
        <v>13150.52209427513</v>
      </c>
      <c r="M1035" s="4" t="n">
        <v>17822892800.48071</v>
      </c>
    </row>
    <row r="1036">
      <c r="A1036" t="inlineStr">
        <is>
          <t>BBG000C0CD58</t>
        </is>
      </c>
      <c r="B1036" t="inlineStr">
        <is>
          <t>teva</t>
        </is>
      </c>
      <c r="C1036" s="3" t="n">
        <v>0.5675284910042321</v>
      </c>
      <c r="D1036" s="3" t="n">
        <v>0.8778005200729997</v>
      </c>
      <c r="E1036" s="3" t="n">
        <v>23.66836687952807</v>
      </c>
      <c r="F1036" s="3" t="n">
        <v>0.3189992586485786</v>
      </c>
      <c r="H1036" s="3" t="n">
        <v>7.168837591563259</v>
      </c>
      <c r="I1036" s="3" t="n">
        <v>18.61675830566395</v>
      </c>
      <c r="J1036" s="3" t="n">
        <v>0.3197910199450787</v>
      </c>
      <c r="K1036" s="3" t="n">
        <v>-0.05375387342767475</v>
      </c>
      <c r="L1036" s="3" t="n">
        <v>13258.82009255403</v>
      </c>
      <c r="M1036" s="4" t="n">
        <v>19012583368.92384</v>
      </c>
    </row>
    <row r="1037">
      <c r="A1037" t="inlineStr">
        <is>
          <t>BBG000BYYLS8</t>
        </is>
      </c>
      <c r="B1037" t="inlineStr">
        <is>
          <t>tfc</t>
        </is>
      </c>
      <c r="C1037" s="3" t="n">
        <v>1.04954544087518</v>
      </c>
      <c r="D1037" s="3" t="n">
        <v>0.3944958611325047</v>
      </c>
      <c r="E1037" s="3" t="n">
        <v>37.90085627412248</v>
      </c>
      <c r="F1037" s="3" t="n">
        <v>5.12736410716929e-07</v>
      </c>
      <c r="H1037" s="3" t="n">
        <v>10.30273120536082</v>
      </c>
      <c r="I1037" s="3" t="n">
        <v>19.62227939620966</v>
      </c>
      <c r="J1037" s="3" t="n">
        <v>0.241098055332199</v>
      </c>
      <c r="K1037" s="3" t="n">
        <v>7.209922487095812e-09</v>
      </c>
      <c r="L1037" s="3" t="n">
        <v>54443.62896550287</v>
      </c>
      <c r="M1037" s="4" t="n">
        <v>2.884913123161513e+16</v>
      </c>
    </row>
    <row r="1038">
      <c r="A1038" t="inlineStr">
        <is>
          <t>BBG000BV59Y6</t>
        </is>
      </c>
      <c r="B1038" t="inlineStr">
        <is>
          <t>tfx</t>
        </is>
      </c>
      <c r="C1038" s="3" t="n">
        <v>0.7003510566377349</v>
      </c>
      <c r="D1038" s="3" t="n">
        <v>-0.1050088998683525</v>
      </c>
      <c r="E1038" s="3" t="n">
        <v>22.89911835319211</v>
      </c>
      <c r="F1038" s="3" t="n">
        <v>0.5111654110683401</v>
      </c>
      <c r="H1038" s="3" t="n">
        <v>1.662434352015022</v>
      </c>
      <c r="I1038" s="3" t="n">
        <v>18.23314976848321</v>
      </c>
      <c r="J1038" s="3" t="n">
        <v>0.283269918795657</v>
      </c>
      <c r="K1038" s="3" t="n">
        <v>0.01263778527790035</v>
      </c>
      <c r="L1038" s="3" t="n">
        <v>12007.60202019232</v>
      </c>
      <c r="M1038" s="4" t="n">
        <v>8809692326.554504</v>
      </c>
    </row>
    <row r="1039">
      <c r="A1039" t="inlineStr">
        <is>
          <t>BBG000H8TVT2</t>
        </is>
      </c>
      <c r="B1039" t="inlineStr">
        <is>
          <t>tgt</t>
        </is>
      </c>
      <c r="C1039" s="3" t="n">
        <v>0.6845357458562711</v>
      </c>
      <c r="D1039" s="3" t="n">
        <v>0.1462671293157074</v>
      </c>
      <c r="E1039" s="3" t="n">
        <v>24.76529557629074</v>
      </c>
      <c r="F1039" s="3" t="n">
        <v>0.2533990730811928</v>
      </c>
      <c r="G1039" s="3" t="n">
        <v>0.03343675478858432</v>
      </c>
      <c r="H1039" s="3" t="n">
        <v>4.056483470506862</v>
      </c>
      <c r="I1039" s="3" t="n">
        <v>20.40019616436625</v>
      </c>
      <c r="J1039" s="3" t="n">
        <v>0.3619004798998062</v>
      </c>
      <c r="K1039" s="3" t="n">
        <v>0.04840029422771969</v>
      </c>
      <c r="L1039" s="3" t="n">
        <v>15189.04773906632</v>
      </c>
      <c r="M1039" s="4" t="n">
        <v>56941802605.26579</v>
      </c>
    </row>
    <row r="1040">
      <c r="A1040" t="inlineStr">
        <is>
          <t>BBG000CPHYL4</t>
        </is>
      </c>
      <c r="B1040" t="inlineStr">
        <is>
          <t>thc</t>
        </is>
      </c>
      <c r="C1040" s="3" t="n">
        <v>0.7581759074502323</v>
      </c>
      <c r="D1040" s="3" t="n">
        <v>1.246341102358479</v>
      </c>
      <c r="E1040" s="3" t="n">
        <v>23.33101229050792</v>
      </c>
      <c r="F1040" s="3" t="n">
        <v>0.2825675028103136</v>
      </c>
      <c r="H1040" s="3" t="n">
        <v>7.384454875486579</v>
      </c>
      <c r="I1040" s="3" t="n">
        <v>19.1279294533957</v>
      </c>
      <c r="J1040" s="3" t="n">
        <v>0.3737562937496117</v>
      </c>
      <c r="K1040" s="3" t="n">
        <v>0.06868881393302355</v>
      </c>
      <c r="L1040" s="3" t="n">
        <v>12699.91304418315</v>
      </c>
      <c r="M1040" s="4" t="n">
        <v>13568439263.48877</v>
      </c>
    </row>
    <row r="1041">
      <c r="A1041" t="inlineStr">
        <is>
          <t>BBG000BQLM34</t>
        </is>
      </c>
      <c r="B1041" t="inlineStr">
        <is>
          <t>thrm</t>
        </is>
      </c>
      <c r="C1041" s="3" t="n">
        <v>1.10976867191471</v>
      </c>
      <c r="D1041" s="3" t="n">
        <v>-0.08645465079070236</v>
      </c>
      <c r="E1041" s="3" t="n">
        <v>20.98889257715434</v>
      </c>
      <c r="F1041" s="3" t="n">
        <v>0.5154486919316366</v>
      </c>
      <c r="H1041" s="3" t="n">
        <v>1.931029504485485</v>
      </c>
      <c r="I1041" s="3" t="n">
        <v>16.12894390050503</v>
      </c>
      <c r="J1041" s="3" t="n">
        <v>0.354213533521842</v>
      </c>
      <c r="K1041" s="3" t="n">
        <v>0.07314022289967707</v>
      </c>
      <c r="L1041" s="3" t="n">
        <v>9246.31265081988</v>
      </c>
      <c r="M1041" s="4" t="n">
        <v>1304248143.428627</v>
      </c>
    </row>
    <row r="1042">
      <c r="A1042" t="inlineStr">
        <is>
          <t>BBG00FWL3J63</t>
        </is>
      </c>
      <c r="B1042" t="inlineStr">
        <is>
          <t>thry</t>
        </is>
      </c>
      <c r="C1042" s="3" t="n">
        <v>1.098646102219998</v>
      </c>
      <c r="D1042" s="3" t="n">
        <v>-0.1916807546710204</v>
      </c>
      <c r="E1042" s="3" t="n">
        <v>20.31552183736988</v>
      </c>
      <c r="F1042" s="3" t="n">
        <v>0.2752164743707234</v>
      </c>
      <c r="H1042" s="3" t="n">
        <v>3.576712533722755</v>
      </c>
      <c r="I1042" s="3" t="n">
        <v>15.62450849131137</v>
      </c>
      <c r="J1042" s="3" t="n">
        <v>0.4408000217679401</v>
      </c>
      <c r="K1042" s="3" t="n">
        <v>-0.1444352775552812</v>
      </c>
      <c r="L1042" s="3" t="n">
        <v>8384.630858105709</v>
      </c>
      <c r="M1042" s="4" t="n">
        <v>665149134.4889374</v>
      </c>
    </row>
    <row r="1043">
      <c r="A1043" t="inlineStr">
        <is>
          <t>BBG000BV8DN6</t>
        </is>
      </c>
      <c r="B1043" t="inlineStr">
        <is>
          <t>tjx</t>
        </is>
      </c>
      <c r="C1043" s="3" t="n">
        <v>0.6269595574313955</v>
      </c>
      <c r="D1043" s="3" t="n">
        <v>0.2965534422164902</v>
      </c>
      <c r="E1043" s="3" t="n">
        <v>25.65900509407557</v>
      </c>
      <c r="F1043" s="3" t="n">
        <v>0.04614301602927426</v>
      </c>
      <c r="H1043" s="3" t="n">
        <v>4.503581438102837</v>
      </c>
      <c r="I1043" s="3" t="n">
        <v>20.12474822080656</v>
      </c>
      <c r="J1043" s="3" t="n">
        <v>0.1523970236482781</v>
      </c>
      <c r="K1043" s="3" t="n">
        <v>0.007896476894452258</v>
      </c>
      <c r="L1043" s="3" t="n">
        <v>16893.49232775884</v>
      </c>
      <c r="M1043" s="4" t="n">
        <v>139175991354.3489</v>
      </c>
    </row>
    <row r="1044">
      <c r="A1044" t="inlineStr">
        <is>
          <t>BBG01G9JKWV5</t>
        </is>
      </c>
      <c r="B1044" t="inlineStr">
        <is>
          <t>tko</t>
        </is>
      </c>
      <c r="C1044" s="3" t="n">
        <v>0.5510856503769498</v>
      </c>
      <c r="D1044" s="3" t="n">
        <v>0.5100220508076871</v>
      </c>
      <c r="H1044" s="3" t="n">
        <v>3.157426231633686</v>
      </c>
      <c r="I1044" s="3" t="n">
        <v>18.50261036065537</v>
      </c>
      <c r="J1044" s="3" t="n">
        <v>0.2961838992568223</v>
      </c>
    </row>
    <row r="1045">
      <c r="A1045" t="inlineStr">
        <is>
          <t>BBG000BPH299</t>
        </is>
      </c>
      <c r="B1045" t="inlineStr">
        <is>
          <t>tm</t>
        </is>
      </c>
      <c r="C1045" s="3" t="n">
        <v>0.9203127119593276</v>
      </c>
      <c r="D1045" s="3" t="n">
        <v>-0.06460717893433643</v>
      </c>
      <c r="E1045" s="3" t="n">
        <v>26.86072660765844</v>
      </c>
      <c r="F1045" s="3" t="n">
        <v>43.33900760330512</v>
      </c>
      <c r="H1045" s="3" t="n">
        <v>2.626062467267827</v>
      </c>
      <c r="I1045" s="3" t="n">
        <v>17.96947925534075</v>
      </c>
      <c r="J1045" s="3" t="n">
        <v>0.2304049904043425</v>
      </c>
      <c r="K1045" s="3" t="n">
        <v>4.485390770257069</v>
      </c>
      <c r="L1045" s="3" t="n">
        <v>19379.97755275515</v>
      </c>
      <c r="M1045" s="4" t="n">
        <v>462876727210.2188</v>
      </c>
    </row>
    <row r="1046">
      <c r="A1046" t="inlineStr">
        <is>
          <t>BBG00LDC5RK5</t>
        </is>
      </c>
      <c r="B1046" t="inlineStr">
        <is>
          <t>tme</t>
        </is>
      </c>
      <c r="C1046" s="3" t="n">
        <v>0.8635911311101963</v>
      </c>
      <c r="D1046" s="3" t="n">
        <v>0.3197922474706441</v>
      </c>
      <c r="I1046" s="3" t="n">
        <v>18.3933821841882</v>
      </c>
      <c r="J1046" s="3" t="n">
        <v>0.4754487397910235</v>
      </c>
    </row>
    <row r="1047">
      <c r="A1047" t="inlineStr">
        <is>
          <t>BBG003PGJHP5</t>
        </is>
      </c>
      <c r="B1047" t="inlineStr">
        <is>
          <t>tmhc</t>
        </is>
      </c>
      <c r="C1047" s="3" t="n">
        <v>1.181467390069746</v>
      </c>
      <c r="D1047" s="3" t="n">
        <v>0.5188470580393945</v>
      </c>
      <c r="E1047" s="3" t="n">
        <v>22.78529514472146</v>
      </c>
      <c r="F1047" s="3" t="n">
        <v>0.6760370500321072</v>
      </c>
      <c r="H1047" s="3" t="n">
        <v>1.642121144591799</v>
      </c>
      <c r="I1047" s="3" t="n">
        <v>17.85802637938036</v>
      </c>
      <c r="J1047" s="3" t="n">
        <v>0.2868929293142277</v>
      </c>
      <c r="K1047" s="3" t="n">
        <v>0.08433398247216439</v>
      </c>
      <c r="L1047" s="3" t="n">
        <v>11829.43427123772</v>
      </c>
      <c r="M1047" s="4" t="n">
        <v>7861907862.99588</v>
      </c>
    </row>
    <row r="1048">
      <c r="A1048" t="inlineStr">
        <is>
          <t>BBG000BVDLH9</t>
        </is>
      </c>
      <c r="B1048" t="inlineStr">
        <is>
          <t>tmo</t>
        </is>
      </c>
      <c r="C1048" s="3" t="n">
        <v>0.6458471831759309</v>
      </c>
      <c r="D1048" s="3" t="n">
        <v>0.104908153706974</v>
      </c>
      <c r="E1048" s="3" t="n">
        <v>26.02815522498145</v>
      </c>
      <c r="F1048" s="3" t="n">
        <v>0.2433553961375036</v>
      </c>
      <c r="H1048" s="3" t="n">
        <v>2.015145329808639</v>
      </c>
      <c r="I1048" s="3" t="n">
        <v>20.57174498114075</v>
      </c>
      <c r="J1048" s="3" t="n">
        <v>0.1866211003476768</v>
      </c>
      <c r="K1048" s="3" t="n">
        <v>0.001161342497080102</v>
      </c>
      <c r="L1048" s="3" t="n">
        <v>17633.16065048361</v>
      </c>
      <c r="M1048" s="4" t="n">
        <v>201318732920.451</v>
      </c>
    </row>
    <row r="1049">
      <c r="A1049" t="inlineStr">
        <is>
          <t>BBG000NDV1D4</t>
        </is>
      </c>
      <c r="B1049" t="inlineStr">
        <is>
          <t>tmus</t>
        </is>
      </c>
      <c r="C1049" s="3" t="n">
        <v>0.236793323284577</v>
      </c>
      <c r="D1049" s="3" t="n">
        <v>0.4997573419375223</v>
      </c>
      <c r="E1049" s="3" t="n">
        <v>26.35556138893394</v>
      </c>
      <c r="F1049" s="3" t="n">
        <v>0.2317021570097633</v>
      </c>
      <c r="H1049" s="3" t="n">
        <v>3.256462952897219</v>
      </c>
      <c r="I1049" s="3" t="n">
        <v>20.47727451433436</v>
      </c>
      <c r="J1049" s="3" t="n">
        <v>0.1536415310731979</v>
      </c>
      <c r="K1049" s="3" t="n">
        <v>0.01095228151576707</v>
      </c>
      <c r="L1049" s="3" t="n">
        <v>18306.98451251741</v>
      </c>
      <c r="M1049" s="4" t="n">
        <v>279302535785.3763</v>
      </c>
    </row>
    <row r="1050">
      <c r="A1050" t="inlineStr">
        <is>
          <t>BBG000JCZJS2</t>
        </is>
      </c>
      <c r="B1050" t="inlineStr">
        <is>
          <t>tnc</t>
        </is>
      </c>
      <c r="C1050" s="3" t="n">
        <v>0.8501906748263979</v>
      </c>
      <c r="D1050" s="3" t="n">
        <v>0.03095332348763069</v>
      </c>
      <c r="E1050" s="3" t="n">
        <v>21.21101552827544</v>
      </c>
      <c r="F1050" s="3" t="n">
        <v>0.3973850359055848</v>
      </c>
      <c r="G1050" s="3" t="n">
        <v>0.01095029518187007</v>
      </c>
      <c r="H1050" s="3" t="n">
        <v>1.72033374270653</v>
      </c>
      <c r="I1050" s="3" t="n">
        <v>16.06634116153491</v>
      </c>
      <c r="J1050" s="3" t="n">
        <v>0.2492639915986021</v>
      </c>
      <c r="K1050" s="3" t="n">
        <v>0.04819951378026639</v>
      </c>
      <c r="L1050" s="3" t="n">
        <v>9542.988175763483</v>
      </c>
      <c r="M1050" s="4" t="n">
        <v>1628647133.447632</v>
      </c>
    </row>
    <row r="1051">
      <c r="A1051" t="inlineStr">
        <is>
          <t>BBG000BVHBM1</t>
        </is>
      </c>
      <c r="B1051" t="inlineStr">
        <is>
          <t>tol</t>
        </is>
      </c>
      <c r="C1051" s="3" t="n">
        <v>1.345533802693836</v>
      </c>
      <c r="D1051" s="3" t="n">
        <v>0.7177471868643879</v>
      </c>
      <c r="E1051" s="3" t="n">
        <v>23.52513096954984</v>
      </c>
      <c r="F1051" s="3" t="n">
        <v>0.4125652750420452</v>
      </c>
      <c r="H1051" s="3" t="n">
        <v>1.842979328142097</v>
      </c>
      <c r="I1051" s="3" t="n">
        <v>19.00168992082772</v>
      </c>
      <c r="J1051" s="3" t="n">
        <v>0.3121858506463119</v>
      </c>
      <c r="K1051" s="3" t="n">
        <v>0.05623766279765851</v>
      </c>
      <c r="L1051" s="3" t="n">
        <v>13019.5552750505</v>
      </c>
      <c r="M1051" s="4" t="n">
        <v>16475346837.89062</v>
      </c>
    </row>
    <row r="1052">
      <c r="A1052" t="inlineStr">
        <is>
          <t>BBG00BTJVK94</t>
        </is>
      </c>
      <c r="B1052" t="inlineStr">
        <is>
          <t>tost</t>
        </is>
      </c>
      <c r="C1052" s="3" t="n">
        <v>1.622758627777948</v>
      </c>
      <c r="D1052" s="3" t="n">
        <v>1.019502415451191</v>
      </c>
      <c r="H1052" s="3" t="n">
        <v>1.865159127416115</v>
      </c>
      <c r="I1052" s="3" t="n">
        <v>19.2421522042127</v>
      </c>
      <c r="J1052" s="3" t="n">
        <v>0.4437994433439463</v>
      </c>
    </row>
    <row r="1053">
      <c r="A1053" t="inlineStr">
        <is>
          <t>BBG0145FSNR1</t>
        </is>
      </c>
      <c r="B1053" t="inlineStr">
        <is>
          <t>tpg</t>
        </is>
      </c>
      <c r="C1053" s="3" t="n">
        <v>1.427748713042138</v>
      </c>
      <c r="D1053" s="3" t="n">
        <v>0.9890821284274274</v>
      </c>
      <c r="I1053" s="3" t="n">
        <v>17.93091271556325</v>
      </c>
      <c r="J1053" s="3" t="n">
        <v>0.2658633941864199</v>
      </c>
    </row>
    <row r="1054">
      <c r="A1054" t="inlineStr">
        <is>
          <t>tpl</t>
        </is>
      </c>
      <c r="B1054" t="inlineStr">
        <is>
          <t>tpl</t>
        </is>
      </c>
      <c r="C1054" s="3" t="n">
        <v>1.073243274687175</v>
      </c>
      <c r="D1054" s="3" t="n">
        <v>1.132807049364066</v>
      </c>
      <c r="E1054" s="3" t="n">
        <v>23.21931616719017</v>
      </c>
      <c r="F1054" s="3" t="n">
        <v>0.09942097167157395</v>
      </c>
      <c r="H1054" s="3" t="n">
        <v>0.9744268369214173</v>
      </c>
      <c r="I1054" s="3" t="n">
        <v>19.36181426762655</v>
      </c>
      <c r="J1054" s="3" t="n">
        <v>0.4234966915888988</v>
      </c>
      <c r="K1054" s="3" t="n">
        <v>0.008273371906676295</v>
      </c>
      <c r="L1054" s="3" t="n">
        <v>12518.38417744877</v>
      </c>
      <c r="M1054" s="4" t="n">
        <v>12134472029.56189</v>
      </c>
    </row>
    <row r="1055">
      <c r="A1055" t="inlineStr">
        <is>
          <t>BBG000BY29C7</t>
        </is>
      </c>
      <c r="B1055" t="inlineStr">
        <is>
          <t>tpr</t>
        </is>
      </c>
      <c r="C1055" s="3" t="n">
        <v>0.9717948671604836</v>
      </c>
      <c r="D1055" s="3" t="n">
        <v>0.5514265320610903</v>
      </c>
      <c r="E1055" s="3" t="n">
        <v>23.37127983845504</v>
      </c>
      <c r="F1055" s="3" t="n">
        <v>0.2050763763262609</v>
      </c>
      <c r="H1055" s="3" t="n">
        <v>4.624357069755823</v>
      </c>
      <c r="I1055" s="3" t="n">
        <v>19.00001401314422</v>
      </c>
      <c r="J1055" s="3" t="n">
        <v>0.3295535338544562</v>
      </c>
      <c r="K1055" s="3" t="n">
        <v>0.013209724817039</v>
      </c>
      <c r="L1055" s="3" t="n">
        <v>12765.78384565064</v>
      </c>
      <c r="M1055" s="4" t="n">
        <v>14125956639.61887</v>
      </c>
    </row>
    <row r="1056">
      <c r="A1056" t="inlineStr">
        <is>
          <t>BBG0015XMW40</t>
        </is>
      </c>
      <c r="B1056" t="inlineStr">
        <is>
          <t>trgp</t>
        </is>
      </c>
      <c r="C1056" s="3" t="n">
        <v>0.6079121331626718</v>
      </c>
      <c r="D1056" s="3" t="n">
        <v>0.8876112606380628</v>
      </c>
      <c r="E1056" s="3" t="n">
        <v>24.48799539835227</v>
      </c>
      <c r="F1056" s="3" t="n">
        <v>0.06348947492389984</v>
      </c>
      <c r="G1056" s="3" t="n">
        <v>0</v>
      </c>
      <c r="H1056" s="3" t="n">
        <v>7.545278677393409</v>
      </c>
      <c r="I1056" s="3" t="n">
        <v>19.46089306898525</v>
      </c>
      <c r="J1056" s="3" t="n">
        <v>0.214885164136084</v>
      </c>
      <c r="K1056" s="3" t="n">
        <v>0.005098253269795221</v>
      </c>
      <c r="L1056" s="3" t="n">
        <v>14684.51830397172</v>
      </c>
      <c r="M1056" s="4" t="n">
        <v>43152034305.21968</v>
      </c>
    </row>
    <row r="1057">
      <c r="A1057" t="inlineStr">
        <is>
          <t>BBG00T6WFZ96</t>
        </is>
      </c>
      <c r="B1057" t="inlineStr">
        <is>
          <t>trin</t>
        </is>
      </c>
      <c r="C1057" s="3" t="n">
        <v>0.4460106811950521</v>
      </c>
      <c r="D1057" s="3" t="n">
        <v>0.07474932884386831</v>
      </c>
      <c r="E1057" s="3" t="n">
        <v>20.34186089002434</v>
      </c>
      <c r="F1057" s="3" t="n">
        <v>0.894944854571364</v>
      </c>
      <c r="H1057" s="3" t="n">
        <v>2.145075173326294</v>
      </c>
      <c r="I1057" s="3" t="n">
        <v>15.55223652054352</v>
      </c>
      <c r="J1057" s="3" t="n">
        <v>0.1555446623455344</v>
      </c>
      <c r="L1057" s="3" t="n">
        <v>8417.285153012175</v>
      </c>
      <c r="M1057" s="4" t="n">
        <v>682901293.8431511</v>
      </c>
    </row>
    <row r="1058">
      <c r="A1058" t="inlineStr">
        <is>
          <t>BBG001M8HHB7</t>
        </is>
      </c>
      <c r="B1058" t="inlineStr">
        <is>
          <t>trip</t>
        </is>
      </c>
      <c r="C1058" s="3" t="n">
        <v>1.129750923037553</v>
      </c>
      <c r="D1058" s="3" t="n">
        <v>-0.1003925415500871</v>
      </c>
      <c r="H1058" s="3" t="n">
        <v>3.499359790653829</v>
      </c>
      <c r="I1058" s="3" t="n">
        <v>17.22347444746853</v>
      </c>
      <c r="J1058" s="3" t="n">
        <v>0.4852989461335844</v>
      </c>
    </row>
    <row r="1059">
      <c r="A1059" t="inlineStr">
        <is>
          <t>trmb</t>
        </is>
      </c>
      <c r="B1059" t="inlineStr">
        <is>
          <t>trmb</t>
        </is>
      </c>
      <c r="C1059" s="3" t="n">
        <v>1.363409841239866</v>
      </c>
      <c r="D1059" s="3" t="n">
        <v>0.3038792674663391</v>
      </c>
      <c r="E1059" s="3" t="n">
        <v>23.6096180773103</v>
      </c>
      <c r="F1059" s="3" t="n">
        <v>0.2510124795879799</v>
      </c>
      <c r="H1059" s="3" t="n">
        <v>2.119797337365881</v>
      </c>
      <c r="I1059" s="3" t="n">
        <v>18.21429342637358</v>
      </c>
      <c r="J1059" s="3" t="n">
        <v>0.2492231100790183</v>
      </c>
      <c r="K1059" s="3" t="n">
        <v>0.01736409966350484</v>
      </c>
      <c r="L1059" s="3" t="n">
        <v>13160.33320343068</v>
      </c>
      <c r="M1059" s="4" t="n">
        <v>17927793897.48111</v>
      </c>
    </row>
    <row r="1060">
      <c r="A1060" t="inlineStr">
        <is>
          <t>BBG000BVL2G3</t>
        </is>
      </c>
      <c r="B1060" t="inlineStr">
        <is>
          <t>trn</t>
        </is>
      </c>
      <c r="C1060" s="3" t="n">
        <v>0.9707906521266826</v>
      </c>
      <c r="D1060" s="3" t="n">
        <v>0.4272536957505246</v>
      </c>
      <c r="E1060" s="3" t="n">
        <v>21.79215695031485</v>
      </c>
      <c r="F1060" s="3" t="n">
        <v>0.3630996194759828</v>
      </c>
      <c r="G1060" s="3" t="n">
        <v>-0.005386832187984969</v>
      </c>
      <c r="H1060" s="3" t="n">
        <v>8.362871185584574</v>
      </c>
      <c r="I1060" s="3" t="n">
        <v>16.64859587426132</v>
      </c>
      <c r="J1060" s="3" t="n">
        <v>0.3320979930722969</v>
      </c>
      <c r="K1060" s="3" t="n">
        <v>0.03760110491074345</v>
      </c>
      <c r="L1060" s="3" t="n">
        <v>10349.05402969865</v>
      </c>
      <c r="M1060" s="4" t="n">
        <v>2912148465.379601</v>
      </c>
    </row>
    <row r="1061">
      <c r="A1061" t="inlineStr">
        <is>
          <t>BBG000BVMPN3</t>
        </is>
      </c>
      <c r="B1061" t="inlineStr">
        <is>
          <t>trow</t>
        </is>
      </c>
      <c r="C1061" s="3" t="n">
        <v>1.195642163792909</v>
      </c>
      <c r="D1061" s="3" t="n">
        <v>0.1477663349968361</v>
      </c>
      <c r="E1061" s="3" t="n">
        <v>23.94919136769498</v>
      </c>
      <c r="F1061" s="3" t="n">
        <v>0.4070919815499863</v>
      </c>
      <c r="G1061" s="3" t="n">
        <v>0.09730343062904523</v>
      </c>
      <c r="H1061" s="3" t="n">
        <v>1.337252300026611</v>
      </c>
      <c r="I1061" s="3" t="n">
        <v>18.66756283224605</v>
      </c>
      <c r="J1061" s="3" t="n">
        <v>0.1850771511110894</v>
      </c>
      <c r="K1061" s="3" t="n">
        <v>0.01800065234098463</v>
      </c>
      <c r="L1061" s="3" t="n">
        <v>13736.38842144597</v>
      </c>
      <c r="M1061" s="4" t="n">
        <v>25176865337.82639</v>
      </c>
    </row>
    <row r="1062">
      <c r="A1062" t="inlineStr">
        <is>
          <t>BBG000BVN235</t>
        </is>
      </c>
      <c r="B1062" t="inlineStr">
        <is>
          <t>trp</t>
        </is>
      </c>
      <c r="C1062" s="3" t="n">
        <v>0.4135002566913762</v>
      </c>
      <c r="D1062" s="3" t="n">
        <v>0.3194933129697242</v>
      </c>
      <c r="E1062" s="3" t="n">
        <v>24.60284349490181</v>
      </c>
      <c r="F1062" s="3" t="n">
        <v>0.6105516437794812</v>
      </c>
      <c r="H1062" s="3" t="n">
        <v>4.230839508536161</v>
      </c>
      <c r="I1062" s="3" t="n">
        <v>18.55066247062775</v>
      </c>
      <c r="J1062" s="3" t="n">
        <v>0.1904506570363163</v>
      </c>
      <c r="K1062" s="3" t="n">
        <v>0.01545334245413501</v>
      </c>
      <c r="L1062" s="3" t="n">
        <v>14892.09890485451</v>
      </c>
      <c r="M1062" s="4" t="n">
        <v>48403767806.51726</v>
      </c>
    </row>
    <row r="1063">
      <c r="A1063" t="inlineStr">
        <is>
          <t>BBG002Q7J5Z1</t>
        </is>
      </c>
      <c r="B1063" t="inlineStr">
        <is>
          <t>tru</t>
        </is>
      </c>
      <c r="C1063" s="3" t="n">
        <v>1.299036169106171</v>
      </c>
      <c r="D1063" s="3" t="n">
        <v>0.7316973257825563</v>
      </c>
      <c r="E1063" s="3" t="n">
        <v>23.69923646630899</v>
      </c>
      <c r="F1063" s="3" t="n">
        <v>0.2150275873212769</v>
      </c>
      <c r="H1063" s="3" t="n">
        <v>2.621620339004454</v>
      </c>
      <c r="I1063" s="3" t="n">
        <v>18.82636224122598</v>
      </c>
      <c r="J1063" s="3" t="n">
        <v>0.2813118514172718</v>
      </c>
      <c r="K1063" s="3" t="n">
        <v>-0.01082175648173204</v>
      </c>
      <c r="L1063" s="3" t="n">
        <v>13310.76643373298</v>
      </c>
      <c r="M1063" s="4" t="n">
        <v>19608646743.01147</v>
      </c>
    </row>
    <row r="1064">
      <c r="A1064" t="inlineStr">
        <is>
          <t>BBG000BJ81C1</t>
        </is>
      </c>
      <c r="B1064" t="inlineStr">
        <is>
          <t>trv</t>
        </is>
      </c>
      <c r="C1064" s="3" t="n">
        <v>0.4372776248324978</v>
      </c>
      <c r="D1064" s="3" t="n">
        <v>0.3882142288278492</v>
      </c>
      <c r="E1064" s="3" t="n">
        <v>24.79603085508808</v>
      </c>
      <c r="F1064" s="3" t="n">
        <v>0.4716693730341339</v>
      </c>
      <c r="H1064" s="3" t="n">
        <v>4.859474292141122</v>
      </c>
      <c r="I1064" s="3" t="n">
        <v>19.49686207417123</v>
      </c>
      <c r="J1064" s="3" t="n">
        <v>0.2230133146517707</v>
      </c>
      <c r="K1064" s="3" t="n">
        <v>0.006880214713525061</v>
      </c>
      <c r="L1064" s="3" t="n">
        <v>15245.66962338347</v>
      </c>
      <c r="M1064" s="4" t="n">
        <v>58719097704.74756</v>
      </c>
    </row>
    <row r="1065">
      <c r="A1065" t="inlineStr">
        <is>
          <t>BBG000PLD4R3</t>
        </is>
      </c>
      <c r="B1065" t="inlineStr">
        <is>
          <t>ts</t>
        </is>
      </c>
      <c r="C1065" s="3" t="n">
        <v>0.7467004755916354</v>
      </c>
      <c r="D1065" s="3" t="n">
        <v>-0.02951005456297739</v>
      </c>
      <c r="I1065" s="3" t="n">
        <v>17.77499616411393</v>
      </c>
      <c r="J1065" s="3" t="n">
        <v>0.2538477848357958</v>
      </c>
    </row>
    <row r="1066">
      <c r="A1066" t="inlineStr">
        <is>
          <t>BBG000BLXZN1</t>
        </is>
      </c>
      <c r="B1066" t="inlineStr">
        <is>
          <t>tsco</t>
        </is>
      </c>
      <c r="C1066" s="3" t="n">
        <v>0.7179517266489126</v>
      </c>
      <c r="D1066" s="3" t="n">
        <v>0.3244302768374707</v>
      </c>
      <c r="E1066" s="3" t="n">
        <v>22.49594333655731</v>
      </c>
      <c r="F1066" s="3" t="n">
        <v>0.3586337247021992</v>
      </c>
      <c r="G1066" s="3" t="n">
        <v>-0.043762569023442</v>
      </c>
      <c r="H1066" s="3" t="n">
        <v>4.62685498691135</v>
      </c>
      <c r="I1066" s="3" t="n">
        <v>19.35525756372322</v>
      </c>
      <c r="J1066" s="3" t="n">
        <v>0.2303066046989203</v>
      </c>
      <c r="K1066" s="3" t="n">
        <v>0.0715581924528635</v>
      </c>
      <c r="L1066" s="3" t="n">
        <v>11384.46505314464</v>
      </c>
      <c r="M1066" s="4" t="n">
        <v>5886593630.85387</v>
      </c>
    </row>
    <row r="1067">
      <c r="A1067" t="inlineStr">
        <is>
          <t>BBG000N9MNX3</t>
        </is>
      </c>
      <c r="B1067" t="inlineStr">
        <is>
          <t>tsla</t>
        </is>
      </c>
      <c r="C1067" s="3" t="n">
        <v>2.304679674070981</v>
      </c>
      <c r="D1067" s="3" t="n">
        <v>0.04069478589614528</v>
      </c>
      <c r="E1067" s="3" t="n">
        <v>27.73356344752478</v>
      </c>
      <c r="F1067" s="3" t="n">
        <v>0.06311552075307994</v>
      </c>
      <c r="H1067" s="3" t="n">
        <v>1.524617122570468</v>
      </c>
      <c r="I1067" s="3" t="n">
        <v>23.90139136516772</v>
      </c>
      <c r="J1067" s="3" t="n">
        <v>0.545754866782301</v>
      </c>
      <c r="K1067" s="3" t="n">
        <v>0.004308725687823764</v>
      </c>
      <c r="L1067" s="3" t="n">
        <v>21331.28534332957</v>
      </c>
      <c r="M1067" s="4" t="n">
        <v>1107984203656.03</v>
      </c>
    </row>
    <row r="1068">
      <c r="A1068" t="inlineStr">
        <is>
          <t>BBG001DFW799</t>
        </is>
      </c>
      <c r="B1068" t="inlineStr">
        <is>
          <t>tslx</t>
        </is>
      </c>
      <c r="C1068" s="3" t="n">
        <v>0.377521610070178</v>
      </c>
      <c r="D1068" s="3" t="n">
        <v>0.07146108894517744</v>
      </c>
      <c r="E1068" s="3" t="n">
        <v>21.25545861145619</v>
      </c>
      <c r="F1068" s="3" t="n">
        <v>0.8577916204086632</v>
      </c>
      <c r="H1068" s="3" t="n">
        <v>2.28944991692089</v>
      </c>
      <c r="I1068" s="3" t="n">
        <v>15.49888078505223</v>
      </c>
      <c r="J1068" s="3" t="n">
        <v>0.129504795105007</v>
      </c>
      <c r="L1068" s="3" t="n">
        <v>9603.099737392695</v>
      </c>
      <c r="M1068" s="4" t="n">
        <v>1702661770.51997</v>
      </c>
    </row>
    <row r="1069">
      <c r="A1069" t="inlineStr">
        <is>
          <t>BBG000BD8ZK0</t>
        </is>
      </c>
      <c r="B1069" t="inlineStr">
        <is>
          <t>tsm</t>
        </is>
      </c>
      <c r="C1069" s="3" t="n">
        <v>1.898278241257366</v>
      </c>
      <c r="D1069" s="3" t="n">
        <v>0.9888336963119899</v>
      </c>
      <c r="I1069" s="3" t="n">
        <v>21.62927465916777</v>
      </c>
      <c r="J1069" s="3" t="n">
        <v>0.3198851310015752</v>
      </c>
    </row>
    <row r="1070">
      <c r="A1070" t="inlineStr">
        <is>
          <t>BBG000DKCC19</t>
        </is>
      </c>
      <c r="B1070" t="inlineStr">
        <is>
          <t>tsn</t>
        </is>
      </c>
      <c r="C1070" s="3" t="n">
        <v>-0.02903698438193088</v>
      </c>
      <c r="D1070" s="3" t="n">
        <v>0.282988122901159</v>
      </c>
      <c r="H1070" s="3" t="n">
        <v>2.045993492414603</v>
      </c>
      <c r="I1070" s="3" t="n">
        <v>18.67047479312958</v>
      </c>
      <c r="J1070" s="3" t="n">
        <v>0.2211464171445982</v>
      </c>
    </row>
    <row r="1071">
      <c r="A1071" t="inlineStr">
        <is>
          <t>tt</t>
        </is>
      </c>
      <c r="B1071" t="inlineStr">
        <is>
          <t>tt</t>
        </is>
      </c>
      <c r="C1071" s="3" t="n">
        <v>1.022051872268066</v>
      </c>
      <c r="D1071" s="3" t="n">
        <v>0.6554520680501505</v>
      </c>
      <c r="E1071" s="3" t="n">
        <v>25.24901264815034</v>
      </c>
      <c r="F1071" s="3" t="n">
        <v>0.08219033105852727</v>
      </c>
      <c r="H1071" s="3" t="n">
        <v>2.753566488473481</v>
      </c>
      <c r="I1071" s="3" t="n">
        <v>19.86555554890249</v>
      </c>
      <c r="J1071" s="3" t="n">
        <v>0.1913693401542473</v>
      </c>
      <c r="K1071" s="3" t="n">
        <v>0.006780715845610964</v>
      </c>
      <c r="L1071" s="3" t="n">
        <v>16096.56470330401</v>
      </c>
      <c r="M1071" s="4" t="n">
        <v>92364879203.51538</v>
      </c>
    </row>
    <row r="1072">
      <c r="A1072" t="inlineStr">
        <is>
          <t>BBG009DVYCT2</t>
        </is>
      </c>
      <c r="B1072" t="inlineStr">
        <is>
          <t>ttan</t>
        </is>
      </c>
    </row>
    <row r="1073">
      <c r="A1073" t="inlineStr">
        <is>
          <t>ttd</t>
        </is>
      </c>
      <c r="B1073" t="inlineStr">
        <is>
          <t>ttd</t>
        </is>
      </c>
      <c r="C1073" s="3" t="n">
        <v>1.663824241017017</v>
      </c>
      <c r="D1073" s="3" t="n">
        <v>0.706074377610423</v>
      </c>
      <c r="H1073" s="3" t="n">
        <v>2.836616416348139</v>
      </c>
      <c r="I1073" s="3" t="n">
        <v>19.75626880172259</v>
      </c>
      <c r="J1073" s="3" t="n">
        <v>0.3662976067539688</v>
      </c>
    </row>
    <row r="1074">
      <c r="A1074" t="inlineStr">
        <is>
          <t>BBG000BS1YV5</t>
        </is>
      </c>
      <c r="B1074" t="inlineStr">
        <is>
          <t>ttwo</t>
        </is>
      </c>
      <c r="C1074" s="3" t="n">
        <v>0.7435685350531859</v>
      </c>
      <c r="D1074" s="3" t="n">
        <v>0.02225034349155242</v>
      </c>
      <c r="E1074" s="3" t="n">
        <v>24.2223364375394</v>
      </c>
      <c r="F1074" s="3" t="n">
        <v>0.1713148954950919</v>
      </c>
      <c r="H1074" s="3" t="n">
        <v>2.306903791120714</v>
      </c>
      <c r="I1074" s="3" t="n">
        <v>19.2970252652015</v>
      </c>
      <c r="J1074" s="3" t="n">
        <v>0.2193940214791204</v>
      </c>
      <c r="K1074" s="3" t="n">
        <v>-0.01896647734137338</v>
      </c>
      <c r="L1074" s="3" t="n">
        <v>14211.76756631942</v>
      </c>
      <c r="M1074" s="4" t="n">
        <v>33084688774.13562</v>
      </c>
    </row>
    <row r="1075">
      <c r="A1075" t="inlineStr">
        <is>
          <t>BBG01NHFZWR8</t>
        </is>
      </c>
      <c r="B1075" t="inlineStr">
        <is>
          <t>twfg</t>
        </is>
      </c>
      <c r="H1075" s="3" t="n">
        <v>4.40442556333982</v>
      </c>
    </row>
    <row r="1076">
      <c r="A1076" t="inlineStr">
        <is>
          <t>BBG0029ZX840</t>
        </is>
      </c>
      <c r="B1076" t="inlineStr">
        <is>
          <t>twlo</t>
        </is>
      </c>
      <c r="C1076" s="3" t="n">
        <v>0.9031144631887621</v>
      </c>
      <c r="D1076" s="3" t="n">
        <v>0.2469078717587017</v>
      </c>
      <c r="E1076" s="3" t="n">
        <v>23.49802294564902</v>
      </c>
      <c r="F1076" s="3" t="n">
        <v>0.6069669331379789</v>
      </c>
      <c r="H1076" s="3" t="n">
        <v>1.031307821316412</v>
      </c>
      <c r="I1076" s="3" t="n">
        <v>19.08401557653907</v>
      </c>
      <c r="J1076" s="3" t="n">
        <v>0.3829470289585189</v>
      </c>
      <c r="K1076" s="3" t="n">
        <v>-0.008837503585306666</v>
      </c>
      <c r="L1076" s="3" t="n">
        <v>12974.59979076274</v>
      </c>
      <c r="M1076" s="4" t="n">
        <v>16034731824.80697</v>
      </c>
    </row>
    <row r="1077">
      <c r="A1077" t="inlineStr">
        <is>
          <t>BBG000MG3Y65</t>
        </is>
      </c>
      <c r="B1077" t="inlineStr">
        <is>
          <t>two</t>
        </is>
      </c>
      <c r="C1077" s="3" t="n">
        <v>0.7814300218574425</v>
      </c>
      <c r="D1077" s="3" t="n">
        <v>-0.04963776010854837</v>
      </c>
      <c r="E1077" s="3" t="n">
        <v>21.8210094364397</v>
      </c>
      <c r="F1077" s="3" t="n">
        <v>0.8287379364064985</v>
      </c>
      <c r="H1077" s="3" t="n">
        <v>5.032944920690989</v>
      </c>
      <c r="I1077" s="3" t="n">
        <v>16.30738307142696</v>
      </c>
      <c r="J1077" s="3" t="n">
        <v>0.2032720737295665</v>
      </c>
      <c r="K1077" s="3" t="n">
        <v>-0.6237602851909593</v>
      </c>
      <c r="L1077" s="3" t="n">
        <v>10390.21445032014</v>
      </c>
      <c r="M1077" s="4" t="n">
        <v>2997395063.079175</v>
      </c>
    </row>
    <row r="1078">
      <c r="A1078" t="inlineStr">
        <is>
          <t>BBG000BVV7G1</t>
        </is>
      </c>
      <c r="B1078" t="inlineStr">
        <is>
          <t>txn</t>
        </is>
      </c>
      <c r="C1078" s="3" t="n">
        <v>1.41257222213036</v>
      </c>
      <c r="D1078" s="3" t="n">
        <v>0.3682686204872294</v>
      </c>
      <c r="E1078" s="3" t="n">
        <v>25.89131692275109</v>
      </c>
      <c r="F1078" s="3" t="n">
        <v>0.09835262854072806</v>
      </c>
      <c r="H1078" s="3" t="n">
        <v>2.045459809934824</v>
      </c>
      <c r="I1078" s="3" t="n">
        <v>20.80465800934408</v>
      </c>
      <c r="J1078" s="3" t="n">
        <v>0.2162161472194084</v>
      </c>
      <c r="K1078" s="3" t="n">
        <v>0.02926998830616177</v>
      </c>
      <c r="L1078" s="3" t="n">
        <v>17356.51077245335</v>
      </c>
      <c r="M1078" s="4" t="n">
        <v>175572328427.9172</v>
      </c>
    </row>
    <row r="1079">
      <c r="A1079" t="inlineStr">
        <is>
          <t>BBG000PSJMV7</t>
        </is>
      </c>
      <c r="B1079" t="inlineStr">
        <is>
          <t>txrh</t>
        </is>
      </c>
      <c r="C1079" s="3" t="n">
        <v>0.9306925004484906</v>
      </c>
      <c r="D1079" s="3" t="n">
        <v>0.7256912546544436</v>
      </c>
      <c r="E1079" s="3" t="n">
        <v>23.31300568346533</v>
      </c>
      <c r="F1079" s="3" t="n">
        <v>0.08566981340526737</v>
      </c>
      <c r="G1079" s="3" t="n">
        <v>0.01113269815831752</v>
      </c>
      <c r="H1079" s="3" t="n">
        <v>2.446762699952558</v>
      </c>
      <c r="I1079" s="3" t="n">
        <v>18.65925477792952</v>
      </c>
      <c r="J1079" s="3" t="n">
        <v>0.2179258747485074</v>
      </c>
      <c r="K1079" s="3" t="n">
        <v>0.006173579587184957</v>
      </c>
      <c r="L1079" s="3" t="n">
        <v>12670.53079212075</v>
      </c>
      <c r="M1079" s="4" t="n">
        <v>13326304266.75046</v>
      </c>
    </row>
    <row r="1080">
      <c r="A1080" t="inlineStr">
        <is>
          <t>BBG000BVVQQ8</t>
        </is>
      </c>
      <c r="B1080" t="inlineStr">
        <is>
          <t>txt</t>
        </is>
      </c>
      <c r="C1080" s="3" t="n">
        <v>0.9249673891249373</v>
      </c>
      <c r="D1080" s="3" t="n">
        <v>0.05002752531685539</v>
      </c>
      <c r="E1080" s="3" t="n">
        <v>23.48697658462542</v>
      </c>
      <c r="F1080" s="3" t="n">
        <v>0.4435453562280487</v>
      </c>
      <c r="H1080" s="3" t="n">
        <v>2.338925220025743</v>
      </c>
      <c r="I1080" s="3" t="n">
        <v>18.34420203097713</v>
      </c>
      <c r="J1080" s="3" t="n">
        <v>0.206177573256327</v>
      </c>
      <c r="K1080" s="3" t="n">
        <v>0.0169624254798614</v>
      </c>
      <c r="L1080" s="3" t="n">
        <v>12956.31041182831</v>
      </c>
      <c r="M1080" s="4" t="n">
        <v>15858581091.62556</v>
      </c>
    </row>
    <row r="1081">
      <c r="A1081" t="inlineStr">
        <is>
          <t>BBG000BVWZF9</t>
        </is>
      </c>
      <c r="B1081" t="inlineStr">
        <is>
          <t>tyl</t>
        </is>
      </c>
      <c r="C1081" s="3" t="n">
        <v>0.5752241652202728</v>
      </c>
      <c r="D1081" s="3" t="n">
        <v>0.4812396836902713</v>
      </c>
      <c r="E1081" s="3" t="n">
        <v>24.01641706258674</v>
      </c>
      <c r="F1081" s="3" t="n">
        <v>0.1091072593643839</v>
      </c>
      <c r="H1081" s="3" t="n">
        <v>1.591787255733319</v>
      </c>
      <c r="I1081" s="3" t="n">
        <v>18.88942665600434</v>
      </c>
      <c r="J1081" s="3" t="n">
        <v>0.2183059874664501</v>
      </c>
      <c r="K1081" s="3" t="n">
        <v>0.001745830530677912</v>
      </c>
      <c r="L1081" s="3" t="n">
        <v>13852.38809401058</v>
      </c>
      <c r="M1081" s="4" t="n">
        <v>26927584993.02887</v>
      </c>
    </row>
    <row r="1082">
      <c r="A1082" t="inlineStr">
        <is>
          <t>BBG0056JW5G6</t>
        </is>
      </c>
      <c r="B1082" t="inlineStr">
        <is>
          <t>u</t>
        </is>
      </c>
      <c r="C1082" s="3" t="n">
        <v>2.021001456727172</v>
      </c>
      <c r="D1082" s="3" t="n">
        <v>-0.319552701864994</v>
      </c>
      <c r="E1082" s="3" t="n">
        <v>22.9966769771459</v>
      </c>
      <c r="F1082" s="3" t="n">
        <v>0.327685991957457</v>
      </c>
      <c r="H1082" s="3" t="n">
        <v>2.275920759458362</v>
      </c>
      <c r="I1082" s="3" t="n">
        <v>19.38902052138419</v>
      </c>
      <c r="J1082" s="3" t="n">
        <v>0.5163190471030747</v>
      </c>
      <c r="K1082" s="3" t="n">
        <v>-0.0586114250844694</v>
      </c>
      <c r="L1082" s="3" t="n">
        <v>12161.72712462503</v>
      </c>
      <c r="M1082" s="4" t="n">
        <v>9712474984.544083</v>
      </c>
    </row>
    <row r="1083">
      <c r="A1083" t="inlineStr">
        <is>
          <t>BBG000BXM6V2</t>
        </is>
      </c>
      <c r="B1083" t="inlineStr">
        <is>
          <t>uaa</t>
        </is>
      </c>
      <c r="C1083" s="3" t="n">
        <v>1.242998628501403</v>
      </c>
      <c r="D1083" s="3" t="n">
        <v>0.05036852949870352</v>
      </c>
      <c r="G1083" s="3" t="n">
        <v>-0.01112679790206428</v>
      </c>
      <c r="H1083" s="3" t="n">
        <v>2.474216820211796</v>
      </c>
      <c r="I1083" s="3" t="n">
        <v>18.52320005577575</v>
      </c>
      <c r="J1083" s="3" t="n">
        <v>0.5139241152006688</v>
      </c>
    </row>
    <row r="1084">
      <c r="A1084" t="inlineStr">
        <is>
          <t>BBG000M65M61</t>
        </is>
      </c>
      <c r="B1084" t="inlineStr">
        <is>
          <t>ual</t>
        </is>
      </c>
      <c r="C1084" s="3" t="n">
        <v>1.39721669228698</v>
      </c>
      <c r="D1084" s="3" t="n">
        <v>0.9862943935377095</v>
      </c>
      <c r="E1084" s="3" t="n">
        <v>24.18414791648787</v>
      </c>
      <c r="F1084" s="3" t="n">
        <v>0.3591452537631699</v>
      </c>
      <c r="H1084" s="3" t="n">
        <v>6.2170149509297</v>
      </c>
      <c r="I1084" s="3" t="n">
        <v>20.06865008817991</v>
      </c>
      <c r="J1084" s="3" t="n">
        <v>0.4090439893680155</v>
      </c>
      <c r="K1084" s="3" t="n">
        <v>0.03570413163668131</v>
      </c>
      <c r="L1084" s="3" t="n">
        <v>14144.65539700128</v>
      </c>
      <c r="M1084" s="4" t="n">
        <v>31845053999.18976</v>
      </c>
    </row>
    <row r="1085">
      <c r="A1085" t="inlineStr">
        <is>
          <t>BBG002B04MT8</t>
        </is>
      </c>
      <c r="B1085" t="inlineStr">
        <is>
          <t>uber</t>
        </is>
      </c>
      <c r="C1085" s="3" t="n">
        <v>1.37929790670569</v>
      </c>
      <c r="D1085" s="3" t="n">
        <v>0.2779354680165922</v>
      </c>
      <c r="E1085" s="3" t="n">
        <v>25.74402861518125</v>
      </c>
      <c r="F1085" s="3" t="n">
        <v>0.07423767246994838</v>
      </c>
      <c r="H1085" s="3" t="n">
        <v>4.188550092969281</v>
      </c>
      <c r="I1085" s="3" t="n">
        <v>20.98047246935473</v>
      </c>
      <c r="J1085" s="3" t="n">
        <v>0.3485766553375944</v>
      </c>
      <c r="K1085" s="3" t="n">
        <v>0.003022566805159246</v>
      </c>
      <c r="L1085" s="3" t="n">
        <v>17061.98392528492</v>
      </c>
      <c r="M1085" s="4" t="n">
        <v>151526841099.1655</v>
      </c>
    </row>
    <row r="1086">
      <c r="A1086" t="inlineStr">
        <is>
          <t>BBG000BL7GB5</t>
        </is>
      </c>
      <c r="B1086" t="inlineStr">
        <is>
          <t>ucb</t>
        </is>
      </c>
      <c r="C1086" s="3" t="n">
        <v>1.1725266312056</v>
      </c>
      <c r="D1086" s="3" t="n">
        <v>0.1950481882016539</v>
      </c>
      <c r="E1086" s="3" t="n">
        <v>22.06257135285431</v>
      </c>
      <c r="F1086" s="3" t="n">
        <v>0.8758620337841873</v>
      </c>
      <c r="H1086" s="3" t="n">
        <v>8.189092847408288</v>
      </c>
      <c r="I1086" s="3" t="n">
        <v>16.64410706998607</v>
      </c>
      <c r="J1086" s="3" t="n">
        <v>0.2990372814665528</v>
      </c>
      <c r="K1086" s="3" t="n">
        <v>0.01240621980144991</v>
      </c>
      <c r="L1086" s="3" t="n">
        <v>10739.11225081927</v>
      </c>
      <c r="M1086" s="4" t="n">
        <v>3816392160.169559</v>
      </c>
    </row>
    <row r="1087">
      <c r="A1087" t="inlineStr">
        <is>
          <t>BBG000HSLV70</t>
        </is>
      </c>
      <c r="B1087" t="inlineStr">
        <is>
          <t>uctt</t>
        </is>
      </c>
      <c r="C1087" s="3" t="n">
        <v>2.581073100232298</v>
      </c>
      <c r="D1087" s="3" t="n">
        <v>0.2324982135297222</v>
      </c>
      <c r="E1087" s="3" t="n">
        <v>21.27234539296893</v>
      </c>
      <c r="F1087" s="3" t="n">
        <v>0.4954210398376382</v>
      </c>
      <c r="H1087" s="3" t="n">
        <v>2.270078095034295</v>
      </c>
      <c r="I1087" s="3" t="n">
        <v>16.63645522325369</v>
      </c>
      <c r="J1087" s="3" t="n">
        <v>0.3568353731134118</v>
      </c>
      <c r="K1087" s="3" t="n">
        <v>-0.001328206541119673</v>
      </c>
      <c r="L1087" s="3" t="n">
        <v>9626.005992127441</v>
      </c>
      <c r="M1087" s="4" t="n">
        <v>1731658388.561241</v>
      </c>
    </row>
    <row r="1088">
      <c r="A1088" t="inlineStr">
        <is>
          <t>BBG000C41023</t>
        </is>
      </c>
      <c r="B1088" t="inlineStr">
        <is>
          <t>udr</t>
        </is>
      </c>
      <c r="C1088" s="3" t="n">
        <v>0.5607520750972089</v>
      </c>
      <c r="D1088" s="3" t="n">
        <v>0.3179439548219403</v>
      </c>
      <c r="E1088" s="3" t="n">
        <v>23.3724270175031</v>
      </c>
      <c r="F1088" s="3" t="n">
        <v>0.2484572570036944</v>
      </c>
      <c r="H1088" s="3" t="n">
        <v>3.153281488120646</v>
      </c>
      <c r="I1088" s="3" t="n">
        <v>18.32486124740618</v>
      </c>
      <c r="J1088" s="3" t="n">
        <v>0.1828433162106337</v>
      </c>
      <c r="K1088" s="3" t="n">
        <v>0.001597845203171131</v>
      </c>
      <c r="L1088" s="3" t="n">
        <v>12767.66376305843</v>
      </c>
      <c r="M1088" s="4" t="n">
        <v>14142170939.68519</v>
      </c>
    </row>
    <row r="1089">
      <c r="A1089" t="inlineStr">
        <is>
          <t>BBG000LCK3Q2</t>
        </is>
      </c>
      <c r="B1089" t="inlineStr">
        <is>
          <t>uec</t>
        </is>
      </c>
      <c r="C1089" s="3" t="n">
        <v>2.164556919468966</v>
      </c>
      <c r="D1089" s="3" t="n">
        <v>0.1380368248466679</v>
      </c>
      <c r="E1089" s="3" t="n">
        <v>21.95255041690545</v>
      </c>
      <c r="F1089" s="3" t="n">
        <v>0.09562145932048373</v>
      </c>
      <c r="H1089" s="3" t="n">
        <v>2.721944018910633</v>
      </c>
      <c r="I1089" s="3" t="n">
        <v>17.9670158277347</v>
      </c>
      <c r="J1089" s="3" t="n">
        <v>0.5514933305804974</v>
      </c>
      <c r="K1089" s="3" t="n">
        <v>0.001536219266986166</v>
      </c>
      <c r="L1089" s="3" t="n">
        <v>10579.25169506951</v>
      </c>
      <c r="M1089" s="4" t="n">
        <v>3418782794.442765</v>
      </c>
    </row>
    <row r="1090">
      <c r="A1090" t="inlineStr">
        <is>
          <t>BBG000BVYN55</t>
        </is>
      </c>
      <c r="B1090" t="inlineStr">
        <is>
          <t>ugi</t>
        </is>
      </c>
      <c r="C1090" s="3" t="n">
        <v>0.4035132596815962</v>
      </c>
      <c r="D1090" s="3" t="n">
        <v>0.1589733116487797</v>
      </c>
      <c r="E1090" s="3" t="n">
        <v>22.52155354421706</v>
      </c>
      <c r="F1090" s="3" t="n">
        <v>0.7194545319876854</v>
      </c>
      <c r="H1090" s="3" t="n">
        <v>3.54453394624982</v>
      </c>
      <c r="I1090" s="3" t="n">
        <v>17.79149547720337</v>
      </c>
      <c r="J1090" s="3" t="n">
        <v>0.3277230068809385</v>
      </c>
      <c r="K1090" s="3" t="n">
        <v>0.04454160393663691</v>
      </c>
      <c r="L1090" s="3" t="n">
        <v>11423.39081277308</v>
      </c>
      <c r="M1090" s="4" t="n">
        <v>6039297559.605778</v>
      </c>
    </row>
    <row r="1091">
      <c r="A1091" t="inlineStr">
        <is>
          <t>BBG000BCFXT0</t>
        </is>
      </c>
      <c r="B1091" t="inlineStr">
        <is>
          <t>uhal</t>
        </is>
      </c>
      <c r="C1091" s="3" t="n">
        <v>0.9986722590752931</v>
      </c>
      <c r="D1091" s="3" t="n">
        <v>0.2953541960860842</v>
      </c>
      <c r="E1091" s="3" t="n">
        <v>21.04945852173263</v>
      </c>
      <c r="F1091" s="3" t="n">
        <v>5.176110553719172</v>
      </c>
      <c r="G1091" s="3" t="n">
        <v>0.300796513365156</v>
      </c>
      <c r="H1091" s="3" t="n">
        <v>2.806093458673284</v>
      </c>
      <c r="I1091" s="3" t="n">
        <v>15.91647057054736</v>
      </c>
      <c r="J1091" s="3" t="n">
        <v>0.2387916628114237</v>
      </c>
      <c r="K1091" s="3" t="n">
        <v>0.1973814571358335</v>
      </c>
      <c r="L1091" s="3" t="n">
        <v>9326.587852393441</v>
      </c>
      <c r="M1091" s="4" t="n">
        <v>1385682342.057068</v>
      </c>
    </row>
    <row r="1092">
      <c r="A1092" t="inlineStr">
        <is>
          <t>BBG000CB8Q50</t>
        </is>
      </c>
      <c r="B1092" t="inlineStr">
        <is>
          <t>uhs</t>
        </is>
      </c>
      <c r="C1092" s="3" t="n">
        <v>0.5838110751207857</v>
      </c>
      <c r="D1092" s="3" t="n">
        <v>0.4907696559843786</v>
      </c>
      <c r="H1092" s="3" t="n">
        <v>2.17295013240498</v>
      </c>
      <c r="I1092" s="3" t="n">
        <v>18.94569326089316</v>
      </c>
      <c r="J1092" s="3" t="n">
        <v>0.2754613865714727</v>
      </c>
    </row>
    <row r="1093">
      <c r="A1093" t="inlineStr">
        <is>
          <t>BBG007N72M93</t>
        </is>
      </c>
      <c r="B1093" t="inlineStr">
        <is>
          <t>uls</t>
        </is>
      </c>
      <c r="C1093" s="3" t="n">
        <v>0.5670576908204445</v>
      </c>
      <c r="E1093" s="3" t="n">
        <v>23.08691127904871</v>
      </c>
      <c r="F1093" s="3" t="n">
        <v>0.08203483562990267</v>
      </c>
      <c r="H1093" s="3" t="n">
        <v>3.29931192282189</v>
      </c>
      <c r="I1093" s="3" t="n">
        <v>17.65660986392677</v>
      </c>
      <c r="J1093" s="3" t="n">
        <v>0.2752865311124852</v>
      </c>
      <c r="K1093" s="3" t="n">
        <v>0.01900348256564259</v>
      </c>
      <c r="L1093" s="3" t="n">
        <v>12305.45005270016</v>
      </c>
      <c r="M1093" s="4" t="n">
        <v>10629630610.2442</v>
      </c>
    </row>
    <row r="1094">
      <c r="A1094" t="inlineStr">
        <is>
          <t>BBG00FWQ4VD6</t>
        </is>
      </c>
      <c r="B1094" t="inlineStr">
        <is>
          <t>ulta</t>
        </is>
      </c>
      <c r="C1094" s="3" t="n">
        <v>0.8604082004412801</v>
      </c>
      <c r="D1094" s="3" t="n">
        <v>-0.1338293869691177</v>
      </c>
      <c r="E1094" s="3" t="n">
        <v>23.62559025075142</v>
      </c>
      <c r="F1094" s="3" t="n">
        <v>0.1107827950883631</v>
      </c>
      <c r="H1094" s="3" t="n">
        <v>2.843020154502713</v>
      </c>
      <c r="I1094" s="3" t="n">
        <v>19.83765127874223</v>
      </c>
      <c r="J1094" s="3" t="n">
        <v>0.3291283356525347</v>
      </c>
      <c r="K1094" s="3" t="n">
        <v>0.01905152840152636</v>
      </c>
      <c r="L1094" s="3" t="n">
        <v>13187.06061908768</v>
      </c>
      <c r="M1094" s="4" t="n">
        <v>18216438737.43713</v>
      </c>
    </row>
    <row r="1095">
      <c r="A1095" t="inlineStr">
        <is>
          <t>BBG000CH5208</t>
        </is>
      </c>
      <c r="B1095" t="inlineStr">
        <is>
          <t>unh</t>
        </is>
      </c>
      <c r="C1095" s="3" t="n">
        <v>0.193834871664498</v>
      </c>
      <c r="D1095" s="3" t="n">
        <v>0.03639651510797415</v>
      </c>
      <c r="E1095" s="3" t="n">
        <v>27.04790644813723</v>
      </c>
      <c r="F1095" s="3" t="n">
        <v>0.05915896284204373</v>
      </c>
      <c r="H1095" s="3" t="n">
        <v>2.768715929655702</v>
      </c>
      <c r="I1095" s="3" t="n">
        <v>21.31079913063023</v>
      </c>
      <c r="J1095" s="3" t="n">
        <v>0.2479514205448095</v>
      </c>
      <c r="K1095" s="3" t="n">
        <v>0.00537124683829337</v>
      </c>
      <c r="L1095" s="3" t="n">
        <v>19787.95740927237</v>
      </c>
      <c r="M1095" s="4" t="n">
        <v>558157182168.7488</v>
      </c>
    </row>
    <row r="1096">
      <c r="A1096" t="inlineStr">
        <is>
          <t>BBG000BW2QX0</t>
        </is>
      </c>
      <c r="B1096" t="inlineStr">
        <is>
          <t>unm</t>
        </is>
      </c>
      <c r="C1096" s="3" t="n">
        <v>0.4432869237476267</v>
      </c>
      <c r="D1096" s="3" t="n">
        <v>0.5370622518410344</v>
      </c>
      <c r="E1096" s="3" t="n">
        <v>23.33071252702364</v>
      </c>
      <c r="F1096" s="3" t="n">
        <v>0.8073650261734773</v>
      </c>
      <c r="G1096" s="3" t="n">
        <v>0.01728727912627237</v>
      </c>
      <c r="H1096" s="3" t="n">
        <v>5.856831089554136</v>
      </c>
      <c r="I1096" s="3" t="n">
        <v>18.19106729386773</v>
      </c>
      <c r="J1096" s="3" t="n">
        <v>0.1976098979314223</v>
      </c>
      <c r="K1096" s="3" t="n">
        <v>0.01489195310983458</v>
      </c>
      <c r="L1096" s="3" t="n">
        <v>12699.42353418367</v>
      </c>
      <c r="M1096" s="4" t="n">
        <v>13564372550.41504</v>
      </c>
    </row>
    <row r="1097">
      <c r="A1097" t="inlineStr">
        <is>
          <t>BBG000BW3299</t>
        </is>
      </c>
      <c r="B1097" t="inlineStr">
        <is>
          <t>unp</t>
        </is>
      </c>
      <c r="C1097" s="3" t="n">
        <v>0.6065174200101771</v>
      </c>
      <c r="D1097" s="3" t="n">
        <v>0.05282195666072464</v>
      </c>
      <c r="E1097" s="3" t="n">
        <v>25.6829538026447</v>
      </c>
      <c r="F1097" s="3" t="n">
        <v>0.09255744641581473</v>
      </c>
      <c r="H1097" s="3" t="n">
        <v>5.121267242297918</v>
      </c>
      <c r="I1097" s="3" t="n">
        <v>20.17143343328465</v>
      </c>
      <c r="J1097" s="3" t="n">
        <v>0.1777333522644582</v>
      </c>
      <c r="K1097" s="3" t="n">
        <v>0.01071909793264855</v>
      </c>
      <c r="L1097" s="3" t="n">
        <v>16940.83886953952</v>
      </c>
      <c r="M1097" s="4" t="n">
        <v>142549308681.5872</v>
      </c>
    </row>
    <row r="1098">
      <c r="A1098" t="inlineStr">
        <is>
          <t>BBG017Y2X923</t>
        </is>
      </c>
      <c r="B1098" t="inlineStr">
        <is>
          <t>upb</t>
        </is>
      </c>
      <c r="E1098" s="3" t="n">
        <v>20.88211208376669</v>
      </c>
      <c r="F1098" s="3" t="n">
        <v>-0.0957243202489818</v>
      </c>
      <c r="H1098" s="3" t="n">
        <v>-2.073901127178186</v>
      </c>
      <c r="K1098" s="3" t="n">
        <v>-0.00216694390068459</v>
      </c>
      <c r="L1098" s="3" t="n">
        <v>9105.908194798863</v>
      </c>
      <c r="M1098" s="4" t="n">
        <v>1172157708.850058</v>
      </c>
    </row>
    <row r="1099">
      <c r="A1099" t="inlineStr">
        <is>
          <t>BBG000L9CV04</t>
        </is>
      </c>
      <c r="B1099" t="inlineStr">
        <is>
          <t>ups</t>
        </is>
      </c>
      <c r="C1099" s="3" t="n">
        <v>0.6133868761246793</v>
      </c>
      <c r="D1099" s="3" t="n">
        <v>-0.08437660207413744</v>
      </c>
      <c r="E1099" s="3" t="n">
        <v>25.19984167264408</v>
      </c>
      <c r="F1099" s="3" t="n">
        <v>0.1917026443339875</v>
      </c>
      <c r="H1099" s="3" t="n">
        <v>4.049534317847213</v>
      </c>
      <c r="I1099" s="3" t="n">
        <v>19.94752061793282</v>
      </c>
      <c r="J1099" s="3" t="n">
        <v>0.2539539311838762</v>
      </c>
      <c r="K1099" s="3" t="n">
        <v>0.04618285807915543</v>
      </c>
      <c r="L1099" s="3" t="n">
        <v>16002.7063692828</v>
      </c>
      <c r="M1099" s="4" t="n">
        <v>87933059339.75412</v>
      </c>
    </row>
    <row r="1100">
      <c r="A1100" t="inlineStr">
        <is>
          <t>BBG00PKCBY53</t>
        </is>
      </c>
      <c r="B1100" t="inlineStr">
        <is>
          <t>upst</t>
        </is>
      </c>
      <c r="C1100" s="3" t="n">
        <v>2.91257109245599</v>
      </c>
      <c r="D1100" s="3" t="n">
        <v>0.8191330302245619</v>
      </c>
      <c r="E1100" s="3" t="n">
        <v>22.69565880748492</v>
      </c>
      <c r="F1100" s="3" t="n">
        <v>0.0827381598994382</v>
      </c>
      <c r="H1100" s="3" t="n">
        <v>3.041785066600889</v>
      </c>
      <c r="I1100" s="3" t="n">
        <v>19.85712060624576</v>
      </c>
      <c r="J1100" s="3" t="n">
        <v>0.9257616752043264</v>
      </c>
      <c r="K1100" s="3" t="n">
        <v>-0.005608765476191507</v>
      </c>
      <c r="L1100" s="3" t="n">
        <v>11690.37336405426</v>
      </c>
      <c r="M1100" s="4" t="n">
        <v>7187856252.061752</v>
      </c>
    </row>
    <row r="1101">
      <c r="A1101" t="inlineStr">
        <is>
          <t>BBG000BL79J3</t>
        </is>
      </c>
      <c r="B1101" t="inlineStr">
        <is>
          <t>urbn</t>
        </is>
      </c>
      <c r="C1101" s="3" t="n">
        <v>1.189202672748914</v>
      </c>
      <c r="D1101" s="3" t="n">
        <v>0.007002800970792311</v>
      </c>
      <c r="E1101" s="3" t="n">
        <v>22.22641915119138</v>
      </c>
      <c r="F1101" s="3" t="n">
        <v>0.3987423005981943</v>
      </c>
      <c r="G1101" s="3" t="n">
        <v>0.05232021021687139</v>
      </c>
      <c r="H1101" s="3" t="n">
        <v>2.293327374503285</v>
      </c>
      <c r="I1101" s="3" t="n">
        <v>17.9754675129095</v>
      </c>
      <c r="J1101" s="3" t="n">
        <v>0.3982290616000375</v>
      </c>
      <c r="K1101" s="3" t="n">
        <v>0.02315294090135693</v>
      </c>
      <c r="L1101" s="3" t="n">
        <v>10980.1557467645</v>
      </c>
      <c r="M1101" s="4" t="n">
        <v>4495843548.356594</v>
      </c>
    </row>
    <row r="1102">
      <c r="A1102" t="inlineStr">
        <is>
          <t>BBG000BXMFC3</t>
        </is>
      </c>
      <c r="B1102" t="inlineStr">
        <is>
          <t>uri</t>
        </is>
      </c>
      <c r="C1102" s="3" t="n">
        <v>1.728259726999614</v>
      </c>
      <c r="D1102" s="3" t="n">
        <v>0.7197757902152013</v>
      </c>
      <c r="E1102" s="3" t="n">
        <v>24.75008668723816</v>
      </c>
      <c r="F1102" s="3" t="n">
        <v>0.1530071856795429</v>
      </c>
      <c r="H1102" s="3" t="n">
        <v>2.982053373385147</v>
      </c>
      <c r="I1102" s="3" t="n">
        <v>19.80386436278175</v>
      </c>
      <c r="J1102" s="3" t="n">
        <v>0.2977774405979108</v>
      </c>
      <c r="K1102" s="3" t="n">
        <v>0.03362912856212771</v>
      </c>
      <c r="L1102" s="3" t="n">
        <v>15161.08117961194</v>
      </c>
      <c r="M1102" s="4" t="n">
        <v>56082333399.81152</v>
      </c>
    </row>
    <row r="1103">
      <c r="A1103" t="inlineStr">
        <is>
          <t>BBG01HFW5XW1</t>
        </is>
      </c>
      <c r="B1103" t="inlineStr">
        <is>
          <t>usar</t>
        </is>
      </c>
      <c r="C1103" s="3" t="n">
        <v>0.01008552639771202</v>
      </c>
      <c r="D1103" s="3" t="n">
        <v>0.0456754391420009</v>
      </c>
      <c r="H1103" s="3" t="n">
        <v>13803.12676880519</v>
      </c>
      <c r="I1103" s="3" t="n">
        <v>14.23748758979133</v>
      </c>
      <c r="J1103" s="3" t="n">
        <v>0.02102258691424351</v>
      </c>
    </row>
    <row r="1104">
      <c r="A1104" t="inlineStr">
        <is>
          <t>BBG000FFDM15</t>
        </is>
      </c>
      <c r="B1104" t="inlineStr">
        <is>
          <t>usb</t>
        </is>
      </c>
      <c r="C1104" s="3" t="n">
        <v>1.002342648681517</v>
      </c>
      <c r="D1104" s="3" t="n">
        <v>0.3269916484195976</v>
      </c>
      <c r="E1104" s="3" t="n">
        <v>25.07985063500665</v>
      </c>
      <c r="F1104" s="3" t="n">
        <v>0.7546961622286007</v>
      </c>
      <c r="H1104" s="3" t="n">
        <v>11.66294024683289</v>
      </c>
      <c r="I1104" s="3" t="n">
        <v>19.71057502191768</v>
      </c>
      <c r="J1104" s="3" t="n">
        <v>0.2369682218974153</v>
      </c>
      <c r="K1104" s="3" t="n">
        <v>0.05875087608235696</v>
      </c>
      <c r="L1104" s="3" t="n">
        <v>15775.19865906833</v>
      </c>
      <c r="M1104" s="4" t="n">
        <v>77990326365.82649</v>
      </c>
    </row>
    <row r="1105">
      <c r="A1105" t="inlineStr">
        <is>
          <t>BBG00C6H6D40</t>
        </is>
      </c>
      <c r="B1105" t="inlineStr">
        <is>
          <t>usfd</t>
        </is>
      </c>
      <c r="C1105" s="3" t="n">
        <v>0.9232625244150133</v>
      </c>
      <c r="D1105" s="3" t="n">
        <v>0.4065708179413829</v>
      </c>
      <c r="E1105" s="3" t="n">
        <v>23.5114899094626</v>
      </c>
      <c r="F1105" s="3" t="n">
        <v>0.2968841339356923</v>
      </c>
      <c r="G1105" s="3" t="n">
        <v>0.005632716049382758</v>
      </c>
      <c r="H1105" s="3" t="n">
        <v>2.79274611341083</v>
      </c>
      <c r="I1105" s="3" t="n">
        <v>18.55253338348144</v>
      </c>
      <c r="J1105" s="3" t="n">
        <v>0.1962705533834724</v>
      </c>
      <c r="K1105" s="3" t="n">
        <v>0.01119853106244477</v>
      </c>
      <c r="L1105" s="3" t="n">
        <v>12996.92021628942</v>
      </c>
      <c r="M1105" s="4" t="n">
        <v>16252131549.57029</v>
      </c>
    </row>
    <row r="1106">
      <c r="A1106" t="inlineStr">
        <is>
          <t>BBG000BV4XJ1</t>
        </is>
      </c>
      <c r="B1106" t="inlineStr">
        <is>
          <t>uthr</t>
        </is>
      </c>
      <c r="C1106" s="3" t="n">
        <v>0.3260792274234545</v>
      </c>
      <c r="D1106" s="3" t="n">
        <v>0.5582083384195964</v>
      </c>
      <c r="E1106" s="3" t="n">
        <v>23.52906853051293</v>
      </c>
      <c r="F1106" s="3" t="n">
        <v>0.3688495682115622</v>
      </c>
      <c r="G1106" s="3" t="n">
        <v>0.04545670000474011</v>
      </c>
      <c r="H1106" s="3" t="n">
        <v>1.16754904994877</v>
      </c>
      <c r="I1106" s="3" t="n">
        <v>18.67506497960587</v>
      </c>
      <c r="J1106" s="3" t="n">
        <v>0.2855675252395554</v>
      </c>
      <c r="K1106" s="3" t="n">
        <v>0.01617862027789572</v>
      </c>
      <c r="L1106" s="3" t="n">
        <v>13026.09388354197</v>
      </c>
      <c r="M1106" s="4" t="n">
        <v>16540347408.32837</v>
      </c>
    </row>
    <row r="1107">
      <c r="A1107" t="inlineStr">
        <is>
          <t>BBG000PSKYX7</t>
        </is>
      </c>
      <c r="B1107" t="inlineStr">
        <is>
          <t>v</t>
        </is>
      </c>
      <c r="C1107" s="3" t="n">
        <v>0.5980657349740859</v>
      </c>
      <c r="D1107" s="3" t="n">
        <v>0.135699532787048</v>
      </c>
      <c r="E1107" s="3" t="n">
        <v>25.70833003819716</v>
      </c>
      <c r="F1107" s="3" t="n">
        <v>0.1808116030082526</v>
      </c>
      <c r="H1107" s="3" t="n">
        <v>1.263683473871329</v>
      </c>
      <c r="I1107" s="3" t="n">
        <v>21.34857734642931</v>
      </c>
      <c r="J1107" s="3" t="n">
        <v>0.1488340481830402</v>
      </c>
      <c r="K1107" s="3" t="n">
        <v>0.004896966666184092</v>
      </c>
      <c r="L1107" s="3" t="n">
        <v>16991.1040712978</v>
      </c>
      <c r="M1107" s="4" t="n">
        <v>146212961778.8553</v>
      </c>
    </row>
    <row r="1108">
      <c r="A1108" t="inlineStr">
        <is>
          <t>BBG001J2R5H3</t>
        </is>
      </c>
      <c r="B1108" t="inlineStr">
        <is>
          <t>vac</t>
        </is>
      </c>
      <c r="C1108" s="3" t="n">
        <v>1.552722014317719</v>
      </c>
      <c r="D1108" s="3" t="n">
        <v>0.09470657238349123</v>
      </c>
      <c r="E1108" s="3" t="n">
        <v>21.88833454034499</v>
      </c>
      <c r="F1108" s="3" t="n">
        <v>0.7544890817121749</v>
      </c>
      <c r="H1108" s="3" t="n">
        <v>4.026457212060166</v>
      </c>
      <c r="I1108" s="3" t="n">
        <v>17.190207843065</v>
      </c>
      <c r="J1108" s="3" t="n">
        <v>0.3680826452362071</v>
      </c>
      <c r="K1108" s="3" t="n">
        <v>0.02619970354023261</v>
      </c>
      <c r="L1108" s="3" t="n">
        <v>10486.68332574686</v>
      </c>
      <c r="M1108" s="4" t="n">
        <v>3206143147.566872</v>
      </c>
    </row>
    <row r="1109">
      <c r="A1109" t="inlineStr">
        <is>
          <t>BBG0016T3GQ0</t>
        </is>
      </c>
      <c r="B1109" t="inlineStr">
        <is>
          <t>vc</t>
        </is>
      </c>
      <c r="C1109" s="3" t="n">
        <v>0.9725813425878422</v>
      </c>
      <c r="D1109" s="3" t="n">
        <v>-0.239487670519014</v>
      </c>
      <c r="E1109" s="3" t="n">
        <v>21.65845888636309</v>
      </c>
      <c r="F1109" s="3" t="n">
        <v>0.4651244499833913</v>
      </c>
      <c r="H1109" s="3" t="n">
        <v>2.441350208910253</v>
      </c>
      <c r="I1109" s="3" t="n">
        <v>17.10844234607819</v>
      </c>
      <c r="J1109" s="3" t="n">
        <v>0.2930679686857552</v>
      </c>
      <c r="K1109" s="3" t="n">
        <v>0.02590566556869521</v>
      </c>
      <c r="L1109" s="3" t="n">
        <v>10159.7413840469</v>
      </c>
      <c r="M1109" s="4" t="n">
        <v>2547705242.279114</v>
      </c>
    </row>
    <row r="1110">
      <c r="A1110" t="inlineStr">
        <is>
          <t>BBG001CGB489</t>
        </is>
      </c>
      <c r="B1110" t="inlineStr">
        <is>
          <t>veev</t>
        </is>
      </c>
      <c r="C1110" s="3" t="n">
        <v>0.9126446140273974</v>
      </c>
      <c r="D1110" s="3" t="n">
        <v>0.1980380055989452</v>
      </c>
      <c r="E1110" s="3" t="n">
        <v>24.33138577398251</v>
      </c>
      <c r="F1110" s="3" t="n">
        <v>0.1125480611844514</v>
      </c>
      <c r="H1110" s="3" t="n">
        <v>1.524531966382727</v>
      </c>
      <c r="I1110" s="3" t="n">
        <v>19.12318881998279</v>
      </c>
      <c r="J1110" s="3" t="n">
        <v>0.2672835688922337</v>
      </c>
      <c r="K1110" s="3" t="n">
        <v>0.009017221729961595</v>
      </c>
      <c r="L1110" s="3" t="n">
        <v>14404.57779932423</v>
      </c>
      <c r="M1110" s="4" t="n">
        <v>36896619596.86554</v>
      </c>
    </row>
    <row r="1111">
      <c r="A1111" t="inlineStr">
        <is>
          <t>BBG000BWCKB6</t>
        </is>
      </c>
      <c r="B1111" t="inlineStr">
        <is>
          <t>vfc</t>
        </is>
      </c>
      <c r="C1111" s="3" t="n">
        <v>0.8947007906647066</v>
      </c>
      <c r="D1111" s="3" t="n">
        <v>0.2658725524637795</v>
      </c>
      <c r="E1111" s="3" t="n">
        <v>22.74977823099004</v>
      </c>
      <c r="F1111" s="3" t="n">
        <v>0.3836155784208581</v>
      </c>
      <c r="H1111" s="3" t="n">
        <v>4.515165870178487</v>
      </c>
      <c r="I1111" s="3" t="n">
        <v>18.69344227418821</v>
      </c>
      <c r="J1111" s="3" t="n">
        <v>0.575817431297911</v>
      </c>
      <c r="K1111" s="3" t="n">
        <v>-0.05939932598904307</v>
      </c>
      <c r="L1111" s="3" t="n">
        <v>11774.20254038698</v>
      </c>
      <c r="M1111" s="4" t="n">
        <v>7587577677.627811</v>
      </c>
    </row>
    <row r="1112">
      <c r="A1112" t="inlineStr">
        <is>
          <t>BBG007XLFXD8</t>
        </is>
      </c>
      <c r="B1112" t="inlineStr">
        <is>
          <t>via</t>
        </is>
      </c>
    </row>
    <row r="1113">
      <c r="A1113" t="inlineStr">
        <is>
          <t>BBG000BP7JB0</t>
        </is>
      </c>
      <c r="B1113" t="inlineStr">
        <is>
          <t>viav</t>
        </is>
      </c>
      <c r="C1113" s="3" t="n">
        <v>1.204113047905246</v>
      </c>
      <c r="D1113" s="3" t="n">
        <v>0.1410891527335398</v>
      </c>
      <c r="E1113" s="3" t="n">
        <v>21.51391325383226</v>
      </c>
      <c r="F1113" s="3" t="n">
        <v>0.3184382017479608</v>
      </c>
      <c r="H1113" s="3" t="n">
        <v>2.474861127368094</v>
      </c>
      <c r="I1113" s="3" t="n">
        <v>16.51445008720859</v>
      </c>
      <c r="J1113" s="3" t="n">
        <v>0.3517412211780986</v>
      </c>
      <c r="K1113" s="3" t="n">
        <v>0.004444800423201846</v>
      </c>
      <c r="L1113" s="3" t="n">
        <v>9957.681693266968</v>
      </c>
      <c r="M1113" s="4" t="n">
        <v>2204823403.183465</v>
      </c>
    </row>
    <row r="1114">
      <c r="A1114" t="inlineStr">
        <is>
          <t>BBG00HVVB499</t>
        </is>
      </c>
      <c r="B1114" t="inlineStr">
        <is>
          <t>vici</t>
        </is>
      </c>
      <c r="C1114" s="3" t="n">
        <v>0.3640420832139992</v>
      </c>
      <c r="D1114" s="3" t="n">
        <v>0.1229986662803202</v>
      </c>
      <c r="E1114" s="3" t="n">
        <v>24.1735268407108</v>
      </c>
      <c r="F1114" s="3" t="n">
        <v>0.8287033217689613</v>
      </c>
      <c r="H1114" s="3" t="n">
        <v>1.720255840184701</v>
      </c>
      <c r="I1114" s="3" t="n">
        <v>18.75769803640442</v>
      </c>
      <c r="J1114" s="3" t="n">
        <v>0.1777797259502674</v>
      </c>
      <c r="K1114" s="3" t="n">
        <v>0.02326024160724582</v>
      </c>
      <c r="L1114" s="3" t="n">
        <v>14126.02763855311</v>
      </c>
      <c r="M1114" s="4" t="n">
        <v>31508615101.76377</v>
      </c>
    </row>
    <row r="1115">
      <c r="A1115" t="inlineStr">
        <is>
          <t>BBG002NLDLV8</t>
        </is>
      </c>
      <c r="B1115" t="inlineStr">
        <is>
          <t>vips</t>
        </is>
      </c>
      <c r="C1115" s="3" t="n">
        <v>0.6223365770274886</v>
      </c>
      <c r="D1115" s="3" t="n">
        <v>-0.07652387380984338</v>
      </c>
      <c r="H1115" s="3" t="n">
        <v>1.956705811230637</v>
      </c>
      <c r="I1115" s="3" t="n">
        <v>17.68968886454048</v>
      </c>
      <c r="J1115" s="3" t="n">
        <v>0.4590975584031136</v>
      </c>
    </row>
    <row r="1116">
      <c r="A1116" t="inlineStr">
        <is>
          <t>BBG004LTL7L2</t>
        </is>
      </c>
      <c r="B1116" t="inlineStr">
        <is>
          <t>visn</t>
        </is>
      </c>
      <c r="C1116" s="3" t="n">
        <v>2.300801712731109</v>
      </c>
      <c r="D1116" s="3" t="n">
        <v>3.029940369410355</v>
      </c>
      <c r="E1116" s="3" t="n">
        <v>20.03506694934521</v>
      </c>
      <c r="F1116" s="3" t="n">
        <v>-5.908291588833259</v>
      </c>
      <c r="H1116" s="3" t="n">
        <v>-2.967764754435383</v>
      </c>
      <c r="I1116" s="3" t="n">
        <v>16.33520925709931</v>
      </c>
      <c r="J1116" s="3" t="n">
        <v>1.038856103820809</v>
      </c>
      <c r="K1116" s="3" t="n">
        <v>-1.842261359398729</v>
      </c>
      <c r="L1116" s="3" t="n">
        <v>8042.15416379195</v>
      </c>
      <c r="M1116" s="4" t="n">
        <v>502480276.9895067</v>
      </c>
    </row>
    <row r="1117">
      <c r="A1117" t="inlineStr">
        <is>
          <t>BBG006LGV869</t>
        </is>
      </c>
      <c r="B1117" t="inlineStr">
        <is>
          <t>vktx</t>
        </is>
      </c>
      <c r="C1117" s="3" t="n">
        <v>1.783383220759787</v>
      </c>
      <c r="D1117" s="3" t="n">
        <v>4.93617015797045</v>
      </c>
      <c r="E1117" s="3" t="n">
        <v>22.49812360998327</v>
      </c>
      <c r="F1117" s="3" t="n">
        <v>0.05905965326896864</v>
      </c>
      <c r="H1117" s="3" t="n">
        <v>1.057605925458698</v>
      </c>
      <c r="I1117" s="3" t="n">
        <v>19.38770634654252</v>
      </c>
      <c r="J1117" s="3" t="n">
        <v>1.491153330405047</v>
      </c>
      <c r="K1117" s="3" t="n">
        <v>-0.01038911812747034</v>
      </c>
      <c r="L1117" s="3" t="n">
        <v>11387.77547031215</v>
      </c>
      <c r="M1117" s="4" t="n">
        <v>5899442015.925415</v>
      </c>
    </row>
    <row r="1118">
      <c r="A1118" t="inlineStr">
        <is>
          <t>BBG000BBGGQ1</t>
        </is>
      </c>
      <c r="B1118" t="inlineStr">
        <is>
          <t>vlo</t>
        </is>
      </c>
      <c r="C1118" s="3" t="n">
        <v>0.5690244042022151</v>
      </c>
      <c r="D1118" s="3" t="n">
        <v>0.05717616334143449</v>
      </c>
      <c r="E1118" s="3" t="n">
        <v>24.46630596631994</v>
      </c>
      <c r="F1118" s="3" t="n">
        <v>0.5980414764476767</v>
      </c>
      <c r="H1118" s="3" t="n">
        <v>2.391082247559059</v>
      </c>
      <c r="I1118" s="3" t="n">
        <v>19.70386698319511</v>
      </c>
      <c r="J1118" s="3" t="n">
        <v>0.2814331851649953</v>
      </c>
      <c r="K1118" s="3" t="n">
        <v>0.06209419677843457</v>
      </c>
      <c r="L1118" s="3" t="n">
        <v>14645.53387425927</v>
      </c>
      <c r="M1118" s="4" t="n">
        <v>42226168240.70959</v>
      </c>
    </row>
    <row r="1119">
      <c r="A1119" t="inlineStr">
        <is>
          <t>BBG004NZ9HL8</t>
        </is>
      </c>
      <c r="B1119" t="inlineStr">
        <is>
          <t>vlrs</t>
        </is>
      </c>
      <c r="C1119" s="3" t="n">
        <v>1.003599461670242</v>
      </c>
      <c r="D1119" s="3" t="n">
        <v>-0.086848666210812</v>
      </c>
      <c r="I1119" s="3" t="n">
        <v>15.60128374533735</v>
      </c>
      <c r="J1119" s="3" t="n">
        <v>0.4021167591626792</v>
      </c>
    </row>
    <row r="1120">
      <c r="A1120" t="inlineStr">
        <is>
          <t>vlto</t>
        </is>
      </c>
      <c r="B1120" t="inlineStr">
        <is>
          <t>vlto</t>
        </is>
      </c>
      <c r="C1120" s="3" t="n">
        <v>0.7503261817918894</v>
      </c>
      <c r="D1120" s="3" t="n">
        <v>0.3279139924439436</v>
      </c>
      <c r="E1120" s="3" t="n">
        <v>24.00287597899427</v>
      </c>
      <c r="F1120" s="3" t="n">
        <v>0.0520601712803096</v>
      </c>
      <c r="H1120" s="3" t="n">
        <v>4.528561095785567</v>
      </c>
      <c r="I1120" s="3" t="n">
        <v>18.91052314674345</v>
      </c>
      <c r="J1120" s="3" t="n">
        <v>0.1856498327023341</v>
      </c>
      <c r="K1120" s="3" t="n">
        <v>0.0228116151813938</v>
      </c>
      <c r="L1120" s="3" t="n">
        <v>13828.97028725626</v>
      </c>
      <c r="M1120" s="4" t="n">
        <v>26565413941.90578</v>
      </c>
    </row>
    <row r="1121">
      <c r="A1121" t="inlineStr">
        <is>
          <t>BBG000D4YTR6</t>
        </is>
      </c>
      <c r="B1121" t="inlineStr">
        <is>
          <t>vly</t>
        </is>
      </c>
      <c r="C1121" s="3" t="n">
        <v>1.286101542910771</v>
      </c>
      <c r="D1121" s="3" t="n">
        <v>0.09934364597713685</v>
      </c>
      <c r="E1121" s="3" t="n">
        <v>22.34074401012535</v>
      </c>
      <c r="F1121" s="3" t="n">
        <v>1.336756207671704</v>
      </c>
      <c r="H1121" s="3" t="n">
        <v>9.043833855633748</v>
      </c>
      <c r="I1121" s="3" t="n">
        <v>17.93661885613405</v>
      </c>
      <c r="J1121" s="3" t="n">
        <v>0.4072661553197204</v>
      </c>
      <c r="K1121" s="3" t="n">
        <v>0.0290754832060818</v>
      </c>
      <c r="L1121" s="3" t="n">
        <v>11150.46289299855</v>
      </c>
      <c r="M1121" s="4" t="n">
        <v>5040363351.219217</v>
      </c>
    </row>
    <row r="1122">
      <c r="A1122" t="inlineStr">
        <is>
          <t>BBG000BWGYF8</t>
        </is>
      </c>
      <c r="B1122" t="inlineStr">
        <is>
          <t>vmc</t>
        </is>
      </c>
      <c r="C1122" s="3" t="n">
        <v>1.036622712169221</v>
      </c>
      <c r="D1122" s="3" t="n">
        <v>0.2896234880246384</v>
      </c>
      <c r="E1122" s="3" t="n">
        <v>24.35091767560384</v>
      </c>
      <c r="F1122" s="3" t="n">
        <v>0.209146388426755</v>
      </c>
      <c r="H1122" s="3" t="n">
        <v>1.823853094189369</v>
      </c>
      <c r="I1122" s="3" t="n">
        <v>19.27108157546324</v>
      </c>
      <c r="J1122" s="3" t="n">
        <v>0.1983356265100221</v>
      </c>
      <c r="K1122" s="3" t="n">
        <v>0.005517701135772568</v>
      </c>
      <c r="L1122" s="3" t="n">
        <v>14439.29526805791</v>
      </c>
      <c r="M1122" s="4" t="n">
        <v>37624364728.37613</v>
      </c>
    </row>
    <row r="1123">
      <c r="A1123" t="inlineStr">
        <is>
          <t>BBG001M32Y18</t>
        </is>
      </c>
      <c r="B1123" t="inlineStr">
        <is>
          <t>vnet</t>
        </is>
      </c>
      <c r="C1123" s="3" t="n">
        <v>1.153153929962587</v>
      </c>
      <c r="D1123" s="3" t="n">
        <v>0.1714285811599421</v>
      </c>
      <c r="E1123" s="3" t="n">
        <v>19.44141123854937</v>
      </c>
      <c r="F1123" s="3" t="n">
        <v>21.67183922585184</v>
      </c>
      <c r="H1123" s="3" t="n">
        <v>5.052179305044268</v>
      </c>
      <c r="I1123" s="3" t="n">
        <v>15.75043840699073</v>
      </c>
      <c r="J1123" s="3" t="n">
        <v>0.8267683542580531</v>
      </c>
      <c r="K1123" s="3" t="n">
        <v>-9.526577186895022</v>
      </c>
      <c r="L1123" s="3" t="n">
        <v>7348.240478874542</v>
      </c>
      <c r="M1123" s="4" t="n">
        <v>277522129.7855377</v>
      </c>
    </row>
    <row r="1124">
      <c r="A1124" t="inlineStr">
        <is>
          <t>BBG000BWHD54</t>
        </is>
      </c>
      <c r="B1124" t="inlineStr">
        <is>
          <t>vno</t>
        </is>
      </c>
      <c r="C1124" s="3" t="n">
        <v>1.607447639998114</v>
      </c>
      <c r="D1124" s="3" t="n">
        <v>0.7773878520318582</v>
      </c>
      <c r="E1124" s="3" t="n">
        <v>22.7897237427416</v>
      </c>
      <c r="F1124" s="3" t="n">
        <v>0.6683659786951864</v>
      </c>
      <c r="H1124" s="3" t="n">
        <v>3.047222654262007</v>
      </c>
      <c r="I1124" s="3" t="n">
        <v>17.99715991712227</v>
      </c>
      <c r="J1124" s="3" t="n">
        <v>0.3998506186114369</v>
      </c>
      <c r="K1124" s="3" t="n">
        <v>0.01911887802194598</v>
      </c>
      <c r="L1124" s="3" t="n">
        <v>11836.33319333527</v>
      </c>
      <c r="M1124" s="4" t="n">
        <v>7896802302.288769</v>
      </c>
    </row>
    <row r="1125">
      <c r="A1125" t="inlineStr">
        <is>
          <t>BBG000C4R6H6</t>
        </is>
      </c>
      <c r="B1125" t="inlineStr">
        <is>
          <t>vod</t>
        </is>
      </c>
      <c r="C1125" s="3" t="n">
        <v>0.486840783083706</v>
      </c>
      <c r="D1125" s="3" t="n">
        <v>0.07567535406189907</v>
      </c>
      <c r="I1125" s="3" t="n">
        <v>17.57187958157412</v>
      </c>
      <c r="J1125" s="3" t="n">
        <v>0.2546511343515346</v>
      </c>
    </row>
    <row r="1126">
      <c r="A1126" t="inlineStr">
        <is>
          <t>BBG000BCWKD6</t>
        </is>
      </c>
      <c r="B1126" t="inlineStr">
        <is>
          <t>voya</t>
        </is>
      </c>
      <c r="C1126" s="3" t="n">
        <v>0.731819007882668</v>
      </c>
      <c r="D1126" s="3" t="n">
        <v>0.1432109319717918</v>
      </c>
      <c r="E1126" s="3" t="n">
        <v>22.76269393776301</v>
      </c>
      <c r="F1126" s="3" t="n">
        <v>0.5455222792646579</v>
      </c>
      <c r="G1126" s="3" t="n">
        <v>0.05175968283013122</v>
      </c>
      <c r="H1126" s="3" t="n">
        <v>37.46362985035449</v>
      </c>
      <c r="I1126" s="3" t="n">
        <v>17.92356935485874</v>
      </c>
      <c r="J1126" s="3" t="n">
        <v>0.217433117312768</v>
      </c>
      <c r="K1126" s="3" t="n">
        <v>0.01483175288246387</v>
      </c>
      <c r="L1126" s="3" t="n">
        <v>11794.26759307167</v>
      </c>
      <c r="M1126" s="4" t="n">
        <v>7686212202.197266</v>
      </c>
    </row>
    <row r="1127">
      <c r="A1127" t="inlineStr">
        <is>
          <t>BBG01V317FS3</t>
        </is>
      </c>
      <c r="B1127" t="inlineStr">
        <is>
          <t>voyg</t>
        </is>
      </c>
    </row>
    <row r="1128">
      <c r="A1128" t="inlineStr">
        <is>
          <t>BBG001Y04TN6</t>
        </is>
      </c>
      <c r="B1128" t="inlineStr">
        <is>
          <t>vrns</t>
        </is>
      </c>
      <c r="C1128" s="3" t="n">
        <v>1.309046330118149</v>
      </c>
      <c r="D1128" s="3" t="n">
        <v>0.2024349406968922</v>
      </c>
      <c r="E1128" s="3" t="n">
        <v>22.44942793330717</v>
      </c>
      <c r="F1128" s="3" t="n">
        <v>0.08936123689015989</v>
      </c>
      <c r="H1128" s="3" t="n">
        <v>2.198476470602984</v>
      </c>
      <c r="I1128" s="3" t="n">
        <v>18.29346028808791</v>
      </c>
      <c r="J1128" s="3" t="n">
        <v>0.3076956163597476</v>
      </c>
      <c r="K1128" s="3" t="n">
        <v>-0.01779981516809562</v>
      </c>
      <c r="L1128" s="3" t="n">
        <v>11313.99117791074</v>
      </c>
      <c r="M1128" s="4" t="n">
        <v>5619047110.189796</v>
      </c>
    </row>
    <row r="1129">
      <c r="A1129" t="inlineStr">
        <is>
          <t>BBG000BCZL41</t>
        </is>
      </c>
      <c r="B1129" t="inlineStr">
        <is>
          <t>vrsk</t>
        </is>
      </c>
      <c r="C1129" s="3" t="n">
        <v>0.2822345239440718</v>
      </c>
      <c r="D1129" s="3" t="n">
        <v>0.1446953671014086</v>
      </c>
      <c r="E1129" s="3" t="n">
        <v>24.43665447269095</v>
      </c>
      <c r="F1129" s="3" t="n">
        <v>0.007562362653978537</v>
      </c>
      <c r="H1129" s="3" t="n">
        <v>14.08419350295421</v>
      </c>
      <c r="I1129" s="3" t="n">
        <v>19.01807628718191</v>
      </c>
      <c r="J1129" s="3" t="n">
        <v>0.1925165165141528</v>
      </c>
      <c r="K1129" s="3" t="n">
        <v>0.01074831285594498</v>
      </c>
      <c r="L1129" s="3" t="n">
        <v>14592.35021771793</v>
      </c>
      <c r="M1129" s="4" t="n">
        <v>40992480019.36902</v>
      </c>
    </row>
    <row r="1130">
      <c r="A1130" t="inlineStr">
        <is>
          <t>BBG000BGKHZ3</t>
        </is>
      </c>
      <c r="B1130" t="inlineStr">
        <is>
          <t>vrsn</t>
        </is>
      </c>
      <c r="C1130" s="3" t="n">
        <v>0.5945058156132838</v>
      </c>
      <c r="D1130" s="3" t="n">
        <v>-0.1666352895041457</v>
      </c>
      <c r="E1130" s="3" t="n">
        <v>23.59791413858673</v>
      </c>
      <c r="F1130" s="3" t="n">
        <v>-0.102510322167721</v>
      </c>
      <c r="H1130" s="3" t="n">
        <v>-0.8048887914583179</v>
      </c>
      <c r="I1130" s="3" t="n">
        <v>18.56015943440038</v>
      </c>
      <c r="J1130" s="3" t="n">
        <v>0.1713010016763167</v>
      </c>
      <c r="K1130" s="3" t="n">
        <v>0.01063818307014722</v>
      </c>
      <c r="L1130" s="3" t="n">
        <v>13140.77108391063</v>
      </c>
      <c r="M1130" s="4" t="n">
        <v>17719191213.98926</v>
      </c>
    </row>
    <row r="1131">
      <c r="A1131" t="inlineStr">
        <is>
          <t>vrt</t>
        </is>
      </c>
      <c r="B1131" t="inlineStr">
        <is>
          <t>vrt</t>
        </is>
      </c>
      <c r="C1131" s="3" t="n">
        <v>2.60102299143902</v>
      </c>
      <c r="D1131" s="3" t="n">
        <v>1.506843617635012</v>
      </c>
      <c r="E1131" s="3" t="n">
        <v>24.59006326576219</v>
      </c>
      <c r="F1131" s="3" t="n">
        <v>0.03469620165923686</v>
      </c>
      <c r="H1131" s="3" t="n">
        <v>5.362402746901632</v>
      </c>
      <c r="I1131" s="3" t="n">
        <v>20.43454866300371</v>
      </c>
      <c r="J1131" s="3" t="n">
        <v>0.4536634304402654</v>
      </c>
      <c r="K1131" s="3" t="n">
        <v>0.00174098303965292</v>
      </c>
      <c r="L1131" s="3" t="n">
        <v>14868.90334365992</v>
      </c>
      <c r="M1131" s="4" t="n">
        <v>47789092773.03796</v>
      </c>
    </row>
    <row r="1132">
      <c r="A1132" t="inlineStr">
        <is>
          <t>BBG000C1S2X2</t>
        </is>
      </c>
      <c r="B1132" t="inlineStr">
        <is>
          <t>vrtx</t>
        </is>
      </c>
      <c r="C1132" s="3" t="n">
        <v>0.6449783233148038</v>
      </c>
      <c r="D1132" s="3" t="n">
        <v>0.341506762102227</v>
      </c>
      <c r="E1132" s="3" t="n">
        <v>25.51539006473319</v>
      </c>
      <c r="F1132" s="3" t="n">
        <v>0.1154033223193379</v>
      </c>
      <c r="H1132" s="3" t="n">
        <v>1.598553839183009</v>
      </c>
      <c r="I1132" s="3" t="n">
        <v>20.11005279733083</v>
      </c>
      <c r="J1132" s="3" t="n">
        <v>0.2337091718906484</v>
      </c>
      <c r="K1132" s="3" t="n">
        <v>0.008587625665558122</v>
      </c>
      <c r="L1132" s="3" t="n">
        <v>16611.41529176155</v>
      </c>
      <c r="M1132" s="4" t="n">
        <v>120557187785.1672</v>
      </c>
    </row>
    <row r="1133">
      <c r="A1133" t="inlineStr">
        <is>
          <t>BBG000BWJYL8</t>
        </is>
      </c>
      <c r="B1133" t="inlineStr">
        <is>
          <t>vsec</t>
        </is>
      </c>
      <c r="C1133" s="3" t="n">
        <v>1.491785475500716</v>
      </c>
      <c r="D1133" s="3" t="n">
        <v>0.7050912591397707</v>
      </c>
      <c r="E1133" s="3" t="n">
        <v>21.59183955348584</v>
      </c>
      <c r="F1133" s="3" t="n">
        <v>0.2587466772589036</v>
      </c>
      <c r="H1133" s="3" t="n">
        <v>2.373827877297292</v>
      </c>
      <c r="I1133" s="3" t="n">
        <v>16.77189447946308</v>
      </c>
      <c r="J1133" s="3" t="n">
        <v>0.3409074198717832</v>
      </c>
      <c r="K1133" s="3" t="n">
        <v>0.01154977871540858</v>
      </c>
      <c r="L1133" s="3" t="n">
        <v>10066.27830089873</v>
      </c>
      <c r="M1133" s="4" t="n">
        <v>2383508867.726074</v>
      </c>
    </row>
    <row r="1134">
      <c r="A1134" t="inlineStr">
        <is>
          <t>BBG00DXDL6Q1</t>
        </is>
      </c>
      <c r="B1134" t="inlineStr">
        <is>
          <t>vst</t>
        </is>
      </c>
      <c r="C1134" s="3" t="n">
        <v>1.92453349401701</v>
      </c>
      <c r="D1134" s="3" t="n">
        <v>2.578972037839966</v>
      </c>
      <c r="E1134" s="3" t="n">
        <v>24.71084951934554</v>
      </c>
      <c r="F1134" s="3" t="n">
        <v>0.100900457756816</v>
      </c>
      <c r="H1134" s="3" t="n">
        <v>6.96158794211329</v>
      </c>
      <c r="I1134" s="3" t="n">
        <v>20.63375833243389</v>
      </c>
      <c r="J1134" s="3" t="n">
        <v>0.498215345099325</v>
      </c>
      <c r="K1134" s="3" t="n">
        <v>0.03501195814094259</v>
      </c>
      <c r="L1134" s="3" t="n">
        <v>15089.08927351407</v>
      </c>
      <c r="M1134" s="4" t="n">
        <v>53924433256.91006</v>
      </c>
    </row>
    <row r="1135">
      <c r="A1135" t="inlineStr">
        <is>
          <t>BBG000FJWF20</t>
        </is>
      </c>
      <c r="B1135" t="inlineStr">
        <is>
          <t>vsts</t>
        </is>
      </c>
      <c r="C1135" s="3" t="n">
        <v>0.8347144634908289</v>
      </c>
      <c r="D1135" s="3" t="n">
        <v>-0.2548966043865574</v>
      </c>
      <c r="E1135" s="3" t="n">
        <v>21.4675775043119</v>
      </c>
      <c r="F1135" s="3" t="n">
        <v>1.109653622595031</v>
      </c>
      <c r="H1135" s="3" t="n">
        <v>1.255403687773073</v>
      </c>
      <c r="I1135" s="3" t="n">
        <v>17.26172748513998</v>
      </c>
      <c r="J1135" s="3" t="n">
        <v>0.6067852503404589</v>
      </c>
      <c r="K1135" s="3" t="n">
        <v>0.06730619398977375</v>
      </c>
      <c r="L1135" s="3" t="n">
        <v>9893.480873597035</v>
      </c>
      <c r="M1135" s="4" t="n">
        <v>2104992000.501766</v>
      </c>
    </row>
    <row r="1136">
      <c r="A1136" t="inlineStr">
        <is>
          <t>BBG000FRVHB9</t>
        </is>
      </c>
      <c r="B1136" t="inlineStr">
        <is>
          <t>vtr</t>
        </is>
      </c>
      <c r="C1136" s="3" t="n">
        <v>0.426997321455671</v>
      </c>
      <c r="D1136" s="3" t="n">
        <v>0.4796988945722978</v>
      </c>
      <c r="E1136" s="3" t="n">
        <v>23.97235666511421</v>
      </c>
      <c r="F1136" s="3" t="n">
        <v>0.3787453271015193</v>
      </c>
      <c r="H1136" s="3" t="n">
        <v>2.597289153829517</v>
      </c>
      <c r="I1136" s="3" t="n">
        <v>18.92479824000646</v>
      </c>
      <c r="J1136" s="3" t="n">
        <v>0.2080068570441521</v>
      </c>
      <c r="K1136" s="3" t="n">
        <v>0.003992912967006958</v>
      </c>
      <c r="L1136" s="3" t="n">
        <v>13776.28731527897</v>
      </c>
      <c r="M1136" s="4" t="n">
        <v>25766902721.43059</v>
      </c>
    </row>
    <row r="1137">
      <c r="A1137" t="inlineStr">
        <is>
          <t>BBG00Y4RQNH4</t>
        </is>
      </c>
      <c r="B1137" t="inlineStr">
        <is>
          <t>vtrs</t>
        </is>
      </c>
      <c r="C1137" s="3" t="n">
        <v>0.5097042284513923</v>
      </c>
      <c r="D1137" s="3" t="n">
        <v>0.3036368080682632</v>
      </c>
      <c r="H1137" s="3" t="n">
        <v>-56.78109480985619</v>
      </c>
      <c r="I1137" s="3" t="n">
        <v>18.28221502683687</v>
      </c>
      <c r="J1137" s="3" t="n">
        <v>0.2934710399614776</v>
      </c>
    </row>
    <row r="1138">
      <c r="A1138" t="inlineStr">
        <is>
          <t>BBG003DNHV56</t>
        </is>
      </c>
      <c r="B1138" t="inlineStr">
        <is>
          <t>vvv</t>
        </is>
      </c>
      <c r="C1138" s="3" t="n">
        <v>1.061585810181106</v>
      </c>
      <c r="D1138" s="3" t="n">
        <v>0.1764017758395313</v>
      </c>
      <c r="E1138" s="3" t="n">
        <v>22.35205374691628</v>
      </c>
      <c r="F1138" s="3" t="n">
        <v>0.03640863276444734</v>
      </c>
      <c r="H1138" s="3" t="n">
        <v>15.5705818126585</v>
      </c>
      <c r="I1138" s="3" t="n">
        <v>17.69241299350729</v>
      </c>
      <c r="J1138" s="3" t="n">
        <v>0.2412040970902032</v>
      </c>
      <c r="K1138" s="3" t="n">
        <v>0.08323374397605068</v>
      </c>
      <c r="L1138" s="3" t="n">
        <v>11167.40583619923</v>
      </c>
      <c r="M1138" s="4" t="n">
        <v>5097692109.570999</v>
      </c>
    </row>
    <row r="1139">
      <c r="A1139" t="inlineStr">
        <is>
          <t>BBG005PG80K4</t>
        </is>
      </c>
      <c r="B1139" t="inlineStr">
        <is>
          <t>vvx</t>
        </is>
      </c>
      <c r="C1139" s="3" t="n">
        <v>1.06775331669576</v>
      </c>
      <c r="D1139" s="3" t="n">
        <v>0.4528301004075068</v>
      </c>
      <c r="E1139" s="3" t="n">
        <v>21.36591915270034</v>
      </c>
      <c r="F1139" s="3" t="n">
        <v>0.5210569693106809</v>
      </c>
      <c r="H1139" s="3" t="n">
        <v>3.155132213206366</v>
      </c>
      <c r="I1139" s="3" t="n">
        <v>16.33249592404049</v>
      </c>
      <c r="J1139" s="3" t="n">
        <v>0.3755658776228015</v>
      </c>
      <c r="K1139" s="3" t="n">
        <v>0.0009460854741521143</v>
      </c>
      <c r="L1139" s="3" t="n">
        <v>9753.595534493492</v>
      </c>
      <c r="M1139" s="4" t="n">
        <v>1901519522.5</v>
      </c>
    </row>
    <row r="1140">
      <c r="A1140" t="inlineStr">
        <is>
          <t>BBG000BMXK89</t>
        </is>
      </c>
      <c r="B1140" t="inlineStr">
        <is>
          <t>vyx</t>
        </is>
      </c>
      <c r="C1140" s="3" t="n">
        <v>1.104581074802267</v>
      </c>
      <c r="D1140" s="3" t="n">
        <v>-0.1830357034248098</v>
      </c>
      <c r="E1140" s="3" t="n">
        <v>21.47373512214739</v>
      </c>
      <c r="F1140" s="3" t="n">
        <v>0.4782828142060407</v>
      </c>
      <c r="H1140" s="3" t="n">
        <v>4.614017764448156</v>
      </c>
      <c r="I1140" s="3" t="n">
        <v>16.65492425998555</v>
      </c>
      <c r="J1140" s="3" t="n">
        <v>0.4052272504994242</v>
      </c>
      <c r="K1140" s="3" t="n">
        <v>0.4575084372810004</v>
      </c>
      <c r="L1140" s="3" t="n">
        <v>9901.996657444888</v>
      </c>
      <c r="M1140" s="4" t="n">
        <v>2117993725.539392</v>
      </c>
    </row>
    <row r="1141">
      <c r="A1141" t="inlineStr">
        <is>
          <t>BBG000HS77T5</t>
        </is>
      </c>
      <c r="B1141" t="inlineStr">
        <is>
          <t>vz</t>
        </is>
      </c>
      <c r="C1141" s="3" t="n">
        <v>-0.02234681182162878</v>
      </c>
      <c r="D1141" s="3" t="n">
        <v>0.1723809296169652</v>
      </c>
      <c r="I1141" s="3" t="n">
        <v>20.40221055939019</v>
      </c>
      <c r="J1141" s="3" t="n">
        <v>0.2102232697507853</v>
      </c>
    </row>
    <row r="1142">
      <c r="A1142" t="inlineStr">
        <is>
          <t>BBG001B17MV2</t>
        </is>
      </c>
      <c r="B1142" t="inlineStr">
        <is>
          <t>w</t>
        </is>
      </c>
      <c r="C1142" s="3" t="n">
        <v>2.548677010275102</v>
      </c>
      <c r="D1142" s="3" t="n">
        <v>-0.2324372326763691</v>
      </c>
      <c r="H1142" s="3" t="n">
        <v>-1.249176729326446</v>
      </c>
      <c r="I1142" s="3" t="n">
        <v>19.23869929806919</v>
      </c>
      <c r="J1142" s="3" t="n">
        <v>0.5696169418754108</v>
      </c>
    </row>
    <row r="1143">
      <c r="A1143" t="inlineStr">
        <is>
          <t>BBG000BDD940</t>
        </is>
      </c>
      <c r="B1143" t="inlineStr">
        <is>
          <t>wab</t>
        </is>
      </c>
      <c r="C1143" s="3" t="n">
        <v>0.911824251397779</v>
      </c>
      <c r="D1143" s="3" t="n">
        <v>0.619086568089614</v>
      </c>
      <c r="E1143" s="3" t="n">
        <v>24.25630139340296</v>
      </c>
      <c r="F1143" s="3" t="n">
        <v>0.2994649637105523</v>
      </c>
      <c r="G1143" s="3" t="n">
        <v>0.005563456644816167</v>
      </c>
      <c r="H1143" s="3" t="n">
        <v>1.852487804697318</v>
      </c>
      <c r="I1143" s="3" t="n">
        <v>18.94923686512318</v>
      </c>
      <c r="J1143" s="3" t="n">
        <v>0.166705251739725</v>
      </c>
      <c r="K1143" s="3" t="n">
        <v>0.007011862564930004</v>
      </c>
      <c r="L1143" s="3" t="n">
        <v>14271.6353534492</v>
      </c>
      <c r="M1143" s="4" t="n">
        <v>34227710222.58105</v>
      </c>
    </row>
    <row r="1144">
      <c r="A1144" t="inlineStr">
        <is>
          <t>BBG000Q1KFH4</t>
        </is>
      </c>
      <c r="B1144" t="inlineStr">
        <is>
          <t>wal</t>
        </is>
      </c>
      <c r="C1144" s="3" t="n">
        <v>1.346391512997838</v>
      </c>
      <c r="D1144" s="3" t="n">
        <v>0.65206023948376</v>
      </c>
      <c r="E1144" s="3" t="n">
        <v>23.02666666921808</v>
      </c>
      <c r="F1144" s="3" t="n">
        <v>0.6671655448238659</v>
      </c>
      <c r="H1144" s="3" t="n">
        <v>10.61269113677904</v>
      </c>
      <c r="I1144" s="3" t="n">
        <v>18.67684686839609</v>
      </c>
      <c r="J1144" s="3" t="n">
        <v>0.3954819394643485</v>
      </c>
      <c r="K1144" s="3" t="n">
        <v>0.05740315488779725</v>
      </c>
      <c r="L1144" s="3" t="n">
        <v>12209.36908968812</v>
      </c>
      <c r="M1144" s="4" t="n">
        <v>10008160719.83395</v>
      </c>
    </row>
    <row r="1145">
      <c r="A1145" t="inlineStr">
        <is>
          <t>BBG000BWLZX9</t>
        </is>
      </c>
      <c r="B1145" t="inlineStr">
        <is>
          <t>wash</t>
        </is>
      </c>
      <c r="C1145" s="3" t="n">
        <v>1.26247785433166</v>
      </c>
      <c r="D1145" s="3" t="n">
        <v>0.3767528527527964</v>
      </c>
      <c r="E1145" s="3" t="n">
        <v>20.15530994017474</v>
      </c>
      <c r="F1145" s="3" t="n">
        <v>0.8341282913095964</v>
      </c>
      <c r="H1145" s="3" t="n">
        <v>15.23812210381073</v>
      </c>
      <c r="I1145" s="3" t="n">
        <v>15.05737225856256</v>
      </c>
      <c r="J1145" s="3" t="n">
        <v>0.3757653511534634</v>
      </c>
      <c r="K1145" s="3" t="n">
        <v>0.06216707407146767</v>
      </c>
      <c r="L1145" s="3" t="n">
        <v>8187.822945119353</v>
      </c>
      <c r="M1145" s="4" t="n">
        <v>566682612.3637962</v>
      </c>
    </row>
    <row r="1146">
      <c r="A1146" t="inlineStr">
        <is>
          <t>wat</t>
        </is>
      </c>
      <c r="B1146" t="inlineStr">
        <is>
          <t>wat</t>
        </is>
      </c>
      <c r="C1146" s="3" t="n">
        <v>1.094347603957579</v>
      </c>
      <c r="D1146" s="3" t="n">
        <v>0.1514557650069146</v>
      </c>
      <c r="E1146" s="3" t="n">
        <v>23.85191939294133</v>
      </c>
      <c r="F1146" s="3" t="n">
        <v>0.02208482006409446</v>
      </c>
      <c r="H1146" s="3" t="n">
        <v>8.942967902223705</v>
      </c>
      <c r="I1146" s="3" t="n">
        <v>18.92567821196223</v>
      </c>
      <c r="J1146" s="3" t="n">
        <v>0.3203725291729907</v>
      </c>
      <c r="L1146" s="3" t="n">
        <v>13569.69227027633</v>
      </c>
      <c r="M1146" s="4" t="n">
        <v>22843201733.76068</v>
      </c>
    </row>
    <row r="1147">
      <c r="A1147" t="inlineStr">
        <is>
          <t>BBG01JRQSDB9</t>
        </is>
      </c>
      <c r="B1147" t="inlineStr">
        <is>
          <t>way</t>
        </is>
      </c>
      <c r="C1147" s="3" t="n">
        <v>0.8599457726521692</v>
      </c>
      <c r="E1147" s="3" t="n">
        <v>22.39361435761179</v>
      </c>
      <c r="F1147" s="3" t="n">
        <v>0.5544010496869226</v>
      </c>
      <c r="H1147" s="3" t="n">
        <v>1.541207046900271</v>
      </c>
      <c r="I1147" s="3" t="n">
        <v>17.0933640741882</v>
      </c>
      <c r="J1147" s="3" t="n">
        <v>0.2997788671856078</v>
      </c>
      <c r="K1147" s="3" t="n">
        <v>-0.007189284844645084</v>
      </c>
      <c r="L1147" s="3" t="n">
        <v>11229.8145601415</v>
      </c>
      <c r="M1147" s="4" t="n">
        <v>5314019519.099573</v>
      </c>
    </row>
    <row r="1148">
      <c r="A1148" t="inlineStr">
        <is>
          <t>BBG011386VF4</t>
        </is>
      </c>
      <c r="B1148" t="inlineStr">
        <is>
          <t>wbd</t>
        </is>
      </c>
      <c r="C1148" s="3" t="n">
        <v>1.032241548425393</v>
      </c>
      <c r="D1148" s="3" t="n">
        <v>-0.2220095442267157</v>
      </c>
      <c r="E1148" s="3" t="n">
        <v>23.9701135393274</v>
      </c>
      <c r="F1148" s="3" t="n">
        <v>1.759138921744332</v>
      </c>
      <c r="G1148" s="3" t="n">
        <v>-0.09839841761323331</v>
      </c>
      <c r="H1148" s="3" t="n">
        <v>2.351147569929882</v>
      </c>
      <c r="I1148" s="3" t="n">
        <v>19.36531536209758</v>
      </c>
      <c r="J1148" s="3" t="n">
        <v>0.4682219644076788</v>
      </c>
      <c r="K1148" s="3" t="n">
        <v>0.005251044851091956</v>
      </c>
      <c r="L1148" s="3" t="n">
        <v>13772.42047970142</v>
      </c>
      <c r="M1148" s="4" t="n">
        <v>25709169093.59014</v>
      </c>
    </row>
    <row r="1149">
      <c r="A1149" t="inlineStr">
        <is>
          <t>BBG000BWMX63</t>
        </is>
      </c>
      <c r="B1149" t="inlineStr">
        <is>
          <t>wbs</t>
        </is>
      </c>
      <c r="C1149" s="3" t="n">
        <v>1.209308204116633</v>
      </c>
      <c r="D1149" s="3" t="n">
        <v>0.1849667838541857</v>
      </c>
      <c r="E1149" s="3" t="n">
        <v>22.40318247310119</v>
      </c>
      <c r="F1149" s="3" t="n">
        <v>0.4117694766347078</v>
      </c>
      <c r="H1149" s="3" t="n">
        <v>8.471139618506374</v>
      </c>
      <c r="I1149" s="3" t="n">
        <v>17.97299752298513</v>
      </c>
      <c r="J1149" s="3" t="n">
        <v>0.3526925214523093</v>
      </c>
      <c r="K1149" s="3" t="n">
        <v>0.02821545816991828</v>
      </c>
      <c r="L1149" s="3" t="n">
        <v>11244.21519375266</v>
      </c>
      <c r="M1149" s="4" t="n">
        <v>5365108695.387985</v>
      </c>
    </row>
    <row r="1150">
      <c r="A1150" t="inlineStr">
        <is>
          <t>BBG00V3Z6Y54</t>
        </is>
      </c>
      <c r="B1150" t="inlineStr">
        <is>
          <t>wbtn</t>
        </is>
      </c>
      <c r="E1150" s="3" t="n">
        <v>21.17795617333605</v>
      </c>
      <c r="F1150" s="3" t="n">
        <v>1.02476930075073</v>
      </c>
      <c r="H1150" s="3" t="n">
        <v>1.316482051114636</v>
      </c>
      <c r="K1150" s="3" t="n">
        <v>-0.03232878898693031</v>
      </c>
      <c r="L1150" s="3" t="n">
        <v>9498.436762087393</v>
      </c>
      <c r="M1150" s="4" t="n">
        <v>1575685374.056694</v>
      </c>
    </row>
    <row r="1151">
      <c r="A1151" t="inlineStr">
        <is>
          <t>BBG000VC0T95</t>
        </is>
      </c>
      <c r="B1151" t="inlineStr">
        <is>
          <t>wday</t>
        </is>
      </c>
      <c r="C1151" s="3" t="n">
        <v>0.9631126402562046</v>
      </c>
      <c r="D1151" s="3" t="n">
        <v>-0.1361923572360264</v>
      </c>
      <c r="E1151" s="3" t="n">
        <v>24.73055904337058</v>
      </c>
      <c r="F1151" s="3" t="n">
        <v>0.1517333387240784</v>
      </c>
      <c r="H1151" s="3" t="n">
        <v>1.945356500665625</v>
      </c>
      <c r="I1151" s="3" t="n">
        <v>20.03268005374634</v>
      </c>
      <c r="J1151" s="3" t="n">
        <v>0.2897561093350054</v>
      </c>
      <c r="K1151" s="3" t="n">
        <v>0.002400095951057921</v>
      </c>
      <c r="L1151" s="3" t="n">
        <v>15125.22352751285</v>
      </c>
      <c r="M1151" s="4" t="n">
        <v>54997801208.49609</v>
      </c>
    </row>
    <row r="1152">
      <c r="A1152" t="inlineStr">
        <is>
          <t>BBG000BWNFZ9</t>
        </is>
      </c>
      <c r="B1152" t="inlineStr">
        <is>
          <t>wdc</t>
        </is>
      </c>
      <c r="C1152" s="3" t="n">
        <v>1.843409240124731</v>
      </c>
      <c r="D1152" s="3" t="n">
        <v>0.3518939061212278</v>
      </c>
      <c r="E1152" s="3" t="n">
        <v>23.66695896789033</v>
      </c>
      <c r="F1152" s="3" t="n">
        <v>0.5388227828128975</v>
      </c>
      <c r="H1152" s="3" t="n">
        <v>2.421407624396734</v>
      </c>
      <c r="I1152" s="3" t="n">
        <v>19.62769408467648</v>
      </c>
      <c r="J1152" s="3" t="n">
        <v>0.3086135157907889</v>
      </c>
      <c r="K1152" s="3" t="n">
        <v>0.02596672843858831</v>
      </c>
      <c r="L1152" s="3" t="n">
        <v>13256.45413251873</v>
      </c>
      <c r="M1152" s="4" t="n">
        <v>18985834166.20948</v>
      </c>
    </row>
    <row r="1153">
      <c r="A1153" t="inlineStr">
        <is>
          <t>BBG000BWP7D9</t>
        </is>
      </c>
      <c r="B1153" t="inlineStr">
        <is>
          <t>wec</t>
        </is>
      </c>
      <c r="C1153" s="3" t="n">
        <v>0.02101807841381092</v>
      </c>
      <c r="D1153" s="3" t="n">
        <v>0.1771203489799513</v>
      </c>
      <c r="E1153" s="3" t="n">
        <v>24.13502099582588</v>
      </c>
      <c r="F1153" s="3" t="n">
        <v>0.3130704947670324</v>
      </c>
      <c r="H1153" s="3" t="n">
        <v>3.092690532555185</v>
      </c>
      <c r="I1153" s="3" t="n">
        <v>19.02876605831247</v>
      </c>
      <c r="J1153" s="3" t="n">
        <v>0.1795448068602388</v>
      </c>
      <c r="K1153" s="3" t="n">
        <v>0.02111918053470689</v>
      </c>
      <c r="L1153" s="3" t="n">
        <v>14058.63135050084</v>
      </c>
      <c r="M1153" s="4" t="n">
        <v>30318411215.18059</v>
      </c>
    </row>
    <row r="1154">
      <c r="A1154" t="inlineStr">
        <is>
          <t>BBG000BKY1G5</t>
        </is>
      </c>
      <c r="B1154" t="inlineStr">
        <is>
          <t>well</t>
        </is>
      </c>
      <c r="C1154" s="3" t="n">
        <v>0.4041083033762726</v>
      </c>
      <c r="D1154" s="3" t="n">
        <v>0.5418966758602988</v>
      </c>
      <c r="E1154" s="3" t="n">
        <v>25.15377487031031</v>
      </c>
      <c r="F1154" s="3" t="n">
        <v>0.3612335509679438</v>
      </c>
      <c r="G1154" s="3" t="n">
        <v>0.03067337708007001</v>
      </c>
      <c r="H1154" s="3" t="n">
        <v>1.613807757579163</v>
      </c>
      <c r="I1154" s="3" t="n">
        <v>19.65602930879456</v>
      </c>
      <c r="J1154" s="3" t="n">
        <v>0.1762472645844134</v>
      </c>
      <c r="K1154" s="3" t="n">
        <v>0.002061277149481316</v>
      </c>
      <c r="L1154" s="3" t="n">
        <v>15915.10502140714</v>
      </c>
      <c r="M1154" s="4" t="n">
        <v>83974151676.54419</v>
      </c>
    </row>
    <row r="1155">
      <c r="A1155" t="inlineStr">
        <is>
          <t>BBG000D52545</t>
        </is>
      </c>
      <c r="B1155" t="inlineStr">
        <is>
          <t>wen</t>
        </is>
      </c>
      <c r="C1155" s="3" t="n">
        <v>0.4404527892127494</v>
      </c>
      <c r="D1155" s="3" t="n">
        <v>0.06393740491321132</v>
      </c>
      <c r="E1155" s="3" t="n">
        <v>21.93393332727258</v>
      </c>
      <c r="F1155" s="3" t="n">
        <v>0.1387837692287265</v>
      </c>
      <c r="H1155" s="3" t="n">
        <v>10.89328993624218</v>
      </c>
      <c r="I1155" s="3" t="n">
        <v>17.90657880534985</v>
      </c>
      <c r="J1155" s="3" t="n">
        <v>0.2530883977940909</v>
      </c>
      <c r="K1155" s="3" t="n">
        <v>0.01186659038576209</v>
      </c>
      <c r="L1155" s="3" t="n">
        <v>10552.35897997781</v>
      </c>
      <c r="M1155" s="4" t="n">
        <v>3355723817.341156</v>
      </c>
    </row>
    <row r="1156">
      <c r="A1156" t="inlineStr">
        <is>
          <t>BBG003M3V230</t>
        </is>
      </c>
      <c r="B1156" t="inlineStr">
        <is>
          <t>wes</t>
        </is>
      </c>
      <c r="C1156" s="3" t="n">
        <v>0.5968472005504977</v>
      </c>
      <c r="D1156" s="3" t="n">
        <v>0.3510949359113906</v>
      </c>
      <c r="I1156" s="3" t="n">
        <v>17.45343716282441</v>
      </c>
      <c r="J1156" s="3" t="n">
        <v>0.2453733760534842</v>
      </c>
    </row>
    <row r="1157">
      <c r="A1157" t="inlineStr">
        <is>
          <t>BBG000BVZP59</t>
        </is>
      </c>
      <c r="B1157" t="inlineStr">
        <is>
          <t>wex</t>
        </is>
      </c>
      <c r="C1157" s="3" t="n">
        <v>0.9538652989932608</v>
      </c>
      <c r="D1157" s="3" t="n">
        <v>-0.02253933450146284</v>
      </c>
      <c r="E1157" s="3" t="n">
        <v>22.73890460888134</v>
      </c>
      <c r="F1157" s="3" t="n">
        <v>0.236852338105673</v>
      </c>
      <c r="G1157" s="3" t="n">
        <v>-0.04719923725220876</v>
      </c>
      <c r="H1157" s="3" t="n">
        <v>7.853631091942605</v>
      </c>
      <c r="I1157" s="3" t="n">
        <v>18.23319145456268</v>
      </c>
      <c r="J1157" s="3" t="n">
        <v>0.2641908078441367</v>
      </c>
      <c r="K1157" s="3" t="n">
        <v>0.01269732115737787</v>
      </c>
      <c r="L1157" s="3" t="n">
        <v>11757.32760063732</v>
      </c>
      <c r="M1157" s="4" t="n">
        <v>7505520164.930847</v>
      </c>
    </row>
    <row r="1158">
      <c r="A1158" t="inlineStr">
        <is>
          <t>BBG000BWQFY7</t>
        </is>
      </c>
      <c r="B1158" t="inlineStr">
        <is>
          <t>wfc</t>
        </is>
      </c>
      <c r="C1158" s="3" t="n">
        <v>0.8259879641622286</v>
      </c>
      <c r="D1158" s="3" t="n">
        <v>0.4858520074321901</v>
      </c>
      <c r="E1158" s="3" t="n">
        <v>26.22695163681383</v>
      </c>
      <c r="F1158" s="3" t="n">
        <v>0.7462067241379375</v>
      </c>
      <c r="H1158" s="3" t="n">
        <v>10.41803399443201</v>
      </c>
      <c r="I1158" s="3" t="n">
        <v>20.86157146981224</v>
      </c>
      <c r="J1158" s="3" t="n">
        <v>0.2719211607204547</v>
      </c>
      <c r="K1158" s="3" t="n">
        <v>0.06390997049119618</v>
      </c>
      <c r="L1158" s="3" t="n">
        <v>18040.28715861201</v>
      </c>
      <c r="M1158" s="4" t="n">
        <v>245595481883.3513</v>
      </c>
    </row>
    <row r="1159">
      <c r="A1159" t="inlineStr">
        <is>
          <t>BBG000BWSV34</t>
        </is>
      </c>
      <c r="B1159" t="inlineStr">
        <is>
          <t>whr</t>
        </is>
      </c>
      <c r="C1159" s="3" t="n">
        <v>1.068318526596588</v>
      </c>
      <c r="D1159" s="3" t="n">
        <v>0.001460948680343632</v>
      </c>
      <c r="E1159" s="3" t="n">
        <v>22.46477938850903</v>
      </c>
      <c r="F1159" s="3" t="n">
        <v>0.5331255347303351</v>
      </c>
      <c r="H1159" s="3" t="n">
        <v>5.690992766045039</v>
      </c>
      <c r="I1159" s="3" t="n">
        <v>18.07206875590672</v>
      </c>
      <c r="J1159" s="3" t="n">
        <v>0.3823922561881499</v>
      </c>
      <c r="K1159" s="3" t="n">
        <v>-0.001752549423834106</v>
      </c>
      <c r="L1159" s="3" t="n">
        <v>11337.2173857817</v>
      </c>
      <c r="M1159" s="4" t="n">
        <v>5705973173.85215</v>
      </c>
    </row>
    <row r="1160">
      <c r="A1160" t="inlineStr">
        <is>
          <t>BBG007BVZ8H9</t>
        </is>
      </c>
      <c r="B1160" t="inlineStr">
        <is>
          <t>wk</t>
        </is>
      </c>
      <c r="C1160" s="3" t="n">
        <v>1.18301881244319</v>
      </c>
      <c r="D1160" s="3" t="n">
        <v>-0.1706352952600333</v>
      </c>
      <c r="G1160" s="3" t="n">
        <v>-0.02145002472167457</v>
      </c>
      <c r="H1160" s="3" t="n">
        <v>-14.65751136006435</v>
      </c>
      <c r="I1160" s="3" t="n">
        <v>17.20570082034312</v>
      </c>
      <c r="J1160" s="3" t="n">
        <v>0.2939269131482423</v>
      </c>
    </row>
    <row r="1161">
      <c r="A1161" t="inlineStr">
        <is>
          <t>BBG000PXZFW2</t>
        </is>
      </c>
      <c r="B1161" t="inlineStr">
        <is>
          <t>wlk</t>
        </is>
      </c>
      <c r="C1161" s="3" t="n">
        <v>1.023971309576548</v>
      </c>
      <c r="D1161" s="3" t="n">
        <v>0.03838832779219081</v>
      </c>
      <c r="E1161" s="3" t="n">
        <v>23.49063034696875</v>
      </c>
      <c r="F1161" s="3" t="n">
        <v>0.6698653937568207</v>
      </c>
      <c r="H1161" s="3" t="n">
        <v>1.979834927595213</v>
      </c>
      <c r="I1161" s="3" t="n">
        <v>17.99541761980614</v>
      </c>
      <c r="J1161" s="3" t="n">
        <v>0.2358408230127602</v>
      </c>
      <c r="K1161" s="3" t="n">
        <v>0.01790579977684242</v>
      </c>
      <c r="L1161" s="3" t="n">
        <v>12962.35801574097</v>
      </c>
      <c r="M1161" s="4" t="n">
        <v>15916630562.94669</v>
      </c>
    </row>
    <row r="1162">
      <c r="A1162" t="inlineStr">
        <is>
          <t>BBG002WK8MH0</t>
        </is>
      </c>
      <c r="B1162" t="inlineStr">
        <is>
          <t>wlth</t>
        </is>
      </c>
    </row>
    <row r="1163">
      <c r="A1163" t="inlineStr">
        <is>
          <t>wm</t>
        </is>
      </c>
      <c r="B1163" t="inlineStr">
        <is>
          <t>wm</t>
        </is>
      </c>
      <c r="C1163" s="3" t="n">
        <v>0.327075925681647</v>
      </c>
      <c r="D1163" s="3" t="n">
        <v>0.2761718487669345</v>
      </c>
      <c r="E1163" s="3" t="n">
        <v>25.21427389379015</v>
      </c>
      <c r="F1163" s="3" t="n">
        <v>0.08943931158813505</v>
      </c>
      <c r="H1163" s="3" t="n">
        <v>4.352675773360988</v>
      </c>
      <c r="I1163" s="3" t="n">
        <v>19.52588140879303</v>
      </c>
      <c r="J1163" s="3" t="n">
        <v>0.1756660005525425</v>
      </c>
      <c r="K1163" s="3" t="n">
        <v>0.008519097231104477</v>
      </c>
      <c r="L1163" s="3" t="n">
        <v>16030.21688649543</v>
      </c>
      <c r="M1163" s="4" t="n">
        <v>89211330657.97266</v>
      </c>
    </row>
    <row r="1164">
      <c r="A1164" t="inlineStr">
        <is>
          <t>BBG000BWVCP8</t>
        </is>
      </c>
      <c r="B1164" t="inlineStr">
        <is>
          <t>wmb</t>
        </is>
      </c>
      <c r="C1164" s="3" t="n">
        <v>0.5161677064882599</v>
      </c>
      <c r="D1164" s="3" t="n">
        <v>0.4931668425018492</v>
      </c>
      <c r="E1164" s="3" t="n">
        <v>24.93350564981584</v>
      </c>
      <c r="F1164" s="3" t="n">
        <v>0.1844664229787595</v>
      </c>
      <c r="G1164" s="3" t="n">
        <v>-0.01513900955690706</v>
      </c>
      <c r="H1164" s="3" t="n">
        <v>4.23455101349899</v>
      </c>
      <c r="I1164" s="3" t="n">
        <v>19.47032255120777</v>
      </c>
      <c r="J1164" s="3" t="n">
        <v>0.1767385717431441</v>
      </c>
      <c r="K1164" s="3" t="n">
        <v>0.03029417197454523</v>
      </c>
      <c r="L1164" s="3" t="n">
        <v>15500.65441179551</v>
      </c>
      <c r="M1164" s="4" t="n">
        <v>67372694711.20262</v>
      </c>
    </row>
    <row r="1165">
      <c r="A1165" t="inlineStr">
        <is>
          <t>BBG00RP2T9T6</t>
        </is>
      </c>
      <c r="B1165" t="inlineStr">
        <is>
          <t>wmg</t>
        </is>
      </c>
      <c r="C1165" s="3" t="n">
        <v>0.6252108996311125</v>
      </c>
      <c r="D1165" s="3" t="n">
        <v>-0.01883887089102609</v>
      </c>
      <c r="H1165" s="3" t="n">
        <v>16.49613896429317</v>
      </c>
      <c r="I1165" s="3" t="n">
        <v>17.65642651541588</v>
      </c>
      <c r="J1165" s="3" t="n">
        <v>0.2641872727654067</v>
      </c>
    </row>
    <row r="1166">
      <c r="A1166" t="inlineStr">
        <is>
          <t>BBG000BWXBC2</t>
        </is>
      </c>
      <c r="B1166" t="inlineStr">
        <is>
          <t>wmt</t>
        </is>
      </c>
      <c r="C1166" s="3" t="n">
        <v>0.2673972525738481</v>
      </c>
      <c r="D1166" s="3" t="n">
        <v>0.6004160692954406</v>
      </c>
      <c r="E1166" s="3" t="n">
        <v>27.31898953249387</v>
      </c>
      <c r="F1166" s="3" t="n">
        <v>0.1145707171917652</v>
      </c>
      <c r="H1166" s="3" t="n">
        <v>3.042188860101332</v>
      </c>
      <c r="I1166" s="3" t="n">
        <v>20.94665546274026</v>
      </c>
      <c r="J1166" s="3" t="n">
        <v>0.1696665094727924</v>
      </c>
      <c r="K1166" s="3" t="n">
        <v>0.01312233026826421</v>
      </c>
      <c r="L1166" s="3" t="n">
        <v>20388.90466619675</v>
      </c>
      <c r="M1166" s="4" t="n">
        <v>731958410101.6082</v>
      </c>
    </row>
    <row r="1167">
      <c r="A1167" t="inlineStr">
        <is>
          <t>BBG01XLDHDP0</t>
        </is>
      </c>
      <c r="B1167" t="inlineStr">
        <is>
          <t>wolf</t>
        </is>
      </c>
      <c r="H1167" s="3" t="n">
        <v>8.908060300523681</v>
      </c>
    </row>
    <row r="1168">
      <c r="A1168" t="inlineStr">
        <is>
          <t>wrb</t>
        </is>
      </c>
      <c r="B1168" t="inlineStr">
        <is>
          <t>wrb</t>
        </is>
      </c>
      <c r="C1168" s="3" t="n">
        <v>0.2191051793825129</v>
      </c>
      <c r="D1168" s="3" t="n">
        <v>0.21001928703746</v>
      </c>
      <c r="E1168" s="3" t="n">
        <v>23.88869779484044</v>
      </c>
      <c r="F1168" s="3" t="n">
        <v>0.3555538859755456</v>
      </c>
      <c r="H1168" s="3" t="n">
        <v>4.404304208317671</v>
      </c>
      <c r="I1168" s="3" t="n">
        <v>18.45245127139408</v>
      </c>
      <c r="J1168" s="3" t="n">
        <v>0.2206143250590481</v>
      </c>
      <c r="K1168" s="3" t="n">
        <v>0.01542825972990908</v>
      </c>
      <c r="L1168" s="3" t="n">
        <v>13632.56035967532</v>
      </c>
      <c r="M1168" s="4" t="n">
        <v>23698978782.14722</v>
      </c>
    </row>
    <row r="1169">
      <c r="A1169" t="inlineStr">
        <is>
          <t>BBG005DWN8K8</t>
        </is>
      </c>
      <c r="B1169" t="inlineStr">
        <is>
          <t>wrby</t>
        </is>
      </c>
      <c r="C1169" s="3" t="n">
        <v>1.767355465528297</v>
      </c>
      <c r="D1169" s="3" t="n">
        <v>0.6263208984949717</v>
      </c>
      <c r="E1169" s="3" t="n">
        <v>21.65980786451752</v>
      </c>
      <c r="F1169" s="3" t="n">
        <v>0.1194017103234481</v>
      </c>
      <c r="H1169" s="3" t="n">
        <v>2.094441756553632</v>
      </c>
      <c r="I1169" s="3" t="n">
        <v>17.13216572047272</v>
      </c>
      <c r="J1169" s="3" t="n">
        <v>0.4867268728295676</v>
      </c>
      <c r="K1169" s="3" t="n">
        <v>-0.01730595911106373</v>
      </c>
      <c r="L1169" s="3" t="n">
        <v>10161.6398740861</v>
      </c>
      <c r="M1169" s="4" t="n">
        <v>2551144360.122108</v>
      </c>
    </row>
    <row r="1170">
      <c r="A1170" t="inlineStr">
        <is>
          <t>BBG00B0FS947</t>
        </is>
      </c>
      <c r="B1170" t="inlineStr">
        <is>
          <t>wsc</t>
        </is>
      </c>
      <c r="C1170" s="3" t="n">
        <v>1.423661089763941</v>
      </c>
      <c r="D1170" s="3" t="n">
        <v>-0.2056567848156265</v>
      </c>
      <c r="E1170" s="3" t="n">
        <v>22.66106249411592</v>
      </c>
      <c r="F1170" s="3" t="n">
        <v>0.181646395342484</v>
      </c>
      <c r="H1170" s="3" t="n">
        <v>4.866533197330797</v>
      </c>
      <c r="I1170" s="3" t="n">
        <v>18.53928520032937</v>
      </c>
      <c r="J1170" s="3" t="n">
        <v>0.339215981621156</v>
      </c>
      <c r="K1170" s="3" t="n">
        <v>0.008099736986371694</v>
      </c>
      <c r="L1170" s="3" t="n">
        <v>11636.99386715441</v>
      </c>
      <c r="M1170" s="4" t="n">
        <v>6943435334.570435</v>
      </c>
    </row>
    <row r="1171">
      <c r="A1171" t="inlineStr">
        <is>
          <t>wsm</t>
        </is>
      </c>
      <c r="B1171" t="inlineStr">
        <is>
          <t>wsm</t>
        </is>
      </c>
      <c r="C1171" s="3" t="n">
        <v>1.299569798974672</v>
      </c>
      <c r="D1171" s="3" t="n">
        <v>0.4539012297492508</v>
      </c>
      <c r="E1171" s="3" t="n">
        <v>23.75390812460721</v>
      </c>
      <c r="F1171" s="3" t="n">
        <v>0.08755130659518151</v>
      </c>
      <c r="G1171" s="3" t="n">
        <v>0</v>
      </c>
      <c r="H1171" s="3" t="n">
        <v>2.693402504754818</v>
      </c>
      <c r="I1171" s="3" t="n">
        <v>19.39771744043756</v>
      </c>
      <c r="J1171" s="3" t="n">
        <v>0.4848972459655508</v>
      </c>
      <c r="K1171" s="3" t="n">
        <v>0.02874494218405526</v>
      </c>
      <c r="L1171" s="3" t="n">
        <v>13403.09874290091</v>
      </c>
      <c r="M1171" s="4" t="n">
        <v>20710530435.55882</v>
      </c>
    </row>
    <row r="1172">
      <c r="A1172" t="inlineStr">
        <is>
          <t>wst</t>
        </is>
      </c>
      <c r="B1172" t="inlineStr">
        <is>
          <t>wst</t>
        </is>
      </c>
      <c r="C1172" s="3" t="n">
        <v>0.7545765666204418</v>
      </c>
      <c r="D1172" s="3" t="n">
        <v>-0.1205764787532946</v>
      </c>
      <c r="E1172" s="3" t="n">
        <v>23.87902847334337</v>
      </c>
      <c r="F1172" s="3" t="n">
        <v>0.1142093642615033</v>
      </c>
      <c r="H1172" s="3" t="n">
        <v>1.370999029556443</v>
      </c>
      <c r="I1172" s="3" t="n">
        <v>19.03554803329799</v>
      </c>
      <c r="J1172" s="3" t="n">
        <v>0.3752346491732048</v>
      </c>
      <c r="K1172" s="3" t="n">
        <v>0.005794401827786485</v>
      </c>
      <c r="L1172" s="3" t="n">
        <v>13616.01308756552</v>
      </c>
      <c r="M1172" s="4" t="n">
        <v>23470930052.18088</v>
      </c>
    </row>
    <row r="1173">
      <c r="A1173" t="inlineStr">
        <is>
          <t>BBG000HD3DW5</t>
        </is>
      </c>
      <c r="B1173" t="inlineStr">
        <is>
          <t>wtfc</t>
        </is>
      </c>
      <c r="C1173" s="3" t="n">
        <v>1.109714599739658</v>
      </c>
      <c r="D1173" s="3" t="n">
        <v>0.3718743709223009</v>
      </c>
      <c r="E1173" s="3" t="n">
        <v>22.91655794518867</v>
      </c>
      <c r="F1173" s="3" t="n">
        <v>0.5624197999022276</v>
      </c>
      <c r="G1173" s="3" t="n">
        <v>-0.1270445584047176</v>
      </c>
      <c r="H1173" s="3" t="n">
        <v>12.65163374278416</v>
      </c>
      <c r="I1173" s="3" t="n">
        <v>17.62024741257812</v>
      </c>
      <c r="J1173" s="3" t="n">
        <v>0.2646795366297253</v>
      </c>
      <c r="K1173" s="3" t="n">
        <v>0.01831610831453345</v>
      </c>
      <c r="L1173" s="3" t="n">
        <v>12035.05729582201</v>
      </c>
      <c r="M1173" s="4" t="n">
        <v>8964677275.433899</v>
      </c>
    </row>
    <row r="1174">
      <c r="A1174" t="inlineStr">
        <is>
          <t>wtw</t>
        </is>
      </c>
      <c r="B1174" t="inlineStr">
        <is>
          <t>wtw</t>
        </is>
      </c>
      <c r="C1174" s="3" t="n">
        <v>0.2595953392555329</v>
      </c>
      <c r="D1174" s="3" t="n">
        <v>0.243069162505601</v>
      </c>
      <c r="E1174" s="3" t="n">
        <v>24.18511622492136</v>
      </c>
      <c r="F1174" s="3" t="n">
        <v>0.235036465768512</v>
      </c>
      <c r="H1174" s="3" t="n">
        <v>3.882808328365882</v>
      </c>
      <c r="I1174" s="3" t="n">
        <v>19.01544719745129</v>
      </c>
      <c r="J1174" s="3" t="n">
        <v>0.1703531520051512</v>
      </c>
      <c r="K1174" s="3" t="n">
        <v>-0.04216350907539777</v>
      </c>
      <c r="L1174" s="3" t="n">
        <v>14146.3544774345</v>
      </c>
      <c r="M1174" s="4" t="n">
        <v>31875904767.66211</v>
      </c>
    </row>
    <row r="1175">
      <c r="A1175" t="inlineStr">
        <is>
          <t>BBG0122MC900</t>
        </is>
      </c>
      <c r="B1175" t="inlineStr">
        <is>
          <t>wulf</t>
        </is>
      </c>
      <c r="C1175" s="3" t="n">
        <v>3.854650011310234</v>
      </c>
      <c r="D1175" s="3" t="n">
        <v>4.620689800463169</v>
      </c>
      <c r="E1175" s="3" t="n">
        <v>21.83670484869423</v>
      </c>
      <c r="F1175" s="3" t="n">
        <v>0.05055616656153472</v>
      </c>
      <c r="H1175" s="3" t="n">
        <v>2.636876826192545</v>
      </c>
      <c r="I1175" s="3" t="n">
        <v>18.80231063115453</v>
      </c>
      <c r="J1175" s="3" t="n">
        <v>1.168084849397733</v>
      </c>
      <c r="K1175" s="3" t="n">
        <v>-0.007466143505940006</v>
      </c>
      <c r="L1175" s="3" t="n">
        <v>10412.65099621381</v>
      </c>
      <c r="M1175" s="4" t="n">
        <v>3044811551.565766</v>
      </c>
    </row>
    <row r="1176">
      <c r="A1176" t="inlineStr">
        <is>
          <t>BBG000BD53V2</t>
        </is>
      </c>
      <c r="B1176" t="inlineStr">
        <is>
          <t>wwd</t>
        </is>
      </c>
      <c r="C1176" s="3" t="n">
        <v>0.8888563247837024</v>
      </c>
      <c r="D1176" s="3" t="n">
        <v>0.2196619352389404</v>
      </c>
      <c r="E1176" s="3" t="n">
        <v>23.08325519841897</v>
      </c>
      <c r="F1176" s="3" t="n">
        <v>0.1955453239203158</v>
      </c>
      <c r="H1176" s="3" t="n">
        <v>1.936370979306809</v>
      </c>
      <c r="I1176" s="3" t="n">
        <v>18.14800378648443</v>
      </c>
      <c r="J1176" s="3" t="n">
        <v>0.2756179439299201</v>
      </c>
      <c r="K1176" s="3" t="n">
        <v>0.03521637971417719</v>
      </c>
      <c r="L1176" s="3" t="n">
        <v>12299.60484550473</v>
      </c>
      <c r="M1176" s="4" t="n">
        <v>10590838779.90546</v>
      </c>
    </row>
    <row r="1177">
      <c r="A1177" t="inlineStr">
        <is>
          <t>wy</t>
        </is>
      </c>
      <c r="B1177" t="inlineStr">
        <is>
          <t>wy</t>
        </is>
      </c>
      <c r="C1177" s="3" t="n">
        <v>0.5778163952283539</v>
      </c>
      <c r="D1177" s="3" t="n">
        <v>0.0174562955321087</v>
      </c>
      <c r="E1177" s="3" t="n">
        <v>23.827850807853</v>
      </c>
      <c r="F1177" s="3" t="n">
        <v>0.4586554917010472</v>
      </c>
      <c r="G1177" s="3" t="n">
        <v>0.01889848812095041</v>
      </c>
      <c r="H1177" s="3" t="n">
        <v>1.629644114036992</v>
      </c>
      <c r="I1177" s="3" t="n">
        <v>18.53701423730986</v>
      </c>
      <c r="J1177" s="3" t="n">
        <v>0.2138367334904314</v>
      </c>
      <c r="K1177" s="3" t="n">
        <v>0.001255607525188631</v>
      </c>
      <c r="L1177" s="3" t="n">
        <v>13528.65483906308</v>
      </c>
      <c r="M1177" s="4" t="n">
        <v>22299961920.45593</v>
      </c>
    </row>
    <row r="1178">
      <c r="A1178" t="inlineStr">
        <is>
          <t>BBG000LD9JQ8</t>
        </is>
      </c>
      <c r="B1178" t="inlineStr">
        <is>
          <t>wynn</t>
        </is>
      </c>
      <c r="C1178" s="3" t="n">
        <v>0.8576350542269273</v>
      </c>
      <c r="D1178" s="3" t="n">
        <v>0.1468046058586243</v>
      </c>
      <c r="E1178" s="3" t="n">
        <v>23.04715563174751</v>
      </c>
      <c r="F1178" s="3" t="n">
        <v>-0.02754702260030562</v>
      </c>
      <c r="H1178" s="3" t="n">
        <v>-49.73746828287457</v>
      </c>
      <c r="I1178" s="3" t="n">
        <v>19.41114785255809</v>
      </c>
      <c r="J1178" s="3" t="n">
        <v>0.2970430531733106</v>
      </c>
      <c r="K1178" s="3" t="n">
        <v>8.20335496515878e-05</v>
      </c>
      <c r="L1178" s="3" t="n">
        <v>12241.98952453987</v>
      </c>
      <c r="M1178" s="4" t="n">
        <v>10215332671.53638</v>
      </c>
    </row>
    <row r="1179">
      <c r="A1179" t="inlineStr">
        <is>
          <t>BBG000BCTQ65</t>
        </is>
      </c>
      <c r="B1179" t="inlineStr">
        <is>
          <t>xel</t>
        </is>
      </c>
      <c r="C1179" s="3" t="n">
        <v>-0.06358719926036116</v>
      </c>
      <c r="D1179" s="3" t="n">
        <v>0.1404713559383386</v>
      </c>
      <c r="E1179" s="3" t="n">
        <v>24.39773375481139</v>
      </c>
      <c r="F1179" s="3" t="n">
        <v>0.4908227842442912</v>
      </c>
      <c r="H1179" s="3" t="n">
        <v>3.580301777409038</v>
      </c>
      <c r="I1179" s="3" t="n">
        <v>19.26718305688662</v>
      </c>
      <c r="J1179" s="3" t="n">
        <v>0.2202483540691478</v>
      </c>
      <c r="K1179" s="3" t="n">
        <v>0.03733418449811889</v>
      </c>
      <c r="L1179" s="3" t="n">
        <v>14522.73668072737</v>
      </c>
      <c r="M1179" s="4" t="n">
        <v>39427672513.82801</v>
      </c>
    </row>
    <row r="1180">
      <c r="A1180" t="inlineStr">
        <is>
          <t>BBG006JNW321</t>
        </is>
      </c>
      <c r="B1180" t="inlineStr">
        <is>
          <t>xifr</t>
        </is>
      </c>
      <c r="C1180" s="3" t="n">
        <v>1.18745709717599</v>
      </c>
      <c r="D1180" s="3" t="n">
        <v>-0.09562656916441559</v>
      </c>
      <c r="I1180" s="3" t="n">
        <v>17.47006172887534</v>
      </c>
      <c r="J1180" s="3" t="n">
        <v>0.4537227672549689</v>
      </c>
    </row>
    <row r="1181">
      <c r="A1181" t="inlineStr">
        <is>
          <t>BBG00BDCCV93</t>
        </is>
      </c>
      <c r="B1181" t="inlineStr">
        <is>
          <t>xmtr</t>
        </is>
      </c>
      <c r="C1181" s="3" t="n">
        <v>2.811911188733332</v>
      </c>
      <c r="D1181" s="3" t="n">
        <v>-0.1960784038732891</v>
      </c>
      <c r="E1181" s="3" t="n">
        <v>21.08243313810828</v>
      </c>
      <c r="F1181" s="3" t="n">
        <v>0.2299362020882087</v>
      </c>
      <c r="H1181" s="3" t="n">
        <v>2.148153652753861</v>
      </c>
      <c r="I1181" s="3" t="n">
        <v>16.22953583138684</v>
      </c>
      <c r="J1181" s="3" t="n">
        <v>0.7635660997830314</v>
      </c>
      <c r="K1181" s="3" t="n">
        <v>-0.007121528469777227</v>
      </c>
      <c r="L1181" s="3" t="n">
        <v>9370.487700871025</v>
      </c>
      <c r="M1181" s="4" t="n">
        <v>1432136378.610519</v>
      </c>
    </row>
    <row r="1182">
      <c r="A1182" t="inlineStr">
        <is>
          <t>xom</t>
        </is>
      </c>
      <c r="B1182" t="inlineStr">
        <is>
          <t>xom</t>
        </is>
      </c>
      <c r="C1182" s="3" t="n">
        <v>0.2188449930290506</v>
      </c>
      <c r="D1182" s="3" t="n">
        <v>0.1658486387300262</v>
      </c>
      <c r="E1182" s="3" t="n">
        <v>26.9246488245115</v>
      </c>
      <c r="F1182" s="3" t="n">
        <v>0.5443355034285019</v>
      </c>
      <c r="G1182" s="3" t="n">
        <v>-0.02158319015325549</v>
      </c>
      <c r="H1182" s="3" t="n">
        <v>1.401073002913709</v>
      </c>
      <c r="I1182" s="3" t="n">
        <v>21.20492022636568</v>
      </c>
      <c r="J1182" s="3" t="n">
        <v>0.191385550156364</v>
      </c>
      <c r="K1182" s="3" t="n">
        <v>0.0528341371834643</v>
      </c>
      <c r="L1182" s="3" t="n">
        <v>19518.66645314922</v>
      </c>
      <c r="M1182" s="4" t="n">
        <v>493430978335.4689</v>
      </c>
    </row>
    <row r="1183">
      <c r="A1183" t="inlineStr">
        <is>
          <t>BBG000L5CJF3</t>
        </is>
      </c>
      <c r="B1183" t="inlineStr">
        <is>
          <t>xpo</t>
        </is>
      </c>
      <c r="C1183" s="3" t="n">
        <v>1.578679803923748</v>
      </c>
      <c r="D1183" s="3" t="n">
        <v>0.5128650976594347</v>
      </c>
      <c r="E1183" s="3" t="n">
        <v>23.59913361222533</v>
      </c>
      <c r="F1183" s="3" t="n">
        <v>0.09249858210545052</v>
      </c>
      <c r="H1183" s="3" t="n">
        <v>4.828153561957249</v>
      </c>
      <c r="I1183" s="3" t="n">
        <v>18.99530334660045</v>
      </c>
      <c r="J1183" s="3" t="n">
        <v>0.3867071197828912</v>
      </c>
      <c r="K1183" s="3" t="n">
        <v>0.005354884399767093</v>
      </c>
      <c r="L1183" s="3" t="n">
        <v>13142.80842313886</v>
      </c>
      <c r="M1183" s="4" t="n">
        <v>17740812481.17645</v>
      </c>
    </row>
    <row r="1184">
      <c r="A1184" t="inlineStr">
        <is>
          <t>BBG001D8R5D0</t>
        </is>
      </c>
      <c r="B1184" t="inlineStr">
        <is>
          <t>xyl</t>
        </is>
      </c>
      <c r="C1184" s="3" t="n">
        <v>1.060698002899082</v>
      </c>
      <c r="D1184" s="3" t="n">
        <v>0.1678891634191118</v>
      </c>
      <c r="E1184" s="3" t="n">
        <v>24.13138432211174</v>
      </c>
      <c r="F1184" s="3" t="n">
        <v>0.3365294328412765</v>
      </c>
      <c r="H1184" s="3" t="n">
        <v>1.584890812356395</v>
      </c>
      <c r="I1184" s="3" t="n">
        <v>18.90993230965418</v>
      </c>
      <c r="J1184" s="3" t="n">
        <v>0.164901270613205</v>
      </c>
      <c r="K1184" s="3" t="n">
        <v>0.005031720813680309</v>
      </c>
      <c r="L1184" s="3" t="n">
        <v>14052.27722903121</v>
      </c>
      <c r="M1184" s="4" t="n">
        <v>30208353289.73513</v>
      </c>
    </row>
    <row r="1185">
      <c r="A1185" t="inlineStr">
        <is>
          <t>BBG0018SLC07</t>
        </is>
      </c>
      <c r="B1185" t="inlineStr">
        <is>
          <t>xyz</t>
        </is>
      </c>
      <c r="C1185" s="3" t="n">
        <v>1.902254343444465</v>
      </c>
      <c r="D1185" s="3" t="n">
        <v>0.1401544907279944</v>
      </c>
      <c r="H1185" s="3" t="n">
        <v>1.71025752123069</v>
      </c>
      <c r="I1185" s="3" t="n">
        <v>20.11834436938885</v>
      </c>
      <c r="J1185" s="3" t="n">
        <v>0.4072933451605736</v>
      </c>
    </row>
    <row r="1186">
      <c r="A1186" t="inlineStr">
        <is>
          <t>BBG000Q2HM09</t>
        </is>
      </c>
      <c r="B1186" t="inlineStr">
        <is>
          <t>yelp</t>
        </is>
      </c>
      <c r="C1186" s="3" t="n">
        <v>0.8998304676234345</v>
      </c>
      <c r="D1186" s="3" t="n">
        <v>-0.2189430312347872</v>
      </c>
      <c r="E1186" s="3" t="n">
        <v>21.64575817629652</v>
      </c>
      <c r="F1186" s="3" t="n">
        <v>0.2923203112239885</v>
      </c>
      <c r="H1186" s="3" t="n">
        <v>1.379924033986779</v>
      </c>
      <c r="I1186" s="3" t="n">
        <v>17.04168332061803</v>
      </c>
      <c r="J1186" s="3" t="n">
        <v>0.2637697216109708</v>
      </c>
      <c r="K1186" s="3" t="n">
        <v>0.02852932258595192</v>
      </c>
      <c r="L1186" s="3" t="n">
        <v>10141.8785789409</v>
      </c>
      <c r="M1186" s="4" t="n">
        <v>2515552192.14386</v>
      </c>
    </row>
    <row r="1187">
      <c r="A1187" t="inlineStr">
        <is>
          <t>BBG000BHPFQ0</t>
        </is>
      </c>
      <c r="B1187" t="inlineStr">
        <is>
          <t>ypf</t>
        </is>
      </c>
      <c r="C1187" s="3" t="n">
        <v>1.217782364943496</v>
      </c>
      <c r="D1187" s="3" t="n">
        <v>0.4756170576903467</v>
      </c>
      <c r="I1187" s="3" t="n">
        <v>17.96870284787054</v>
      </c>
      <c r="J1187" s="3" t="n">
        <v>0.4097455939342993</v>
      </c>
    </row>
    <row r="1188">
      <c r="A1188" t="inlineStr">
        <is>
          <t>BBG000BH3GZ2</t>
        </is>
      </c>
      <c r="B1188" t="inlineStr">
        <is>
          <t>yum</t>
        </is>
      </c>
      <c r="C1188" s="3" t="n">
        <v>0.4502011567912693</v>
      </c>
      <c r="D1188" s="3" t="n">
        <v>0.06033517500751961</v>
      </c>
      <c r="E1188" s="3" t="n">
        <v>24.34753350675852</v>
      </c>
      <c r="F1188" s="3" t="n">
        <v>-0.2367106748711313</v>
      </c>
      <c r="H1188" s="3" t="n">
        <v>-0.7279179811545649</v>
      </c>
      <c r="I1188" s="3" t="n">
        <v>19.30335940152412</v>
      </c>
      <c r="J1188" s="3" t="n">
        <v>0.1521903909093229</v>
      </c>
      <c r="K1188" s="3" t="n">
        <v>0.02834874350923982</v>
      </c>
      <c r="L1188" s="3" t="n">
        <v>14433.27600137426</v>
      </c>
      <c r="M1188" s="4" t="n">
        <v>37497252730.97849</v>
      </c>
    </row>
    <row r="1189">
      <c r="A1189" t="inlineStr">
        <is>
          <t>BBG009NRSWJ4</t>
        </is>
      </c>
      <c r="B1189" t="inlineStr">
        <is>
          <t>z</t>
        </is>
      </c>
      <c r="C1189" s="3" t="n">
        <v>1.887868979006559</v>
      </c>
      <c r="D1189" s="3" t="n">
        <v>0.4677577471481782</v>
      </c>
      <c r="H1189" s="3" t="n">
        <v>1.484158857321696</v>
      </c>
      <c r="I1189" s="3" t="n">
        <v>19.20474035650249</v>
      </c>
      <c r="J1189" s="3" t="n">
        <v>0.4780855815578461</v>
      </c>
    </row>
    <row r="1190">
      <c r="A1190" t="inlineStr">
        <is>
          <t>BBG000BKPL53</t>
        </is>
      </c>
      <c r="B1190" t="inlineStr">
        <is>
          <t>zbh</t>
        </is>
      </c>
      <c r="C1190" s="3" t="n">
        <v>0.4747838120542845</v>
      </c>
      <c r="D1190" s="3" t="n">
        <v>-0.07306005347039679</v>
      </c>
      <c r="E1190" s="3" t="n">
        <v>23.81378731000594</v>
      </c>
      <c r="F1190" s="3" t="n">
        <v>0.5675910813020358</v>
      </c>
      <c r="H1190" s="3" t="n">
        <v>1.722439004709552</v>
      </c>
      <c r="I1190" s="3" t="n">
        <v>18.93245506368146</v>
      </c>
      <c r="J1190" s="3" t="n">
        <v>0.2039573255715185</v>
      </c>
      <c r="K1190" s="3" t="n">
        <v>0.02750523504438694</v>
      </c>
      <c r="L1190" s="3" t="n">
        <v>13504.71462668021</v>
      </c>
      <c r="M1190" s="4" t="n">
        <v>21988541417.53345</v>
      </c>
    </row>
    <row r="1191">
      <c r="A1191" t="inlineStr">
        <is>
          <t>BBG01J1MG9D6</t>
        </is>
      </c>
      <c r="B1191" t="inlineStr">
        <is>
          <t>zbio</t>
        </is>
      </c>
      <c r="E1191" s="3" t="n">
        <v>19.99140869336336</v>
      </c>
      <c r="F1191" s="3" t="n">
        <v>-0.4204277716139887</v>
      </c>
      <c r="H1191" s="3" t="n">
        <v>-1.994896959901979</v>
      </c>
      <c r="K1191" s="3" t="n">
        <v>-0.06038690950033392</v>
      </c>
      <c r="L1191" s="3" t="n">
        <v>7989.694860034892</v>
      </c>
      <c r="M1191" s="4" t="n">
        <v>481014845.4352093</v>
      </c>
    </row>
    <row r="1192">
      <c r="A1192" t="inlineStr">
        <is>
          <t>BBG000CC7LQ7</t>
        </is>
      </c>
      <c r="B1192" t="inlineStr">
        <is>
          <t>zbra</t>
        </is>
      </c>
      <c r="C1192" s="3" t="n">
        <v>1.364862851877386</v>
      </c>
      <c r="D1192" s="3" t="n">
        <v>0.6118238168079897</v>
      </c>
      <c r="E1192" s="3" t="n">
        <v>23.76745828675362</v>
      </c>
      <c r="F1192" s="3" t="n">
        <v>0.130185809799635</v>
      </c>
      <c r="H1192" s="3" t="n">
        <v>2.813757774308907</v>
      </c>
      <c r="I1192" s="3" t="n">
        <v>18.73219746620198</v>
      </c>
      <c r="J1192" s="3" t="n">
        <v>0.2792179350881643</v>
      </c>
      <c r="K1192" s="3" t="n">
        <v>0.007145214588344402</v>
      </c>
      <c r="L1192" s="3" t="n">
        <v>13426.0487913511</v>
      </c>
      <c r="M1192" s="4" t="n">
        <v>20993071396</v>
      </c>
    </row>
    <row r="1193">
      <c r="A1193" t="inlineStr">
        <is>
          <t>BBG000BX9WL1</t>
        </is>
      </c>
      <c r="B1193" t="inlineStr">
        <is>
          <t>zion</t>
        </is>
      </c>
      <c r="C1193" s="3" t="n">
        <v>1.400801330310119</v>
      </c>
      <c r="D1193" s="3" t="n">
        <v>0.5038273546870695</v>
      </c>
      <c r="E1193" s="3" t="n">
        <v>22.86548613378775</v>
      </c>
      <c r="F1193" s="3" t="n">
        <v>0.5744083729254154</v>
      </c>
      <c r="H1193" s="3" t="n">
        <v>17.78704271044614</v>
      </c>
      <c r="I1193" s="3" t="n">
        <v>18.04829092527489</v>
      </c>
      <c r="J1193" s="3" t="n">
        <v>0.3562329561922877</v>
      </c>
      <c r="K1193" s="3" t="n">
        <v>0.06503622288998162</v>
      </c>
      <c r="L1193" s="3" t="n">
        <v>11954.77254506396</v>
      </c>
      <c r="M1193" s="4" t="n">
        <v>8518329867.835907</v>
      </c>
    </row>
    <row r="1194">
      <c r="A1194" t="inlineStr">
        <is>
          <t>BBG00HFX3N90</t>
        </is>
      </c>
      <c r="B1194" t="inlineStr">
        <is>
          <t>zlab</t>
        </is>
      </c>
      <c r="C1194" s="3" t="n">
        <v>1.128738798846385</v>
      </c>
      <c r="D1194" s="3" t="n">
        <v>0.1073652729765959</v>
      </c>
      <c r="E1194" s="3" t="n">
        <v>21.66166599628669</v>
      </c>
      <c r="F1194" s="3" t="n">
        <v>0.2755123419241845</v>
      </c>
      <c r="H1194" s="3" t="n">
        <v>1.399283418847646</v>
      </c>
      <c r="I1194" s="3" t="n">
        <v>17.06418342151004</v>
      </c>
      <c r="J1194" s="3" t="n">
        <v>0.6152816118051457</v>
      </c>
      <c r="K1194" s="3" t="n">
        <v>-0.01922775108533785</v>
      </c>
      <c r="L1194" s="3" t="n">
        <v>10164.25531082189</v>
      </c>
      <c r="M1194" s="4" t="n">
        <v>2555889129.345297</v>
      </c>
    </row>
    <row r="1195">
      <c r="A1195" t="inlineStr">
        <is>
          <t>BBG0042V6JM8</t>
        </is>
      </c>
      <c r="B1195" t="inlineStr">
        <is>
          <t>zm</t>
        </is>
      </c>
      <c r="C1195" s="3" t="n">
        <v>0.8002480348256539</v>
      </c>
      <c r="D1195" s="3" t="n">
        <v>0.1018722666398519</v>
      </c>
      <c r="G1195" s="3" t="n">
        <v>-0.03562689928646556</v>
      </c>
      <c r="H1195" s="3" t="n">
        <v>1.720725832693978</v>
      </c>
      <c r="I1195" s="3" t="n">
        <v>19.31420849721735</v>
      </c>
      <c r="J1195" s="3" t="n">
        <v>0.3036636311249235</v>
      </c>
    </row>
    <row r="1196">
      <c r="A1196" t="inlineStr">
        <is>
          <t>BBG003338H34</t>
        </is>
      </c>
      <c r="B1196" t="inlineStr">
        <is>
          <t>zs</t>
        </is>
      </c>
      <c r="C1196" s="3" t="n">
        <v>1.694994186605285</v>
      </c>
      <c r="D1196" s="3" t="n">
        <v>-0.08474664909945107</v>
      </c>
      <c r="E1196" s="3" t="n">
        <v>24.17334574598905</v>
      </c>
      <c r="F1196" s="3" t="n">
        <v>0.02301730252127506</v>
      </c>
      <c r="H1196" s="3" t="n">
        <v>4.976220218426643</v>
      </c>
      <c r="I1196" s="3" t="n">
        <v>19.63232874951355</v>
      </c>
      <c r="J1196" s="3" t="n">
        <v>0.365969369485336</v>
      </c>
      <c r="K1196" s="3" t="n">
        <v>-0.006422740081038778</v>
      </c>
      <c r="L1196" s="3" t="n">
        <v>14125.71016772263</v>
      </c>
      <c r="M1196" s="4" t="n">
        <v>31502909574.51492</v>
      </c>
    </row>
    <row r="1197">
      <c r="A1197" t="inlineStr">
        <is>
          <t>BBG0039320N9</t>
        </is>
      </c>
      <c r="B1197" t="inlineStr">
        <is>
          <t>zts</t>
        </is>
      </c>
      <c r="C1197" s="3" t="n">
        <v>0.6548458303334982</v>
      </c>
      <c r="D1197" s="3" t="n">
        <v>0.02196543169727438</v>
      </c>
      <c r="E1197" s="3" t="n">
        <v>25.07175470956075</v>
      </c>
      <c r="F1197" s="3" t="n">
        <v>0.06459287681775949</v>
      </c>
      <c r="H1197" s="3" t="n">
        <v>2.858915348637399</v>
      </c>
      <c r="I1197" s="3" t="n">
        <v>19.78934395496681</v>
      </c>
      <c r="J1197" s="3" t="n">
        <v>0.2389668143044788</v>
      </c>
      <c r="K1197" s="3" t="n">
        <v>0.02462466086408482</v>
      </c>
      <c r="L1197" s="3" t="n">
        <v>15759.92660524845</v>
      </c>
      <c r="M1197" s="4" t="n">
        <v>77361471513.8606</v>
      </c>
    </row>
    <row r="1198">
      <c r="A1198" t="inlineStr">
        <is>
          <t>BBG000H8R0N8</t>
        </is>
      </c>
      <c r="B1198" t="inlineStr">
        <is>
          <t>zws</t>
        </is>
      </c>
      <c r="C1198" s="3" t="n">
        <v>1.151634357100326</v>
      </c>
      <c r="D1198" s="3" t="n">
        <v>0.2355015434550825</v>
      </c>
      <c r="E1198" s="3" t="n">
        <v>22.62010703426106</v>
      </c>
      <c r="F1198" s="3" t="n">
        <v>0.2404870354517658</v>
      </c>
      <c r="H1198" s="3" t="n">
        <v>1.663963063598725</v>
      </c>
      <c r="I1198" s="3" t="n">
        <v>17.84916106972226</v>
      </c>
      <c r="J1198" s="3" t="n">
        <v>0.2065460314827362</v>
      </c>
      <c r="K1198" s="3" t="n">
        <v>0.01482413220778292</v>
      </c>
      <c r="L1198" s="3" t="n">
        <v>11574.01302564033</v>
      </c>
      <c r="M1198" s="4" t="n">
        <v>6664808340.909439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9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§3b–d · Cross-sectional winsorised z-score -&gt; loadings (live formulas)</t>
        </is>
      </c>
    </row>
    <row r="2">
      <c r="A2" t="inlineStr">
        <is>
          <t>Per descriptor: med = MEDIAN; MAD = 1.4826·MEDIAN(|x−med|) (array, blanks excluded); z = clip((x−med)/MAD, ±3); loading = (z − mean)/std.  (d) screen flags std ≤ 0.05.</t>
        </is>
      </c>
    </row>
    <row r="3">
      <c r="A3" s="1" t="inlineStr">
        <is>
          <t>med / MAD / screen below each factor</t>
        </is>
      </c>
      <c r="B3" s="3">
        <f>MEDIAN('3a Raw'!C6:C1198)</f>
        <v/>
      </c>
      <c r="D3" s="3">
        <f>MEDIAN('3a Raw'!D6:D1198)</f>
        <v/>
      </c>
      <c r="F3" s="3">
        <f>MEDIAN('3a Raw'!E6:E1198)</f>
        <v/>
      </c>
      <c r="H3" s="3">
        <f>MEDIAN('3a Raw'!F6:F1198)</f>
        <v/>
      </c>
      <c r="J3" s="3">
        <f>MEDIAN('3a Raw'!G6:G1198)</f>
        <v/>
      </c>
      <c r="L3" s="3">
        <f>MEDIAN('3a Raw'!H6:H1198)</f>
        <v/>
      </c>
      <c r="N3" s="3">
        <f>MEDIAN('3a Raw'!I6:I1198)</f>
        <v/>
      </c>
      <c r="P3" s="3">
        <f>MEDIAN('3a Raw'!J6:J1198)</f>
        <v/>
      </c>
      <c r="R3" s="3">
        <f>MEDIAN('3a Raw'!K6:K1198)</f>
        <v/>
      </c>
      <c r="T3" s="3">
        <f>MEDIAN('3a Raw'!L6:L1198)</f>
        <v/>
      </c>
      <c r="V3" s="3">
        <f>SLOPE(U6:U1198,G6:G1198)</f>
        <v/>
      </c>
      <c r="W3" s="3">
        <f>INTERCEPT(U6:U1198,G6:G1198)</f>
        <v/>
      </c>
      <c r="X3" s="3">
        <f>MEDIAN(X6:X1198)</f>
        <v/>
      </c>
    </row>
    <row r="4">
      <c r="B4" s="3">
        <f t="array" ref="B4">1.4826*MEDIAN(IF('3a Raw'!C6:C1198&lt;&gt;"",ABS('3a Raw'!C6:C1198-B3)))</f>
        <v/>
      </c>
      <c r="D4" s="3">
        <f t="array" ref="D4">1.4826*MEDIAN(IF('3a Raw'!D6:D1198&lt;&gt;"",ABS('3a Raw'!D6:D1198-D3)))</f>
        <v/>
      </c>
      <c r="F4" s="3">
        <f t="array" ref="F4">1.4826*MEDIAN(IF('3a Raw'!E6:E1198&lt;&gt;"",ABS('3a Raw'!E6:E1198-F3)))</f>
        <v/>
      </c>
      <c r="H4" s="3">
        <f t="array" ref="H4">1.4826*MEDIAN(IF('3a Raw'!F6:F1198&lt;&gt;"",ABS('3a Raw'!F6:F1198-H3)))</f>
        <v/>
      </c>
      <c r="J4" s="3">
        <f t="array" ref="J4">1.4826*MEDIAN(IF('3a Raw'!G6:G1198&lt;&gt;"",ABS('3a Raw'!G6:G1198-J3)))</f>
        <v/>
      </c>
      <c r="L4" s="3">
        <f t="array" ref="L4">1.4826*MEDIAN(IF('3a Raw'!H6:H1198&lt;&gt;"",ABS('3a Raw'!H6:H1198-L3)))</f>
        <v/>
      </c>
      <c r="N4" s="3">
        <f t="array" ref="N4">1.4826*MEDIAN(IF('3a Raw'!I6:I1198&lt;&gt;"",ABS('3a Raw'!I6:I1198-N3)))</f>
        <v/>
      </c>
      <c r="P4" s="3">
        <f t="array" ref="P4">1.4826*MEDIAN(IF('3a Raw'!J6:J1198&lt;&gt;"",ABS('3a Raw'!J6:J1198-P3)))</f>
        <v/>
      </c>
      <c r="R4" s="3">
        <f t="array" ref="R4">1.4826*MEDIAN(IF('3a Raw'!K6:K1198&lt;&gt;"",ABS('3a Raw'!K6:K1198-R3)))</f>
        <v/>
      </c>
      <c r="T4" s="3">
        <f t="array" ref="T4">1.4826*MEDIAN(IF('3a Raw'!L6:L1198&lt;&gt;"",ABS('3a Raw'!L6:L1198-T3)))</f>
        <v/>
      </c>
      <c r="X4" s="3">
        <f t="array" ref="X4">1.4826*MEDIAN(IF(X6:X1198&lt;&gt;"",ABS(X6:X1198-X3)))</f>
        <v/>
      </c>
    </row>
    <row r="5">
      <c r="A5" s="1" t="inlineStr">
        <is>
          <t>screen std (drop ≤0.05) →</t>
        </is>
      </c>
      <c r="B5" s="8">
        <f>STDEV(C6:C1198)</f>
        <v/>
      </c>
      <c r="C5" s="1" t="inlineStr">
        <is>
          <t>Beta</t>
        </is>
      </c>
      <c r="D5" s="8">
        <f>STDEV(E6:E1198)</f>
        <v/>
      </c>
      <c r="E5" s="1" t="inlineStr">
        <is>
          <t>Momentum</t>
        </is>
      </c>
      <c r="F5" s="8">
        <f>STDEV(G6:G1198)</f>
        <v/>
      </c>
      <c r="G5" s="1" t="inlineStr">
        <is>
          <t>Size</t>
        </is>
      </c>
      <c r="H5" s="8">
        <f>STDEV(I6:I1198)</f>
        <v/>
      </c>
      <c r="I5" s="1" t="inlineStr">
        <is>
          <t>Value</t>
        </is>
      </c>
      <c r="J5" s="8">
        <f>STDEV(K6:K1198)</f>
        <v/>
      </c>
      <c r="K5" s="1" t="inlineStr">
        <is>
          <t>Growth</t>
        </is>
      </c>
      <c r="L5" s="8">
        <f>STDEV(M6:M1198)</f>
        <v/>
      </c>
      <c r="M5" s="1" t="inlineStr">
        <is>
          <t>Leverage</t>
        </is>
      </c>
      <c r="N5" s="8">
        <f>STDEV(O6:O1198)</f>
        <v/>
      </c>
      <c r="O5" s="1" t="inlineStr">
        <is>
          <t>Liquidity</t>
        </is>
      </c>
      <c r="P5" s="8">
        <f>STDEV(Q6:Q1198)</f>
        <v/>
      </c>
      <c r="Q5" s="1" t="inlineStr">
        <is>
          <t>ResidVol</t>
        </is>
      </c>
      <c r="R5" s="8">
        <f>STDEV(S6:S1198)</f>
        <v/>
      </c>
      <c r="S5" s="1" t="inlineStr">
        <is>
          <t>EarnYield</t>
        </is>
      </c>
      <c r="T5" s="8">
        <f>STDEV(U6:U1198)</f>
        <v/>
      </c>
      <c r="U5" s="1" t="inlineStr">
        <is>
          <t>NonLinSize</t>
        </is>
      </c>
      <c r="V5" s="1" t="inlineStr">
        <is>
          <t>NonLinSize ⟂Size: slope</t>
        </is>
      </c>
      <c r="W5" s="1" t="inlineStr">
        <is>
          <t>intercept</t>
        </is>
      </c>
      <c r="X5" s="1" t="inlineStr">
        <is>
          <t>resid</t>
        </is>
      </c>
      <c r="Y5" s="1" t="inlineStr">
        <is>
          <t>z resid</t>
        </is>
      </c>
      <c r="Z5" s="1" t="inlineStr">
        <is>
          <t>NonLinSize (final)</t>
        </is>
      </c>
      <c r="AC5" s="1" t="inlineStr">
        <is>
          <t>Worked-name loading (ref, pandas)</t>
        </is>
      </c>
      <c r="AD5" s="1">
        <f> frame loading?</f>
        <v/>
      </c>
    </row>
    <row r="6">
      <c r="A6" t="inlineStr">
        <is>
          <t>BBG000C2V3D6</t>
        </is>
      </c>
      <c r="B6" s="3">
        <f>IF('3a Raw'!C6="","",MAX(-3,MIN(3,('3a Raw'!C6-$B3)/$B4)))</f>
        <v/>
      </c>
      <c r="C6" s="3">
        <f>IF(B6="","",(B6-AVERAGE(B6:B1198))/(STDEV(B6:B1198)+1E-12))</f>
        <v/>
      </c>
      <c r="D6" s="3">
        <f>IF('3a Raw'!D6="","",MAX(-3,MIN(3,('3a Raw'!D6-$D3)/$D4)))</f>
        <v/>
      </c>
      <c r="E6" s="3">
        <f>IF(D6="","",(D6-AVERAGE(D6:D1198))/(STDEV(D6:D1198)+1E-12))</f>
        <v/>
      </c>
      <c r="F6" s="3">
        <f>IF('3a Raw'!E6="","",MAX(-3,MIN(3,('3a Raw'!E6-$F3)/$F4)))</f>
        <v/>
      </c>
      <c r="G6" s="3">
        <f>IF(F6="","",(F6-AVERAGE(F6:F1198))/(STDEV(F6:F1198)+1E-12))</f>
        <v/>
      </c>
      <c r="H6" s="3">
        <f>IF('3a Raw'!F6="","",MAX(-3,MIN(3,('3a Raw'!F6-$H3)/$H4)))</f>
        <v/>
      </c>
      <c r="I6" s="3">
        <f>IF(H6="","",(H6-AVERAGE(H6:H1198))/(STDEV(H6:H1198)+1E-12))</f>
        <v/>
      </c>
      <c r="J6" s="3">
        <f>IF('3a Raw'!G6="","",MAX(-3,MIN(3,('3a Raw'!G6-$J3)/$J4)))</f>
        <v/>
      </c>
      <c r="K6" s="3">
        <f>IF(J6="","",(J6-AVERAGE(J6:J1198))/(STDEV(J6:J1198)+1E-12))</f>
        <v/>
      </c>
      <c r="L6" s="3">
        <f>IF('3a Raw'!H6="","",MAX(-3,MIN(3,('3a Raw'!H6-$L3)/$L4)))</f>
        <v/>
      </c>
      <c r="M6" s="3">
        <f>IF(L6="","",(L6-AVERAGE(L6:L1198))/(STDEV(L6:L1198)+1E-12))</f>
        <v/>
      </c>
      <c r="N6" s="3">
        <f>IF('3a Raw'!I6="","",MAX(-3,MIN(3,('3a Raw'!I6-$N3)/$N4)))</f>
        <v/>
      </c>
      <c r="O6" s="3">
        <f>IF(N6="","",(N6-AVERAGE(N6:N1198))/(STDEV(N6:N1198)+1E-12))</f>
        <v/>
      </c>
      <c r="P6" s="3">
        <f>IF('3a Raw'!J6="","",MAX(-3,MIN(3,('3a Raw'!J6-$P3)/$P4)))</f>
        <v/>
      </c>
      <c r="Q6" s="3">
        <f>IF(P6="","",(P6-AVERAGE(P6:P1198))/(STDEV(P6:P1198)+1E-12))</f>
        <v/>
      </c>
      <c r="R6" s="3">
        <f>IF('3a Raw'!K6="","",MAX(-3,MIN(3,('3a Raw'!K6-$R3)/$R4)))</f>
        <v/>
      </c>
      <c r="S6" s="3">
        <f>IF(R6="","",(R6-AVERAGE(R6:R1198))/(STDEV(R6:R1198)+1E-12))</f>
        <v/>
      </c>
      <c r="T6" s="3">
        <f>IF('3a Raw'!L6="","",MAX(-3,MIN(3,('3a Raw'!L6-$T3)/$T4)))</f>
        <v/>
      </c>
      <c r="U6" s="3">
        <f>IF(T6="","",(T6-AVERAGE(T6:T1198))/(STDEV(T6:T1198)+1E-12))</f>
        <v/>
      </c>
      <c r="X6" s="3">
        <f>IF(U6="","",U6-($V$3*G6+$W$3))</f>
        <v/>
      </c>
      <c r="Y6" s="3">
        <f>IF(X6="","",MAX(-3,MIN(3,(X6-$X3)/$X4)))</f>
        <v/>
      </c>
      <c r="Z6" s="3">
        <f>IF(Y6="","",(Y6-AVERAGE(Y6:Y1198))/(STDEV(Y6:Y1198)+1E-12))</f>
        <v/>
      </c>
      <c r="AB6" s="1" t="inlineStr">
        <is>
          <t>Beta</t>
        </is>
      </c>
      <c r="AC6" s="3" t="n">
        <v>-0.5988427073364098</v>
      </c>
      <c r="AD6" s="3" t="n">
        <v>-0.5988427073364098</v>
      </c>
    </row>
    <row r="7">
      <c r="A7" t="inlineStr">
        <is>
          <t>BBG00B3T3HD3</t>
        </is>
      </c>
      <c r="B7" s="3">
        <f>IF('3a Raw'!C7="","",MAX(-3,MIN(3,('3a Raw'!C7-$B3)/$B4)))</f>
        <v/>
      </c>
      <c r="C7" s="3">
        <f>IF(B7="","",(B7-AVERAGE(B6:B1198))/(STDEV(B6:B1198)+1E-12))</f>
        <v/>
      </c>
      <c r="D7" s="3">
        <f>IF('3a Raw'!D7="","",MAX(-3,MIN(3,('3a Raw'!D7-$D3)/$D4)))</f>
        <v/>
      </c>
      <c r="E7" s="3">
        <f>IF(D7="","",(D7-AVERAGE(D6:D1198))/(STDEV(D6:D1198)+1E-12))</f>
        <v/>
      </c>
      <c r="F7" s="3">
        <f>IF('3a Raw'!E7="","",MAX(-3,MIN(3,('3a Raw'!E7-$F3)/$F4)))</f>
        <v/>
      </c>
      <c r="G7" s="3">
        <f>IF(F7="","",(F7-AVERAGE(F6:F1198))/(STDEV(F6:F1198)+1E-12))</f>
        <v/>
      </c>
      <c r="H7" s="3">
        <f>IF('3a Raw'!F7="","",MAX(-3,MIN(3,('3a Raw'!F7-$H3)/$H4)))</f>
        <v/>
      </c>
      <c r="I7" s="3">
        <f>IF(H7="","",(H7-AVERAGE(H6:H1198))/(STDEV(H6:H1198)+1E-12))</f>
        <v/>
      </c>
      <c r="J7" s="3">
        <f>IF('3a Raw'!G7="","",MAX(-3,MIN(3,('3a Raw'!G7-$J3)/$J4)))</f>
        <v/>
      </c>
      <c r="K7" s="3">
        <f>IF(J7="","",(J7-AVERAGE(J6:J1198))/(STDEV(J6:J1198)+1E-12))</f>
        <v/>
      </c>
      <c r="L7" s="3">
        <f>IF('3a Raw'!H7="","",MAX(-3,MIN(3,('3a Raw'!H7-$L3)/$L4)))</f>
        <v/>
      </c>
      <c r="M7" s="3">
        <f>IF(L7="","",(L7-AVERAGE(L6:L1198))/(STDEV(L6:L1198)+1E-12))</f>
        <v/>
      </c>
      <c r="N7" s="3">
        <f>IF('3a Raw'!I7="","",MAX(-3,MIN(3,('3a Raw'!I7-$N3)/$N4)))</f>
        <v/>
      </c>
      <c r="O7" s="3">
        <f>IF(N7="","",(N7-AVERAGE(N6:N1198))/(STDEV(N6:N1198)+1E-12))</f>
        <v/>
      </c>
      <c r="P7" s="3">
        <f>IF('3a Raw'!J7="","",MAX(-3,MIN(3,('3a Raw'!J7-$P3)/$P4)))</f>
        <v/>
      </c>
      <c r="Q7" s="3">
        <f>IF(P7="","",(P7-AVERAGE(P6:P1198))/(STDEV(P6:P1198)+1E-12))</f>
        <v/>
      </c>
      <c r="R7" s="3">
        <f>IF('3a Raw'!K7="","",MAX(-3,MIN(3,('3a Raw'!K7-$R3)/$R4)))</f>
        <v/>
      </c>
      <c r="S7" s="3">
        <f>IF(R7="","",(R7-AVERAGE(R6:R1198))/(STDEV(R6:R1198)+1E-12))</f>
        <v/>
      </c>
      <c r="T7" s="3">
        <f>IF('3a Raw'!L7="","",MAX(-3,MIN(3,('3a Raw'!L7-$T3)/$T4)))</f>
        <v/>
      </c>
      <c r="U7" s="3">
        <f>IF(T7="","",(T7-AVERAGE(T6:T1198))/(STDEV(T6:T1198)+1E-12))</f>
        <v/>
      </c>
      <c r="X7" s="3">
        <f>IF(U7="","",U7-($V$3*G7+$W$3))</f>
        <v/>
      </c>
      <c r="Y7" s="3">
        <f>IF(X7="","",MAX(-3,MIN(3,(X7-$X3)/$X4)))</f>
        <v/>
      </c>
      <c r="Z7" s="3">
        <f>IF(Y7="","",(Y7-AVERAGE(Y6:Y1198))/(STDEV(Y6:Y1198)+1E-12))</f>
        <v/>
      </c>
      <c r="AB7" s="1" t="inlineStr">
        <is>
          <t>Momentum</t>
        </is>
      </c>
      <c r="AC7" s="3" t="n">
        <v>0.3845776801047178</v>
      </c>
      <c r="AD7" s="3" t="n">
        <v>0.3845776801047178</v>
      </c>
    </row>
    <row r="8">
      <c r="A8" t="inlineStr">
        <is>
          <t>BBG005P7Q881</t>
        </is>
      </c>
      <c r="B8" s="3">
        <f>IF('3a Raw'!C8="","",MAX(-3,MIN(3,('3a Raw'!C8-$B3)/$B4)))</f>
        <v/>
      </c>
      <c r="C8" s="3">
        <f>IF(B8="","",(B8-AVERAGE(B6:B1198))/(STDEV(B6:B1198)+1E-12))</f>
        <v/>
      </c>
      <c r="D8" s="3">
        <f>IF('3a Raw'!D8="","",MAX(-3,MIN(3,('3a Raw'!D8-$D3)/$D4)))</f>
        <v/>
      </c>
      <c r="E8" s="3">
        <f>IF(D8="","",(D8-AVERAGE(D6:D1198))/(STDEV(D6:D1198)+1E-12))</f>
        <v/>
      </c>
      <c r="F8" s="3">
        <f>IF('3a Raw'!E8="","",MAX(-3,MIN(3,('3a Raw'!E8-$F3)/$F4)))</f>
        <v/>
      </c>
      <c r="G8" s="3">
        <f>IF(F8="","",(F8-AVERAGE(F6:F1198))/(STDEV(F6:F1198)+1E-12))</f>
        <v/>
      </c>
      <c r="H8" s="3">
        <f>IF('3a Raw'!F8="","",MAX(-3,MIN(3,('3a Raw'!F8-$H3)/$H4)))</f>
        <v/>
      </c>
      <c r="I8" s="3">
        <f>IF(H8="","",(H8-AVERAGE(H6:H1198))/(STDEV(H6:H1198)+1E-12))</f>
        <v/>
      </c>
      <c r="J8" s="3">
        <f>IF('3a Raw'!G8="","",MAX(-3,MIN(3,('3a Raw'!G8-$J3)/$J4)))</f>
        <v/>
      </c>
      <c r="K8" s="3">
        <f>IF(J8="","",(J8-AVERAGE(J6:J1198))/(STDEV(J6:J1198)+1E-12))</f>
        <v/>
      </c>
      <c r="L8" s="3">
        <f>IF('3a Raw'!H8="","",MAX(-3,MIN(3,('3a Raw'!H8-$L3)/$L4)))</f>
        <v/>
      </c>
      <c r="M8" s="3">
        <f>IF(L8="","",(L8-AVERAGE(L6:L1198))/(STDEV(L6:L1198)+1E-12))</f>
        <v/>
      </c>
      <c r="N8" s="3">
        <f>IF('3a Raw'!I8="","",MAX(-3,MIN(3,('3a Raw'!I8-$N3)/$N4)))</f>
        <v/>
      </c>
      <c r="O8" s="3">
        <f>IF(N8="","",(N8-AVERAGE(N6:N1198))/(STDEV(N6:N1198)+1E-12))</f>
        <v/>
      </c>
      <c r="P8" s="3">
        <f>IF('3a Raw'!J8="","",MAX(-3,MIN(3,('3a Raw'!J8-$P3)/$P4)))</f>
        <v/>
      </c>
      <c r="Q8" s="3">
        <f>IF(P8="","",(P8-AVERAGE(P6:P1198))/(STDEV(P6:P1198)+1E-12))</f>
        <v/>
      </c>
      <c r="R8" s="3">
        <f>IF('3a Raw'!K8="","",MAX(-3,MIN(3,('3a Raw'!K8-$R3)/$R4)))</f>
        <v/>
      </c>
      <c r="S8" s="3">
        <f>IF(R8="","",(R8-AVERAGE(R6:R1198))/(STDEV(R6:R1198)+1E-12))</f>
        <v/>
      </c>
      <c r="T8" s="3">
        <f>IF('3a Raw'!L8="","",MAX(-3,MIN(3,('3a Raw'!L8-$T3)/$T4)))</f>
        <v/>
      </c>
      <c r="U8" s="3">
        <f>IF(T8="","",(T8-AVERAGE(T6:T1198))/(STDEV(T6:T1198)+1E-12))</f>
        <v/>
      </c>
      <c r="X8" s="3">
        <f>IF(U8="","",U8-($V$3*G8+$W$3))</f>
        <v/>
      </c>
      <c r="Y8" s="3">
        <f>IF(X8="","",MAX(-3,MIN(3,(X8-$X3)/$X4)))</f>
        <v/>
      </c>
      <c r="Z8" s="3">
        <f>IF(Y8="","",(Y8-AVERAGE(Y6:Y1198))/(STDEV(Y6:Y1198)+1E-12))</f>
        <v/>
      </c>
      <c r="AB8" s="1" t="inlineStr">
        <is>
          <t>Size</t>
        </is>
      </c>
      <c r="AC8" s="3" t="n">
        <v>2.807062273372017</v>
      </c>
      <c r="AD8" s="3" t="n">
        <v>2.807062273372017</v>
      </c>
    </row>
    <row r="9">
      <c r="A9" t="inlineStr">
        <is>
          <t>BBG00P2HLNY3</t>
        </is>
      </c>
      <c r="B9" s="3">
        <f>IF('3a Raw'!C9="","",MAX(-3,MIN(3,('3a Raw'!C9-$B3)/$B4)))</f>
        <v/>
      </c>
      <c r="C9" s="3">
        <f>IF(B9="","",(B9-AVERAGE(B6:B1198))/(STDEV(B6:B1198)+1E-12))</f>
        <v/>
      </c>
      <c r="D9" s="3">
        <f>IF('3a Raw'!D9="","",MAX(-3,MIN(3,('3a Raw'!D9-$D3)/$D4)))</f>
        <v/>
      </c>
      <c r="E9" s="3">
        <f>IF(D9="","",(D9-AVERAGE(D6:D1198))/(STDEV(D6:D1198)+1E-12))</f>
        <v/>
      </c>
      <c r="F9" s="3">
        <f>IF('3a Raw'!E9="","",MAX(-3,MIN(3,('3a Raw'!E9-$F3)/$F4)))</f>
        <v/>
      </c>
      <c r="G9" s="3">
        <f>IF(F9="","",(F9-AVERAGE(F6:F1198))/(STDEV(F6:F1198)+1E-12))</f>
        <v/>
      </c>
      <c r="H9" s="3">
        <f>IF('3a Raw'!F9="","",MAX(-3,MIN(3,('3a Raw'!F9-$H3)/$H4)))</f>
        <v/>
      </c>
      <c r="I9" s="3">
        <f>IF(H9="","",(H9-AVERAGE(H6:H1198))/(STDEV(H6:H1198)+1E-12))</f>
        <v/>
      </c>
      <c r="J9" s="3">
        <f>IF('3a Raw'!G9="","",MAX(-3,MIN(3,('3a Raw'!G9-$J3)/$J4)))</f>
        <v/>
      </c>
      <c r="K9" s="3">
        <f>IF(J9="","",(J9-AVERAGE(J6:J1198))/(STDEV(J6:J1198)+1E-12))</f>
        <v/>
      </c>
      <c r="L9" s="3">
        <f>IF('3a Raw'!H9="","",MAX(-3,MIN(3,('3a Raw'!H9-$L3)/$L4)))</f>
        <v/>
      </c>
      <c r="M9" s="3">
        <f>IF(L9="","",(L9-AVERAGE(L6:L1198))/(STDEV(L6:L1198)+1E-12))</f>
        <v/>
      </c>
      <c r="N9" s="3">
        <f>IF('3a Raw'!I9="","",MAX(-3,MIN(3,('3a Raw'!I9-$N3)/$N4)))</f>
        <v/>
      </c>
      <c r="O9" s="3">
        <f>IF(N9="","",(N9-AVERAGE(N6:N1198))/(STDEV(N6:N1198)+1E-12))</f>
        <v/>
      </c>
      <c r="P9" s="3">
        <f>IF('3a Raw'!J9="","",MAX(-3,MIN(3,('3a Raw'!J9-$P3)/$P4)))</f>
        <v/>
      </c>
      <c r="Q9" s="3">
        <f>IF(P9="","",(P9-AVERAGE(P6:P1198))/(STDEV(P6:P1198)+1E-12))</f>
        <v/>
      </c>
      <c r="R9" s="3">
        <f>IF('3a Raw'!K9="","",MAX(-3,MIN(3,('3a Raw'!K9-$R3)/$R4)))</f>
        <v/>
      </c>
      <c r="S9" s="3">
        <f>IF(R9="","",(R9-AVERAGE(R6:R1198))/(STDEV(R6:R1198)+1E-12))</f>
        <v/>
      </c>
      <c r="T9" s="3">
        <f>IF('3a Raw'!L9="","",MAX(-3,MIN(3,('3a Raw'!L9-$T3)/$T4)))</f>
        <v/>
      </c>
      <c r="U9" s="3">
        <f>IF(T9="","",(T9-AVERAGE(T6:T1198))/(STDEV(T6:T1198)+1E-12))</f>
        <v/>
      </c>
      <c r="X9" s="3">
        <f>IF(U9="","",U9-($V$3*G9+$W$3))</f>
        <v/>
      </c>
      <c r="Y9" s="3">
        <f>IF(X9="","",MAX(-3,MIN(3,(X9-$X3)/$X4)))</f>
        <v/>
      </c>
      <c r="Z9" s="3">
        <f>IF(Y9="","",(Y9-AVERAGE(Y6:Y1198))/(STDEV(Y6:Y1198)+1E-12))</f>
        <v/>
      </c>
      <c r="AB9" s="1" t="inlineStr">
        <is>
          <t>Value</t>
        </is>
      </c>
      <c r="AC9" s="3" t="n">
        <v>0.5477745097320585</v>
      </c>
      <c r="AD9" s="3" t="n">
        <v>0.5477745097320585</v>
      </c>
    </row>
    <row r="10">
      <c r="A10" t="inlineStr">
        <is>
          <t>BBG000D6VW15</t>
        </is>
      </c>
      <c r="B10" s="3">
        <f>IF('3a Raw'!C10="","",MAX(-3,MIN(3,('3a Raw'!C10-$B3)/$B4)))</f>
        <v/>
      </c>
      <c r="C10" s="3">
        <f>IF(B10="","",(B10-AVERAGE(B6:B1198))/(STDEV(B6:B1198)+1E-12))</f>
        <v/>
      </c>
      <c r="D10" s="3">
        <f>IF('3a Raw'!D10="","",MAX(-3,MIN(3,('3a Raw'!D10-$D3)/$D4)))</f>
        <v/>
      </c>
      <c r="E10" s="3">
        <f>IF(D10="","",(D10-AVERAGE(D6:D1198))/(STDEV(D6:D1198)+1E-12))</f>
        <v/>
      </c>
      <c r="F10" s="3">
        <f>IF('3a Raw'!E10="","",MAX(-3,MIN(3,('3a Raw'!E10-$F3)/$F4)))</f>
        <v/>
      </c>
      <c r="G10" s="3">
        <f>IF(F10="","",(F10-AVERAGE(F6:F1198))/(STDEV(F6:F1198)+1E-12))</f>
        <v/>
      </c>
      <c r="H10" s="3">
        <f>IF('3a Raw'!F10="","",MAX(-3,MIN(3,('3a Raw'!F10-$H3)/$H4)))</f>
        <v/>
      </c>
      <c r="I10" s="3">
        <f>IF(H10="","",(H10-AVERAGE(H6:H1198))/(STDEV(H6:H1198)+1E-12))</f>
        <v/>
      </c>
      <c r="J10" s="3">
        <f>IF('3a Raw'!G10="","",MAX(-3,MIN(3,('3a Raw'!G10-$J3)/$J4)))</f>
        <v/>
      </c>
      <c r="K10" s="3">
        <f>IF(J10="","",(J10-AVERAGE(J6:J1198))/(STDEV(J6:J1198)+1E-12))</f>
        <v/>
      </c>
      <c r="L10" s="3">
        <f>IF('3a Raw'!H10="","",MAX(-3,MIN(3,('3a Raw'!H10-$L3)/$L4)))</f>
        <v/>
      </c>
      <c r="M10" s="3">
        <f>IF(L10="","",(L10-AVERAGE(L6:L1198))/(STDEV(L6:L1198)+1E-12))</f>
        <v/>
      </c>
      <c r="N10" s="3">
        <f>IF('3a Raw'!I10="","",MAX(-3,MIN(3,('3a Raw'!I10-$N3)/$N4)))</f>
        <v/>
      </c>
      <c r="O10" s="3">
        <f>IF(N10="","",(N10-AVERAGE(N6:N1198))/(STDEV(N6:N1198)+1E-12))</f>
        <v/>
      </c>
      <c r="P10" s="3">
        <f>IF('3a Raw'!J10="","",MAX(-3,MIN(3,('3a Raw'!J10-$P3)/$P4)))</f>
        <v/>
      </c>
      <c r="Q10" s="3">
        <f>IF(P10="","",(P10-AVERAGE(P6:P1198))/(STDEV(P6:P1198)+1E-12))</f>
        <v/>
      </c>
      <c r="R10" s="3">
        <f>IF('3a Raw'!K10="","",MAX(-3,MIN(3,('3a Raw'!K10-$R3)/$R4)))</f>
        <v/>
      </c>
      <c r="S10" s="3">
        <f>IF(R10="","",(R10-AVERAGE(R6:R1198))/(STDEV(R6:R1198)+1E-12))</f>
        <v/>
      </c>
      <c r="T10" s="3">
        <f>IF('3a Raw'!L10="","",MAX(-3,MIN(3,('3a Raw'!L10-$T3)/$T4)))</f>
        <v/>
      </c>
      <c r="U10" s="3">
        <f>IF(T10="","",(T10-AVERAGE(T6:T1198))/(STDEV(T6:T1198)+1E-12))</f>
        <v/>
      </c>
      <c r="X10" s="3">
        <f>IF(U10="","",U10-($V$3*G10+$W$3))</f>
        <v/>
      </c>
      <c r="Y10" s="3">
        <f>IF(X10="","",MAX(-3,MIN(3,(X10-$X3)/$X4)))</f>
        <v/>
      </c>
      <c r="Z10" s="3">
        <f>IF(Y10="","",(Y10-AVERAGE(Y6:Y1198))/(STDEV(Y6:Y1198)+1E-12))</f>
        <v/>
      </c>
      <c r="AB10" s="1" t="inlineStr">
        <is>
          <t>Growth</t>
        </is>
      </c>
    </row>
    <row r="11">
      <c r="A11" t="inlineStr">
        <is>
          <t>BBG000F7RCJ1</t>
        </is>
      </c>
      <c r="B11" s="3">
        <f>IF('3a Raw'!C11="","",MAX(-3,MIN(3,('3a Raw'!C11-$B3)/$B4)))</f>
        <v/>
      </c>
      <c r="C11" s="3">
        <f>IF(B11="","",(B11-AVERAGE(B6:B1198))/(STDEV(B6:B1198)+1E-12))</f>
        <v/>
      </c>
      <c r="D11" s="3">
        <f>IF('3a Raw'!D11="","",MAX(-3,MIN(3,('3a Raw'!D11-$D3)/$D4)))</f>
        <v/>
      </c>
      <c r="E11" s="3">
        <f>IF(D11="","",(D11-AVERAGE(D6:D1198))/(STDEV(D6:D1198)+1E-12))</f>
        <v/>
      </c>
      <c r="F11" s="3">
        <f>IF('3a Raw'!E11="","",MAX(-3,MIN(3,('3a Raw'!E11-$F3)/$F4)))</f>
        <v/>
      </c>
      <c r="G11" s="3">
        <f>IF(F11="","",(F11-AVERAGE(F6:F1198))/(STDEV(F6:F1198)+1E-12))</f>
        <v/>
      </c>
      <c r="H11" s="3">
        <f>IF('3a Raw'!F11="","",MAX(-3,MIN(3,('3a Raw'!F11-$H3)/$H4)))</f>
        <v/>
      </c>
      <c r="I11" s="3">
        <f>IF(H11="","",(H11-AVERAGE(H6:H1198))/(STDEV(H6:H1198)+1E-12))</f>
        <v/>
      </c>
      <c r="J11" s="3">
        <f>IF('3a Raw'!G11="","",MAX(-3,MIN(3,('3a Raw'!G11-$J3)/$J4)))</f>
        <v/>
      </c>
      <c r="K11" s="3">
        <f>IF(J11="","",(J11-AVERAGE(J6:J1198))/(STDEV(J6:J1198)+1E-12))</f>
        <v/>
      </c>
      <c r="L11" s="3">
        <f>IF('3a Raw'!H11="","",MAX(-3,MIN(3,('3a Raw'!H11-$L3)/$L4)))</f>
        <v/>
      </c>
      <c r="M11" s="3">
        <f>IF(L11="","",(L11-AVERAGE(L6:L1198))/(STDEV(L6:L1198)+1E-12))</f>
        <v/>
      </c>
      <c r="N11" s="3">
        <f>IF('3a Raw'!I11="","",MAX(-3,MIN(3,('3a Raw'!I11-$N3)/$N4)))</f>
        <v/>
      </c>
      <c r="O11" s="3">
        <f>IF(N11="","",(N11-AVERAGE(N6:N1198))/(STDEV(N6:N1198)+1E-12))</f>
        <v/>
      </c>
      <c r="P11" s="3">
        <f>IF('3a Raw'!J11="","",MAX(-3,MIN(3,('3a Raw'!J11-$P3)/$P4)))</f>
        <v/>
      </c>
      <c r="Q11" s="3">
        <f>IF(P11="","",(P11-AVERAGE(P6:P1198))/(STDEV(P6:P1198)+1E-12))</f>
        <v/>
      </c>
      <c r="R11" s="3">
        <f>IF('3a Raw'!K11="","",MAX(-3,MIN(3,('3a Raw'!K11-$R3)/$R4)))</f>
        <v/>
      </c>
      <c r="S11" s="3">
        <f>IF(R11="","",(R11-AVERAGE(R6:R1198))/(STDEV(R6:R1198)+1E-12))</f>
        <v/>
      </c>
      <c r="T11" s="3">
        <f>IF('3a Raw'!L11="","",MAX(-3,MIN(3,('3a Raw'!L11-$T3)/$T4)))</f>
        <v/>
      </c>
      <c r="U11" s="3">
        <f>IF(T11="","",(T11-AVERAGE(T6:T1198))/(STDEV(T6:T1198)+1E-12))</f>
        <v/>
      </c>
      <c r="X11" s="3">
        <f>IF(U11="","",U11-($V$3*G11+$W$3))</f>
        <v/>
      </c>
      <c r="Y11" s="3">
        <f>IF(X11="","",MAX(-3,MIN(3,(X11-$X3)/$X4)))</f>
        <v/>
      </c>
      <c r="Z11" s="3">
        <f>IF(Y11="","",(Y11-AVERAGE(Y6:Y1198))/(STDEV(Y6:Y1198)+1E-12))</f>
        <v/>
      </c>
      <c r="AB11" s="1" t="inlineStr">
        <is>
          <t>Leverage</t>
        </is>
      </c>
      <c r="AC11" s="3" t="n">
        <v>-0.5503150098812586</v>
      </c>
      <c r="AD11" s="3" t="n">
        <v>-0.5503150098812586</v>
      </c>
    </row>
    <row r="12">
      <c r="A12" t="inlineStr">
        <is>
          <t>BBG000B9XRY4</t>
        </is>
      </c>
      <c r="B12" s="3">
        <f>IF('3a Raw'!C12="","",MAX(-3,MIN(3,('3a Raw'!C12-$B3)/$B4)))</f>
        <v/>
      </c>
      <c r="C12" s="3">
        <f>IF(B12="","",(B12-AVERAGE(B6:B1198))/(STDEV(B6:B1198)+1E-12))</f>
        <v/>
      </c>
      <c r="D12" s="3">
        <f>IF('3a Raw'!D12="","",MAX(-3,MIN(3,('3a Raw'!D12-$D3)/$D4)))</f>
        <v/>
      </c>
      <c r="E12" s="3">
        <f>IF(D12="","",(D12-AVERAGE(D6:D1198))/(STDEV(D6:D1198)+1E-12))</f>
        <v/>
      </c>
      <c r="F12" s="3">
        <f>IF('3a Raw'!E12="","",MAX(-3,MIN(3,('3a Raw'!E12-$F3)/$F4)))</f>
        <v/>
      </c>
      <c r="G12" s="3">
        <f>IF(F12="","",(F12-AVERAGE(F6:F1198))/(STDEV(F6:F1198)+1E-12))</f>
        <v/>
      </c>
      <c r="H12" s="3">
        <f>IF('3a Raw'!F12="","",MAX(-3,MIN(3,('3a Raw'!F12-$H3)/$H4)))</f>
        <v/>
      </c>
      <c r="I12" s="3">
        <f>IF(H12="","",(H12-AVERAGE(H6:H1198))/(STDEV(H6:H1198)+1E-12))</f>
        <v/>
      </c>
      <c r="J12" s="3">
        <f>IF('3a Raw'!G12="","",MAX(-3,MIN(3,('3a Raw'!G12-$J3)/$J4)))</f>
        <v/>
      </c>
      <c r="K12" s="3">
        <f>IF(J12="","",(J12-AVERAGE(J6:J1198))/(STDEV(J6:J1198)+1E-12))</f>
        <v/>
      </c>
      <c r="L12" s="3">
        <f>IF('3a Raw'!H12="","",MAX(-3,MIN(3,('3a Raw'!H12-$L3)/$L4)))</f>
        <v/>
      </c>
      <c r="M12" s="3">
        <f>IF(L12="","",(L12-AVERAGE(L6:L1198))/(STDEV(L6:L1198)+1E-12))</f>
        <v/>
      </c>
      <c r="N12" s="3">
        <f>IF('3a Raw'!I12="","",MAX(-3,MIN(3,('3a Raw'!I12-$N3)/$N4)))</f>
        <v/>
      </c>
      <c r="O12" s="3">
        <f>IF(N12="","",(N12-AVERAGE(N6:N1198))/(STDEV(N6:N1198)+1E-12))</f>
        <v/>
      </c>
      <c r="P12" s="3">
        <f>IF('3a Raw'!J12="","",MAX(-3,MIN(3,('3a Raw'!J12-$P3)/$P4)))</f>
        <v/>
      </c>
      <c r="Q12" s="3">
        <f>IF(P12="","",(P12-AVERAGE(P6:P1198))/(STDEV(P6:P1198)+1E-12))</f>
        <v/>
      </c>
      <c r="R12" s="3">
        <f>IF('3a Raw'!K12="","",MAX(-3,MIN(3,('3a Raw'!K12-$R3)/$R4)))</f>
        <v/>
      </c>
      <c r="S12" s="3">
        <f>IF(R12="","",(R12-AVERAGE(R6:R1198))/(STDEV(R6:R1198)+1E-12))</f>
        <v/>
      </c>
      <c r="T12" s="3">
        <f>IF('3a Raw'!L12="","",MAX(-3,MIN(3,('3a Raw'!L12-$T3)/$T4)))</f>
        <v/>
      </c>
      <c r="U12" s="3">
        <f>IF(T12="","",(T12-AVERAGE(T6:T1198))/(STDEV(T6:T1198)+1E-12))</f>
        <v/>
      </c>
      <c r="X12" s="3">
        <f>IF(U12="","",U12-($V$3*G12+$W$3))</f>
        <v/>
      </c>
      <c r="Y12" s="3">
        <f>IF(X12="","",MAX(-3,MIN(3,(X12-$X3)/$X4)))</f>
        <v/>
      </c>
      <c r="Z12" s="3">
        <f>IF(Y12="","",(Y12-AVERAGE(Y6:Y1198))/(STDEV(Y6:Y1198)+1E-12))</f>
        <v/>
      </c>
      <c r="AB12" s="1" t="inlineStr">
        <is>
          <t>Liquidity</t>
        </is>
      </c>
      <c r="AC12" s="3" t="n">
        <v>1.88694565981941</v>
      </c>
      <c r="AD12" s="3" t="n">
        <v>1.88694565981941</v>
      </c>
    </row>
    <row r="13">
      <c r="A13" t="inlineStr">
        <is>
          <t>BBG0025Y4RY4</t>
        </is>
      </c>
      <c r="B13" s="3">
        <f>IF('3a Raw'!C13="","",MAX(-3,MIN(3,('3a Raw'!C13-$B3)/$B4)))</f>
        <v/>
      </c>
      <c r="C13" s="3">
        <f>IF(B13="","",(B13-AVERAGE(B6:B1198))/(STDEV(B6:B1198)+1E-12))</f>
        <v/>
      </c>
      <c r="D13" s="3">
        <f>IF('3a Raw'!D13="","",MAX(-3,MIN(3,('3a Raw'!D13-$D3)/$D4)))</f>
        <v/>
      </c>
      <c r="E13" s="3">
        <f>IF(D13="","",(D13-AVERAGE(D6:D1198))/(STDEV(D6:D1198)+1E-12))</f>
        <v/>
      </c>
      <c r="F13" s="3">
        <f>IF('3a Raw'!E13="","",MAX(-3,MIN(3,('3a Raw'!E13-$F3)/$F4)))</f>
        <v/>
      </c>
      <c r="G13" s="3">
        <f>IF(F13="","",(F13-AVERAGE(F6:F1198))/(STDEV(F6:F1198)+1E-12))</f>
        <v/>
      </c>
      <c r="H13" s="3">
        <f>IF('3a Raw'!F13="","",MAX(-3,MIN(3,('3a Raw'!F13-$H3)/$H4)))</f>
        <v/>
      </c>
      <c r="I13" s="3">
        <f>IF(H13="","",(H13-AVERAGE(H6:H1198))/(STDEV(H6:H1198)+1E-12))</f>
        <v/>
      </c>
      <c r="J13" s="3">
        <f>IF('3a Raw'!G13="","",MAX(-3,MIN(3,('3a Raw'!G13-$J3)/$J4)))</f>
        <v/>
      </c>
      <c r="K13" s="3">
        <f>IF(J13="","",(J13-AVERAGE(J6:J1198))/(STDEV(J6:J1198)+1E-12))</f>
        <v/>
      </c>
      <c r="L13" s="3">
        <f>IF('3a Raw'!H13="","",MAX(-3,MIN(3,('3a Raw'!H13-$L3)/$L4)))</f>
        <v/>
      </c>
      <c r="M13" s="3">
        <f>IF(L13="","",(L13-AVERAGE(L6:L1198))/(STDEV(L6:L1198)+1E-12))</f>
        <v/>
      </c>
      <c r="N13" s="3">
        <f>IF('3a Raw'!I13="","",MAX(-3,MIN(3,('3a Raw'!I13-$N3)/$N4)))</f>
        <v/>
      </c>
      <c r="O13" s="3">
        <f>IF(N13="","",(N13-AVERAGE(N6:N1198))/(STDEV(N6:N1198)+1E-12))</f>
        <v/>
      </c>
      <c r="P13" s="3">
        <f>IF('3a Raw'!J13="","",MAX(-3,MIN(3,('3a Raw'!J13-$P3)/$P4)))</f>
        <v/>
      </c>
      <c r="Q13" s="3">
        <f>IF(P13="","",(P13-AVERAGE(P6:P1198))/(STDEV(P6:P1198)+1E-12))</f>
        <v/>
      </c>
      <c r="R13" s="3">
        <f>IF('3a Raw'!K13="","",MAX(-3,MIN(3,('3a Raw'!K13-$R3)/$R4)))</f>
        <v/>
      </c>
      <c r="S13" s="3">
        <f>IF(R13="","",(R13-AVERAGE(R6:R1198))/(STDEV(R6:R1198)+1E-12))</f>
        <v/>
      </c>
      <c r="T13" s="3">
        <f>IF('3a Raw'!L13="","",MAX(-3,MIN(3,('3a Raw'!L13-$T3)/$T4)))</f>
        <v/>
      </c>
      <c r="U13" s="3">
        <f>IF(T13="","",(T13-AVERAGE(T6:T1198))/(STDEV(T6:T1198)+1E-12))</f>
        <v/>
      </c>
      <c r="X13" s="3">
        <f>IF(U13="","",U13-($V$3*G13+$W$3))</f>
        <v/>
      </c>
      <c r="Y13" s="3">
        <f>IF(X13="","",MAX(-3,MIN(3,(X13-$X3)/$X4)))</f>
        <v/>
      </c>
      <c r="Z13" s="3">
        <f>IF(Y13="","",(Y13-AVERAGE(Y6:Y1198))/(STDEV(Y6:Y1198)+1E-12))</f>
        <v/>
      </c>
      <c r="AB13" s="1" t="inlineStr">
        <is>
          <t>ResidVol</t>
        </is>
      </c>
      <c r="AC13" s="3" t="n">
        <v>0.2243421974496389</v>
      </c>
      <c r="AD13" s="3" t="n">
        <v>0.2243421974496389</v>
      </c>
    </row>
    <row r="14">
      <c r="A14" t="inlineStr">
        <is>
          <t>BBG001Y2XS07</t>
        </is>
      </c>
      <c r="B14" s="3">
        <f>IF('3a Raw'!C14="","",MAX(-3,MIN(3,('3a Raw'!C14-$B3)/$B4)))</f>
        <v/>
      </c>
      <c r="C14" s="3">
        <f>IF(B14="","",(B14-AVERAGE(B6:B1198))/(STDEV(B6:B1198)+1E-12))</f>
        <v/>
      </c>
      <c r="D14" s="3">
        <f>IF('3a Raw'!D14="","",MAX(-3,MIN(3,('3a Raw'!D14-$D3)/$D4)))</f>
        <v/>
      </c>
      <c r="E14" s="3">
        <f>IF(D14="","",(D14-AVERAGE(D6:D1198))/(STDEV(D6:D1198)+1E-12))</f>
        <v/>
      </c>
      <c r="F14" s="3">
        <f>IF('3a Raw'!E14="","",MAX(-3,MIN(3,('3a Raw'!E14-$F3)/$F4)))</f>
        <v/>
      </c>
      <c r="G14" s="3">
        <f>IF(F14="","",(F14-AVERAGE(F6:F1198))/(STDEV(F6:F1198)+1E-12))</f>
        <v/>
      </c>
      <c r="H14" s="3">
        <f>IF('3a Raw'!F14="","",MAX(-3,MIN(3,('3a Raw'!F14-$H3)/$H4)))</f>
        <v/>
      </c>
      <c r="I14" s="3">
        <f>IF(H14="","",(H14-AVERAGE(H6:H1198))/(STDEV(H6:H1198)+1E-12))</f>
        <v/>
      </c>
      <c r="J14" s="3">
        <f>IF('3a Raw'!G14="","",MAX(-3,MIN(3,('3a Raw'!G14-$J3)/$J4)))</f>
        <v/>
      </c>
      <c r="K14" s="3">
        <f>IF(J14="","",(J14-AVERAGE(J6:J1198))/(STDEV(J6:J1198)+1E-12))</f>
        <v/>
      </c>
      <c r="L14" s="3">
        <f>IF('3a Raw'!H14="","",MAX(-3,MIN(3,('3a Raw'!H14-$L3)/$L4)))</f>
        <v/>
      </c>
      <c r="M14" s="3">
        <f>IF(L14="","",(L14-AVERAGE(L6:L1198))/(STDEV(L6:L1198)+1E-12))</f>
        <v/>
      </c>
      <c r="N14" s="3">
        <f>IF('3a Raw'!I14="","",MAX(-3,MIN(3,('3a Raw'!I14-$N3)/$N4)))</f>
        <v/>
      </c>
      <c r="O14" s="3">
        <f>IF(N14="","",(N14-AVERAGE(N6:N1198))/(STDEV(N6:N1198)+1E-12))</f>
        <v/>
      </c>
      <c r="P14" s="3">
        <f>IF('3a Raw'!J14="","",MAX(-3,MIN(3,('3a Raw'!J14-$P3)/$P4)))</f>
        <v/>
      </c>
      <c r="Q14" s="3">
        <f>IF(P14="","",(P14-AVERAGE(P6:P1198))/(STDEV(P6:P1198)+1E-12))</f>
        <v/>
      </c>
      <c r="R14" s="3">
        <f>IF('3a Raw'!K14="","",MAX(-3,MIN(3,('3a Raw'!K14-$R3)/$R4)))</f>
        <v/>
      </c>
      <c r="S14" s="3">
        <f>IF(R14="","",(R14-AVERAGE(R6:R1198))/(STDEV(R6:R1198)+1E-12))</f>
        <v/>
      </c>
      <c r="T14" s="3">
        <f>IF('3a Raw'!L14="","",MAX(-3,MIN(3,('3a Raw'!L14-$T3)/$T4)))</f>
        <v/>
      </c>
      <c r="U14" s="3">
        <f>IF(T14="","",(T14-AVERAGE(T6:T1198))/(STDEV(T6:T1198)+1E-12))</f>
        <v/>
      </c>
      <c r="X14" s="3">
        <f>IF(U14="","",U14-($V$3*G14+$W$3))</f>
        <v/>
      </c>
      <c r="Y14" s="3">
        <f>IF(X14="","",MAX(-3,MIN(3,(X14-$X3)/$X4)))</f>
        <v/>
      </c>
      <c r="Z14" s="3">
        <f>IF(Y14="","",(Y14-AVERAGE(Y6:Y1198))/(STDEV(Y6:Y1198)+1E-12))</f>
        <v/>
      </c>
      <c r="AB14" s="1" t="inlineStr">
        <is>
          <t>EarnYield</t>
        </is>
      </c>
      <c r="AC14" s="3" t="n">
        <v>1.096685984477744</v>
      </c>
      <c r="AD14" s="3" t="n">
        <v>1.096685984477744</v>
      </c>
    </row>
    <row r="15">
      <c r="A15" t="inlineStr">
        <is>
          <t>BBG000KMVDV1</t>
        </is>
      </c>
      <c r="B15" s="3">
        <f>IF('3a Raw'!C15="","",MAX(-3,MIN(3,('3a Raw'!C15-$B3)/$B4)))</f>
        <v/>
      </c>
      <c r="C15" s="3">
        <f>IF(B15="","",(B15-AVERAGE(B6:B1198))/(STDEV(B6:B1198)+1E-12))</f>
        <v/>
      </c>
      <c r="D15" s="3">
        <f>IF('3a Raw'!D15="","",MAX(-3,MIN(3,('3a Raw'!D15-$D3)/$D4)))</f>
        <v/>
      </c>
      <c r="E15" s="3">
        <f>IF(D15="","",(D15-AVERAGE(D6:D1198))/(STDEV(D6:D1198)+1E-12))</f>
        <v/>
      </c>
      <c r="F15" s="3">
        <f>IF('3a Raw'!E15="","",MAX(-3,MIN(3,('3a Raw'!E15-$F3)/$F4)))</f>
        <v/>
      </c>
      <c r="G15" s="3">
        <f>IF(F15="","",(F15-AVERAGE(F6:F1198))/(STDEV(F6:F1198)+1E-12))</f>
        <v/>
      </c>
      <c r="H15" s="3">
        <f>IF('3a Raw'!F15="","",MAX(-3,MIN(3,('3a Raw'!F15-$H3)/$H4)))</f>
        <v/>
      </c>
      <c r="I15" s="3">
        <f>IF(H15="","",(H15-AVERAGE(H6:H1198))/(STDEV(H6:H1198)+1E-12))</f>
        <v/>
      </c>
      <c r="J15" s="3">
        <f>IF('3a Raw'!G15="","",MAX(-3,MIN(3,('3a Raw'!G15-$J3)/$J4)))</f>
        <v/>
      </c>
      <c r="K15" s="3">
        <f>IF(J15="","",(J15-AVERAGE(J6:J1198))/(STDEV(J6:J1198)+1E-12))</f>
        <v/>
      </c>
      <c r="L15" s="3">
        <f>IF('3a Raw'!H15="","",MAX(-3,MIN(3,('3a Raw'!H15-$L3)/$L4)))</f>
        <v/>
      </c>
      <c r="M15" s="3">
        <f>IF(L15="","",(L15-AVERAGE(L6:L1198))/(STDEV(L6:L1198)+1E-12))</f>
        <v/>
      </c>
      <c r="N15" s="3">
        <f>IF('3a Raw'!I15="","",MAX(-3,MIN(3,('3a Raw'!I15-$N3)/$N4)))</f>
        <v/>
      </c>
      <c r="O15" s="3">
        <f>IF(N15="","",(N15-AVERAGE(N6:N1198))/(STDEV(N6:N1198)+1E-12))</f>
        <v/>
      </c>
      <c r="P15" s="3">
        <f>IF('3a Raw'!J15="","",MAX(-3,MIN(3,('3a Raw'!J15-$P3)/$P4)))</f>
        <v/>
      </c>
      <c r="Q15" s="3">
        <f>IF(P15="","",(P15-AVERAGE(P6:P1198))/(STDEV(P6:P1198)+1E-12))</f>
        <v/>
      </c>
      <c r="R15" s="3">
        <f>IF('3a Raw'!K15="","",MAX(-3,MIN(3,('3a Raw'!K15-$R3)/$R4)))</f>
        <v/>
      </c>
      <c r="S15" s="3">
        <f>IF(R15="","",(R15-AVERAGE(R6:R1198))/(STDEV(R6:R1198)+1E-12))</f>
        <v/>
      </c>
      <c r="T15" s="3">
        <f>IF('3a Raw'!L15="","",MAX(-3,MIN(3,('3a Raw'!L15-$T3)/$T4)))</f>
        <v/>
      </c>
      <c r="U15" s="3">
        <f>IF(T15="","",(T15-AVERAGE(T6:T1198))/(STDEV(T6:T1198)+1E-12))</f>
        <v/>
      </c>
      <c r="X15" s="3">
        <f>IF(U15="","",U15-($V$3*G15+$W$3))</f>
        <v/>
      </c>
      <c r="Y15" s="3">
        <f>IF(X15="","",MAX(-3,MIN(3,(X15-$X3)/$X4)))</f>
        <v/>
      </c>
      <c r="Z15" s="3">
        <f>IF(Y15="","",(Y15-AVERAGE(Y6:Y1198))/(STDEV(Y6:Y1198)+1E-12))</f>
        <v/>
      </c>
      <c r="AB15" s="1" t="inlineStr">
        <is>
          <t>NonLinSize</t>
        </is>
      </c>
      <c r="AC15" s="3" t="n">
        <v>1.946776774178869</v>
      </c>
      <c r="AD15" s="3" t="n">
        <v>1.946776774178869</v>
      </c>
    </row>
    <row r="16">
      <c r="A16" t="inlineStr">
        <is>
          <t>BBG000B9ZXB4</t>
        </is>
      </c>
      <c r="B16" s="3">
        <f>IF('3a Raw'!C16="","",MAX(-3,MIN(3,('3a Raw'!C16-$B3)/$B4)))</f>
        <v/>
      </c>
      <c r="C16" s="3">
        <f>IF(B16="","",(B16-AVERAGE(B6:B1198))/(STDEV(B6:B1198)+1E-12))</f>
        <v/>
      </c>
      <c r="D16" s="3">
        <f>IF('3a Raw'!D16="","",MAX(-3,MIN(3,('3a Raw'!D16-$D3)/$D4)))</f>
        <v/>
      </c>
      <c r="E16" s="3">
        <f>IF(D16="","",(D16-AVERAGE(D6:D1198))/(STDEV(D6:D1198)+1E-12))</f>
        <v/>
      </c>
      <c r="F16" s="3">
        <f>IF('3a Raw'!E16="","",MAX(-3,MIN(3,('3a Raw'!E16-$F3)/$F4)))</f>
        <v/>
      </c>
      <c r="G16" s="3">
        <f>IF(F16="","",(F16-AVERAGE(F6:F1198))/(STDEV(F6:F1198)+1E-12))</f>
        <v/>
      </c>
      <c r="H16" s="3">
        <f>IF('3a Raw'!F16="","",MAX(-3,MIN(3,('3a Raw'!F16-$H3)/$H4)))</f>
        <v/>
      </c>
      <c r="I16" s="3">
        <f>IF(H16="","",(H16-AVERAGE(H6:H1198))/(STDEV(H6:H1198)+1E-12))</f>
        <v/>
      </c>
      <c r="J16" s="3">
        <f>IF('3a Raw'!G16="","",MAX(-3,MIN(3,('3a Raw'!G16-$J3)/$J4)))</f>
        <v/>
      </c>
      <c r="K16" s="3">
        <f>IF(J16="","",(J16-AVERAGE(J6:J1198))/(STDEV(J6:J1198)+1E-12))</f>
        <v/>
      </c>
      <c r="L16" s="3">
        <f>IF('3a Raw'!H16="","",MAX(-3,MIN(3,('3a Raw'!H16-$L3)/$L4)))</f>
        <v/>
      </c>
      <c r="M16" s="3">
        <f>IF(L16="","",(L16-AVERAGE(L6:L1198))/(STDEV(L6:L1198)+1E-12))</f>
        <v/>
      </c>
      <c r="N16" s="3">
        <f>IF('3a Raw'!I16="","",MAX(-3,MIN(3,('3a Raw'!I16-$N3)/$N4)))</f>
        <v/>
      </c>
      <c r="O16" s="3">
        <f>IF(N16="","",(N16-AVERAGE(N6:N1198))/(STDEV(N6:N1198)+1E-12))</f>
        <v/>
      </c>
      <c r="P16" s="3">
        <f>IF('3a Raw'!J16="","",MAX(-3,MIN(3,('3a Raw'!J16-$P3)/$P4)))</f>
        <v/>
      </c>
      <c r="Q16" s="3">
        <f>IF(P16="","",(P16-AVERAGE(P6:P1198))/(STDEV(P6:P1198)+1E-12))</f>
        <v/>
      </c>
      <c r="R16" s="3">
        <f>IF('3a Raw'!K16="","",MAX(-3,MIN(3,('3a Raw'!K16-$R3)/$R4)))</f>
        <v/>
      </c>
      <c r="S16" s="3">
        <f>IF(R16="","",(R16-AVERAGE(R6:R1198))/(STDEV(R6:R1198)+1E-12))</f>
        <v/>
      </c>
      <c r="T16" s="3">
        <f>IF('3a Raw'!L16="","",MAX(-3,MIN(3,('3a Raw'!L16-$T3)/$T4)))</f>
        <v/>
      </c>
      <c r="U16" s="3">
        <f>IF(T16="","",(T16-AVERAGE(T6:T1198))/(STDEV(T6:T1198)+1E-12))</f>
        <v/>
      </c>
      <c r="X16" s="3">
        <f>IF(U16="","",U16-($V$3*G16+$W$3))</f>
        <v/>
      </c>
      <c r="Y16" s="3">
        <f>IF(X16="","",MAX(-3,MIN(3,(X16-$X3)/$X4)))</f>
        <v/>
      </c>
      <c r="Z16" s="3">
        <f>IF(Y16="","",(Y16-AVERAGE(Y6:Y1198))/(STDEV(Y6:Y1198)+1E-12))</f>
        <v/>
      </c>
    </row>
    <row r="17">
      <c r="A17" t="inlineStr">
        <is>
          <t>BBG00VY1KB95</t>
        </is>
      </c>
      <c r="B17" s="3">
        <f>IF('3a Raw'!C17="","",MAX(-3,MIN(3,('3a Raw'!C17-$B3)/$B4)))</f>
        <v/>
      </c>
      <c r="C17" s="3">
        <f>IF(B17="","",(B17-AVERAGE(B6:B1198))/(STDEV(B6:B1198)+1E-12))</f>
        <v/>
      </c>
      <c r="D17" s="3">
        <f>IF('3a Raw'!D17="","",MAX(-3,MIN(3,('3a Raw'!D17-$D3)/$D4)))</f>
        <v/>
      </c>
      <c r="E17" s="3">
        <f>IF(D17="","",(D17-AVERAGE(D6:D1198))/(STDEV(D6:D1198)+1E-12))</f>
        <v/>
      </c>
      <c r="F17" s="3">
        <f>IF('3a Raw'!E17="","",MAX(-3,MIN(3,('3a Raw'!E17-$F3)/$F4)))</f>
        <v/>
      </c>
      <c r="G17" s="3">
        <f>IF(F17="","",(F17-AVERAGE(F6:F1198))/(STDEV(F6:F1198)+1E-12))</f>
        <v/>
      </c>
      <c r="H17" s="3">
        <f>IF('3a Raw'!F17="","",MAX(-3,MIN(3,('3a Raw'!F17-$H3)/$H4)))</f>
        <v/>
      </c>
      <c r="I17" s="3">
        <f>IF(H17="","",(H17-AVERAGE(H6:H1198))/(STDEV(H6:H1198)+1E-12))</f>
        <v/>
      </c>
      <c r="J17" s="3">
        <f>IF('3a Raw'!G17="","",MAX(-3,MIN(3,('3a Raw'!G17-$J3)/$J4)))</f>
        <v/>
      </c>
      <c r="K17" s="3">
        <f>IF(J17="","",(J17-AVERAGE(J6:J1198))/(STDEV(J6:J1198)+1E-12))</f>
        <v/>
      </c>
      <c r="L17" s="3">
        <f>IF('3a Raw'!H17="","",MAX(-3,MIN(3,('3a Raw'!H17-$L3)/$L4)))</f>
        <v/>
      </c>
      <c r="M17" s="3">
        <f>IF(L17="","",(L17-AVERAGE(L6:L1198))/(STDEV(L6:L1198)+1E-12))</f>
        <v/>
      </c>
      <c r="N17" s="3">
        <f>IF('3a Raw'!I17="","",MAX(-3,MIN(3,('3a Raw'!I17-$N3)/$N4)))</f>
        <v/>
      </c>
      <c r="O17" s="3">
        <f>IF(N17="","",(N17-AVERAGE(N6:N1198))/(STDEV(N6:N1198)+1E-12))</f>
        <v/>
      </c>
      <c r="P17" s="3">
        <f>IF('3a Raw'!J17="","",MAX(-3,MIN(3,('3a Raw'!J17-$P3)/$P4)))</f>
        <v/>
      </c>
      <c r="Q17" s="3">
        <f>IF(P17="","",(P17-AVERAGE(P6:P1198))/(STDEV(P6:P1198)+1E-12))</f>
        <v/>
      </c>
      <c r="R17" s="3">
        <f>IF('3a Raw'!K17="","",MAX(-3,MIN(3,('3a Raw'!K17-$R3)/$R4)))</f>
        <v/>
      </c>
      <c r="S17" s="3">
        <f>IF(R17="","",(R17-AVERAGE(R6:R1198))/(STDEV(R6:R1198)+1E-12))</f>
        <v/>
      </c>
      <c r="T17" s="3">
        <f>IF('3a Raw'!L17="","",MAX(-3,MIN(3,('3a Raw'!L17-$T3)/$T4)))</f>
        <v/>
      </c>
      <c r="U17" s="3">
        <f>IF(T17="","",(T17-AVERAGE(T6:T1198))/(STDEV(T6:T1198)+1E-12))</f>
        <v/>
      </c>
      <c r="X17" s="3">
        <f>IF(U17="","",U17-($V$3*G17+$W$3))</f>
        <v/>
      </c>
      <c r="Y17" s="3">
        <f>IF(X17="","",MAX(-3,MIN(3,(X17-$X3)/$X4)))</f>
        <v/>
      </c>
      <c r="Z17" s="3">
        <f>IF(Y17="","",(Y17-AVERAGE(Y6:Y1198))/(STDEV(Y6:Y1198)+1E-12))</f>
        <v/>
      </c>
    </row>
    <row r="18">
      <c r="A18" t="inlineStr">
        <is>
          <t>BBG000BHG9K0</t>
        </is>
      </c>
      <c r="B18" s="3">
        <f>IF('3a Raw'!C18="","",MAX(-3,MIN(3,('3a Raw'!C18-$B3)/$B4)))</f>
        <v/>
      </c>
      <c r="C18" s="3">
        <f>IF(B18="","",(B18-AVERAGE(B6:B1198))/(STDEV(B6:B1198)+1E-12))</f>
        <v/>
      </c>
      <c r="D18" s="3">
        <f>IF('3a Raw'!D18="","",MAX(-3,MIN(3,('3a Raw'!D18-$D3)/$D4)))</f>
        <v/>
      </c>
      <c r="E18" s="3">
        <f>IF(D18="","",(D18-AVERAGE(D6:D1198))/(STDEV(D6:D1198)+1E-12))</f>
        <v/>
      </c>
      <c r="F18" s="3">
        <f>IF('3a Raw'!E18="","",MAX(-3,MIN(3,('3a Raw'!E18-$F3)/$F4)))</f>
        <v/>
      </c>
      <c r="G18" s="3">
        <f>IF(F18="","",(F18-AVERAGE(F6:F1198))/(STDEV(F6:F1198)+1E-12))</f>
        <v/>
      </c>
      <c r="H18" s="3">
        <f>IF('3a Raw'!F18="","",MAX(-3,MIN(3,('3a Raw'!F18-$H3)/$H4)))</f>
        <v/>
      </c>
      <c r="I18" s="3">
        <f>IF(H18="","",(H18-AVERAGE(H6:H1198))/(STDEV(H6:H1198)+1E-12))</f>
        <v/>
      </c>
      <c r="J18" s="3">
        <f>IF('3a Raw'!G18="","",MAX(-3,MIN(3,('3a Raw'!G18-$J3)/$J4)))</f>
        <v/>
      </c>
      <c r="K18" s="3">
        <f>IF(J18="","",(J18-AVERAGE(J6:J1198))/(STDEV(J6:J1198)+1E-12))</f>
        <v/>
      </c>
      <c r="L18" s="3">
        <f>IF('3a Raw'!H18="","",MAX(-3,MIN(3,('3a Raw'!H18-$L3)/$L4)))</f>
        <v/>
      </c>
      <c r="M18" s="3">
        <f>IF(L18="","",(L18-AVERAGE(L6:L1198))/(STDEV(L6:L1198)+1E-12))</f>
        <v/>
      </c>
      <c r="N18" s="3">
        <f>IF('3a Raw'!I18="","",MAX(-3,MIN(3,('3a Raw'!I18-$N3)/$N4)))</f>
        <v/>
      </c>
      <c r="O18" s="3">
        <f>IF(N18="","",(N18-AVERAGE(N6:N1198))/(STDEV(N6:N1198)+1E-12))</f>
        <v/>
      </c>
      <c r="P18" s="3">
        <f>IF('3a Raw'!J18="","",MAX(-3,MIN(3,('3a Raw'!J18-$P3)/$P4)))</f>
        <v/>
      </c>
      <c r="Q18" s="3">
        <f>IF(P18="","",(P18-AVERAGE(P6:P1198))/(STDEV(P6:P1198)+1E-12))</f>
        <v/>
      </c>
      <c r="R18" s="3">
        <f>IF('3a Raw'!K18="","",MAX(-3,MIN(3,('3a Raw'!K18-$R3)/$R4)))</f>
        <v/>
      </c>
      <c r="S18" s="3">
        <f>IF(R18="","",(R18-AVERAGE(R6:R1198))/(STDEV(R6:R1198)+1E-12))</f>
        <v/>
      </c>
      <c r="T18" s="3">
        <f>IF('3a Raw'!L18="","",MAX(-3,MIN(3,('3a Raw'!L18-$T3)/$T4)))</f>
        <v/>
      </c>
      <c r="U18" s="3">
        <f>IF(T18="","",(T18-AVERAGE(T6:T1198))/(STDEV(T6:T1198)+1E-12))</f>
        <v/>
      </c>
      <c r="X18" s="3">
        <f>IF(U18="","",U18-($V$3*G18+$W$3))</f>
        <v/>
      </c>
      <c r="Y18" s="3">
        <f>IF(X18="","",MAX(-3,MIN(3,(X18-$X3)/$X4)))</f>
        <v/>
      </c>
      <c r="Z18" s="3">
        <f>IF(Y18="","",(Y18-AVERAGE(Y6:Y1198))/(STDEV(Y6:Y1198)+1E-12))</f>
        <v/>
      </c>
    </row>
    <row r="19">
      <c r="A19" t="inlineStr">
        <is>
          <t>acgl</t>
        </is>
      </c>
      <c r="B19" s="3">
        <f>IF('3a Raw'!C19="","",MAX(-3,MIN(3,('3a Raw'!C19-$B3)/$B4)))</f>
        <v/>
      </c>
      <c r="C19" s="3">
        <f>IF(B19="","",(B19-AVERAGE(B6:B1198))/(STDEV(B6:B1198)+1E-12))</f>
        <v/>
      </c>
      <c r="D19" s="3">
        <f>IF('3a Raw'!D19="","",MAX(-3,MIN(3,('3a Raw'!D19-$D3)/$D4)))</f>
        <v/>
      </c>
      <c r="E19" s="3">
        <f>IF(D19="","",(D19-AVERAGE(D6:D1198))/(STDEV(D6:D1198)+1E-12))</f>
        <v/>
      </c>
      <c r="F19" s="3">
        <f>IF('3a Raw'!E19="","",MAX(-3,MIN(3,('3a Raw'!E19-$F3)/$F4)))</f>
        <v/>
      </c>
      <c r="G19" s="3">
        <f>IF(F19="","",(F19-AVERAGE(F6:F1198))/(STDEV(F6:F1198)+1E-12))</f>
        <v/>
      </c>
      <c r="H19" s="3">
        <f>IF('3a Raw'!F19="","",MAX(-3,MIN(3,('3a Raw'!F19-$H3)/$H4)))</f>
        <v/>
      </c>
      <c r="I19" s="3">
        <f>IF(H19="","",(H19-AVERAGE(H6:H1198))/(STDEV(H6:H1198)+1E-12))</f>
        <v/>
      </c>
      <c r="J19" s="3">
        <f>IF('3a Raw'!G19="","",MAX(-3,MIN(3,('3a Raw'!G19-$J3)/$J4)))</f>
        <v/>
      </c>
      <c r="K19" s="3">
        <f>IF(J19="","",(J19-AVERAGE(J6:J1198))/(STDEV(J6:J1198)+1E-12))</f>
        <v/>
      </c>
      <c r="L19" s="3">
        <f>IF('3a Raw'!H19="","",MAX(-3,MIN(3,('3a Raw'!H19-$L3)/$L4)))</f>
        <v/>
      </c>
      <c r="M19" s="3">
        <f>IF(L19="","",(L19-AVERAGE(L6:L1198))/(STDEV(L6:L1198)+1E-12))</f>
        <v/>
      </c>
      <c r="N19" s="3">
        <f>IF('3a Raw'!I19="","",MAX(-3,MIN(3,('3a Raw'!I19-$N3)/$N4)))</f>
        <v/>
      </c>
      <c r="O19" s="3">
        <f>IF(N19="","",(N19-AVERAGE(N6:N1198))/(STDEV(N6:N1198)+1E-12))</f>
        <v/>
      </c>
      <c r="P19" s="3">
        <f>IF('3a Raw'!J19="","",MAX(-3,MIN(3,('3a Raw'!J19-$P3)/$P4)))</f>
        <v/>
      </c>
      <c r="Q19" s="3">
        <f>IF(P19="","",(P19-AVERAGE(P6:P1198))/(STDEV(P6:P1198)+1E-12))</f>
        <v/>
      </c>
      <c r="R19" s="3">
        <f>IF('3a Raw'!K19="","",MAX(-3,MIN(3,('3a Raw'!K19-$R3)/$R4)))</f>
        <v/>
      </c>
      <c r="S19" s="3">
        <f>IF(R19="","",(R19-AVERAGE(R6:R1198))/(STDEV(R6:R1198)+1E-12))</f>
        <v/>
      </c>
      <c r="T19" s="3">
        <f>IF('3a Raw'!L19="","",MAX(-3,MIN(3,('3a Raw'!L19-$T3)/$T4)))</f>
        <v/>
      </c>
      <c r="U19" s="3">
        <f>IF(T19="","",(T19-AVERAGE(T6:T1198))/(STDEV(T6:T1198)+1E-12))</f>
        <v/>
      </c>
      <c r="X19" s="3">
        <f>IF(U19="","",U19-($V$3*G19+$W$3))</f>
        <v/>
      </c>
      <c r="Y19" s="3">
        <f>IF(X19="","",MAX(-3,MIN(3,(X19-$X3)/$X4)))</f>
        <v/>
      </c>
      <c r="Z19" s="3">
        <f>IF(Y19="","",(Y19-AVERAGE(Y6:Y1198))/(STDEV(Y6:Y1198)+1E-12))</f>
        <v/>
      </c>
    </row>
    <row r="20">
      <c r="A20" t="inlineStr">
        <is>
          <t>BBG000FPNN38</t>
        </is>
      </c>
      <c r="B20" s="3">
        <f>IF('3a Raw'!C20="","",MAX(-3,MIN(3,('3a Raw'!C20-$B3)/$B4)))</f>
        <v/>
      </c>
      <c r="C20" s="3">
        <f>IF(B20="","",(B20-AVERAGE(B6:B1198))/(STDEV(B6:B1198)+1E-12))</f>
        <v/>
      </c>
      <c r="D20" s="3">
        <f>IF('3a Raw'!D20="","",MAX(-3,MIN(3,('3a Raw'!D20-$D3)/$D4)))</f>
        <v/>
      </c>
      <c r="E20" s="3">
        <f>IF(D20="","",(D20-AVERAGE(D6:D1198))/(STDEV(D6:D1198)+1E-12))</f>
        <v/>
      </c>
      <c r="F20" s="3">
        <f>IF('3a Raw'!E20="","",MAX(-3,MIN(3,('3a Raw'!E20-$F3)/$F4)))</f>
        <v/>
      </c>
      <c r="G20" s="3">
        <f>IF(F20="","",(F20-AVERAGE(F6:F1198))/(STDEV(F6:F1198)+1E-12))</f>
        <v/>
      </c>
      <c r="H20" s="3">
        <f>IF('3a Raw'!F20="","",MAX(-3,MIN(3,('3a Raw'!F20-$H3)/$H4)))</f>
        <v/>
      </c>
      <c r="I20" s="3">
        <f>IF(H20="","",(H20-AVERAGE(H6:H1198))/(STDEV(H6:H1198)+1E-12))</f>
        <v/>
      </c>
      <c r="J20" s="3">
        <f>IF('3a Raw'!G20="","",MAX(-3,MIN(3,('3a Raw'!G20-$J3)/$J4)))</f>
        <v/>
      </c>
      <c r="K20" s="3">
        <f>IF(J20="","",(J20-AVERAGE(J6:J1198))/(STDEV(J6:J1198)+1E-12))</f>
        <v/>
      </c>
      <c r="L20" s="3">
        <f>IF('3a Raw'!H20="","",MAX(-3,MIN(3,('3a Raw'!H20-$L3)/$L4)))</f>
        <v/>
      </c>
      <c r="M20" s="3">
        <f>IF(L20="","",(L20-AVERAGE(L6:L1198))/(STDEV(L6:L1198)+1E-12))</f>
        <v/>
      </c>
      <c r="N20" s="3">
        <f>IF('3a Raw'!I20="","",MAX(-3,MIN(3,('3a Raw'!I20-$N3)/$N4)))</f>
        <v/>
      </c>
      <c r="O20" s="3">
        <f>IF(N20="","",(N20-AVERAGE(N6:N1198))/(STDEV(N6:N1198)+1E-12))</f>
        <v/>
      </c>
      <c r="P20" s="3">
        <f>IF('3a Raw'!J20="","",MAX(-3,MIN(3,('3a Raw'!J20-$P3)/$P4)))</f>
        <v/>
      </c>
      <c r="Q20" s="3">
        <f>IF(P20="","",(P20-AVERAGE(P6:P1198))/(STDEV(P6:P1198)+1E-12))</f>
        <v/>
      </c>
      <c r="R20" s="3">
        <f>IF('3a Raw'!K20="","",MAX(-3,MIN(3,('3a Raw'!K20-$R3)/$R4)))</f>
        <v/>
      </c>
      <c r="S20" s="3">
        <f>IF(R20="","",(R20-AVERAGE(R6:R1198))/(STDEV(R6:R1198)+1E-12))</f>
        <v/>
      </c>
      <c r="T20" s="3">
        <f>IF('3a Raw'!L20="","",MAX(-3,MIN(3,('3a Raw'!L20-$T3)/$T4)))</f>
        <v/>
      </c>
      <c r="U20" s="3">
        <f>IF(T20="","",(T20-AVERAGE(T6:T1198))/(STDEV(T6:T1198)+1E-12))</f>
        <v/>
      </c>
      <c r="X20" s="3">
        <f>IF(U20="","",U20-($V$3*G20+$W$3))</f>
        <v/>
      </c>
      <c r="Y20" s="3">
        <f>IF(X20="","",MAX(-3,MIN(3,(X20-$X3)/$X4)))</f>
        <v/>
      </c>
      <c r="Z20" s="3">
        <f>IF(Y20="","",(Y20-AVERAGE(Y6:Y1198))/(STDEV(Y6:Y1198)+1E-12))</f>
        <v/>
      </c>
    </row>
    <row r="21">
      <c r="A21" t="inlineStr">
        <is>
          <t>BBG009KG1750</t>
        </is>
      </c>
      <c r="B21" s="3">
        <f>IF('3a Raw'!C21="","",MAX(-3,MIN(3,('3a Raw'!C21-$B3)/$B4)))</f>
        <v/>
      </c>
      <c r="C21" s="3">
        <f>IF(B21="","",(B21-AVERAGE(B6:B1198))/(STDEV(B6:B1198)+1E-12))</f>
        <v/>
      </c>
      <c r="D21" s="3">
        <f>IF('3a Raw'!D21="","",MAX(-3,MIN(3,('3a Raw'!D21-$D3)/$D4)))</f>
        <v/>
      </c>
      <c r="E21" s="3">
        <f>IF(D21="","",(D21-AVERAGE(D6:D1198))/(STDEV(D6:D1198)+1E-12))</f>
        <v/>
      </c>
      <c r="F21" s="3">
        <f>IF('3a Raw'!E21="","",MAX(-3,MIN(3,('3a Raw'!E21-$F3)/$F4)))</f>
        <v/>
      </c>
      <c r="G21" s="3">
        <f>IF(F21="","",(F21-AVERAGE(F6:F1198))/(STDEV(F6:F1198)+1E-12))</f>
        <v/>
      </c>
      <c r="H21" s="3">
        <f>IF('3a Raw'!F21="","",MAX(-3,MIN(3,('3a Raw'!F21-$H3)/$H4)))</f>
        <v/>
      </c>
      <c r="I21" s="3">
        <f>IF(H21="","",(H21-AVERAGE(H6:H1198))/(STDEV(H6:H1198)+1E-12))</f>
        <v/>
      </c>
      <c r="J21" s="3">
        <f>IF('3a Raw'!G21="","",MAX(-3,MIN(3,('3a Raw'!G21-$J3)/$J4)))</f>
        <v/>
      </c>
      <c r="K21" s="3">
        <f>IF(J21="","",(J21-AVERAGE(J6:J1198))/(STDEV(J6:J1198)+1E-12))</f>
        <v/>
      </c>
      <c r="L21" s="3">
        <f>IF('3a Raw'!H21="","",MAX(-3,MIN(3,('3a Raw'!H21-$L3)/$L4)))</f>
        <v/>
      </c>
      <c r="M21" s="3">
        <f>IF(L21="","",(L21-AVERAGE(L6:L1198))/(STDEV(L6:L1198)+1E-12))</f>
        <v/>
      </c>
      <c r="N21" s="3">
        <f>IF('3a Raw'!I21="","",MAX(-3,MIN(3,('3a Raw'!I21-$N3)/$N4)))</f>
        <v/>
      </c>
      <c r="O21" s="3">
        <f>IF(N21="","",(N21-AVERAGE(N6:N1198))/(STDEV(N6:N1198)+1E-12))</f>
        <v/>
      </c>
      <c r="P21" s="3">
        <f>IF('3a Raw'!J21="","",MAX(-3,MIN(3,('3a Raw'!J21-$P3)/$P4)))</f>
        <v/>
      </c>
      <c r="Q21" s="3">
        <f>IF(P21="","",(P21-AVERAGE(P6:P1198))/(STDEV(P6:P1198)+1E-12))</f>
        <v/>
      </c>
      <c r="R21" s="3">
        <f>IF('3a Raw'!K21="","",MAX(-3,MIN(3,('3a Raw'!K21-$R3)/$R4)))</f>
        <v/>
      </c>
      <c r="S21" s="3">
        <f>IF(R21="","",(R21-AVERAGE(R6:R1198))/(STDEV(R6:R1198)+1E-12))</f>
        <v/>
      </c>
      <c r="T21" s="3">
        <f>IF('3a Raw'!L21="","",MAX(-3,MIN(3,('3a Raw'!L21-$T3)/$T4)))</f>
        <v/>
      </c>
      <c r="U21" s="3">
        <f>IF(T21="","",(T21-AVERAGE(T6:T1198))/(STDEV(T6:T1198)+1E-12))</f>
        <v/>
      </c>
      <c r="X21" s="3">
        <f>IF(U21="","",U21-($V$3*G21+$W$3))</f>
        <v/>
      </c>
      <c r="Y21" s="3">
        <f>IF(X21="","",MAX(-3,MIN(3,(X21-$X3)/$X4)))</f>
        <v/>
      </c>
      <c r="Z21" s="3">
        <f>IF(Y21="","",(Y21-AVERAGE(Y6:Y1198))/(STDEV(Y6:Y1198)+1E-12))</f>
        <v/>
      </c>
    </row>
    <row r="22">
      <c r="A22" t="inlineStr">
        <is>
          <t>acn</t>
        </is>
      </c>
      <c r="B22" s="3">
        <f>IF('3a Raw'!C22="","",MAX(-3,MIN(3,('3a Raw'!C22-$B3)/$B4)))</f>
        <v/>
      </c>
      <c r="C22" s="3">
        <f>IF(B22="","",(B22-AVERAGE(B6:B1198))/(STDEV(B6:B1198)+1E-12))</f>
        <v/>
      </c>
      <c r="D22" s="3">
        <f>IF('3a Raw'!D22="","",MAX(-3,MIN(3,('3a Raw'!D22-$D3)/$D4)))</f>
        <v/>
      </c>
      <c r="E22" s="3">
        <f>IF(D22="","",(D22-AVERAGE(D6:D1198))/(STDEV(D6:D1198)+1E-12))</f>
        <v/>
      </c>
      <c r="F22" s="3">
        <f>IF('3a Raw'!E22="","",MAX(-3,MIN(3,('3a Raw'!E22-$F3)/$F4)))</f>
        <v/>
      </c>
      <c r="G22" s="3">
        <f>IF(F22="","",(F22-AVERAGE(F6:F1198))/(STDEV(F6:F1198)+1E-12))</f>
        <v/>
      </c>
      <c r="H22" s="3">
        <f>IF('3a Raw'!F22="","",MAX(-3,MIN(3,('3a Raw'!F22-$H3)/$H4)))</f>
        <v/>
      </c>
      <c r="I22" s="3">
        <f>IF(H22="","",(H22-AVERAGE(H6:H1198))/(STDEV(H6:H1198)+1E-12))</f>
        <v/>
      </c>
      <c r="J22" s="3">
        <f>IF('3a Raw'!G22="","",MAX(-3,MIN(3,('3a Raw'!G22-$J3)/$J4)))</f>
        <v/>
      </c>
      <c r="K22" s="3">
        <f>IF(J22="","",(J22-AVERAGE(J6:J1198))/(STDEV(J6:J1198)+1E-12))</f>
        <v/>
      </c>
      <c r="L22" s="3">
        <f>IF('3a Raw'!H22="","",MAX(-3,MIN(3,('3a Raw'!H22-$L3)/$L4)))</f>
        <v/>
      </c>
      <c r="M22" s="3">
        <f>IF(L22="","",(L22-AVERAGE(L6:L1198))/(STDEV(L6:L1198)+1E-12))</f>
        <v/>
      </c>
      <c r="N22" s="3">
        <f>IF('3a Raw'!I22="","",MAX(-3,MIN(3,('3a Raw'!I22-$N3)/$N4)))</f>
        <v/>
      </c>
      <c r="O22" s="3">
        <f>IF(N22="","",(N22-AVERAGE(N6:N1198))/(STDEV(N6:N1198)+1E-12))</f>
        <v/>
      </c>
      <c r="P22" s="3">
        <f>IF('3a Raw'!J22="","",MAX(-3,MIN(3,('3a Raw'!J22-$P3)/$P4)))</f>
        <v/>
      </c>
      <c r="Q22" s="3">
        <f>IF(P22="","",(P22-AVERAGE(P6:P1198))/(STDEV(P6:P1198)+1E-12))</f>
        <v/>
      </c>
      <c r="R22" s="3">
        <f>IF('3a Raw'!K22="","",MAX(-3,MIN(3,('3a Raw'!K22-$R3)/$R4)))</f>
        <v/>
      </c>
      <c r="S22" s="3">
        <f>IF(R22="","",(R22-AVERAGE(R6:R1198))/(STDEV(R6:R1198)+1E-12))</f>
        <v/>
      </c>
      <c r="T22" s="3">
        <f>IF('3a Raw'!L22="","",MAX(-3,MIN(3,('3a Raw'!L22-$T3)/$T4)))</f>
        <v/>
      </c>
      <c r="U22" s="3">
        <f>IF(T22="","",(T22-AVERAGE(T6:T1198))/(STDEV(T6:T1198)+1E-12))</f>
        <v/>
      </c>
      <c r="X22" s="3">
        <f>IF(U22="","",U22-($V$3*G22+$W$3))</f>
        <v/>
      </c>
      <c r="Y22" s="3">
        <f>IF(X22="","",MAX(-3,MIN(3,(X22-$X3)/$X4)))</f>
        <v/>
      </c>
      <c r="Z22" s="3">
        <f>IF(Y22="","",(Y22-AVERAGE(Y6:Y1198))/(STDEV(Y6:Y1198)+1E-12))</f>
        <v/>
      </c>
    </row>
    <row r="23">
      <c r="A23" t="inlineStr">
        <is>
          <t>BBG000KF9J02</t>
        </is>
      </c>
      <c r="B23" s="3">
        <f>IF('3a Raw'!C23="","",MAX(-3,MIN(3,('3a Raw'!C23-$B3)/$B4)))</f>
        <v/>
      </c>
      <c r="C23" s="3">
        <f>IF(B23="","",(B23-AVERAGE(B6:B1198))/(STDEV(B6:B1198)+1E-12))</f>
        <v/>
      </c>
      <c r="D23" s="3">
        <f>IF('3a Raw'!D23="","",MAX(-3,MIN(3,('3a Raw'!D23-$D3)/$D4)))</f>
        <v/>
      </c>
      <c r="E23" s="3">
        <f>IF(D23="","",(D23-AVERAGE(D6:D1198))/(STDEV(D6:D1198)+1E-12))</f>
        <v/>
      </c>
      <c r="F23" s="3">
        <f>IF('3a Raw'!E23="","",MAX(-3,MIN(3,('3a Raw'!E23-$F3)/$F4)))</f>
        <v/>
      </c>
      <c r="G23" s="3">
        <f>IF(F23="","",(F23-AVERAGE(F6:F1198))/(STDEV(F6:F1198)+1E-12))</f>
        <v/>
      </c>
      <c r="H23" s="3">
        <f>IF('3a Raw'!F23="","",MAX(-3,MIN(3,('3a Raw'!F23-$H3)/$H4)))</f>
        <v/>
      </c>
      <c r="I23" s="3">
        <f>IF(H23="","",(H23-AVERAGE(H6:H1198))/(STDEV(H6:H1198)+1E-12))</f>
        <v/>
      </c>
      <c r="J23" s="3">
        <f>IF('3a Raw'!G23="","",MAX(-3,MIN(3,('3a Raw'!G23-$J3)/$J4)))</f>
        <v/>
      </c>
      <c r="K23" s="3">
        <f>IF(J23="","",(J23-AVERAGE(J6:J1198))/(STDEV(J6:J1198)+1E-12))</f>
        <v/>
      </c>
      <c r="L23" s="3">
        <f>IF('3a Raw'!H23="","",MAX(-3,MIN(3,('3a Raw'!H23-$L3)/$L4)))</f>
        <v/>
      </c>
      <c r="M23" s="3">
        <f>IF(L23="","",(L23-AVERAGE(L6:L1198))/(STDEV(L6:L1198)+1E-12))</f>
        <v/>
      </c>
      <c r="N23" s="3">
        <f>IF('3a Raw'!I23="","",MAX(-3,MIN(3,('3a Raw'!I23-$N3)/$N4)))</f>
        <v/>
      </c>
      <c r="O23" s="3">
        <f>IF(N23="","",(N23-AVERAGE(N6:N1198))/(STDEV(N6:N1198)+1E-12))</f>
        <v/>
      </c>
      <c r="P23" s="3">
        <f>IF('3a Raw'!J23="","",MAX(-3,MIN(3,('3a Raw'!J23-$P3)/$P4)))</f>
        <v/>
      </c>
      <c r="Q23" s="3">
        <f>IF(P23="","",(P23-AVERAGE(P6:P1198))/(STDEV(P6:P1198)+1E-12))</f>
        <v/>
      </c>
      <c r="R23" s="3">
        <f>IF('3a Raw'!K23="","",MAX(-3,MIN(3,('3a Raw'!K23-$R3)/$R4)))</f>
        <v/>
      </c>
      <c r="S23" s="3">
        <f>IF(R23="","",(R23-AVERAGE(R6:R1198))/(STDEV(R6:R1198)+1E-12))</f>
        <v/>
      </c>
      <c r="T23" s="3">
        <f>IF('3a Raw'!L23="","",MAX(-3,MIN(3,('3a Raw'!L23-$T3)/$T4)))</f>
        <v/>
      </c>
      <c r="U23" s="3">
        <f>IF(T23="","",(T23-AVERAGE(T6:T1198))/(STDEV(T6:T1198)+1E-12))</f>
        <v/>
      </c>
      <c r="X23" s="3">
        <f>IF(U23="","",U23-($V$3*G23+$W$3))</f>
        <v/>
      </c>
      <c r="Y23" s="3">
        <f>IF(X23="","",MAX(-3,MIN(3,(X23-$X3)/$X4)))</f>
        <v/>
      </c>
      <c r="Z23" s="3">
        <f>IF(Y23="","",(Y23-AVERAGE(Y6:Y1198))/(STDEV(Y6:Y1198)+1E-12))</f>
        <v/>
      </c>
    </row>
    <row r="24">
      <c r="A24" t="inlineStr">
        <is>
          <t>BBG000BB5006</t>
        </is>
      </c>
      <c r="B24" s="3">
        <f>IF('3a Raw'!C24="","",MAX(-3,MIN(3,('3a Raw'!C24-$B3)/$B4)))</f>
        <v/>
      </c>
      <c r="C24" s="3">
        <f>IF(B24="","",(B24-AVERAGE(B6:B1198))/(STDEV(B6:B1198)+1E-12))</f>
        <v/>
      </c>
      <c r="D24" s="3">
        <f>IF('3a Raw'!D24="","",MAX(-3,MIN(3,('3a Raw'!D24-$D3)/$D4)))</f>
        <v/>
      </c>
      <c r="E24" s="3">
        <f>IF(D24="","",(D24-AVERAGE(D6:D1198))/(STDEV(D6:D1198)+1E-12))</f>
        <v/>
      </c>
      <c r="F24" s="3">
        <f>IF('3a Raw'!E24="","",MAX(-3,MIN(3,('3a Raw'!E24-$F3)/$F4)))</f>
        <v/>
      </c>
      <c r="G24" s="3">
        <f>IF(F24="","",(F24-AVERAGE(F6:F1198))/(STDEV(F6:F1198)+1E-12))</f>
        <v/>
      </c>
      <c r="H24" s="3">
        <f>IF('3a Raw'!F24="","",MAX(-3,MIN(3,('3a Raw'!F24-$H3)/$H4)))</f>
        <v/>
      </c>
      <c r="I24" s="3">
        <f>IF(H24="","",(H24-AVERAGE(H6:H1198))/(STDEV(H6:H1198)+1E-12))</f>
        <v/>
      </c>
      <c r="J24" s="3">
        <f>IF('3a Raw'!G24="","",MAX(-3,MIN(3,('3a Raw'!G24-$J3)/$J4)))</f>
        <v/>
      </c>
      <c r="K24" s="3">
        <f>IF(J24="","",(J24-AVERAGE(J6:J1198))/(STDEV(J6:J1198)+1E-12))</f>
        <v/>
      </c>
      <c r="L24" s="3">
        <f>IF('3a Raw'!H24="","",MAX(-3,MIN(3,('3a Raw'!H24-$L3)/$L4)))</f>
        <v/>
      </c>
      <c r="M24" s="3">
        <f>IF(L24="","",(L24-AVERAGE(L6:L1198))/(STDEV(L6:L1198)+1E-12))</f>
        <v/>
      </c>
      <c r="N24" s="3">
        <f>IF('3a Raw'!I24="","",MAX(-3,MIN(3,('3a Raw'!I24-$N3)/$N4)))</f>
        <v/>
      </c>
      <c r="O24" s="3">
        <f>IF(N24="","",(N24-AVERAGE(N6:N1198))/(STDEV(N6:N1198)+1E-12))</f>
        <v/>
      </c>
      <c r="P24" s="3">
        <f>IF('3a Raw'!J24="","",MAX(-3,MIN(3,('3a Raw'!J24-$P3)/$P4)))</f>
        <v/>
      </c>
      <c r="Q24" s="3">
        <f>IF(P24="","",(P24-AVERAGE(P6:P1198))/(STDEV(P6:P1198)+1E-12))</f>
        <v/>
      </c>
      <c r="R24" s="3">
        <f>IF('3a Raw'!K24="","",MAX(-3,MIN(3,('3a Raw'!K24-$R3)/$R4)))</f>
        <v/>
      </c>
      <c r="S24" s="3">
        <f>IF(R24="","",(R24-AVERAGE(R6:R1198))/(STDEV(R6:R1198)+1E-12))</f>
        <v/>
      </c>
      <c r="T24" s="3">
        <f>IF('3a Raw'!L24="","",MAX(-3,MIN(3,('3a Raw'!L24-$T3)/$T4)))</f>
        <v/>
      </c>
      <c r="U24" s="3">
        <f>IF(T24="","",(T24-AVERAGE(T6:T1198))/(STDEV(T6:T1198)+1E-12))</f>
        <v/>
      </c>
      <c r="X24" s="3">
        <f>IF(U24="","",U24-($V$3*G24+$W$3))</f>
        <v/>
      </c>
      <c r="Y24" s="3">
        <f>IF(X24="","",MAX(-3,MIN(3,(X24-$X3)/$X4)))</f>
        <v/>
      </c>
      <c r="Z24" s="3">
        <f>IF(Y24="","",(Y24-AVERAGE(Y6:Y1198))/(STDEV(Y6:Y1198)+1E-12))</f>
        <v/>
      </c>
    </row>
    <row r="25">
      <c r="A25" t="inlineStr">
        <is>
          <t>BBG000BC9DK0</t>
        </is>
      </c>
      <c r="B25" s="3">
        <f>IF('3a Raw'!C25="","",MAX(-3,MIN(3,('3a Raw'!C25-$B3)/$B4)))</f>
        <v/>
      </c>
      <c r="C25" s="3">
        <f>IF(B25="","",(B25-AVERAGE(B6:B1198))/(STDEV(B6:B1198)+1E-12))</f>
        <v/>
      </c>
      <c r="D25" s="3">
        <f>IF('3a Raw'!D25="","",MAX(-3,MIN(3,('3a Raw'!D25-$D3)/$D4)))</f>
        <v/>
      </c>
      <c r="E25" s="3">
        <f>IF(D25="","",(D25-AVERAGE(D6:D1198))/(STDEV(D6:D1198)+1E-12))</f>
        <v/>
      </c>
      <c r="F25" s="3">
        <f>IF('3a Raw'!E25="","",MAX(-3,MIN(3,('3a Raw'!E25-$F3)/$F4)))</f>
        <v/>
      </c>
      <c r="G25" s="3">
        <f>IF(F25="","",(F25-AVERAGE(F6:F1198))/(STDEV(F6:F1198)+1E-12))</f>
        <v/>
      </c>
      <c r="H25" s="3">
        <f>IF('3a Raw'!F25="","",MAX(-3,MIN(3,('3a Raw'!F25-$H3)/$H4)))</f>
        <v/>
      </c>
      <c r="I25" s="3">
        <f>IF(H25="","",(H25-AVERAGE(H6:H1198))/(STDEV(H6:H1198)+1E-12))</f>
        <v/>
      </c>
      <c r="J25" s="3">
        <f>IF('3a Raw'!G25="","",MAX(-3,MIN(3,('3a Raw'!G25-$J3)/$J4)))</f>
        <v/>
      </c>
      <c r="K25" s="3">
        <f>IF(J25="","",(J25-AVERAGE(J6:J1198))/(STDEV(J6:J1198)+1E-12))</f>
        <v/>
      </c>
      <c r="L25" s="3">
        <f>IF('3a Raw'!H25="","",MAX(-3,MIN(3,('3a Raw'!H25-$L3)/$L4)))</f>
        <v/>
      </c>
      <c r="M25" s="3">
        <f>IF(L25="","",(L25-AVERAGE(L6:L1198))/(STDEV(L6:L1198)+1E-12))</f>
        <v/>
      </c>
      <c r="N25" s="3">
        <f>IF('3a Raw'!I25="","",MAX(-3,MIN(3,('3a Raw'!I25-$N3)/$N4)))</f>
        <v/>
      </c>
      <c r="O25" s="3">
        <f>IF(N25="","",(N25-AVERAGE(N6:N1198))/(STDEV(N6:N1198)+1E-12))</f>
        <v/>
      </c>
      <c r="P25" s="3">
        <f>IF('3a Raw'!J25="","",MAX(-3,MIN(3,('3a Raw'!J25-$P3)/$P4)))</f>
        <v/>
      </c>
      <c r="Q25" s="3">
        <f>IF(P25="","",(P25-AVERAGE(P6:P1198))/(STDEV(P6:P1198)+1E-12))</f>
        <v/>
      </c>
      <c r="R25" s="3">
        <f>IF('3a Raw'!K25="","",MAX(-3,MIN(3,('3a Raw'!K25-$R3)/$R4)))</f>
        <v/>
      </c>
      <c r="S25" s="3">
        <f>IF(R25="","",(R25-AVERAGE(R6:R1198))/(STDEV(R6:R1198)+1E-12))</f>
        <v/>
      </c>
      <c r="T25" s="3">
        <f>IF('3a Raw'!L25="","",MAX(-3,MIN(3,('3a Raw'!L25-$T3)/$T4)))</f>
        <v/>
      </c>
      <c r="U25" s="3">
        <f>IF(T25="","",(T25-AVERAGE(T6:T1198))/(STDEV(T6:T1198)+1E-12))</f>
        <v/>
      </c>
      <c r="X25" s="3">
        <f>IF(U25="","",U25-($V$3*G25+$W$3))</f>
        <v/>
      </c>
      <c r="Y25" s="3">
        <f>IF(X25="","",MAX(-3,MIN(3,(X25-$X3)/$X4)))</f>
        <v/>
      </c>
      <c r="Z25" s="3">
        <f>IF(Y25="","",(Y25-AVERAGE(Y6:Y1198))/(STDEV(Y6:Y1198)+1E-12))</f>
        <v/>
      </c>
    </row>
    <row r="26">
      <c r="A26" t="inlineStr">
        <is>
          <t>BBG00RBFBL50</t>
        </is>
      </c>
      <c r="B26" s="3">
        <f>IF('3a Raw'!C26="","",MAX(-3,MIN(3,('3a Raw'!C26-$B3)/$B4)))</f>
        <v/>
      </c>
      <c r="C26" s="3">
        <f>IF(B26="","",(B26-AVERAGE(B6:B1198))/(STDEV(B6:B1198)+1E-12))</f>
        <v/>
      </c>
      <c r="D26" s="3">
        <f>IF('3a Raw'!D26="","",MAX(-3,MIN(3,('3a Raw'!D26-$D3)/$D4)))</f>
        <v/>
      </c>
      <c r="E26" s="3">
        <f>IF(D26="","",(D26-AVERAGE(D6:D1198))/(STDEV(D6:D1198)+1E-12))</f>
        <v/>
      </c>
      <c r="F26" s="3">
        <f>IF('3a Raw'!E26="","",MAX(-3,MIN(3,('3a Raw'!E26-$F3)/$F4)))</f>
        <v/>
      </c>
      <c r="G26" s="3">
        <f>IF(F26="","",(F26-AVERAGE(F6:F1198))/(STDEV(F6:F1198)+1E-12))</f>
        <v/>
      </c>
      <c r="H26" s="3">
        <f>IF('3a Raw'!F26="","",MAX(-3,MIN(3,('3a Raw'!F26-$H3)/$H4)))</f>
        <v/>
      </c>
      <c r="I26" s="3">
        <f>IF(H26="","",(H26-AVERAGE(H6:H1198))/(STDEV(H6:H1198)+1E-12))</f>
        <v/>
      </c>
      <c r="J26" s="3">
        <f>IF('3a Raw'!G26="","",MAX(-3,MIN(3,('3a Raw'!G26-$J3)/$J4)))</f>
        <v/>
      </c>
      <c r="K26" s="3">
        <f>IF(J26="","",(J26-AVERAGE(J6:J1198))/(STDEV(J6:J1198)+1E-12))</f>
        <v/>
      </c>
      <c r="L26" s="3">
        <f>IF('3a Raw'!H26="","",MAX(-3,MIN(3,('3a Raw'!H26-$L3)/$L4)))</f>
        <v/>
      </c>
      <c r="M26" s="3">
        <f>IF(L26="","",(L26-AVERAGE(L6:L1198))/(STDEV(L6:L1198)+1E-12))</f>
        <v/>
      </c>
      <c r="N26" s="3">
        <f>IF('3a Raw'!I26="","",MAX(-3,MIN(3,('3a Raw'!I26-$N3)/$N4)))</f>
        <v/>
      </c>
      <c r="O26" s="3">
        <f>IF(N26="","",(N26-AVERAGE(N6:N1198))/(STDEV(N6:N1198)+1E-12))</f>
        <v/>
      </c>
      <c r="P26" s="3">
        <f>IF('3a Raw'!J26="","",MAX(-3,MIN(3,('3a Raw'!J26-$P3)/$P4)))</f>
        <v/>
      </c>
      <c r="Q26" s="3">
        <f>IF(P26="","",(P26-AVERAGE(P6:P1198))/(STDEV(P6:P1198)+1E-12))</f>
        <v/>
      </c>
      <c r="R26" s="3">
        <f>IF('3a Raw'!K26="","",MAX(-3,MIN(3,('3a Raw'!K26-$R3)/$R4)))</f>
        <v/>
      </c>
      <c r="S26" s="3">
        <f>IF(R26="","",(R26-AVERAGE(R6:R1198))/(STDEV(R6:R1198)+1E-12))</f>
        <v/>
      </c>
      <c r="T26" s="3">
        <f>IF('3a Raw'!L26="","",MAX(-3,MIN(3,('3a Raw'!L26-$T3)/$T4)))</f>
        <v/>
      </c>
      <c r="U26" s="3">
        <f>IF(T26="","",(T26-AVERAGE(T6:T1198))/(STDEV(T6:T1198)+1E-12))</f>
        <v/>
      </c>
      <c r="X26" s="3">
        <f>IF(U26="","",U26-($V$3*G26+$W$3))</f>
        <v/>
      </c>
      <c r="Y26" s="3">
        <f>IF(X26="","",MAX(-3,MIN(3,(X26-$X3)/$X4)))</f>
        <v/>
      </c>
      <c r="Z26" s="3">
        <f>IF(Y26="","",(Y26-AVERAGE(Y6:Y1198))/(STDEV(Y6:Y1198)+1E-12))</f>
        <v/>
      </c>
    </row>
    <row r="27">
      <c r="A27" t="inlineStr">
        <is>
          <t>BBG000BB6G37</t>
        </is>
      </c>
      <c r="B27" s="3">
        <f>IF('3a Raw'!C27="","",MAX(-3,MIN(3,('3a Raw'!C27-$B3)/$B4)))</f>
        <v/>
      </c>
      <c r="C27" s="3">
        <f>IF(B27="","",(B27-AVERAGE(B6:B1198))/(STDEV(B6:B1198)+1E-12))</f>
        <v/>
      </c>
      <c r="D27" s="3">
        <f>IF('3a Raw'!D27="","",MAX(-3,MIN(3,('3a Raw'!D27-$D3)/$D4)))</f>
        <v/>
      </c>
      <c r="E27" s="3">
        <f>IF(D27="","",(D27-AVERAGE(D6:D1198))/(STDEV(D6:D1198)+1E-12))</f>
        <v/>
      </c>
      <c r="F27" s="3">
        <f>IF('3a Raw'!E27="","",MAX(-3,MIN(3,('3a Raw'!E27-$F3)/$F4)))</f>
        <v/>
      </c>
      <c r="G27" s="3">
        <f>IF(F27="","",(F27-AVERAGE(F6:F1198))/(STDEV(F6:F1198)+1E-12))</f>
        <v/>
      </c>
      <c r="H27" s="3">
        <f>IF('3a Raw'!F27="","",MAX(-3,MIN(3,('3a Raw'!F27-$H3)/$H4)))</f>
        <v/>
      </c>
      <c r="I27" s="3">
        <f>IF(H27="","",(H27-AVERAGE(H6:H1198))/(STDEV(H6:H1198)+1E-12))</f>
        <v/>
      </c>
      <c r="J27" s="3">
        <f>IF('3a Raw'!G27="","",MAX(-3,MIN(3,('3a Raw'!G27-$J3)/$J4)))</f>
        <v/>
      </c>
      <c r="K27" s="3">
        <f>IF(J27="","",(J27-AVERAGE(J6:J1198))/(STDEV(J6:J1198)+1E-12))</f>
        <v/>
      </c>
      <c r="L27" s="3">
        <f>IF('3a Raw'!H27="","",MAX(-3,MIN(3,('3a Raw'!H27-$L3)/$L4)))</f>
        <v/>
      </c>
      <c r="M27" s="3">
        <f>IF(L27="","",(L27-AVERAGE(L6:L1198))/(STDEV(L6:L1198)+1E-12))</f>
        <v/>
      </c>
      <c r="N27" s="3">
        <f>IF('3a Raw'!I27="","",MAX(-3,MIN(3,('3a Raw'!I27-$N3)/$N4)))</f>
        <v/>
      </c>
      <c r="O27" s="3">
        <f>IF(N27="","",(N27-AVERAGE(N6:N1198))/(STDEV(N6:N1198)+1E-12))</f>
        <v/>
      </c>
      <c r="P27" s="3">
        <f>IF('3a Raw'!J27="","",MAX(-3,MIN(3,('3a Raw'!J27-$P3)/$P4)))</f>
        <v/>
      </c>
      <c r="Q27" s="3">
        <f>IF(P27="","",(P27-AVERAGE(P6:P1198))/(STDEV(P6:P1198)+1E-12))</f>
        <v/>
      </c>
      <c r="R27" s="3">
        <f>IF('3a Raw'!K27="","",MAX(-3,MIN(3,('3a Raw'!K27-$R3)/$R4)))</f>
        <v/>
      </c>
      <c r="S27" s="3">
        <f>IF(R27="","",(R27-AVERAGE(R6:R1198))/(STDEV(R6:R1198)+1E-12))</f>
        <v/>
      </c>
      <c r="T27" s="3">
        <f>IF('3a Raw'!L27="","",MAX(-3,MIN(3,('3a Raw'!L27-$T3)/$T4)))</f>
        <v/>
      </c>
      <c r="U27" s="3">
        <f>IF(T27="","",(T27-AVERAGE(T6:T1198))/(STDEV(T6:T1198)+1E-12))</f>
        <v/>
      </c>
      <c r="X27" s="3">
        <f>IF(U27="","",U27-($V$3*G27+$W$3))</f>
        <v/>
      </c>
      <c r="Y27" s="3">
        <f>IF(X27="","",MAX(-3,MIN(3,(X27-$X3)/$X4)))</f>
        <v/>
      </c>
      <c r="Z27" s="3">
        <f>IF(Y27="","",(Y27-AVERAGE(Y6:Y1198))/(STDEV(Y6:Y1198)+1E-12))</f>
        <v/>
      </c>
    </row>
    <row r="28">
      <c r="A28" t="inlineStr">
        <is>
          <t>BBG000BB6WG8</t>
        </is>
      </c>
      <c r="B28" s="3">
        <f>IF('3a Raw'!C28="","",MAX(-3,MIN(3,('3a Raw'!C28-$B3)/$B4)))</f>
        <v/>
      </c>
      <c r="C28" s="3">
        <f>IF(B28="","",(B28-AVERAGE(B6:B1198))/(STDEV(B6:B1198)+1E-12))</f>
        <v/>
      </c>
      <c r="D28" s="3">
        <f>IF('3a Raw'!D28="","",MAX(-3,MIN(3,('3a Raw'!D28-$D3)/$D4)))</f>
        <v/>
      </c>
      <c r="E28" s="3">
        <f>IF(D28="","",(D28-AVERAGE(D6:D1198))/(STDEV(D6:D1198)+1E-12))</f>
        <v/>
      </c>
      <c r="F28" s="3">
        <f>IF('3a Raw'!E28="","",MAX(-3,MIN(3,('3a Raw'!E28-$F3)/$F4)))</f>
        <v/>
      </c>
      <c r="G28" s="3">
        <f>IF(F28="","",(F28-AVERAGE(F6:F1198))/(STDEV(F6:F1198)+1E-12))</f>
        <v/>
      </c>
      <c r="H28" s="3">
        <f>IF('3a Raw'!F28="","",MAX(-3,MIN(3,('3a Raw'!F28-$H3)/$H4)))</f>
        <v/>
      </c>
      <c r="I28" s="3">
        <f>IF(H28="","",(H28-AVERAGE(H6:H1198))/(STDEV(H6:H1198)+1E-12))</f>
        <v/>
      </c>
      <c r="J28" s="3">
        <f>IF('3a Raw'!G28="","",MAX(-3,MIN(3,('3a Raw'!G28-$J3)/$J4)))</f>
        <v/>
      </c>
      <c r="K28" s="3">
        <f>IF(J28="","",(J28-AVERAGE(J6:J1198))/(STDEV(J6:J1198)+1E-12))</f>
        <v/>
      </c>
      <c r="L28" s="3">
        <f>IF('3a Raw'!H28="","",MAX(-3,MIN(3,('3a Raw'!H28-$L3)/$L4)))</f>
        <v/>
      </c>
      <c r="M28" s="3">
        <f>IF(L28="","",(L28-AVERAGE(L6:L1198))/(STDEV(L6:L1198)+1E-12))</f>
        <v/>
      </c>
      <c r="N28" s="3">
        <f>IF('3a Raw'!I28="","",MAX(-3,MIN(3,('3a Raw'!I28-$N3)/$N4)))</f>
        <v/>
      </c>
      <c r="O28" s="3">
        <f>IF(N28="","",(N28-AVERAGE(N6:N1198))/(STDEV(N6:N1198)+1E-12))</f>
        <v/>
      </c>
      <c r="P28" s="3">
        <f>IF('3a Raw'!J28="","",MAX(-3,MIN(3,('3a Raw'!J28-$P3)/$P4)))</f>
        <v/>
      </c>
      <c r="Q28" s="3">
        <f>IF(P28="","",(P28-AVERAGE(P6:P1198))/(STDEV(P6:P1198)+1E-12))</f>
        <v/>
      </c>
      <c r="R28" s="3">
        <f>IF('3a Raw'!K28="","",MAX(-3,MIN(3,('3a Raw'!K28-$R3)/$R4)))</f>
        <v/>
      </c>
      <c r="S28" s="3">
        <f>IF(R28="","",(R28-AVERAGE(R6:R1198))/(STDEV(R6:R1198)+1E-12))</f>
        <v/>
      </c>
      <c r="T28" s="3">
        <f>IF('3a Raw'!L28="","",MAX(-3,MIN(3,('3a Raw'!L28-$T3)/$T4)))</f>
        <v/>
      </c>
      <c r="U28" s="3">
        <f>IF(T28="","",(T28-AVERAGE(T6:T1198))/(STDEV(T6:T1198)+1E-12))</f>
        <v/>
      </c>
      <c r="X28" s="3">
        <f>IF(U28="","",U28-($V$3*G28+$W$3))</f>
        <v/>
      </c>
      <c r="Y28" s="3">
        <f>IF(X28="","",MAX(-3,MIN(3,(X28-$X3)/$X4)))</f>
        <v/>
      </c>
      <c r="Z28" s="3">
        <f>IF(Y28="","",(Y28-AVERAGE(Y6:Y1198))/(STDEV(Y6:Y1198)+1E-12))</f>
        <v/>
      </c>
    </row>
    <row r="29">
      <c r="A29" t="inlineStr">
        <is>
          <t>BBG000JG0547</t>
        </is>
      </c>
      <c r="B29" s="3">
        <f>IF('3a Raw'!C29="","",MAX(-3,MIN(3,('3a Raw'!C29-$B3)/$B4)))</f>
        <v/>
      </c>
      <c r="C29" s="3">
        <f>IF(B29="","",(B29-AVERAGE(B6:B1198))/(STDEV(B6:B1198)+1E-12))</f>
        <v/>
      </c>
      <c r="D29" s="3">
        <f>IF('3a Raw'!D29="","",MAX(-3,MIN(3,('3a Raw'!D29-$D3)/$D4)))</f>
        <v/>
      </c>
      <c r="E29" s="3">
        <f>IF(D29="","",(D29-AVERAGE(D6:D1198))/(STDEV(D6:D1198)+1E-12))</f>
        <v/>
      </c>
      <c r="F29" s="3">
        <f>IF('3a Raw'!E29="","",MAX(-3,MIN(3,('3a Raw'!E29-$F3)/$F4)))</f>
        <v/>
      </c>
      <c r="G29" s="3">
        <f>IF(F29="","",(F29-AVERAGE(F6:F1198))/(STDEV(F6:F1198)+1E-12))</f>
        <v/>
      </c>
      <c r="H29" s="3">
        <f>IF('3a Raw'!F29="","",MAX(-3,MIN(3,('3a Raw'!F29-$H3)/$H4)))</f>
        <v/>
      </c>
      <c r="I29" s="3">
        <f>IF(H29="","",(H29-AVERAGE(H6:H1198))/(STDEV(H6:H1198)+1E-12))</f>
        <v/>
      </c>
      <c r="J29" s="3">
        <f>IF('3a Raw'!G29="","",MAX(-3,MIN(3,('3a Raw'!G29-$J3)/$J4)))</f>
        <v/>
      </c>
      <c r="K29" s="3">
        <f>IF(J29="","",(J29-AVERAGE(J6:J1198))/(STDEV(J6:J1198)+1E-12))</f>
        <v/>
      </c>
      <c r="L29" s="3">
        <f>IF('3a Raw'!H29="","",MAX(-3,MIN(3,('3a Raw'!H29-$L3)/$L4)))</f>
        <v/>
      </c>
      <c r="M29" s="3">
        <f>IF(L29="","",(L29-AVERAGE(L6:L1198))/(STDEV(L6:L1198)+1E-12))</f>
        <v/>
      </c>
      <c r="N29" s="3">
        <f>IF('3a Raw'!I29="","",MAX(-3,MIN(3,('3a Raw'!I29-$N3)/$N4)))</f>
        <v/>
      </c>
      <c r="O29" s="3">
        <f>IF(N29="","",(N29-AVERAGE(N6:N1198))/(STDEV(N6:N1198)+1E-12))</f>
        <v/>
      </c>
      <c r="P29" s="3">
        <f>IF('3a Raw'!J29="","",MAX(-3,MIN(3,('3a Raw'!J29-$P3)/$P4)))</f>
        <v/>
      </c>
      <c r="Q29" s="3">
        <f>IF(P29="","",(P29-AVERAGE(P6:P1198))/(STDEV(P6:P1198)+1E-12))</f>
        <v/>
      </c>
      <c r="R29" s="3">
        <f>IF('3a Raw'!K29="","",MAX(-3,MIN(3,('3a Raw'!K29-$R3)/$R4)))</f>
        <v/>
      </c>
      <c r="S29" s="3">
        <f>IF(R29="","",(R29-AVERAGE(R6:R1198))/(STDEV(R6:R1198)+1E-12))</f>
        <v/>
      </c>
      <c r="T29" s="3">
        <f>IF('3a Raw'!L29="","",MAX(-3,MIN(3,('3a Raw'!L29-$T3)/$T4)))</f>
        <v/>
      </c>
      <c r="U29" s="3">
        <f>IF(T29="","",(T29-AVERAGE(T6:T1198))/(STDEV(T6:T1198)+1E-12))</f>
        <v/>
      </c>
      <c r="X29" s="3">
        <f>IF(U29="","",U29-($V$3*G29+$W$3))</f>
        <v/>
      </c>
      <c r="Y29" s="3">
        <f>IF(X29="","",MAX(-3,MIN(3,(X29-$X3)/$X4)))</f>
        <v/>
      </c>
      <c r="Z29" s="3">
        <f>IF(Y29="","",(Y29-AVERAGE(Y6:Y1198))/(STDEV(Y6:Y1198)+1E-12))</f>
        <v/>
      </c>
    </row>
    <row r="30">
      <c r="A30" t="inlineStr">
        <is>
          <t>BBG000BM7HL0</t>
        </is>
      </c>
      <c r="B30" s="3">
        <f>IF('3a Raw'!C30="","",MAX(-3,MIN(3,('3a Raw'!C30-$B3)/$B4)))</f>
        <v/>
      </c>
      <c r="C30" s="3">
        <f>IF(B30="","",(B30-AVERAGE(B6:B1198))/(STDEV(B6:B1198)+1E-12))</f>
        <v/>
      </c>
      <c r="D30" s="3">
        <f>IF('3a Raw'!D30="","",MAX(-3,MIN(3,('3a Raw'!D30-$D3)/$D4)))</f>
        <v/>
      </c>
      <c r="E30" s="3">
        <f>IF(D30="","",(D30-AVERAGE(D6:D1198))/(STDEV(D6:D1198)+1E-12))</f>
        <v/>
      </c>
      <c r="F30" s="3">
        <f>IF('3a Raw'!E30="","",MAX(-3,MIN(3,('3a Raw'!E30-$F3)/$F4)))</f>
        <v/>
      </c>
      <c r="G30" s="3">
        <f>IF(F30="","",(F30-AVERAGE(F6:F1198))/(STDEV(F6:F1198)+1E-12))</f>
        <v/>
      </c>
      <c r="H30" s="3">
        <f>IF('3a Raw'!F30="","",MAX(-3,MIN(3,('3a Raw'!F30-$H3)/$H4)))</f>
        <v/>
      </c>
      <c r="I30" s="3">
        <f>IF(H30="","",(H30-AVERAGE(H6:H1198))/(STDEV(H6:H1198)+1E-12))</f>
        <v/>
      </c>
      <c r="J30" s="3">
        <f>IF('3a Raw'!G30="","",MAX(-3,MIN(3,('3a Raw'!G30-$J3)/$J4)))</f>
        <v/>
      </c>
      <c r="K30" s="3">
        <f>IF(J30="","",(J30-AVERAGE(J6:J1198))/(STDEV(J6:J1198)+1E-12))</f>
        <v/>
      </c>
      <c r="L30" s="3">
        <f>IF('3a Raw'!H30="","",MAX(-3,MIN(3,('3a Raw'!H30-$L3)/$L4)))</f>
        <v/>
      </c>
      <c r="M30" s="3">
        <f>IF(L30="","",(L30-AVERAGE(L6:L1198))/(STDEV(L6:L1198)+1E-12))</f>
        <v/>
      </c>
      <c r="N30" s="3">
        <f>IF('3a Raw'!I30="","",MAX(-3,MIN(3,('3a Raw'!I30-$N3)/$N4)))</f>
        <v/>
      </c>
      <c r="O30" s="3">
        <f>IF(N30="","",(N30-AVERAGE(N6:N1198))/(STDEV(N6:N1198)+1E-12))</f>
        <v/>
      </c>
      <c r="P30" s="3">
        <f>IF('3a Raw'!J30="","",MAX(-3,MIN(3,('3a Raw'!J30-$P3)/$P4)))</f>
        <v/>
      </c>
      <c r="Q30" s="3">
        <f>IF(P30="","",(P30-AVERAGE(P6:P1198))/(STDEV(P6:P1198)+1E-12))</f>
        <v/>
      </c>
      <c r="R30" s="3">
        <f>IF('3a Raw'!K30="","",MAX(-3,MIN(3,('3a Raw'!K30-$R3)/$R4)))</f>
        <v/>
      </c>
      <c r="S30" s="3">
        <f>IF(R30="","",(R30-AVERAGE(R6:R1198))/(STDEV(R6:R1198)+1E-12))</f>
        <v/>
      </c>
      <c r="T30" s="3">
        <f>IF('3a Raw'!L30="","",MAX(-3,MIN(3,('3a Raw'!L30-$T3)/$T4)))</f>
        <v/>
      </c>
      <c r="U30" s="3">
        <f>IF(T30="","",(T30-AVERAGE(T6:T1198))/(STDEV(T6:T1198)+1E-12))</f>
        <v/>
      </c>
      <c r="X30" s="3">
        <f>IF(U30="","",U30-($V$3*G30+$W$3))</f>
        <v/>
      </c>
      <c r="Y30" s="3">
        <f>IF(X30="","",MAX(-3,MIN(3,(X30-$X3)/$X4)))</f>
        <v/>
      </c>
      <c r="Z30" s="3">
        <f>IF(Y30="","",(Y30-AVERAGE(Y6:Y1198))/(STDEV(Y6:Y1198)+1E-12))</f>
        <v/>
      </c>
    </row>
    <row r="31">
      <c r="A31" t="inlineStr">
        <is>
          <t>BBG000BP9WJ1</t>
        </is>
      </c>
      <c r="B31" s="3">
        <f>IF('3a Raw'!C31="","",MAX(-3,MIN(3,('3a Raw'!C31-$B3)/$B4)))</f>
        <v/>
      </c>
      <c r="C31" s="3">
        <f>IF(B31="","",(B31-AVERAGE(B6:B1198))/(STDEV(B6:B1198)+1E-12))</f>
        <v/>
      </c>
      <c r="D31" s="3">
        <f>IF('3a Raw'!D31="","",MAX(-3,MIN(3,('3a Raw'!D31-$D3)/$D4)))</f>
        <v/>
      </c>
      <c r="E31" s="3">
        <f>IF(D31="","",(D31-AVERAGE(D6:D1198))/(STDEV(D6:D1198)+1E-12))</f>
        <v/>
      </c>
      <c r="F31" s="3">
        <f>IF('3a Raw'!E31="","",MAX(-3,MIN(3,('3a Raw'!E31-$F3)/$F4)))</f>
        <v/>
      </c>
      <c r="G31" s="3">
        <f>IF(F31="","",(F31-AVERAGE(F6:F1198))/(STDEV(F6:F1198)+1E-12))</f>
        <v/>
      </c>
      <c r="H31" s="3">
        <f>IF('3a Raw'!F31="","",MAX(-3,MIN(3,('3a Raw'!F31-$H3)/$H4)))</f>
        <v/>
      </c>
      <c r="I31" s="3">
        <f>IF(H31="","",(H31-AVERAGE(H6:H1198))/(STDEV(H6:H1198)+1E-12))</f>
        <v/>
      </c>
      <c r="J31" s="3">
        <f>IF('3a Raw'!G31="","",MAX(-3,MIN(3,('3a Raw'!G31-$J3)/$J4)))</f>
        <v/>
      </c>
      <c r="K31" s="3">
        <f>IF(J31="","",(J31-AVERAGE(J6:J1198))/(STDEV(J6:J1198)+1E-12))</f>
        <v/>
      </c>
      <c r="L31" s="3">
        <f>IF('3a Raw'!H31="","",MAX(-3,MIN(3,('3a Raw'!H31-$L3)/$L4)))</f>
        <v/>
      </c>
      <c r="M31" s="3">
        <f>IF(L31="","",(L31-AVERAGE(L6:L1198))/(STDEV(L6:L1198)+1E-12))</f>
        <v/>
      </c>
      <c r="N31" s="3">
        <f>IF('3a Raw'!I31="","",MAX(-3,MIN(3,('3a Raw'!I31-$N3)/$N4)))</f>
        <v/>
      </c>
      <c r="O31" s="3">
        <f>IF(N31="","",(N31-AVERAGE(N6:N1198))/(STDEV(N6:N1198)+1E-12))</f>
        <v/>
      </c>
      <c r="P31" s="3">
        <f>IF('3a Raw'!J31="","",MAX(-3,MIN(3,('3a Raw'!J31-$P3)/$P4)))</f>
        <v/>
      </c>
      <c r="Q31" s="3">
        <f>IF(P31="","",(P31-AVERAGE(P6:P1198))/(STDEV(P6:P1198)+1E-12))</f>
        <v/>
      </c>
      <c r="R31" s="3">
        <f>IF('3a Raw'!K31="","",MAX(-3,MIN(3,('3a Raw'!K31-$R3)/$R4)))</f>
        <v/>
      </c>
      <c r="S31" s="3">
        <f>IF(R31="","",(R31-AVERAGE(R6:R1198))/(STDEV(R6:R1198)+1E-12))</f>
        <v/>
      </c>
      <c r="T31" s="3">
        <f>IF('3a Raw'!L31="","",MAX(-3,MIN(3,('3a Raw'!L31-$T3)/$T4)))</f>
        <v/>
      </c>
      <c r="U31" s="3">
        <f>IF(T31="","",(T31-AVERAGE(T6:T1198))/(STDEV(T6:T1198)+1E-12))</f>
        <v/>
      </c>
      <c r="X31" s="3">
        <f>IF(U31="","",U31-($V$3*G31+$W$3))</f>
        <v/>
      </c>
      <c r="Y31" s="3">
        <f>IF(X31="","",MAX(-3,MIN(3,(X31-$X3)/$X4)))</f>
        <v/>
      </c>
      <c r="Z31" s="3">
        <f>IF(Y31="","",(Y31-AVERAGE(Y6:Y1198))/(STDEV(Y6:Y1198)+1E-12))</f>
        <v/>
      </c>
    </row>
    <row r="32">
      <c r="A32" t="inlineStr">
        <is>
          <t>BBG000B9X8C0</t>
        </is>
      </c>
      <c r="B32" s="3">
        <f>IF('3a Raw'!C32="","",MAX(-3,MIN(3,('3a Raw'!C32-$B3)/$B4)))</f>
        <v/>
      </c>
      <c r="C32" s="3">
        <f>IF(B32="","",(B32-AVERAGE(B6:B1198))/(STDEV(B6:B1198)+1E-12))</f>
        <v/>
      </c>
      <c r="D32" s="3">
        <f>IF('3a Raw'!D32="","",MAX(-3,MIN(3,('3a Raw'!D32-$D3)/$D4)))</f>
        <v/>
      </c>
      <c r="E32" s="3">
        <f>IF(D32="","",(D32-AVERAGE(D6:D1198))/(STDEV(D6:D1198)+1E-12))</f>
        <v/>
      </c>
      <c r="F32" s="3">
        <f>IF('3a Raw'!E32="","",MAX(-3,MIN(3,('3a Raw'!E32-$F3)/$F4)))</f>
        <v/>
      </c>
      <c r="G32" s="3">
        <f>IF(F32="","",(F32-AVERAGE(F6:F1198))/(STDEV(F6:F1198)+1E-12))</f>
        <v/>
      </c>
      <c r="H32" s="3">
        <f>IF('3a Raw'!F32="","",MAX(-3,MIN(3,('3a Raw'!F32-$H3)/$H4)))</f>
        <v/>
      </c>
      <c r="I32" s="3">
        <f>IF(H32="","",(H32-AVERAGE(H6:H1198))/(STDEV(H6:H1198)+1E-12))</f>
        <v/>
      </c>
      <c r="J32" s="3">
        <f>IF('3a Raw'!G32="","",MAX(-3,MIN(3,('3a Raw'!G32-$J3)/$J4)))</f>
        <v/>
      </c>
      <c r="K32" s="3">
        <f>IF(J32="","",(J32-AVERAGE(J6:J1198))/(STDEV(J6:J1198)+1E-12))</f>
        <v/>
      </c>
      <c r="L32" s="3">
        <f>IF('3a Raw'!H32="","",MAX(-3,MIN(3,('3a Raw'!H32-$L3)/$L4)))</f>
        <v/>
      </c>
      <c r="M32" s="3">
        <f>IF(L32="","",(L32-AVERAGE(L6:L1198))/(STDEV(L6:L1198)+1E-12))</f>
        <v/>
      </c>
      <c r="N32" s="3">
        <f>IF('3a Raw'!I32="","",MAX(-3,MIN(3,('3a Raw'!I32-$N3)/$N4)))</f>
        <v/>
      </c>
      <c r="O32" s="3">
        <f>IF(N32="","",(N32-AVERAGE(N6:N1198))/(STDEV(N6:N1198)+1E-12))</f>
        <v/>
      </c>
      <c r="P32" s="3">
        <f>IF('3a Raw'!J32="","",MAX(-3,MIN(3,('3a Raw'!J32-$P3)/$P4)))</f>
        <v/>
      </c>
      <c r="Q32" s="3">
        <f>IF(P32="","",(P32-AVERAGE(P6:P1198))/(STDEV(P6:P1198)+1E-12))</f>
        <v/>
      </c>
      <c r="R32" s="3">
        <f>IF('3a Raw'!K32="","",MAX(-3,MIN(3,('3a Raw'!K32-$R3)/$R4)))</f>
        <v/>
      </c>
      <c r="S32" s="3">
        <f>IF(R32="","",(R32-AVERAGE(R6:R1198))/(STDEV(R6:R1198)+1E-12))</f>
        <v/>
      </c>
      <c r="T32" s="3">
        <f>IF('3a Raw'!L32="","",MAX(-3,MIN(3,('3a Raw'!L32-$T3)/$T4)))</f>
        <v/>
      </c>
      <c r="U32" s="3">
        <f>IF(T32="","",(T32-AVERAGE(T6:T1198))/(STDEV(T6:T1198)+1E-12))</f>
        <v/>
      </c>
      <c r="X32" s="3">
        <f>IF(U32="","",U32-($V$3*G32+$W$3))</f>
        <v/>
      </c>
      <c r="Y32" s="3">
        <f>IF(X32="","",MAX(-3,MIN(3,(X32-$X3)/$X4)))</f>
        <v/>
      </c>
      <c r="Z32" s="3">
        <f>IF(Y32="","",(Y32-AVERAGE(Y6:Y1198))/(STDEV(Y6:Y1198)+1E-12))</f>
        <v/>
      </c>
    </row>
    <row r="33">
      <c r="A33" t="inlineStr">
        <is>
          <t>BBG000FKMP26</t>
        </is>
      </c>
      <c r="B33" s="3">
        <f>IF('3a Raw'!C33="","",MAX(-3,MIN(3,('3a Raw'!C33-$B3)/$B4)))</f>
        <v/>
      </c>
      <c r="C33" s="3">
        <f>IF(B33="","",(B33-AVERAGE(B6:B1198))/(STDEV(B6:B1198)+1E-12))</f>
        <v/>
      </c>
      <c r="D33" s="3">
        <f>IF('3a Raw'!D33="","",MAX(-3,MIN(3,('3a Raw'!D33-$D3)/$D4)))</f>
        <v/>
      </c>
      <c r="E33" s="3">
        <f>IF(D33="","",(D33-AVERAGE(D6:D1198))/(STDEV(D6:D1198)+1E-12))</f>
        <v/>
      </c>
      <c r="F33" s="3">
        <f>IF('3a Raw'!E33="","",MAX(-3,MIN(3,('3a Raw'!E33-$F3)/$F4)))</f>
        <v/>
      </c>
      <c r="G33" s="3">
        <f>IF(F33="","",(F33-AVERAGE(F6:F1198))/(STDEV(F6:F1198)+1E-12))</f>
        <v/>
      </c>
      <c r="H33" s="3">
        <f>IF('3a Raw'!F33="","",MAX(-3,MIN(3,('3a Raw'!F33-$H3)/$H4)))</f>
        <v/>
      </c>
      <c r="I33" s="3">
        <f>IF(H33="","",(H33-AVERAGE(H6:H1198))/(STDEV(H6:H1198)+1E-12))</f>
        <v/>
      </c>
      <c r="J33" s="3">
        <f>IF('3a Raw'!G33="","",MAX(-3,MIN(3,('3a Raw'!G33-$J3)/$J4)))</f>
        <v/>
      </c>
      <c r="K33" s="3">
        <f>IF(J33="","",(J33-AVERAGE(J6:J1198))/(STDEV(J6:J1198)+1E-12))</f>
        <v/>
      </c>
      <c r="L33" s="3">
        <f>IF('3a Raw'!H33="","",MAX(-3,MIN(3,('3a Raw'!H33-$L3)/$L4)))</f>
        <v/>
      </c>
      <c r="M33" s="3">
        <f>IF(L33="","",(L33-AVERAGE(L6:L1198))/(STDEV(L6:L1198)+1E-12))</f>
        <v/>
      </c>
      <c r="N33" s="3">
        <f>IF('3a Raw'!I33="","",MAX(-3,MIN(3,('3a Raw'!I33-$N3)/$N4)))</f>
        <v/>
      </c>
      <c r="O33" s="3">
        <f>IF(N33="","",(N33-AVERAGE(N6:N1198))/(STDEV(N6:N1198)+1E-12))</f>
        <v/>
      </c>
      <c r="P33" s="3">
        <f>IF('3a Raw'!J33="","",MAX(-3,MIN(3,('3a Raw'!J33-$P3)/$P4)))</f>
        <v/>
      </c>
      <c r="Q33" s="3">
        <f>IF(P33="","",(P33-AVERAGE(P6:P1198))/(STDEV(P6:P1198)+1E-12))</f>
        <v/>
      </c>
      <c r="R33" s="3">
        <f>IF('3a Raw'!K33="","",MAX(-3,MIN(3,('3a Raw'!K33-$R3)/$R4)))</f>
        <v/>
      </c>
      <c r="S33" s="3">
        <f>IF(R33="","",(R33-AVERAGE(R6:R1198))/(STDEV(R6:R1198)+1E-12))</f>
        <v/>
      </c>
      <c r="T33" s="3">
        <f>IF('3a Raw'!L33="","",MAX(-3,MIN(3,('3a Raw'!L33-$T3)/$T4)))</f>
        <v/>
      </c>
      <c r="U33" s="3">
        <f>IF(T33="","",(T33-AVERAGE(T6:T1198))/(STDEV(T6:T1198)+1E-12))</f>
        <v/>
      </c>
      <c r="X33" s="3">
        <f>IF(U33="","",U33-($V$3*G33+$W$3))</f>
        <v/>
      </c>
      <c r="Y33" s="3">
        <f>IF(X33="","",MAX(-3,MIN(3,(X33-$X3)/$X4)))</f>
        <v/>
      </c>
      <c r="Z33" s="3">
        <f>IF(Y33="","",(Y33-AVERAGE(Y6:Y1198))/(STDEV(Y6:Y1198)+1E-12))</f>
        <v/>
      </c>
    </row>
    <row r="34">
      <c r="A34" t="inlineStr">
        <is>
          <t>BBG000DLVDK3</t>
        </is>
      </c>
      <c r="B34" s="3">
        <f>IF('3a Raw'!C34="","",MAX(-3,MIN(3,('3a Raw'!C34-$B3)/$B4)))</f>
        <v/>
      </c>
      <c r="C34" s="3">
        <f>IF(B34="","",(B34-AVERAGE(B6:B1198))/(STDEV(B6:B1198)+1E-12))</f>
        <v/>
      </c>
      <c r="D34" s="3">
        <f>IF('3a Raw'!D34="","",MAX(-3,MIN(3,('3a Raw'!D34-$D3)/$D4)))</f>
        <v/>
      </c>
      <c r="E34" s="3">
        <f>IF(D34="","",(D34-AVERAGE(D6:D1198))/(STDEV(D6:D1198)+1E-12))</f>
        <v/>
      </c>
      <c r="F34" s="3">
        <f>IF('3a Raw'!E34="","",MAX(-3,MIN(3,('3a Raw'!E34-$F3)/$F4)))</f>
        <v/>
      </c>
      <c r="G34" s="3">
        <f>IF(F34="","",(F34-AVERAGE(F6:F1198))/(STDEV(F6:F1198)+1E-12))</f>
        <v/>
      </c>
      <c r="H34" s="3">
        <f>IF('3a Raw'!F34="","",MAX(-3,MIN(3,('3a Raw'!F34-$H3)/$H4)))</f>
        <v/>
      </c>
      <c r="I34" s="3">
        <f>IF(H34="","",(H34-AVERAGE(H6:H1198))/(STDEV(H6:H1198)+1E-12))</f>
        <v/>
      </c>
      <c r="J34" s="3">
        <f>IF('3a Raw'!G34="","",MAX(-3,MIN(3,('3a Raw'!G34-$J3)/$J4)))</f>
        <v/>
      </c>
      <c r="K34" s="3">
        <f>IF(J34="","",(J34-AVERAGE(J6:J1198))/(STDEV(J6:J1198)+1E-12))</f>
        <v/>
      </c>
      <c r="L34" s="3">
        <f>IF('3a Raw'!H34="","",MAX(-3,MIN(3,('3a Raw'!H34-$L3)/$L4)))</f>
        <v/>
      </c>
      <c r="M34" s="3">
        <f>IF(L34="","",(L34-AVERAGE(L6:L1198))/(STDEV(L6:L1198)+1E-12))</f>
        <v/>
      </c>
      <c r="N34" s="3">
        <f>IF('3a Raw'!I34="","",MAX(-3,MIN(3,('3a Raw'!I34-$N3)/$N4)))</f>
        <v/>
      </c>
      <c r="O34" s="3">
        <f>IF(N34="","",(N34-AVERAGE(N6:N1198))/(STDEV(N6:N1198)+1E-12))</f>
        <v/>
      </c>
      <c r="P34" s="3">
        <f>IF('3a Raw'!J34="","",MAX(-3,MIN(3,('3a Raw'!J34-$P3)/$P4)))</f>
        <v/>
      </c>
      <c r="Q34" s="3">
        <f>IF(P34="","",(P34-AVERAGE(P6:P1198))/(STDEV(P6:P1198)+1E-12))</f>
        <v/>
      </c>
      <c r="R34" s="3">
        <f>IF('3a Raw'!K34="","",MAX(-3,MIN(3,('3a Raw'!K34-$R3)/$R4)))</f>
        <v/>
      </c>
      <c r="S34" s="3">
        <f>IF(R34="","",(R34-AVERAGE(R6:R1198))/(STDEV(R6:R1198)+1E-12))</f>
        <v/>
      </c>
      <c r="T34" s="3">
        <f>IF('3a Raw'!L34="","",MAX(-3,MIN(3,('3a Raw'!L34-$T3)/$T4)))</f>
        <v/>
      </c>
      <c r="U34" s="3">
        <f>IF(T34="","",(T34-AVERAGE(T6:T1198))/(STDEV(T6:T1198)+1E-12))</f>
        <v/>
      </c>
      <c r="X34" s="3">
        <f>IF(U34="","",U34-($V$3*G34+$W$3))</f>
        <v/>
      </c>
      <c r="Y34" s="3">
        <f>IF(X34="","",MAX(-3,MIN(3,(X34-$X3)/$X4)))</f>
        <v/>
      </c>
      <c r="Z34" s="3">
        <f>IF(Y34="","",(Y34-AVERAGE(Y6:Y1198))/(STDEV(Y6:Y1198)+1E-12))</f>
        <v/>
      </c>
    </row>
    <row r="35">
      <c r="A35" t="inlineStr">
        <is>
          <t>BBG000BGXZB5</t>
        </is>
      </c>
      <c r="B35" s="3">
        <f>IF('3a Raw'!C35="","",MAX(-3,MIN(3,('3a Raw'!C35-$B3)/$B4)))</f>
        <v/>
      </c>
      <c r="C35" s="3">
        <f>IF(B35="","",(B35-AVERAGE(B6:B1198))/(STDEV(B6:B1198)+1E-12))</f>
        <v/>
      </c>
      <c r="D35" s="3">
        <f>IF('3a Raw'!D35="","",MAX(-3,MIN(3,('3a Raw'!D35-$D3)/$D4)))</f>
        <v/>
      </c>
      <c r="E35" s="3">
        <f>IF(D35="","",(D35-AVERAGE(D6:D1198))/(STDEV(D6:D1198)+1E-12))</f>
        <v/>
      </c>
      <c r="F35" s="3">
        <f>IF('3a Raw'!E35="","",MAX(-3,MIN(3,('3a Raw'!E35-$F3)/$F4)))</f>
        <v/>
      </c>
      <c r="G35" s="3">
        <f>IF(F35="","",(F35-AVERAGE(F6:F1198))/(STDEV(F6:F1198)+1E-12))</f>
        <v/>
      </c>
      <c r="H35" s="3">
        <f>IF('3a Raw'!F35="","",MAX(-3,MIN(3,('3a Raw'!F35-$H3)/$H4)))</f>
        <v/>
      </c>
      <c r="I35" s="3">
        <f>IF(H35="","",(H35-AVERAGE(H6:H1198))/(STDEV(H6:H1198)+1E-12))</f>
        <v/>
      </c>
      <c r="J35" s="3">
        <f>IF('3a Raw'!G35="","",MAX(-3,MIN(3,('3a Raw'!G35-$J3)/$J4)))</f>
        <v/>
      </c>
      <c r="K35" s="3">
        <f>IF(J35="","",(J35-AVERAGE(J6:J1198))/(STDEV(J6:J1198)+1E-12))</f>
        <v/>
      </c>
      <c r="L35" s="3">
        <f>IF('3a Raw'!H35="","",MAX(-3,MIN(3,('3a Raw'!H35-$L3)/$L4)))</f>
        <v/>
      </c>
      <c r="M35" s="3">
        <f>IF(L35="","",(L35-AVERAGE(L6:L1198))/(STDEV(L6:L1198)+1E-12))</f>
        <v/>
      </c>
      <c r="N35" s="3">
        <f>IF('3a Raw'!I35="","",MAX(-3,MIN(3,('3a Raw'!I35-$N3)/$N4)))</f>
        <v/>
      </c>
      <c r="O35" s="3">
        <f>IF(N35="","",(N35-AVERAGE(N6:N1198))/(STDEV(N6:N1198)+1E-12))</f>
        <v/>
      </c>
      <c r="P35" s="3">
        <f>IF('3a Raw'!J35="","",MAX(-3,MIN(3,('3a Raw'!J35-$P3)/$P4)))</f>
        <v/>
      </c>
      <c r="Q35" s="3">
        <f>IF(P35="","",(P35-AVERAGE(P6:P1198))/(STDEV(P6:P1198)+1E-12))</f>
        <v/>
      </c>
      <c r="R35" s="3">
        <f>IF('3a Raw'!K35="","",MAX(-3,MIN(3,('3a Raw'!K35-$R3)/$R4)))</f>
        <v/>
      </c>
      <c r="S35" s="3">
        <f>IF(R35="","",(R35-AVERAGE(R6:R1198))/(STDEV(R6:R1198)+1E-12))</f>
        <v/>
      </c>
      <c r="T35" s="3">
        <f>IF('3a Raw'!L35="","",MAX(-3,MIN(3,('3a Raw'!L35-$T3)/$T4)))</f>
        <v/>
      </c>
      <c r="U35" s="3">
        <f>IF(T35="","",(T35-AVERAGE(T6:T1198))/(STDEV(T6:T1198)+1E-12))</f>
        <v/>
      </c>
      <c r="X35" s="3">
        <f>IF(U35="","",U35-($V$3*G35+$W$3))</f>
        <v/>
      </c>
      <c r="Y35" s="3">
        <f>IF(X35="","",MAX(-3,MIN(3,(X35-$X3)/$X4)))</f>
        <v/>
      </c>
      <c r="Z35" s="3">
        <f>IF(Y35="","",(Y35-AVERAGE(Y6:Y1198))/(STDEV(Y6:Y1198)+1E-12))</f>
        <v/>
      </c>
    </row>
    <row r="36">
      <c r="A36" t="inlineStr">
        <is>
          <t>BBG000BB9KF2</t>
        </is>
      </c>
      <c r="B36" s="3">
        <f>IF('3a Raw'!C36="","",MAX(-3,MIN(3,('3a Raw'!C36-$B3)/$B4)))</f>
        <v/>
      </c>
      <c r="C36" s="3">
        <f>IF(B36="","",(B36-AVERAGE(B6:B1198))/(STDEV(B6:B1198)+1E-12))</f>
        <v/>
      </c>
      <c r="D36" s="3">
        <f>IF('3a Raw'!D36="","",MAX(-3,MIN(3,('3a Raw'!D36-$D3)/$D4)))</f>
        <v/>
      </c>
      <c r="E36" s="3">
        <f>IF(D36="","",(D36-AVERAGE(D6:D1198))/(STDEV(D6:D1198)+1E-12))</f>
        <v/>
      </c>
      <c r="F36" s="3">
        <f>IF('3a Raw'!E36="","",MAX(-3,MIN(3,('3a Raw'!E36-$F3)/$F4)))</f>
        <v/>
      </c>
      <c r="G36" s="3">
        <f>IF(F36="","",(F36-AVERAGE(F6:F1198))/(STDEV(F6:F1198)+1E-12))</f>
        <v/>
      </c>
      <c r="H36" s="3">
        <f>IF('3a Raw'!F36="","",MAX(-3,MIN(3,('3a Raw'!F36-$H3)/$H4)))</f>
        <v/>
      </c>
      <c r="I36" s="3">
        <f>IF(H36="","",(H36-AVERAGE(H6:H1198))/(STDEV(H6:H1198)+1E-12))</f>
        <v/>
      </c>
      <c r="J36" s="3">
        <f>IF('3a Raw'!G36="","",MAX(-3,MIN(3,('3a Raw'!G36-$J3)/$J4)))</f>
        <v/>
      </c>
      <c r="K36" s="3">
        <f>IF(J36="","",(J36-AVERAGE(J6:J1198))/(STDEV(J6:J1198)+1E-12))</f>
        <v/>
      </c>
      <c r="L36" s="3">
        <f>IF('3a Raw'!H36="","",MAX(-3,MIN(3,('3a Raw'!H36-$L3)/$L4)))</f>
        <v/>
      </c>
      <c r="M36" s="3">
        <f>IF(L36="","",(L36-AVERAGE(L6:L1198))/(STDEV(L6:L1198)+1E-12))</f>
        <v/>
      </c>
      <c r="N36" s="3">
        <f>IF('3a Raw'!I36="","",MAX(-3,MIN(3,('3a Raw'!I36-$N3)/$N4)))</f>
        <v/>
      </c>
      <c r="O36" s="3">
        <f>IF(N36="","",(N36-AVERAGE(N6:N1198))/(STDEV(N6:N1198)+1E-12))</f>
        <v/>
      </c>
      <c r="P36" s="3">
        <f>IF('3a Raw'!J36="","",MAX(-3,MIN(3,('3a Raw'!J36-$P3)/$P4)))</f>
        <v/>
      </c>
      <c r="Q36" s="3">
        <f>IF(P36="","",(P36-AVERAGE(P6:P1198))/(STDEV(P6:P1198)+1E-12))</f>
        <v/>
      </c>
      <c r="R36" s="3">
        <f>IF('3a Raw'!K36="","",MAX(-3,MIN(3,('3a Raw'!K36-$R3)/$R4)))</f>
        <v/>
      </c>
      <c r="S36" s="3">
        <f>IF(R36="","",(R36-AVERAGE(R6:R1198))/(STDEV(R6:R1198)+1E-12))</f>
        <v/>
      </c>
      <c r="T36" s="3">
        <f>IF('3a Raw'!L36="","",MAX(-3,MIN(3,('3a Raw'!L36-$T3)/$T4)))</f>
        <v/>
      </c>
      <c r="U36" s="3">
        <f>IF(T36="","",(T36-AVERAGE(T6:T1198))/(STDEV(T6:T1198)+1E-12))</f>
        <v/>
      </c>
      <c r="X36" s="3">
        <f>IF(U36="","",U36-($V$3*G36+$W$3))</f>
        <v/>
      </c>
      <c r="Y36" s="3">
        <f>IF(X36="","",MAX(-3,MIN(3,(X36-$X3)/$X4)))</f>
        <v/>
      </c>
      <c r="Z36" s="3">
        <f>IF(Y36="","",(Y36-AVERAGE(Y6:Y1198))/(STDEV(Y6:Y1198)+1E-12))</f>
        <v/>
      </c>
    </row>
    <row r="37">
      <c r="A37" t="inlineStr">
        <is>
          <t>BBG000C23KJ3</t>
        </is>
      </c>
      <c r="B37" s="3">
        <f>IF('3a Raw'!C37="","",MAX(-3,MIN(3,('3a Raw'!C37-$B3)/$B4)))</f>
        <v/>
      </c>
      <c r="C37" s="3">
        <f>IF(B37="","",(B37-AVERAGE(B6:B1198))/(STDEV(B6:B1198)+1E-12))</f>
        <v/>
      </c>
      <c r="D37" s="3">
        <f>IF('3a Raw'!D37="","",MAX(-3,MIN(3,('3a Raw'!D37-$D3)/$D4)))</f>
        <v/>
      </c>
      <c r="E37" s="3">
        <f>IF(D37="","",(D37-AVERAGE(D6:D1198))/(STDEV(D6:D1198)+1E-12))</f>
        <v/>
      </c>
      <c r="F37" s="3">
        <f>IF('3a Raw'!E37="","",MAX(-3,MIN(3,('3a Raw'!E37-$F3)/$F4)))</f>
        <v/>
      </c>
      <c r="G37" s="3">
        <f>IF(F37="","",(F37-AVERAGE(F6:F1198))/(STDEV(F6:F1198)+1E-12))</f>
        <v/>
      </c>
      <c r="H37" s="3">
        <f>IF('3a Raw'!F37="","",MAX(-3,MIN(3,('3a Raw'!F37-$H3)/$H4)))</f>
        <v/>
      </c>
      <c r="I37" s="3">
        <f>IF(H37="","",(H37-AVERAGE(H6:H1198))/(STDEV(H6:H1198)+1E-12))</f>
        <v/>
      </c>
      <c r="J37" s="3">
        <f>IF('3a Raw'!G37="","",MAX(-3,MIN(3,('3a Raw'!G37-$J3)/$J4)))</f>
        <v/>
      </c>
      <c r="K37" s="3">
        <f>IF(J37="","",(J37-AVERAGE(J6:J1198))/(STDEV(J6:J1198)+1E-12))</f>
        <v/>
      </c>
      <c r="L37" s="3">
        <f>IF('3a Raw'!H37="","",MAX(-3,MIN(3,('3a Raw'!H37-$L3)/$L4)))</f>
        <v/>
      </c>
      <c r="M37" s="3">
        <f>IF(L37="","",(L37-AVERAGE(L6:L1198))/(STDEV(L6:L1198)+1E-12))</f>
        <v/>
      </c>
      <c r="N37" s="3">
        <f>IF('3a Raw'!I37="","",MAX(-3,MIN(3,('3a Raw'!I37-$N3)/$N4)))</f>
        <v/>
      </c>
      <c r="O37" s="3">
        <f>IF(N37="","",(N37-AVERAGE(N6:N1198))/(STDEV(N6:N1198)+1E-12))</f>
        <v/>
      </c>
      <c r="P37" s="3">
        <f>IF('3a Raw'!J37="","",MAX(-3,MIN(3,('3a Raw'!J37-$P3)/$P4)))</f>
        <v/>
      </c>
      <c r="Q37" s="3">
        <f>IF(P37="","",(P37-AVERAGE(P6:P1198))/(STDEV(P6:P1198)+1E-12))</f>
        <v/>
      </c>
      <c r="R37" s="3">
        <f>IF('3a Raw'!K37="","",MAX(-3,MIN(3,('3a Raw'!K37-$R3)/$R4)))</f>
        <v/>
      </c>
      <c r="S37" s="3">
        <f>IF(R37="","",(R37-AVERAGE(R6:R1198))/(STDEV(R6:R1198)+1E-12))</f>
        <v/>
      </c>
      <c r="T37" s="3">
        <f>IF('3a Raw'!L37="","",MAX(-3,MIN(3,('3a Raw'!L37-$T3)/$T4)))</f>
        <v/>
      </c>
      <c r="U37" s="3">
        <f>IF(T37="","",(T37-AVERAGE(T6:T1198))/(STDEV(T6:T1198)+1E-12))</f>
        <v/>
      </c>
      <c r="X37" s="3">
        <f>IF(U37="","",U37-($V$3*G37+$W$3))</f>
        <v/>
      </c>
      <c r="Y37" s="3">
        <f>IF(X37="","",MAX(-3,MIN(3,(X37-$X3)/$X4)))</f>
        <v/>
      </c>
      <c r="Z37" s="3">
        <f>IF(Y37="","",(Y37-AVERAGE(Y6:Y1198))/(STDEV(Y6:Y1198)+1E-12))</f>
        <v/>
      </c>
    </row>
    <row r="38">
      <c r="A38" t="inlineStr">
        <is>
          <t>BBG000BBBNC6</t>
        </is>
      </c>
      <c r="B38" s="3">
        <f>IF('3a Raw'!C38="","",MAX(-3,MIN(3,('3a Raw'!C38-$B3)/$B4)))</f>
        <v/>
      </c>
      <c r="C38" s="3">
        <f>IF(B38="","",(B38-AVERAGE(B6:B1198))/(STDEV(B6:B1198)+1E-12))</f>
        <v/>
      </c>
      <c r="D38" s="3">
        <f>IF('3a Raw'!D38="","",MAX(-3,MIN(3,('3a Raw'!D38-$D3)/$D4)))</f>
        <v/>
      </c>
      <c r="E38" s="3">
        <f>IF(D38="","",(D38-AVERAGE(D6:D1198))/(STDEV(D6:D1198)+1E-12))</f>
        <v/>
      </c>
      <c r="F38" s="3">
        <f>IF('3a Raw'!E38="","",MAX(-3,MIN(3,('3a Raw'!E38-$F3)/$F4)))</f>
        <v/>
      </c>
      <c r="G38" s="3">
        <f>IF(F38="","",(F38-AVERAGE(F6:F1198))/(STDEV(F6:F1198)+1E-12))</f>
        <v/>
      </c>
      <c r="H38" s="3">
        <f>IF('3a Raw'!F38="","",MAX(-3,MIN(3,('3a Raw'!F38-$H3)/$H4)))</f>
        <v/>
      </c>
      <c r="I38" s="3">
        <f>IF(H38="","",(H38-AVERAGE(H6:H1198))/(STDEV(H6:H1198)+1E-12))</f>
        <v/>
      </c>
      <c r="J38" s="3">
        <f>IF('3a Raw'!G38="","",MAX(-3,MIN(3,('3a Raw'!G38-$J3)/$J4)))</f>
        <v/>
      </c>
      <c r="K38" s="3">
        <f>IF(J38="","",(J38-AVERAGE(J6:J1198))/(STDEV(J6:J1198)+1E-12))</f>
        <v/>
      </c>
      <c r="L38" s="3">
        <f>IF('3a Raw'!H38="","",MAX(-3,MIN(3,('3a Raw'!H38-$L3)/$L4)))</f>
        <v/>
      </c>
      <c r="M38" s="3">
        <f>IF(L38="","",(L38-AVERAGE(L6:L1198))/(STDEV(L6:L1198)+1E-12))</f>
        <v/>
      </c>
      <c r="N38" s="3">
        <f>IF('3a Raw'!I38="","",MAX(-3,MIN(3,('3a Raw'!I38-$N3)/$N4)))</f>
        <v/>
      </c>
      <c r="O38" s="3">
        <f>IF(N38="","",(N38-AVERAGE(N6:N1198))/(STDEV(N6:N1198)+1E-12))</f>
        <v/>
      </c>
      <c r="P38" s="3">
        <f>IF('3a Raw'!J38="","",MAX(-3,MIN(3,('3a Raw'!J38-$P3)/$P4)))</f>
        <v/>
      </c>
      <c r="Q38" s="3">
        <f>IF(P38="","",(P38-AVERAGE(P6:P1198))/(STDEV(P6:P1198)+1E-12))</f>
        <v/>
      </c>
      <c r="R38" s="3">
        <f>IF('3a Raw'!K38="","",MAX(-3,MIN(3,('3a Raw'!K38-$R3)/$R4)))</f>
        <v/>
      </c>
      <c r="S38" s="3">
        <f>IF(R38="","",(R38-AVERAGE(R6:R1198))/(STDEV(R6:R1198)+1E-12))</f>
        <v/>
      </c>
      <c r="T38" s="3">
        <f>IF('3a Raw'!L38="","",MAX(-3,MIN(3,('3a Raw'!L38-$T3)/$T4)))</f>
        <v/>
      </c>
      <c r="U38" s="3">
        <f>IF(T38="","",(T38-AVERAGE(T6:T1198))/(STDEV(T6:T1198)+1E-12))</f>
        <v/>
      </c>
      <c r="X38" s="3">
        <f>IF(U38="","",U38-($V$3*G38+$W$3))</f>
        <v/>
      </c>
      <c r="Y38" s="3">
        <f>IF(X38="","",MAX(-3,MIN(3,(X38-$X3)/$X4)))</f>
        <v/>
      </c>
      <c r="Z38" s="3">
        <f>IF(Y38="","",(Y38-AVERAGE(Y6:Y1198))/(STDEV(Y6:Y1198)+1E-12))</f>
        <v/>
      </c>
    </row>
    <row r="39">
      <c r="A39" t="inlineStr">
        <is>
          <t>BBG00Y7BP8Y1</t>
        </is>
      </c>
      <c r="B39" s="3">
        <f>IF('3a Raw'!C39="","",MAX(-3,MIN(3,('3a Raw'!C39-$B3)/$B4)))</f>
        <v/>
      </c>
      <c r="C39" s="3">
        <f>IF(B39="","",(B39-AVERAGE(B6:B1198))/(STDEV(B6:B1198)+1E-12))</f>
        <v/>
      </c>
      <c r="D39" s="3">
        <f>IF('3a Raw'!D39="","",MAX(-3,MIN(3,('3a Raw'!D39-$D3)/$D4)))</f>
        <v/>
      </c>
      <c r="E39" s="3">
        <f>IF(D39="","",(D39-AVERAGE(D6:D1198))/(STDEV(D6:D1198)+1E-12))</f>
        <v/>
      </c>
      <c r="F39" s="3">
        <f>IF('3a Raw'!E39="","",MAX(-3,MIN(3,('3a Raw'!E39-$F3)/$F4)))</f>
        <v/>
      </c>
      <c r="G39" s="3">
        <f>IF(F39="","",(F39-AVERAGE(F6:F1198))/(STDEV(F6:F1198)+1E-12))</f>
        <v/>
      </c>
      <c r="H39" s="3">
        <f>IF('3a Raw'!F39="","",MAX(-3,MIN(3,('3a Raw'!F39-$H3)/$H4)))</f>
        <v/>
      </c>
      <c r="I39" s="3">
        <f>IF(H39="","",(H39-AVERAGE(H6:H1198))/(STDEV(H6:H1198)+1E-12))</f>
        <v/>
      </c>
      <c r="J39" s="3">
        <f>IF('3a Raw'!G39="","",MAX(-3,MIN(3,('3a Raw'!G39-$J3)/$J4)))</f>
        <v/>
      </c>
      <c r="K39" s="3">
        <f>IF(J39="","",(J39-AVERAGE(J6:J1198))/(STDEV(J6:J1198)+1E-12))</f>
        <v/>
      </c>
      <c r="L39" s="3">
        <f>IF('3a Raw'!H39="","",MAX(-3,MIN(3,('3a Raw'!H39-$L3)/$L4)))</f>
        <v/>
      </c>
      <c r="M39" s="3">
        <f>IF(L39="","",(L39-AVERAGE(L6:L1198))/(STDEV(L6:L1198)+1E-12))</f>
        <v/>
      </c>
      <c r="N39" s="3">
        <f>IF('3a Raw'!I39="","",MAX(-3,MIN(3,('3a Raw'!I39-$N3)/$N4)))</f>
        <v/>
      </c>
      <c r="O39" s="3">
        <f>IF(N39="","",(N39-AVERAGE(N6:N1198))/(STDEV(N6:N1198)+1E-12))</f>
        <v/>
      </c>
      <c r="P39" s="3">
        <f>IF('3a Raw'!J39="","",MAX(-3,MIN(3,('3a Raw'!J39-$P3)/$P4)))</f>
        <v/>
      </c>
      <c r="Q39" s="3">
        <f>IF(P39="","",(P39-AVERAGE(P6:P1198))/(STDEV(P6:P1198)+1E-12))</f>
        <v/>
      </c>
      <c r="R39" s="3">
        <f>IF('3a Raw'!K39="","",MAX(-3,MIN(3,('3a Raw'!K39-$R3)/$R4)))</f>
        <v/>
      </c>
      <c r="S39" s="3">
        <f>IF(R39="","",(R39-AVERAGE(R6:R1198))/(STDEV(R6:R1198)+1E-12))</f>
        <v/>
      </c>
      <c r="T39" s="3">
        <f>IF('3a Raw'!L39="","",MAX(-3,MIN(3,('3a Raw'!L39-$T3)/$T4)))</f>
        <v/>
      </c>
      <c r="U39" s="3">
        <f>IF(T39="","",(T39-AVERAGE(T6:T1198))/(STDEV(T6:T1198)+1E-12))</f>
        <v/>
      </c>
      <c r="X39" s="3">
        <f>IF(U39="","",U39-($V$3*G39+$W$3))</f>
        <v/>
      </c>
      <c r="Y39" s="3">
        <f>IF(X39="","",MAX(-3,MIN(3,(X39-$X3)/$X4)))</f>
        <v/>
      </c>
      <c r="Z39" s="3">
        <f>IF(Y39="","",(Y39-AVERAGE(Y6:Y1198))/(STDEV(Y6:Y1198)+1E-12))</f>
        <v/>
      </c>
    </row>
    <row r="40">
      <c r="A40" t="inlineStr">
        <is>
          <t>BBG000QY4ZD0</t>
        </is>
      </c>
      <c r="B40" s="3">
        <f>IF('3a Raw'!C40="","",MAX(-3,MIN(3,('3a Raw'!C40-$B3)/$B4)))</f>
        <v/>
      </c>
      <c r="C40" s="3">
        <f>IF(B40="","",(B40-AVERAGE(B6:B1198))/(STDEV(B6:B1198)+1E-12))</f>
        <v/>
      </c>
      <c r="D40" s="3">
        <f>IF('3a Raw'!D40="","",MAX(-3,MIN(3,('3a Raw'!D40-$D3)/$D4)))</f>
        <v/>
      </c>
      <c r="E40" s="3">
        <f>IF(D40="","",(D40-AVERAGE(D6:D1198))/(STDEV(D6:D1198)+1E-12))</f>
        <v/>
      </c>
      <c r="F40" s="3">
        <f>IF('3a Raw'!E40="","",MAX(-3,MIN(3,('3a Raw'!E40-$F3)/$F4)))</f>
        <v/>
      </c>
      <c r="G40" s="3">
        <f>IF(F40="","",(F40-AVERAGE(F6:F1198))/(STDEV(F6:F1198)+1E-12))</f>
        <v/>
      </c>
      <c r="H40" s="3">
        <f>IF('3a Raw'!F40="","",MAX(-3,MIN(3,('3a Raw'!F40-$H3)/$H4)))</f>
        <v/>
      </c>
      <c r="I40" s="3">
        <f>IF(H40="","",(H40-AVERAGE(H6:H1198))/(STDEV(H6:H1198)+1E-12))</f>
        <v/>
      </c>
      <c r="J40" s="3">
        <f>IF('3a Raw'!G40="","",MAX(-3,MIN(3,('3a Raw'!G40-$J3)/$J4)))</f>
        <v/>
      </c>
      <c r="K40" s="3">
        <f>IF(J40="","",(J40-AVERAGE(J6:J1198))/(STDEV(J6:J1198)+1E-12))</f>
        <v/>
      </c>
      <c r="L40" s="3">
        <f>IF('3a Raw'!H40="","",MAX(-3,MIN(3,('3a Raw'!H40-$L3)/$L4)))</f>
        <v/>
      </c>
      <c r="M40" s="3">
        <f>IF(L40="","",(L40-AVERAGE(L6:L1198))/(STDEV(L6:L1198)+1E-12))</f>
        <v/>
      </c>
      <c r="N40" s="3">
        <f>IF('3a Raw'!I40="","",MAX(-3,MIN(3,('3a Raw'!I40-$N3)/$N4)))</f>
        <v/>
      </c>
      <c r="O40" s="3">
        <f>IF(N40="","",(N40-AVERAGE(N6:N1198))/(STDEV(N6:N1198)+1E-12))</f>
        <v/>
      </c>
      <c r="P40" s="3">
        <f>IF('3a Raw'!J40="","",MAX(-3,MIN(3,('3a Raw'!J40-$P3)/$P4)))</f>
        <v/>
      </c>
      <c r="Q40" s="3">
        <f>IF(P40="","",(P40-AVERAGE(P6:P1198))/(STDEV(P6:P1198)+1E-12))</f>
        <v/>
      </c>
      <c r="R40" s="3">
        <f>IF('3a Raw'!K40="","",MAX(-3,MIN(3,('3a Raw'!K40-$R3)/$R4)))</f>
        <v/>
      </c>
      <c r="S40" s="3">
        <f>IF(R40="","",(R40-AVERAGE(R6:R1198))/(STDEV(R6:R1198)+1E-12))</f>
        <v/>
      </c>
      <c r="T40" s="3">
        <f>IF('3a Raw'!L40="","",MAX(-3,MIN(3,('3a Raw'!L40-$T3)/$T4)))</f>
        <v/>
      </c>
      <c r="U40" s="3">
        <f>IF(T40="","",(T40-AVERAGE(T6:T1198))/(STDEV(T6:T1198)+1E-12))</f>
        <v/>
      </c>
      <c r="X40" s="3">
        <f>IF(U40="","",U40-($V$3*G40+$W$3))</f>
        <v/>
      </c>
      <c r="Y40" s="3">
        <f>IF(X40="","",MAX(-3,MIN(3,(X40-$X3)/$X4)))</f>
        <v/>
      </c>
      <c r="Z40" s="3">
        <f>IF(Y40="","",(Y40-AVERAGE(Y6:Y1198))/(STDEV(Y6:Y1198)+1E-12))</f>
        <v/>
      </c>
    </row>
    <row r="41">
      <c r="A41" t="inlineStr">
        <is>
          <t>BBG000TJ8XZ7</t>
        </is>
      </c>
      <c r="B41" s="3">
        <f>IF('3a Raw'!C41="","",MAX(-3,MIN(3,('3a Raw'!C41-$B3)/$B4)))</f>
        <v/>
      </c>
      <c r="C41" s="3">
        <f>IF(B41="","",(B41-AVERAGE(B6:B1198))/(STDEV(B6:B1198)+1E-12))</f>
        <v/>
      </c>
      <c r="D41" s="3">
        <f>IF('3a Raw'!D41="","",MAX(-3,MIN(3,('3a Raw'!D41-$D3)/$D4)))</f>
        <v/>
      </c>
      <c r="E41" s="3">
        <f>IF(D41="","",(D41-AVERAGE(D6:D1198))/(STDEV(D6:D1198)+1E-12))</f>
        <v/>
      </c>
      <c r="F41" s="3">
        <f>IF('3a Raw'!E41="","",MAX(-3,MIN(3,('3a Raw'!E41-$F3)/$F4)))</f>
        <v/>
      </c>
      <c r="G41" s="3">
        <f>IF(F41="","",(F41-AVERAGE(F6:F1198))/(STDEV(F6:F1198)+1E-12))</f>
        <v/>
      </c>
      <c r="H41" s="3">
        <f>IF('3a Raw'!F41="","",MAX(-3,MIN(3,('3a Raw'!F41-$H3)/$H4)))</f>
        <v/>
      </c>
      <c r="I41" s="3">
        <f>IF(H41="","",(H41-AVERAGE(H6:H1198))/(STDEV(H6:H1198)+1E-12))</f>
        <v/>
      </c>
      <c r="J41" s="3">
        <f>IF('3a Raw'!G41="","",MAX(-3,MIN(3,('3a Raw'!G41-$J3)/$J4)))</f>
        <v/>
      </c>
      <c r="K41" s="3">
        <f>IF(J41="","",(J41-AVERAGE(J6:J1198))/(STDEV(J6:J1198)+1E-12))</f>
        <v/>
      </c>
      <c r="L41" s="3">
        <f>IF('3a Raw'!H41="","",MAX(-3,MIN(3,('3a Raw'!H41-$L3)/$L4)))</f>
        <v/>
      </c>
      <c r="M41" s="3">
        <f>IF(L41="","",(L41-AVERAGE(L6:L1198))/(STDEV(L6:L1198)+1E-12))</f>
        <v/>
      </c>
      <c r="N41" s="3">
        <f>IF('3a Raw'!I41="","",MAX(-3,MIN(3,('3a Raw'!I41-$N3)/$N4)))</f>
        <v/>
      </c>
      <c r="O41" s="3">
        <f>IF(N41="","",(N41-AVERAGE(N6:N1198))/(STDEV(N6:N1198)+1E-12))</f>
        <v/>
      </c>
      <c r="P41" s="3">
        <f>IF('3a Raw'!J41="","",MAX(-3,MIN(3,('3a Raw'!J41-$P3)/$P4)))</f>
        <v/>
      </c>
      <c r="Q41" s="3">
        <f>IF(P41="","",(P41-AVERAGE(P6:P1198))/(STDEV(P6:P1198)+1E-12))</f>
        <v/>
      </c>
      <c r="R41" s="3">
        <f>IF('3a Raw'!K41="","",MAX(-3,MIN(3,('3a Raw'!K41-$R3)/$R4)))</f>
        <v/>
      </c>
      <c r="S41" s="3">
        <f>IF(R41="","",(R41-AVERAGE(R6:R1198))/(STDEV(R6:R1198)+1E-12))</f>
        <v/>
      </c>
      <c r="T41" s="3">
        <f>IF('3a Raw'!L41="","",MAX(-3,MIN(3,('3a Raw'!L41-$T3)/$T4)))</f>
        <v/>
      </c>
      <c r="U41" s="3">
        <f>IF(T41="","",(T41-AVERAGE(T6:T1198))/(STDEV(T6:T1198)+1E-12))</f>
        <v/>
      </c>
      <c r="X41" s="3">
        <f>IF(U41="","",U41-($V$3*G41+$W$3))</f>
        <v/>
      </c>
      <c r="Y41" s="3">
        <f>IF(X41="","",MAX(-3,MIN(3,(X41-$X3)/$X4)))</f>
        <v/>
      </c>
      <c r="Z41" s="3">
        <f>IF(Y41="","",(Y41-AVERAGE(Y6:Y1198))/(STDEV(Y6:Y1198)+1E-12))</f>
        <v/>
      </c>
    </row>
    <row r="42">
      <c r="A42" t="inlineStr">
        <is>
          <t>BBG000BR74W6</t>
        </is>
      </c>
      <c r="B42" s="3">
        <f>IF('3a Raw'!C42="","",MAX(-3,MIN(3,('3a Raw'!C42-$B3)/$B4)))</f>
        <v/>
      </c>
      <c r="C42" s="3">
        <f>IF(B42="","",(B42-AVERAGE(B6:B1198))/(STDEV(B6:B1198)+1E-12))</f>
        <v/>
      </c>
      <c r="D42" s="3">
        <f>IF('3a Raw'!D42="","",MAX(-3,MIN(3,('3a Raw'!D42-$D3)/$D4)))</f>
        <v/>
      </c>
      <c r="E42" s="3">
        <f>IF(D42="","",(D42-AVERAGE(D6:D1198))/(STDEV(D6:D1198)+1E-12))</f>
        <v/>
      </c>
      <c r="F42" s="3">
        <f>IF('3a Raw'!E42="","",MAX(-3,MIN(3,('3a Raw'!E42-$F3)/$F4)))</f>
        <v/>
      </c>
      <c r="G42" s="3">
        <f>IF(F42="","",(F42-AVERAGE(F6:F1198))/(STDEV(F6:F1198)+1E-12))</f>
        <v/>
      </c>
      <c r="H42" s="3">
        <f>IF('3a Raw'!F42="","",MAX(-3,MIN(3,('3a Raw'!F42-$H3)/$H4)))</f>
        <v/>
      </c>
      <c r="I42" s="3">
        <f>IF(H42="","",(H42-AVERAGE(H6:H1198))/(STDEV(H6:H1198)+1E-12))</f>
        <v/>
      </c>
      <c r="J42" s="3">
        <f>IF('3a Raw'!G42="","",MAX(-3,MIN(3,('3a Raw'!G42-$J3)/$J4)))</f>
        <v/>
      </c>
      <c r="K42" s="3">
        <f>IF(J42="","",(J42-AVERAGE(J6:J1198))/(STDEV(J6:J1198)+1E-12))</f>
        <v/>
      </c>
      <c r="L42" s="3">
        <f>IF('3a Raw'!H42="","",MAX(-3,MIN(3,('3a Raw'!H42-$L3)/$L4)))</f>
        <v/>
      </c>
      <c r="M42" s="3">
        <f>IF(L42="","",(L42-AVERAGE(L6:L1198))/(STDEV(L6:L1198)+1E-12))</f>
        <v/>
      </c>
      <c r="N42" s="3">
        <f>IF('3a Raw'!I42="","",MAX(-3,MIN(3,('3a Raw'!I42-$N3)/$N4)))</f>
        <v/>
      </c>
      <c r="O42" s="3">
        <f>IF(N42="","",(N42-AVERAGE(N6:N1198))/(STDEV(N6:N1198)+1E-12))</f>
        <v/>
      </c>
      <c r="P42" s="3">
        <f>IF('3a Raw'!J42="","",MAX(-3,MIN(3,('3a Raw'!J42-$P3)/$P4)))</f>
        <v/>
      </c>
      <c r="Q42" s="3">
        <f>IF(P42="","",(P42-AVERAGE(P6:P1198))/(STDEV(P6:P1198)+1E-12))</f>
        <v/>
      </c>
      <c r="R42" s="3">
        <f>IF('3a Raw'!K42="","",MAX(-3,MIN(3,('3a Raw'!K42-$R3)/$R4)))</f>
        <v/>
      </c>
      <c r="S42" s="3">
        <f>IF(R42="","",(R42-AVERAGE(R6:R1198))/(STDEV(R6:R1198)+1E-12))</f>
        <v/>
      </c>
      <c r="T42" s="3">
        <f>IF('3a Raw'!L42="","",MAX(-3,MIN(3,('3a Raw'!L42-$T3)/$T4)))</f>
        <v/>
      </c>
      <c r="U42" s="3">
        <f>IF(T42="","",(T42-AVERAGE(T6:T1198))/(STDEV(T6:T1198)+1E-12))</f>
        <v/>
      </c>
      <c r="X42" s="3">
        <f>IF(U42="","",U42-($V$3*G42+$W$3))</f>
        <v/>
      </c>
      <c r="Y42" s="3">
        <f>IF(X42="","",MAX(-3,MIN(3,(X42-$X3)/$X4)))</f>
        <v/>
      </c>
      <c r="Z42" s="3">
        <f>IF(Y42="","",(Y42-AVERAGE(Y6:Y1198))/(STDEV(Y6:Y1198)+1E-12))</f>
        <v/>
      </c>
    </row>
    <row r="43">
      <c r="A43" t="inlineStr">
        <is>
          <t>BBG000BBDZG3</t>
        </is>
      </c>
      <c r="B43" s="3">
        <f>IF('3a Raw'!C43="","",MAX(-3,MIN(3,('3a Raw'!C43-$B3)/$B4)))</f>
        <v/>
      </c>
      <c r="C43" s="3">
        <f>IF(B43="","",(B43-AVERAGE(B6:B1198))/(STDEV(B6:B1198)+1E-12))</f>
        <v/>
      </c>
      <c r="D43" s="3">
        <f>IF('3a Raw'!D43="","",MAX(-3,MIN(3,('3a Raw'!D43-$D3)/$D4)))</f>
        <v/>
      </c>
      <c r="E43" s="3">
        <f>IF(D43="","",(D43-AVERAGE(D6:D1198))/(STDEV(D6:D1198)+1E-12))</f>
        <v/>
      </c>
      <c r="F43" s="3">
        <f>IF('3a Raw'!E43="","",MAX(-3,MIN(3,('3a Raw'!E43-$F3)/$F4)))</f>
        <v/>
      </c>
      <c r="G43" s="3">
        <f>IF(F43="","",(F43-AVERAGE(F6:F1198))/(STDEV(F6:F1198)+1E-12))</f>
        <v/>
      </c>
      <c r="H43" s="3">
        <f>IF('3a Raw'!F43="","",MAX(-3,MIN(3,('3a Raw'!F43-$H3)/$H4)))</f>
        <v/>
      </c>
      <c r="I43" s="3">
        <f>IF(H43="","",(H43-AVERAGE(H6:H1198))/(STDEV(H6:H1198)+1E-12))</f>
        <v/>
      </c>
      <c r="J43" s="3">
        <f>IF('3a Raw'!G43="","",MAX(-3,MIN(3,('3a Raw'!G43-$J3)/$J4)))</f>
        <v/>
      </c>
      <c r="K43" s="3">
        <f>IF(J43="","",(J43-AVERAGE(J6:J1198))/(STDEV(J6:J1198)+1E-12))</f>
        <v/>
      </c>
      <c r="L43" s="3">
        <f>IF('3a Raw'!H43="","",MAX(-3,MIN(3,('3a Raw'!H43-$L3)/$L4)))</f>
        <v/>
      </c>
      <c r="M43" s="3">
        <f>IF(L43="","",(L43-AVERAGE(L6:L1198))/(STDEV(L6:L1198)+1E-12))</f>
        <v/>
      </c>
      <c r="N43" s="3">
        <f>IF('3a Raw'!I43="","",MAX(-3,MIN(3,('3a Raw'!I43-$N3)/$N4)))</f>
        <v/>
      </c>
      <c r="O43" s="3">
        <f>IF(N43="","",(N43-AVERAGE(N6:N1198))/(STDEV(N6:N1198)+1E-12))</f>
        <v/>
      </c>
      <c r="P43" s="3">
        <f>IF('3a Raw'!J43="","",MAX(-3,MIN(3,('3a Raw'!J43-$P3)/$P4)))</f>
        <v/>
      </c>
      <c r="Q43" s="3">
        <f>IF(P43="","",(P43-AVERAGE(P6:P1198))/(STDEV(P6:P1198)+1E-12))</f>
        <v/>
      </c>
      <c r="R43" s="3">
        <f>IF('3a Raw'!K43="","",MAX(-3,MIN(3,('3a Raw'!K43-$R3)/$R4)))</f>
        <v/>
      </c>
      <c r="S43" s="3">
        <f>IF(R43="","",(R43-AVERAGE(R6:R1198))/(STDEV(R6:R1198)+1E-12))</f>
        <v/>
      </c>
      <c r="T43" s="3">
        <f>IF('3a Raw'!L43="","",MAX(-3,MIN(3,('3a Raw'!L43-$T3)/$T4)))</f>
        <v/>
      </c>
      <c r="U43" s="3">
        <f>IF(T43="","",(T43-AVERAGE(T6:T1198))/(STDEV(T6:T1198)+1E-12))</f>
        <v/>
      </c>
      <c r="X43" s="3">
        <f>IF(U43="","",U43-($V$3*G43+$W$3))</f>
        <v/>
      </c>
      <c r="Y43" s="3">
        <f>IF(X43="","",MAX(-3,MIN(3,(X43-$X3)/$X4)))</f>
        <v/>
      </c>
      <c r="Z43" s="3">
        <f>IF(Y43="","",(Y43-AVERAGE(Y6:Y1198))/(STDEV(Y6:Y1198)+1E-12))</f>
        <v/>
      </c>
    </row>
    <row r="44">
      <c r="A44" t="inlineStr">
        <is>
          <t>BBG000BN06C9</t>
        </is>
      </c>
      <c r="B44" s="3">
        <f>IF('3a Raw'!C44="","",MAX(-3,MIN(3,('3a Raw'!C44-$B3)/$B4)))</f>
        <v/>
      </c>
      <c r="C44" s="3">
        <f>IF(B44="","",(B44-AVERAGE(B6:B1198))/(STDEV(B6:B1198)+1E-12))</f>
        <v/>
      </c>
      <c r="D44" s="3">
        <f>IF('3a Raw'!D44="","",MAX(-3,MIN(3,('3a Raw'!D44-$D3)/$D4)))</f>
        <v/>
      </c>
      <c r="E44" s="3">
        <f>IF(D44="","",(D44-AVERAGE(D6:D1198))/(STDEV(D6:D1198)+1E-12))</f>
        <v/>
      </c>
      <c r="F44" s="3">
        <f>IF('3a Raw'!E44="","",MAX(-3,MIN(3,('3a Raw'!E44-$F3)/$F4)))</f>
        <v/>
      </c>
      <c r="G44" s="3">
        <f>IF(F44="","",(F44-AVERAGE(F6:F1198))/(STDEV(F6:F1198)+1E-12))</f>
        <v/>
      </c>
      <c r="H44" s="3">
        <f>IF('3a Raw'!F44="","",MAX(-3,MIN(3,('3a Raw'!F44-$H3)/$H4)))</f>
        <v/>
      </c>
      <c r="I44" s="3">
        <f>IF(H44="","",(H44-AVERAGE(H6:H1198))/(STDEV(H6:H1198)+1E-12))</f>
        <v/>
      </c>
      <c r="J44" s="3">
        <f>IF('3a Raw'!G44="","",MAX(-3,MIN(3,('3a Raw'!G44-$J3)/$J4)))</f>
        <v/>
      </c>
      <c r="K44" s="3">
        <f>IF(J44="","",(J44-AVERAGE(J6:J1198))/(STDEV(J6:J1198)+1E-12))</f>
        <v/>
      </c>
      <c r="L44" s="3">
        <f>IF('3a Raw'!H44="","",MAX(-3,MIN(3,('3a Raw'!H44-$L3)/$L4)))</f>
        <v/>
      </c>
      <c r="M44" s="3">
        <f>IF(L44="","",(L44-AVERAGE(L6:L1198))/(STDEV(L6:L1198)+1E-12))</f>
        <v/>
      </c>
      <c r="N44" s="3">
        <f>IF('3a Raw'!I44="","",MAX(-3,MIN(3,('3a Raw'!I44-$N3)/$N4)))</f>
        <v/>
      </c>
      <c r="O44" s="3">
        <f>IF(N44="","",(N44-AVERAGE(N6:N1198))/(STDEV(N6:N1198)+1E-12))</f>
        <v/>
      </c>
      <c r="P44" s="3">
        <f>IF('3a Raw'!J44="","",MAX(-3,MIN(3,('3a Raw'!J44-$P3)/$P4)))</f>
        <v/>
      </c>
      <c r="Q44" s="3">
        <f>IF(P44="","",(P44-AVERAGE(P6:P1198))/(STDEV(P6:P1198)+1E-12))</f>
        <v/>
      </c>
      <c r="R44" s="3">
        <f>IF('3a Raw'!K44="","",MAX(-3,MIN(3,('3a Raw'!K44-$R3)/$R4)))</f>
        <v/>
      </c>
      <c r="S44" s="3">
        <f>IF(R44="","",(R44-AVERAGE(R6:R1198))/(STDEV(R6:R1198)+1E-12))</f>
        <v/>
      </c>
      <c r="T44" s="3">
        <f>IF('3a Raw'!L44="","",MAX(-3,MIN(3,('3a Raw'!L44-$T3)/$T4)))</f>
        <v/>
      </c>
      <c r="U44" s="3">
        <f>IF(T44="","",(T44-AVERAGE(T6:T1198))/(STDEV(T6:T1198)+1E-12))</f>
        <v/>
      </c>
      <c r="X44" s="3">
        <f>IF(U44="","",U44-($V$3*G44+$W$3))</f>
        <v/>
      </c>
      <c r="Y44" s="3">
        <f>IF(X44="","",MAX(-3,MIN(3,(X44-$X3)/$X4)))</f>
        <v/>
      </c>
      <c r="Z44" s="3">
        <f>IF(Y44="","",(Y44-AVERAGE(Y6:Y1198))/(STDEV(Y6:Y1198)+1E-12))</f>
        <v/>
      </c>
    </row>
    <row r="45">
      <c r="A45" t="inlineStr">
        <is>
          <t>BBG000BBGQF1</t>
        </is>
      </c>
      <c r="B45" s="3">
        <f>IF('3a Raw'!C45="","",MAX(-3,MIN(3,('3a Raw'!C45-$B3)/$B4)))</f>
        <v/>
      </c>
      <c r="C45" s="3">
        <f>IF(B45="","",(B45-AVERAGE(B6:B1198))/(STDEV(B6:B1198)+1E-12))</f>
        <v/>
      </c>
      <c r="D45" s="3">
        <f>IF('3a Raw'!D45="","",MAX(-3,MIN(3,('3a Raw'!D45-$D3)/$D4)))</f>
        <v/>
      </c>
      <c r="E45" s="3">
        <f>IF(D45="","",(D45-AVERAGE(D6:D1198))/(STDEV(D6:D1198)+1E-12))</f>
        <v/>
      </c>
      <c r="F45" s="3">
        <f>IF('3a Raw'!E45="","",MAX(-3,MIN(3,('3a Raw'!E45-$F3)/$F4)))</f>
        <v/>
      </c>
      <c r="G45" s="3">
        <f>IF(F45="","",(F45-AVERAGE(F6:F1198))/(STDEV(F6:F1198)+1E-12))</f>
        <v/>
      </c>
      <c r="H45" s="3">
        <f>IF('3a Raw'!F45="","",MAX(-3,MIN(3,('3a Raw'!F45-$H3)/$H4)))</f>
        <v/>
      </c>
      <c r="I45" s="3">
        <f>IF(H45="","",(H45-AVERAGE(H6:H1198))/(STDEV(H6:H1198)+1E-12))</f>
        <v/>
      </c>
      <c r="J45" s="3">
        <f>IF('3a Raw'!G45="","",MAX(-3,MIN(3,('3a Raw'!G45-$J3)/$J4)))</f>
        <v/>
      </c>
      <c r="K45" s="3">
        <f>IF(J45="","",(J45-AVERAGE(J6:J1198))/(STDEV(J6:J1198)+1E-12))</f>
        <v/>
      </c>
      <c r="L45" s="3">
        <f>IF('3a Raw'!H45="","",MAX(-3,MIN(3,('3a Raw'!H45-$L3)/$L4)))</f>
        <v/>
      </c>
      <c r="M45" s="3">
        <f>IF(L45="","",(L45-AVERAGE(L6:L1198))/(STDEV(L6:L1198)+1E-12))</f>
        <v/>
      </c>
      <c r="N45" s="3">
        <f>IF('3a Raw'!I45="","",MAX(-3,MIN(3,('3a Raw'!I45-$N3)/$N4)))</f>
        <v/>
      </c>
      <c r="O45" s="3">
        <f>IF(N45="","",(N45-AVERAGE(N6:N1198))/(STDEV(N6:N1198)+1E-12))</f>
        <v/>
      </c>
      <c r="P45" s="3">
        <f>IF('3a Raw'!J45="","",MAX(-3,MIN(3,('3a Raw'!J45-$P3)/$P4)))</f>
        <v/>
      </c>
      <c r="Q45" s="3">
        <f>IF(P45="","",(P45-AVERAGE(P6:P1198))/(STDEV(P6:P1198)+1E-12))</f>
        <v/>
      </c>
      <c r="R45" s="3">
        <f>IF('3a Raw'!K45="","",MAX(-3,MIN(3,('3a Raw'!K45-$R3)/$R4)))</f>
        <v/>
      </c>
      <c r="S45" s="3">
        <f>IF(R45="","",(R45-AVERAGE(R6:R1198))/(STDEV(R6:R1198)+1E-12))</f>
        <v/>
      </c>
      <c r="T45" s="3">
        <f>IF('3a Raw'!L45="","",MAX(-3,MIN(3,('3a Raw'!L45-$T3)/$T4)))</f>
        <v/>
      </c>
      <c r="U45" s="3">
        <f>IF(T45="","",(T45-AVERAGE(T6:T1198))/(STDEV(T6:T1198)+1E-12))</f>
        <v/>
      </c>
      <c r="X45" s="3">
        <f>IF(U45="","",U45-($V$3*G45+$W$3))</f>
        <v/>
      </c>
      <c r="Y45" s="3">
        <f>IF(X45="","",MAX(-3,MIN(3,(X45-$X3)/$X4)))</f>
        <v/>
      </c>
      <c r="Z45" s="3">
        <f>IF(Y45="","",(Y45-AVERAGE(Y6:Y1198))/(STDEV(Y6:Y1198)+1E-12))</f>
        <v/>
      </c>
    </row>
    <row r="46">
      <c r="A46" t="inlineStr">
        <is>
          <t>BBG0026ZDGG4</t>
        </is>
      </c>
      <c r="B46" s="3">
        <f>IF('3a Raw'!C46="","",MAX(-3,MIN(3,('3a Raw'!C46-$B3)/$B4)))</f>
        <v/>
      </c>
      <c r="C46" s="3">
        <f>IF(B46="","",(B46-AVERAGE(B6:B1198))/(STDEV(B6:B1198)+1E-12))</f>
        <v/>
      </c>
      <c r="D46" s="3">
        <f>IF('3a Raw'!D46="","",MAX(-3,MIN(3,('3a Raw'!D46-$D3)/$D4)))</f>
        <v/>
      </c>
      <c r="E46" s="3">
        <f>IF(D46="","",(D46-AVERAGE(D6:D1198))/(STDEV(D6:D1198)+1E-12))</f>
        <v/>
      </c>
      <c r="F46" s="3">
        <f>IF('3a Raw'!E46="","",MAX(-3,MIN(3,('3a Raw'!E46-$F3)/$F4)))</f>
        <v/>
      </c>
      <c r="G46" s="3">
        <f>IF(F46="","",(F46-AVERAGE(F6:F1198))/(STDEV(F6:F1198)+1E-12))</f>
        <v/>
      </c>
      <c r="H46" s="3">
        <f>IF('3a Raw'!F46="","",MAX(-3,MIN(3,('3a Raw'!F46-$H3)/$H4)))</f>
        <v/>
      </c>
      <c r="I46" s="3">
        <f>IF(H46="","",(H46-AVERAGE(H6:H1198))/(STDEV(H6:H1198)+1E-12))</f>
        <v/>
      </c>
      <c r="J46" s="3">
        <f>IF('3a Raw'!G46="","",MAX(-3,MIN(3,('3a Raw'!G46-$J3)/$J4)))</f>
        <v/>
      </c>
      <c r="K46" s="3">
        <f>IF(J46="","",(J46-AVERAGE(J6:J1198))/(STDEV(J6:J1198)+1E-12))</f>
        <v/>
      </c>
      <c r="L46" s="3">
        <f>IF('3a Raw'!H46="","",MAX(-3,MIN(3,('3a Raw'!H46-$L3)/$L4)))</f>
        <v/>
      </c>
      <c r="M46" s="3">
        <f>IF(L46="","",(L46-AVERAGE(L6:L1198))/(STDEV(L6:L1198)+1E-12))</f>
        <v/>
      </c>
      <c r="N46" s="3">
        <f>IF('3a Raw'!I46="","",MAX(-3,MIN(3,('3a Raw'!I46-$N3)/$N4)))</f>
        <v/>
      </c>
      <c r="O46" s="3">
        <f>IF(N46="","",(N46-AVERAGE(N6:N1198))/(STDEV(N6:N1198)+1E-12))</f>
        <v/>
      </c>
      <c r="P46" s="3">
        <f>IF('3a Raw'!J46="","",MAX(-3,MIN(3,('3a Raw'!J46-$P3)/$P4)))</f>
        <v/>
      </c>
      <c r="Q46" s="3">
        <f>IF(P46="","",(P46-AVERAGE(P6:P1198))/(STDEV(P6:P1198)+1E-12))</f>
        <v/>
      </c>
      <c r="R46" s="3">
        <f>IF('3a Raw'!K46="","",MAX(-3,MIN(3,('3a Raw'!K46-$R3)/$R4)))</f>
        <v/>
      </c>
      <c r="S46" s="3">
        <f>IF(R46="","",(R46-AVERAGE(R6:R1198))/(STDEV(R6:R1198)+1E-12))</f>
        <v/>
      </c>
      <c r="T46" s="3">
        <f>IF('3a Raw'!L46="","",MAX(-3,MIN(3,('3a Raw'!L46-$T3)/$T4)))</f>
        <v/>
      </c>
      <c r="U46" s="3">
        <f>IF(T46="","",(T46-AVERAGE(T6:T1198))/(STDEV(T6:T1198)+1E-12))</f>
        <v/>
      </c>
      <c r="X46" s="3">
        <f>IF(U46="","",U46-($V$3*G46+$W$3))</f>
        <v/>
      </c>
      <c r="Y46" s="3">
        <f>IF(X46="","",MAX(-3,MIN(3,(X46-$X3)/$X4)))</f>
        <v/>
      </c>
      <c r="Z46" s="3">
        <f>IF(Y46="","",(Y46-AVERAGE(Y6:Y1198))/(STDEV(Y6:Y1198)+1E-12))</f>
        <v/>
      </c>
    </row>
    <row r="47">
      <c r="A47" t="inlineStr">
        <is>
          <t>BBG01FRGW2W5</t>
        </is>
      </c>
      <c r="B47" s="3">
        <f>IF('3a Raw'!C47="","",MAX(-3,MIN(3,('3a Raw'!C47-$B3)/$B4)))</f>
        <v/>
      </c>
      <c r="C47" s="3">
        <f>IF(B47="","",(B47-AVERAGE(B6:B1198))/(STDEV(B6:B1198)+1E-12))</f>
        <v/>
      </c>
      <c r="D47" s="3">
        <f>IF('3a Raw'!D47="","",MAX(-3,MIN(3,('3a Raw'!D47-$D3)/$D4)))</f>
        <v/>
      </c>
      <c r="E47" s="3">
        <f>IF(D47="","",(D47-AVERAGE(D6:D1198))/(STDEV(D6:D1198)+1E-12))</f>
        <v/>
      </c>
      <c r="F47" s="3">
        <f>IF('3a Raw'!E47="","",MAX(-3,MIN(3,('3a Raw'!E47-$F3)/$F4)))</f>
        <v/>
      </c>
      <c r="G47" s="3">
        <f>IF(F47="","",(F47-AVERAGE(F6:F1198))/(STDEV(F6:F1198)+1E-12))</f>
        <v/>
      </c>
      <c r="H47" s="3">
        <f>IF('3a Raw'!F47="","",MAX(-3,MIN(3,('3a Raw'!F47-$H3)/$H4)))</f>
        <v/>
      </c>
      <c r="I47" s="3">
        <f>IF(H47="","",(H47-AVERAGE(H6:H1198))/(STDEV(H6:H1198)+1E-12))</f>
        <v/>
      </c>
      <c r="J47" s="3">
        <f>IF('3a Raw'!G47="","",MAX(-3,MIN(3,('3a Raw'!G47-$J3)/$J4)))</f>
        <v/>
      </c>
      <c r="K47" s="3">
        <f>IF(J47="","",(J47-AVERAGE(J6:J1198))/(STDEV(J6:J1198)+1E-12))</f>
        <v/>
      </c>
      <c r="L47" s="3">
        <f>IF('3a Raw'!H47="","",MAX(-3,MIN(3,('3a Raw'!H47-$L3)/$L4)))</f>
        <v/>
      </c>
      <c r="M47" s="3">
        <f>IF(L47="","",(L47-AVERAGE(L6:L1198))/(STDEV(L6:L1198)+1E-12))</f>
        <v/>
      </c>
      <c r="N47" s="3">
        <f>IF('3a Raw'!I47="","",MAX(-3,MIN(3,('3a Raw'!I47-$N3)/$N4)))</f>
        <v/>
      </c>
      <c r="O47" s="3">
        <f>IF(N47="","",(N47-AVERAGE(N6:N1198))/(STDEV(N6:N1198)+1E-12))</f>
        <v/>
      </c>
      <c r="P47" s="3">
        <f>IF('3a Raw'!J47="","",MAX(-3,MIN(3,('3a Raw'!J47-$P3)/$P4)))</f>
        <v/>
      </c>
      <c r="Q47" s="3">
        <f>IF(P47="","",(P47-AVERAGE(P6:P1198))/(STDEV(P6:P1198)+1E-12))</f>
        <v/>
      </c>
      <c r="R47" s="3">
        <f>IF('3a Raw'!K47="","",MAX(-3,MIN(3,('3a Raw'!K47-$R3)/$R4)))</f>
        <v/>
      </c>
      <c r="S47" s="3">
        <f>IF(R47="","",(R47-AVERAGE(R6:R1198))/(STDEV(R6:R1198)+1E-12))</f>
        <v/>
      </c>
      <c r="T47" s="3">
        <f>IF('3a Raw'!L47="","",MAX(-3,MIN(3,('3a Raw'!L47-$T3)/$T4)))</f>
        <v/>
      </c>
      <c r="U47" s="3">
        <f>IF(T47="","",(T47-AVERAGE(T6:T1198))/(STDEV(T6:T1198)+1E-12))</f>
        <v/>
      </c>
      <c r="X47" s="3">
        <f>IF(U47="","",U47-($V$3*G47+$W$3))</f>
        <v/>
      </c>
      <c r="Y47" s="3">
        <f>IF(X47="","",MAX(-3,MIN(3,(X47-$X3)/$X4)))</f>
        <v/>
      </c>
      <c r="Z47" s="3">
        <f>IF(Y47="","",(Y47-AVERAGE(Y6:Y1198))/(STDEV(Y6:Y1198)+1E-12))</f>
        <v/>
      </c>
    </row>
    <row r="48">
      <c r="A48" t="inlineStr">
        <is>
          <t>aiz</t>
        </is>
      </c>
      <c r="B48" s="3">
        <f>IF('3a Raw'!C48="","",MAX(-3,MIN(3,('3a Raw'!C48-$B3)/$B4)))</f>
        <v/>
      </c>
      <c r="C48" s="3">
        <f>IF(B48="","",(B48-AVERAGE(B6:B1198))/(STDEV(B6:B1198)+1E-12))</f>
        <v/>
      </c>
      <c r="D48" s="3">
        <f>IF('3a Raw'!D48="","",MAX(-3,MIN(3,('3a Raw'!D48-$D3)/$D4)))</f>
        <v/>
      </c>
      <c r="E48" s="3">
        <f>IF(D48="","",(D48-AVERAGE(D6:D1198))/(STDEV(D6:D1198)+1E-12))</f>
        <v/>
      </c>
      <c r="F48" s="3">
        <f>IF('3a Raw'!E48="","",MAX(-3,MIN(3,('3a Raw'!E48-$F3)/$F4)))</f>
        <v/>
      </c>
      <c r="G48" s="3">
        <f>IF(F48="","",(F48-AVERAGE(F6:F1198))/(STDEV(F6:F1198)+1E-12))</f>
        <v/>
      </c>
      <c r="H48" s="3">
        <f>IF('3a Raw'!F48="","",MAX(-3,MIN(3,('3a Raw'!F48-$H3)/$H4)))</f>
        <v/>
      </c>
      <c r="I48" s="3">
        <f>IF(H48="","",(H48-AVERAGE(H6:H1198))/(STDEV(H6:H1198)+1E-12))</f>
        <v/>
      </c>
      <c r="J48" s="3">
        <f>IF('3a Raw'!G48="","",MAX(-3,MIN(3,('3a Raw'!G48-$J3)/$J4)))</f>
        <v/>
      </c>
      <c r="K48" s="3">
        <f>IF(J48="","",(J48-AVERAGE(J6:J1198))/(STDEV(J6:J1198)+1E-12))</f>
        <v/>
      </c>
      <c r="L48" s="3">
        <f>IF('3a Raw'!H48="","",MAX(-3,MIN(3,('3a Raw'!H48-$L3)/$L4)))</f>
        <v/>
      </c>
      <c r="M48" s="3">
        <f>IF(L48="","",(L48-AVERAGE(L6:L1198))/(STDEV(L6:L1198)+1E-12))</f>
        <v/>
      </c>
      <c r="N48" s="3">
        <f>IF('3a Raw'!I48="","",MAX(-3,MIN(3,('3a Raw'!I48-$N3)/$N4)))</f>
        <v/>
      </c>
      <c r="O48" s="3">
        <f>IF(N48="","",(N48-AVERAGE(N6:N1198))/(STDEV(N6:N1198)+1E-12))</f>
        <v/>
      </c>
      <c r="P48" s="3">
        <f>IF('3a Raw'!J48="","",MAX(-3,MIN(3,('3a Raw'!J48-$P3)/$P4)))</f>
        <v/>
      </c>
      <c r="Q48" s="3">
        <f>IF(P48="","",(P48-AVERAGE(P6:P1198))/(STDEV(P6:P1198)+1E-12))</f>
        <v/>
      </c>
      <c r="R48" s="3">
        <f>IF('3a Raw'!K48="","",MAX(-3,MIN(3,('3a Raw'!K48-$R3)/$R4)))</f>
        <v/>
      </c>
      <c r="S48" s="3">
        <f>IF(R48="","",(R48-AVERAGE(R6:R1198))/(STDEV(R6:R1198)+1E-12))</f>
        <v/>
      </c>
      <c r="T48" s="3">
        <f>IF('3a Raw'!L48="","",MAX(-3,MIN(3,('3a Raw'!L48-$T3)/$T4)))</f>
        <v/>
      </c>
      <c r="U48" s="3">
        <f>IF(T48="","",(T48-AVERAGE(T6:T1198))/(STDEV(T6:T1198)+1E-12))</f>
        <v/>
      </c>
      <c r="X48" s="3">
        <f>IF(U48="","",U48-($V$3*G48+$W$3))</f>
        <v/>
      </c>
      <c r="Y48" s="3">
        <f>IF(X48="","",MAX(-3,MIN(3,(X48-$X3)/$X4)))</f>
        <v/>
      </c>
      <c r="Z48" s="3">
        <f>IF(Y48="","",(Y48-AVERAGE(Y6:Y1198))/(STDEV(Y6:Y1198)+1E-12))</f>
        <v/>
      </c>
    </row>
    <row r="49">
      <c r="A49" t="inlineStr">
        <is>
          <t>BBG000BBHXQ3</t>
        </is>
      </c>
      <c r="B49" s="3">
        <f>IF('3a Raw'!C49="","",MAX(-3,MIN(3,('3a Raw'!C49-$B3)/$B4)))</f>
        <v/>
      </c>
      <c r="C49" s="3">
        <f>IF(B49="","",(B49-AVERAGE(B6:B1198))/(STDEV(B6:B1198)+1E-12))</f>
        <v/>
      </c>
      <c r="D49" s="3">
        <f>IF('3a Raw'!D49="","",MAX(-3,MIN(3,('3a Raw'!D49-$D3)/$D4)))</f>
        <v/>
      </c>
      <c r="E49" s="3">
        <f>IF(D49="","",(D49-AVERAGE(D6:D1198))/(STDEV(D6:D1198)+1E-12))</f>
        <v/>
      </c>
      <c r="F49" s="3">
        <f>IF('3a Raw'!E49="","",MAX(-3,MIN(3,('3a Raw'!E49-$F3)/$F4)))</f>
        <v/>
      </c>
      <c r="G49" s="3">
        <f>IF(F49="","",(F49-AVERAGE(F6:F1198))/(STDEV(F6:F1198)+1E-12))</f>
        <v/>
      </c>
      <c r="H49" s="3">
        <f>IF('3a Raw'!F49="","",MAX(-3,MIN(3,('3a Raw'!F49-$H3)/$H4)))</f>
        <v/>
      </c>
      <c r="I49" s="3">
        <f>IF(H49="","",(H49-AVERAGE(H6:H1198))/(STDEV(H6:H1198)+1E-12))</f>
        <v/>
      </c>
      <c r="J49" s="3">
        <f>IF('3a Raw'!G49="","",MAX(-3,MIN(3,('3a Raw'!G49-$J3)/$J4)))</f>
        <v/>
      </c>
      <c r="K49" s="3">
        <f>IF(J49="","",(J49-AVERAGE(J6:J1198))/(STDEV(J6:J1198)+1E-12))</f>
        <v/>
      </c>
      <c r="L49" s="3">
        <f>IF('3a Raw'!H49="","",MAX(-3,MIN(3,('3a Raw'!H49-$L3)/$L4)))</f>
        <v/>
      </c>
      <c r="M49" s="3">
        <f>IF(L49="","",(L49-AVERAGE(L6:L1198))/(STDEV(L6:L1198)+1E-12))</f>
        <v/>
      </c>
      <c r="N49" s="3">
        <f>IF('3a Raw'!I49="","",MAX(-3,MIN(3,('3a Raw'!I49-$N3)/$N4)))</f>
        <v/>
      </c>
      <c r="O49" s="3">
        <f>IF(N49="","",(N49-AVERAGE(N6:N1198))/(STDEV(N6:N1198)+1E-12))</f>
        <v/>
      </c>
      <c r="P49" s="3">
        <f>IF('3a Raw'!J49="","",MAX(-3,MIN(3,('3a Raw'!J49-$P3)/$P4)))</f>
        <v/>
      </c>
      <c r="Q49" s="3">
        <f>IF(P49="","",(P49-AVERAGE(P6:P1198))/(STDEV(P6:P1198)+1E-12))</f>
        <v/>
      </c>
      <c r="R49" s="3">
        <f>IF('3a Raw'!K49="","",MAX(-3,MIN(3,('3a Raw'!K49-$R3)/$R4)))</f>
        <v/>
      </c>
      <c r="S49" s="3">
        <f>IF(R49="","",(R49-AVERAGE(R6:R1198))/(STDEV(R6:R1198)+1E-12))</f>
        <v/>
      </c>
      <c r="T49" s="3">
        <f>IF('3a Raw'!L49="","",MAX(-3,MIN(3,('3a Raw'!L49-$T3)/$T4)))</f>
        <v/>
      </c>
      <c r="U49" s="3">
        <f>IF(T49="","",(T49-AVERAGE(T6:T1198))/(STDEV(T6:T1198)+1E-12))</f>
        <v/>
      </c>
      <c r="X49" s="3">
        <f>IF(U49="","",U49-($V$3*G49+$W$3))</f>
        <v/>
      </c>
      <c r="Y49" s="3">
        <f>IF(X49="","",MAX(-3,MIN(3,(X49-$X3)/$X4)))</f>
        <v/>
      </c>
      <c r="Z49" s="3">
        <f>IF(Y49="","",(Y49-AVERAGE(Y6:Y1198))/(STDEV(Y6:Y1198)+1E-12))</f>
        <v/>
      </c>
    </row>
    <row r="50">
      <c r="A50" t="inlineStr">
        <is>
          <t>BBG000BJQWD2</t>
        </is>
      </c>
      <c r="B50" s="3">
        <f>IF('3a Raw'!C50="","",MAX(-3,MIN(3,('3a Raw'!C50-$B3)/$B4)))</f>
        <v/>
      </c>
      <c r="C50" s="3">
        <f>IF(B50="","",(B50-AVERAGE(B6:B1198))/(STDEV(B6:B1198)+1E-12))</f>
        <v/>
      </c>
      <c r="D50" s="3">
        <f>IF('3a Raw'!D50="","",MAX(-3,MIN(3,('3a Raw'!D50-$D3)/$D4)))</f>
        <v/>
      </c>
      <c r="E50" s="3">
        <f>IF(D50="","",(D50-AVERAGE(D6:D1198))/(STDEV(D6:D1198)+1E-12))</f>
        <v/>
      </c>
      <c r="F50" s="3">
        <f>IF('3a Raw'!E50="","",MAX(-3,MIN(3,('3a Raw'!E50-$F3)/$F4)))</f>
        <v/>
      </c>
      <c r="G50" s="3">
        <f>IF(F50="","",(F50-AVERAGE(F6:F1198))/(STDEV(F6:F1198)+1E-12))</f>
        <v/>
      </c>
      <c r="H50" s="3">
        <f>IF('3a Raw'!F50="","",MAX(-3,MIN(3,('3a Raw'!F50-$H3)/$H4)))</f>
        <v/>
      </c>
      <c r="I50" s="3">
        <f>IF(H50="","",(H50-AVERAGE(H6:H1198))/(STDEV(H6:H1198)+1E-12))</f>
        <v/>
      </c>
      <c r="J50" s="3">
        <f>IF('3a Raw'!G50="","",MAX(-3,MIN(3,('3a Raw'!G50-$J3)/$J4)))</f>
        <v/>
      </c>
      <c r="K50" s="3">
        <f>IF(J50="","",(J50-AVERAGE(J6:J1198))/(STDEV(J6:J1198)+1E-12))</f>
        <v/>
      </c>
      <c r="L50" s="3">
        <f>IF('3a Raw'!H50="","",MAX(-3,MIN(3,('3a Raw'!H50-$L3)/$L4)))</f>
        <v/>
      </c>
      <c r="M50" s="3">
        <f>IF(L50="","",(L50-AVERAGE(L6:L1198))/(STDEV(L6:L1198)+1E-12))</f>
        <v/>
      </c>
      <c r="N50" s="3">
        <f>IF('3a Raw'!I50="","",MAX(-3,MIN(3,('3a Raw'!I50-$N3)/$N4)))</f>
        <v/>
      </c>
      <c r="O50" s="3">
        <f>IF(N50="","",(N50-AVERAGE(N6:N1198))/(STDEV(N6:N1198)+1E-12))</f>
        <v/>
      </c>
      <c r="P50" s="3">
        <f>IF('3a Raw'!J50="","",MAX(-3,MIN(3,('3a Raw'!J50-$P3)/$P4)))</f>
        <v/>
      </c>
      <c r="Q50" s="3">
        <f>IF(P50="","",(P50-AVERAGE(P6:P1198))/(STDEV(P6:P1198)+1E-12))</f>
        <v/>
      </c>
      <c r="R50" s="3">
        <f>IF('3a Raw'!K50="","",MAX(-3,MIN(3,('3a Raw'!K50-$R3)/$R4)))</f>
        <v/>
      </c>
      <c r="S50" s="3">
        <f>IF(R50="","",(R50-AVERAGE(R6:R1198))/(STDEV(R6:R1198)+1E-12))</f>
        <v/>
      </c>
      <c r="T50" s="3">
        <f>IF('3a Raw'!L50="","",MAX(-3,MIN(3,('3a Raw'!L50-$T3)/$T4)))</f>
        <v/>
      </c>
      <c r="U50" s="3">
        <f>IF(T50="","",(T50-AVERAGE(T6:T1198))/(STDEV(T6:T1198)+1E-12))</f>
        <v/>
      </c>
      <c r="X50" s="3">
        <f>IF(U50="","",U50-($V$3*G50+$W$3))</f>
        <v/>
      </c>
      <c r="Y50" s="3">
        <f>IF(X50="","",MAX(-3,MIN(3,(X50-$X3)/$X4)))</f>
        <v/>
      </c>
      <c r="Z50" s="3">
        <f>IF(Y50="","",(Y50-AVERAGE(Y6:Y1198))/(STDEV(Y6:Y1198)+1E-12))</f>
        <v/>
      </c>
    </row>
    <row r="51">
      <c r="A51" t="inlineStr">
        <is>
          <t>BBG00ZQS8KZ1</t>
        </is>
      </c>
      <c r="B51" s="3">
        <f>IF('3a Raw'!C51="","",MAX(-3,MIN(3,('3a Raw'!C51-$B3)/$B4)))</f>
        <v/>
      </c>
      <c r="C51" s="3">
        <f>IF(B51="","",(B51-AVERAGE(B6:B1198))/(STDEV(B6:B1198)+1E-12))</f>
        <v/>
      </c>
      <c r="D51" s="3">
        <f>IF('3a Raw'!D51="","",MAX(-3,MIN(3,('3a Raw'!D51-$D3)/$D4)))</f>
        <v/>
      </c>
      <c r="E51" s="3">
        <f>IF(D51="","",(D51-AVERAGE(D6:D1198))/(STDEV(D6:D1198)+1E-12))</f>
        <v/>
      </c>
      <c r="F51" s="3">
        <f>IF('3a Raw'!E51="","",MAX(-3,MIN(3,('3a Raw'!E51-$F3)/$F4)))</f>
        <v/>
      </c>
      <c r="G51" s="3">
        <f>IF(F51="","",(F51-AVERAGE(F6:F1198))/(STDEV(F6:F1198)+1E-12))</f>
        <v/>
      </c>
      <c r="H51" s="3">
        <f>IF('3a Raw'!F51="","",MAX(-3,MIN(3,('3a Raw'!F51-$H3)/$H4)))</f>
        <v/>
      </c>
      <c r="I51" s="3">
        <f>IF(H51="","",(H51-AVERAGE(H6:H1198))/(STDEV(H6:H1198)+1E-12))</f>
        <v/>
      </c>
      <c r="J51" s="3">
        <f>IF('3a Raw'!G51="","",MAX(-3,MIN(3,('3a Raw'!G51-$J3)/$J4)))</f>
        <v/>
      </c>
      <c r="K51" s="3">
        <f>IF(J51="","",(J51-AVERAGE(J6:J1198))/(STDEV(J6:J1198)+1E-12))</f>
        <v/>
      </c>
      <c r="L51" s="3">
        <f>IF('3a Raw'!H51="","",MAX(-3,MIN(3,('3a Raw'!H51-$L3)/$L4)))</f>
        <v/>
      </c>
      <c r="M51" s="3">
        <f>IF(L51="","",(L51-AVERAGE(L6:L1198))/(STDEV(L6:L1198)+1E-12))</f>
        <v/>
      </c>
      <c r="N51" s="3">
        <f>IF('3a Raw'!I51="","",MAX(-3,MIN(3,('3a Raw'!I51-$N3)/$N4)))</f>
        <v/>
      </c>
      <c r="O51" s="3">
        <f>IF(N51="","",(N51-AVERAGE(N6:N1198))/(STDEV(N6:N1198)+1E-12))</f>
        <v/>
      </c>
      <c r="P51" s="3">
        <f>IF('3a Raw'!J51="","",MAX(-3,MIN(3,('3a Raw'!J51-$P3)/$P4)))</f>
        <v/>
      </c>
      <c r="Q51" s="3">
        <f>IF(P51="","",(P51-AVERAGE(P6:P1198))/(STDEV(P6:P1198)+1E-12))</f>
        <v/>
      </c>
      <c r="R51" s="3">
        <f>IF('3a Raw'!K51="","",MAX(-3,MIN(3,('3a Raw'!K51-$R3)/$R4)))</f>
        <v/>
      </c>
      <c r="S51" s="3">
        <f>IF(R51="","",(R51-AVERAGE(R6:R1198))/(STDEV(R6:R1198)+1E-12))</f>
        <v/>
      </c>
      <c r="T51" s="3">
        <f>IF('3a Raw'!L51="","",MAX(-3,MIN(3,('3a Raw'!L51-$T3)/$T4)))</f>
        <v/>
      </c>
      <c r="U51" s="3">
        <f>IF(T51="","",(T51-AVERAGE(T6:T1198))/(STDEV(T6:T1198)+1E-12))</f>
        <v/>
      </c>
      <c r="X51" s="3">
        <f>IF(U51="","",U51-($V$3*G51+$W$3))</f>
        <v/>
      </c>
      <c r="Y51" s="3">
        <f>IF(X51="","",MAX(-3,MIN(3,(X51-$X3)/$X4)))</f>
        <v/>
      </c>
      <c r="Z51" s="3">
        <f>IF(Y51="","",(Y51-AVERAGE(Y6:Y1198))/(STDEV(Y6:Y1198)+1E-12))</f>
        <v/>
      </c>
    </row>
    <row r="52">
      <c r="A52" t="inlineStr">
        <is>
          <t>BBG00TDKHW99</t>
        </is>
      </c>
      <c r="B52" s="3">
        <f>IF('3a Raw'!C52="","",MAX(-3,MIN(3,('3a Raw'!C52-$B3)/$B4)))</f>
        <v/>
      </c>
      <c r="C52" s="3">
        <f>IF(B52="","",(B52-AVERAGE(B6:B1198))/(STDEV(B6:B1198)+1E-12))</f>
        <v/>
      </c>
      <c r="D52" s="3">
        <f>IF('3a Raw'!D52="","",MAX(-3,MIN(3,('3a Raw'!D52-$D3)/$D4)))</f>
        <v/>
      </c>
      <c r="E52" s="3">
        <f>IF(D52="","",(D52-AVERAGE(D6:D1198))/(STDEV(D6:D1198)+1E-12))</f>
        <v/>
      </c>
      <c r="F52" s="3">
        <f>IF('3a Raw'!E52="","",MAX(-3,MIN(3,('3a Raw'!E52-$F3)/$F4)))</f>
        <v/>
      </c>
      <c r="G52" s="3">
        <f>IF(F52="","",(F52-AVERAGE(F6:F1198))/(STDEV(F6:F1198)+1E-12))</f>
        <v/>
      </c>
      <c r="H52" s="3">
        <f>IF('3a Raw'!F52="","",MAX(-3,MIN(3,('3a Raw'!F52-$H3)/$H4)))</f>
        <v/>
      </c>
      <c r="I52" s="3">
        <f>IF(H52="","",(H52-AVERAGE(H6:H1198))/(STDEV(H6:H1198)+1E-12))</f>
        <v/>
      </c>
      <c r="J52" s="3">
        <f>IF('3a Raw'!G52="","",MAX(-3,MIN(3,('3a Raw'!G52-$J3)/$J4)))</f>
        <v/>
      </c>
      <c r="K52" s="3">
        <f>IF(J52="","",(J52-AVERAGE(J6:J1198))/(STDEV(J6:J1198)+1E-12))</f>
        <v/>
      </c>
      <c r="L52" s="3">
        <f>IF('3a Raw'!H52="","",MAX(-3,MIN(3,('3a Raw'!H52-$L3)/$L4)))</f>
        <v/>
      </c>
      <c r="M52" s="3">
        <f>IF(L52="","",(L52-AVERAGE(L6:L1198))/(STDEV(L6:L1198)+1E-12))</f>
        <v/>
      </c>
      <c r="N52" s="3">
        <f>IF('3a Raw'!I52="","",MAX(-3,MIN(3,('3a Raw'!I52-$N3)/$N4)))</f>
        <v/>
      </c>
      <c r="O52" s="3">
        <f>IF(N52="","",(N52-AVERAGE(N6:N1198))/(STDEV(N6:N1198)+1E-12))</f>
        <v/>
      </c>
      <c r="P52" s="3">
        <f>IF('3a Raw'!J52="","",MAX(-3,MIN(3,('3a Raw'!J52-$P3)/$P4)))</f>
        <v/>
      </c>
      <c r="Q52" s="3">
        <f>IF(P52="","",(P52-AVERAGE(P6:P1198))/(STDEV(P6:P1198)+1E-12))</f>
        <v/>
      </c>
      <c r="R52" s="3">
        <f>IF('3a Raw'!K52="","",MAX(-3,MIN(3,('3a Raw'!K52-$R3)/$R4)))</f>
        <v/>
      </c>
      <c r="S52" s="3">
        <f>IF(R52="","",(R52-AVERAGE(R6:R1198))/(STDEV(R6:R1198)+1E-12))</f>
        <v/>
      </c>
      <c r="T52" s="3">
        <f>IF('3a Raw'!L52="","",MAX(-3,MIN(3,('3a Raw'!L52-$T3)/$T4)))</f>
        <v/>
      </c>
      <c r="U52" s="3">
        <f>IF(T52="","",(T52-AVERAGE(T6:T1198))/(STDEV(T6:T1198)+1E-12))</f>
        <v/>
      </c>
      <c r="X52" s="3">
        <f>IF(U52="","",U52-($V$3*G52+$W$3))</f>
        <v/>
      </c>
      <c r="Y52" s="3">
        <f>IF(X52="","",MAX(-3,MIN(3,(X52-$X3)/$X4)))</f>
        <v/>
      </c>
      <c r="Z52" s="3">
        <f>IF(Y52="","",(Y52-AVERAGE(Y6:Y1198))/(STDEV(Y6:Y1198)+1E-12))</f>
        <v/>
      </c>
    </row>
    <row r="53">
      <c r="A53" t="inlineStr">
        <is>
          <t>BBG000BJ26K7</t>
        </is>
      </c>
      <c r="B53" s="3">
        <f>IF('3a Raw'!C53="","",MAX(-3,MIN(3,('3a Raw'!C53-$B3)/$B4)))</f>
        <v/>
      </c>
      <c r="C53" s="3">
        <f>IF(B53="","",(B53-AVERAGE(B6:B1198))/(STDEV(B6:B1198)+1E-12))</f>
        <v/>
      </c>
      <c r="D53" s="3">
        <f>IF('3a Raw'!D53="","",MAX(-3,MIN(3,('3a Raw'!D53-$D3)/$D4)))</f>
        <v/>
      </c>
      <c r="E53" s="3">
        <f>IF(D53="","",(D53-AVERAGE(D6:D1198))/(STDEV(D6:D1198)+1E-12))</f>
        <v/>
      </c>
      <c r="F53" s="3">
        <f>IF('3a Raw'!E53="","",MAX(-3,MIN(3,('3a Raw'!E53-$F3)/$F4)))</f>
        <v/>
      </c>
      <c r="G53" s="3">
        <f>IF(F53="","",(F53-AVERAGE(F6:F1198))/(STDEV(F6:F1198)+1E-12))</f>
        <v/>
      </c>
      <c r="H53" s="3">
        <f>IF('3a Raw'!F53="","",MAX(-3,MIN(3,('3a Raw'!F53-$H3)/$H4)))</f>
        <v/>
      </c>
      <c r="I53" s="3">
        <f>IF(H53="","",(H53-AVERAGE(H6:H1198))/(STDEV(H6:H1198)+1E-12))</f>
        <v/>
      </c>
      <c r="J53" s="3">
        <f>IF('3a Raw'!G53="","",MAX(-3,MIN(3,('3a Raw'!G53-$J3)/$J4)))</f>
        <v/>
      </c>
      <c r="K53" s="3">
        <f>IF(J53="","",(J53-AVERAGE(J6:J1198))/(STDEV(J6:J1198)+1E-12))</f>
        <v/>
      </c>
      <c r="L53" s="3">
        <f>IF('3a Raw'!H53="","",MAX(-3,MIN(3,('3a Raw'!H53-$L3)/$L4)))</f>
        <v/>
      </c>
      <c r="M53" s="3">
        <f>IF(L53="","",(L53-AVERAGE(L6:L1198))/(STDEV(L6:L1198)+1E-12))</f>
        <v/>
      </c>
      <c r="N53" s="3">
        <f>IF('3a Raw'!I53="","",MAX(-3,MIN(3,('3a Raw'!I53-$N3)/$N4)))</f>
        <v/>
      </c>
      <c r="O53" s="3">
        <f>IF(N53="","",(N53-AVERAGE(N6:N1198))/(STDEV(N6:N1198)+1E-12))</f>
        <v/>
      </c>
      <c r="P53" s="3">
        <f>IF('3a Raw'!J53="","",MAX(-3,MIN(3,('3a Raw'!J53-$P3)/$P4)))</f>
        <v/>
      </c>
      <c r="Q53" s="3">
        <f>IF(P53="","",(P53-AVERAGE(P6:P1198))/(STDEV(P6:P1198)+1E-12))</f>
        <v/>
      </c>
      <c r="R53" s="3">
        <f>IF('3a Raw'!K53="","",MAX(-3,MIN(3,('3a Raw'!K53-$R3)/$R4)))</f>
        <v/>
      </c>
      <c r="S53" s="3">
        <f>IF(R53="","",(R53-AVERAGE(R6:R1198))/(STDEV(R6:R1198)+1E-12))</f>
        <v/>
      </c>
      <c r="T53" s="3">
        <f>IF('3a Raw'!L53="","",MAX(-3,MIN(3,('3a Raw'!L53-$T3)/$T4)))</f>
        <v/>
      </c>
      <c r="U53" s="3">
        <f>IF(T53="","",(T53-AVERAGE(T6:T1198))/(STDEV(T6:T1198)+1E-12))</f>
        <v/>
      </c>
      <c r="X53" s="3">
        <f>IF(U53="","",U53-($V$3*G53+$W$3))</f>
        <v/>
      </c>
      <c r="Y53" s="3">
        <f>IF(X53="","",MAX(-3,MIN(3,(X53-$X3)/$X4)))</f>
        <v/>
      </c>
      <c r="Z53" s="3">
        <f>IF(Y53="","",(Y53-AVERAGE(Y6:Y1198))/(STDEV(Y6:Y1198)+1E-12))</f>
        <v/>
      </c>
    </row>
    <row r="54">
      <c r="A54" t="inlineStr">
        <is>
          <t>BBG000BRNLL2</t>
        </is>
      </c>
      <c r="B54" s="3">
        <f>IF('3a Raw'!C54="","",MAX(-3,MIN(3,('3a Raw'!C54-$B3)/$B4)))</f>
        <v/>
      </c>
      <c r="C54" s="3">
        <f>IF(B54="","",(B54-AVERAGE(B6:B1198))/(STDEV(B6:B1198)+1E-12))</f>
        <v/>
      </c>
      <c r="D54" s="3">
        <f>IF('3a Raw'!D54="","",MAX(-3,MIN(3,('3a Raw'!D54-$D3)/$D4)))</f>
        <v/>
      </c>
      <c r="E54" s="3">
        <f>IF(D54="","",(D54-AVERAGE(D6:D1198))/(STDEV(D6:D1198)+1E-12))</f>
        <v/>
      </c>
      <c r="F54" s="3">
        <f>IF('3a Raw'!E54="","",MAX(-3,MIN(3,('3a Raw'!E54-$F3)/$F4)))</f>
        <v/>
      </c>
      <c r="G54" s="3">
        <f>IF(F54="","",(F54-AVERAGE(F6:F1198))/(STDEV(F6:F1198)+1E-12))</f>
        <v/>
      </c>
      <c r="H54" s="3">
        <f>IF('3a Raw'!F54="","",MAX(-3,MIN(3,('3a Raw'!F54-$H3)/$H4)))</f>
        <v/>
      </c>
      <c r="I54" s="3">
        <f>IF(H54="","",(H54-AVERAGE(H6:H1198))/(STDEV(H6:H1198)+1E-12))</f>
        <v/>
      </c>
      <c r="J54" s="3">
        <f>IF('3a Raw'!G54="","",MAX(-3,MIN(3,('3a Raw'!G54-$J3)/$J4)))</f>
        <v/>
      </c>
      <c r="K54" s="3">
        <f>IF(J54="","",(J54-AVERAGE(J6:J1198))/(STDEV(J6:J1198)+1E-12))</f>
        <v/>
      </c>
      <c r="L54" s="3">
        <f>IF('3a Raw'!H54="","",MAX(-3,MIN(3,('3a Raw'!H54-$L3)/$L4)))</f>
        <v/>
      </c>
      <c r="M54" s="3">
        <f>IF(L54="","",(L54-AVERAGE(L6:L1198))/(STDEV(L6:L1198)+1E-12))</f>
        <v/>
      </c>
      <c r="N54" s="3">
        <f>IF('3a Raw'!I54="","",MAX(-3,MIN(3,('3a Raw'!I54-$N3)/$N4)))</f>
        <v/>
      </c>
      <c r="O54" s="3">
        <f>IF(N54="","",(N54-AVERAGE(N6:N1198))/(STDEV(N6:N1198)+1E-12))</f>
        <v/>
      </c>
      <c r="P54" s="3">
        <f>IF('3a Raw'!J54="","",MAX(-3,MIN(3,('3a Raw'!J54-$P3)/$P4)))</f>
        <v/>
      </c>
      <c r="Q54" s="3">
        <f>IF(P54="","",(P54-AVERAGE(P6:P1198))/(STDEV(P6:P1198)+1E-12))</f>
        <v/>
      </c>
      <c r="R54" s="3">
        <f>IF('3a Raw'!K54="","",MAX(-3,MIN(3,('3a Raw'!K54-$R3)/$R4)))</f>
        <v/>
      </c>
      <c r="S54" s="3">
        <f>IF(R54="","",(R54-AVERAGE(R6:R1198))/(STDEV(R6:R1198)+1E-12))</f>
        <v/>
      </c>
      <c r="T54" s="3">
        <f>IF('3a Raw'!L54="","",MAX(-3,MIN(3,('3a Raw'!L54-$T3)/$T4)))</f>
        <v/>
      </c>
      <c r="U54" s="3">
        <f>IF(T54="","",(T54-AVERAGE(T6:T1198))/(STDEV(T6:T1198)+1E-12))</f>
        <v/>
      </c>
      <c r="X54" s="3">
        <f>IF(U54="","",U54-($V$3*G54+$W$3))</f>
        <v/>
      </c>
      <c r="Y54" s="3">
        <f>IF(X54="","",MAX(-3,MIN(3,(X54-$X3)/$X4)))</f>
        <v/>
      </c>
      <c r="Z54" s="3">
        <f>IF(Y54="","",(Y54-AVERAGE(Y6:Y1198))/(STDEV(Y6:Y1198)+1E-12))</f>
        <v/>
      </c>
    </row>
    <row r="55">
      <c r="A55" t="inlineStr">
        <is>
          <t>BBG00ZJ0DSR6</t>
        </is>
      </c>
      <c r="B55" s="3">
        <f>IF('3a Raw'!C55="","",MAX(-3,MIN(3,('3a Raw'!C55-$B3)/$B4)))</f>
        <v/>
      </c>
      <c r="C55" s="3">
        <f>IF(B55="","",(B55-AVERAGE(B6:B1198))/(STDEV(B6:B1198)+1E-12))</f>
        <v/>
      </c>
      <c r="D55" s="3">
        <f>IF('3a Raw'!D55="","",MAX(-3,MIN(3,('3a Raw'!D55-$D3)/$D4)))</f>
        <v/>
      </c>
      <c r="E55" s="3">
        <f>IF(D55="","",(D55-AVERAGE(D6:D1198))/(STDEV(D6:D1198)+1E-12))</f>
        <v/>
      </c>
      <c r="F55" s="3">
        <f>IF('3a Raw'!E55="","",MAX(-3,MIN(3,('3a Raw'!E55-$F3)/$F4)))</f>
        <v/>
      </c>
      <c r="G55" s="3">
        <f>IF(F55="","",(F55-AVERAGE(F6:F1198))/(STDEV(F6:F1198)+1E-12))</f>
        <v/>
      </c>
      <c r="H55" s="3">
        <f>IF('3a Raw'!F55="","",MAX(-3,MIN(3,('3a Raw'!F55-$H3)/$H4)))</f>
        <v/>
      </c>
      <c r="I55" s="3">
        <f>IF(H55="","",(H55-AVERAGE(H6:H1198))/(STDEV(H6:H1198)+1E-12))</f>
        <v/>
      </c>
      <c r="J55" s="3">
        <f>IF('3a Raw'!G55="","",MAX(-3,MIN(3,('3a Raw'!G55-$J3)/$J4)))</f>
        <v/>
      </c>
      <c r="K55" s="3">
        <f>IF(J55="","",(J55-AVERAGE(J6:J1198))/(STDEV(J6:J1198)+1E-12))</f>
        <v/>
      </c>
      <c r="L55" s="3">
        <f>IF('3a Raw'!H55="","",MAX(-3,MIN(3,('3a Raw'!H55-$L3)/$L4)))</f>
        <v/>
      </c>
      <c r="M55" s="3">
        <f>IF(L55="","",(L55-AVERAGE(L6:L1198))/(STDEV(L6:L1198)+1E-12))</f>
        <v/>
      </c>
      <c r="N55" s="3">
        <f>IF('3a Raw'!I55="","",MAX(-3,MIN(3,('3a Raw'!I55-$N3)/$N4)))</f>
        <v/>
      </c>
      <c r="O55" s="3">
        <f>IF(N55="","",(N55-AVERAGE(N6:N1198))/(STDEV(N6:N1198)+1E-12))</f>
        <v/>
      </c>
      <c r="P55" s="3">
        <f>IF('3a Raw'!J55="","",MAX(-3,MIN(3,('3a Raw'!J55-$P3)/$P4)))</f>
        <v/>
      </c>
      <c r="Q55" s="3">
        <f>IF(P55="","",(P55-AVERAGE(P6:P1198))/(STDEV(P6:P1198)+1E-12))</f>
        <v/>
      </c>
      <c r="R55" s="3">
        <f>IF('3a Raw'!K55="","",MAX(-3,MIN(3,('3a Raw'!K55-$R3)/$R4)))</f>
        <v/>
      </c>
      <c r="S55" s="3">
        <f>IF(R55="","",(R55-AVERAGE(R6:R1198))/(STDEV(R6:R1198)+1E-12))</f>
        <v/>
      </c>
      <c r="T55" s="3">
        <f>IF('3a Raw'!L55="","",MAX(-3,MIN(3,('3a Raw'!L55-$T3)/$T4)))</f>
        <v/>
      </c>
      <c r="U55" s="3">
        <f>IF(T55="","",(T55-AVERAGE(T6:T1198))/(STDEV(T6:T1198)+1E-12))</f>
        <v/>
      </c>
      <c r="X55" s="3">
        <f>IF(U55="","",U55-($V$3*G55+$W$3))</f>
        <v/>
      </c>
      <c r="Y55" s="3">
        <f>IF(X55="","",MAX(-3,MIN(3,(X55-$X3)/$X4)))</f>
        <v/>
      </c>
      <c r="Z55" s="3">
        <f>IF(Y55="","",(Y55-AVERAGE(Y6:Y1198))/(STDEV(Y6:Y1198)+1E-12))</f>
        <v/>
      </c>
    </row>
    <row r="56">
      <c r="A56" t="inlineStr">
        <is>
          <t>BBG00H00J2N1</t>
        </is>
      </c>
      <c r="B56" s="3">
        <f>IF('3a Raw'!C56="","",MAX(-3,MIN(3,('3a Raw'!C56-$B3)/$B4)))</f>
        <v/>
      </c>
      <c r="C56" s="3">
        <f>IF(B56="","",(B56-AVERAGE(B6:B1198))/(STDEV(B6:B1198)+1E-12))</f>
        <v/>
      </c>
      <c r="D56" s="3">
        <f>IF('3a Raw'!D56="","",MAX(-3,MIN(3,('3a Raw'!D56-$D3)/$D4)))</f>
        <v/>
      </c>
      <c r="E56" s="3">
        <f>IF(D56="","",(D56-AVERAGE(D6:D1198))/(STDEV(D6:D1198)+1E-12))</f>
        <v/>
      </c>
      <c r="F56" s="3">
        <f>IF('3a Raw'!E56="","",MAX(-3,MIN(3,('3a Raw'!E56-$F3)/$F4)))</f>
        <v/>
      </c>
      <c r="G56" s="3">
        <f>IF(F56="","",(F56-AVERAGE(F6:F1198))/(STDEV(F6:F1198)+1E-12))</f>
        <v/>
      </c>
      <c r="H56" s="3">
        <f>IF('3a Raw'!F56="","",MAX(-3,MIN(3,('3a Raw'!F56-$H3)/$H4)))</f>
        <v/>
      </c>
      <c r="I56" s="3">
        <f>IF(H56="","",(H56-AVERAGE(H6:H1198))/(STDEV(H6:H1198)+1E-12))</f>
        <v/>
      </c>
      <c r="J56" s="3">
        <f>IF('3a Raw'!G56="","",MAX(-3,MIN(3,('3a Raw'!G56-$J3)/$J4)))</f>
        <v/>
      </c>
      <c r="K56" s="3">
        <f>IF(J56="","",(J56-AVERAGE(J6:J1198))/(STDEV(J6:J1198)+1E-12))</f>
        <v/>
      </c>
      <c r="L56" s="3">
        <f>IF('3a Raw'!H56="","",MAX(-3,MIN(3,('3a Raw'!H56-$L3)/$L4)))</f>
        <v/>
      </c>
      <c r="M56" s="3">
        <f>IF(L56="","",(L56-AVERAGE(L6:L1198))/(STDEV(L6:L1198)+1E-12))</f>
        <v/>
      </c>
      <c r="N56" s="3">
        <f>IF('3a Raw'!I56="","",MAX(-3,MIN(3,('3a Raw'!I56-$N3)/$N4)))</f>
        <v/>
      </c>
      <c r="O56" s="3">
        <f>IF(N56="","",(N56-AVERAGE(N6:N1198))/(STDEV(N6:N1198)+1E-12))</f>
        <v/>
      </c>
      <c r="P56" s="3">
        <f>IF('3a Raw'!J56="","",MAX(-3,MIN(3,('3a Raw'!J56-$P3)/$P4)))</f>
        <v/>
      </c>
      <c r="Q56" s="3">
        <f>IF(P56="","",(P56-AVERAGE(P6:P1198))/(STDEV(P6:P1198)+1E-12))</f>
        <v/>
      </c>
      <c r="R56" s="3">
        <f>IF('3a Raw'!K56="","",MAX(-3,MIN(3,('3a Raw'!K56-$R3)/$R4)))</f>
        <v/>
      </c>
      <c r="S56" s="3">
        <f>IF(R56="","",(R56-AVERAGE(R6:R1198))/(STDEV(R6:R1198)+1E-12))</f>
        <v/>
      </c>
      <c r="T56" s="3">
        <f>IF('3a Raw'!L56="","",MAX(-3,MIN(3,('3a Raw'!L56-$T3)/$T4)))</f>
        <v/>
      </c>
      <c r="U56" s="3">
        <f>IF(T56="","",(T56-AVERAGE(T6:T1198))/(STDEV(T6:T1198)+1E-12))</f>
        <v/>
      </c>
      <c r="X56" s="3">
        <f>IF(U56="","",U56-($V$3*G56+$W$3))</f>
        <v/>
      </c>
      <c r="Y56" s="3">
        <f>IF(X56="","",MAX(-3,MIN(3,(X56-$X3)/$X4)))</f>
        <v/>
      </c>
      <c r="Z56" s="3">
        <f>IF(Y56="","",(Y56-AVERAGE(Y6:Y1198))/(STDEV(Y6:Y1198)+1E-12))</f>
        <v/>
      </c>
    </row>
    <row r="57">
      <c r="A57" t="inlineStr">
        <is>
          <t>BBG000BBL0Y1</t>
        </is>
      </c>
      <c r="B57" s="3">
        <f>IF('3a Raw'!C57="","",MAX(-3,MIN(3,('3a Raw'!C57-$B3)/$B4)))</f>
        <v/>
      </c>
      <c r="C57" s="3">
        <f>IF(B57="","",(B57-AVERAGE(B6:B1198))/(STDEV(B6:B1198)+1E-12))</f>
        <v/>
      </c>
      <c r="D57" s="3">
        <f>IF('3a Raw'!D57="","",MAX(-3,MIN(3,('3a Raw'!D57-$D3)/$D4)))</f>
        <v/>
      </c>
      <c r="E57" s="3">
        <f>IF(D57="","",(D57-AVERAGE(D6:D1198))/(STDEV(D6:D1198)+1E-12))</f>
        <v/>
      </c>
      <c r="F57" s="3">
        <f>IF('3a Raw'!E57="","",MAX(-3,MIN(3,('3a Raw'!E57-$F3)/$F4)))</f>
        <v/>
      </c>
      <c r="G57" s="3">
        <f>IF(F57="","",(F57-AVERAGE(F6:F1198))/(STDEV(F6:F1198)+1E-12))</f>
        <v/>
      </c>
      <c r="H57" s="3">
        <f>IF('3a Raw'!F57="","",MAX(-3,MIN(3,('3a Raw'!F57-$H3)/$H4)))</f>
        <v/>
      </c>
      <c r="I57" s="3">
        <f>IF(H57="","",(H57-AVERAGE(H6:H1198))/(STDEV(H6:H1198)+1E-12))</f>
        <v/>
      </c>
      <c r="J57" s="3">
        <f>IF('3a Raw'!G57="","",MAX(-3,MIN(3,('3a Raw'!G57-$J3)/$J4)))</f>
        <v/>
      </c>
      <c r="K57" s="3">
        <f>IF(J57="","",(J57-AVERAGE(J6:J1198))/(STDEV(J6:J1198)+1E-12))</f>
        <v/>
      </c>
      <c r="L57" s="3">
        <f>IF('3a Raw'!H57="","",MAX(-3,MIN(3,('3a Raw'!H57-$L3)/$L4)))</f>
        <v/>
      </c>
      <c r="M57" s="3">
        <f>IF(L57="","",(L57-AVERAGE(L6:L1198))/(STDEV(L6:L1198)+1E-12))</f>
        <v/>
      </c>
      <c r="N57" s="3">
        <f>IF('3a Raw'!I57="","",MAX(-3,MIN(3,('3a Raw'!I57-$N3)/$N4)))</f>
        <v/>
      </c>
      <c r="O57" s="3">
        <f>IF(N57="","",(N57-AVERAGE(N6:N1198))/(STDEV(N6:N1198)+1E-12))</f>
        <v/>
      </c>
      <c r="P57" s="3">
        <f>IF('3a Raw'!J57="","",MAX(-3,MIN(3,('3a Raw'!J57-$P3)/$P4)))</f>
        <v/>
      </c>
      <c r="Q57" s="3">
        <f>IF(P57="","",(P57-AVERAGE(P6:P1198))/(STDEV(P6:P1198)+1E-12))</f>
        <v/>
      </c>
      <c r="R57" s="3">
        <f>IF('3a Raw'!K57="","",MAX(-3,MIN(3,('3a Raw'!K57-$R3)/$R4)))</f>
        <v/>
      </c>
      <c r="S57" s="3">
        <f>IF(R57="","",(R57-AVERAGE(R6:R1198))/(STDEV(R6:R1198)+1E-12))</f>
        <v/>
      </c>
      <c r="T57" s="3">
        <f>IF('3a Raw'!L57="","",MAX(-3,MIN(3,('3a Raw'!L57-$T3)/$T4)))</f>
        <v/>
      </c>
      <c r="U57" s="3">
        <f>IF(T57="","",(T57-AVERAGE(T6:T1198))/(STDEV(T6:T1198)+1E-12))</f>
        <v/>
      </c>
      <c r="X57" s="3">
        <f>IF(U57="","",U57-($V$3*G57+$W$3))</f>
        <v/>
      </c>
      <c r="Y57" s="3">
        <f>IF(X57="","",MAX(-3,MIN(3,(X57-$X3)/$X4)))</f>
        <v/>
      </c>
      <c r="Z57" s="3">
        <f>IF(Y57="","",(Y57-AVERAGE(Y6:Y1198))/(STDEV(Y6:Y1198)+1E-12))</f>
        <v/>
      </c>
    </row>
    <row r="58">
      <c r="A58" t="inlineStr">
        <is>
          <t>BBG005HTCT54</t>
        </is>
      </c>
      <c r="B58" s="3">
        <f>IF('3a Raw'!C58="","",MAX(-3,MIN(3,('3a Raw'!C58-$B3)/$B4)))</f>
        <v/>
      </c>
      <c r="C58" s="3">
        <f>IF(B58="","",(B58-AVERAGE(B6:B1198))/(STDEV(B6:B1198)+1E-12))</f>
        <v/>
      </c>
      <c r="D58" s="3">
        <f>IF('3a Raw'!D58="","",MAX(-3,MIN(3,('3a Raw'!D58-$D3)/$D4)))</f>
        <v/>
      </c>
      <c r="E58" s="3">
        <f>IF(D58="","",(D58-AVERAGE(D6:D1198))/(STDEV(D6:D1198)+1E-12))</f>
        <v/>
      </c>
      <c r="F58" s="3">
        <f>IF('3a Raw'!E58="","",MAX(-3,MIN(3,('3a Raw'!E58-$F3)/$F4)))</f>
        <v/>
      </c>
      <c r="G58" s="3">
        <f>IF(F58="","",(F58-AVERAGE(F6:F1198))/(STDEV(F6:F1198)+1E-12))</f>
        <v/>
      </c>
      <c r="H58" s="3">
        <f>IF('3a Raw'!F58="","",MAX(-3,MIN(3,('3a Raw'!F58-$H3)/$H4)))</f>
        <v/>
      </c>
      <c r="I58" s="3">
        <f>IF(H58="","",(H58-AVERAGE(H6:H1198))/(STDEV(H6:H1198)+1E-12))</f>
        <v/>
      </c>
      <c r="J58" s="3">
        <f>IF('3a Raw'!G58="","",MAX(-3,MIN(3,('3a Raw'!G58-$J3)/$J4)))</f>
        <v/>
      </c>
      <c r="K58" s="3">
        <f>IF(J58="","",(J58-AVERAGE(J6:J1198))/(STDEV(J6:J1198)+1E-12))</f>
        <v/>
      </c>
      <c r="L58" s="3">
        <f>IF('3a Raw'!H58="","",MAX(-3,MIN(3,('3a Raw'!H58-$L3)/$L4)))</f>
        <v/>
      </c>
      <c r="M58" s="3">
        <f>IF(L58="","",(L58-AVERAGE(L6:L1198))/(STDEV(L6:L1198)+1E-12))</f>
        <v/>
      </c>
      <c r="N58" s="3">
        <f>IF('3a Raw'!I58="","",MAX(-3,MIN(3,('3a Raw'!I58-$N3)/$N4)))</f>
        <v/>
      </c>
      <c r="O58" s="3">
        <f>IF(N58="","",(N58-AVERAGE(N6:N1198))/(STDEV(N6:N1198)+1E-12))</f>
        <v/>
      </c>
      <c r="P58" s="3">
        <f>IF('3a Raw'!J58="","",MAX(-3,MIN(3,('3a Raw'!J58-$P3)/$P4)))</f>
        <v/>
      </c>
      <c r="Q58" s="3">
        <f>IF(P58="","",(P58-AVERAGE(P6:P1198))/(STDEV(P6:P1198)+1E-12))</f>
        <v/>
      </c>
      <c r="R58" s="3">
        <f>IF('3a Raw'!K58="","",MAX(-3,MIN(3,('3a Raw'!K58-$R3)/$R4)))</f>
        <v/>
      </c>
      <c r="S58" s="3">
        <f>IF(R58="","",(R58-AVERAGE(R6:R1198))/(STDEV(R6:R1198)+1E-12))</f>
        <v/>
      </c>
      <c r="T58" s="3">
        <f>IF('3a Raw'!L58="","",MAX(-3,MIN(3,('3a Raw'!L58-$T3)/$T4)))</f>
        <v/>
      </c>
      <c r="U58" s="3">
        <f>IF(T58="","",(T58-AVERAGE(T6:T1198))/(STDEV(T6:T1198)+1E-12))</f>
        <v/>
      </c>
      <c r="X58" s="3">
        <f>IF(U58="","",U58-($V$3*G58+$W$3))</f>
        <v/>
      </c>
      <c r="Y58" s="3">
        <f>IF(X58="","",MAX(-3,MIN(3,(X58-$X3)/$X4)))</f>
        <v/>
      </c>
      <c r="Z58" s="3">
        <f>IF(Y58="","",(Y58-AVERAGE(Y6:Y1198))/(STDEV(Y6:Y1198)+1E-12))</f>
        <v/>
      </c>
    </row>
    <row r="59">
      <c r="A59" t="inlineStr">
        <is>
          <t>BBG000BVMGF2</t>
        </is>
      </c>
      <c r="B59" s="3">
        <f>IF('3a Raw'!C59="","",MAX(-3,MIN(3,('3a Raw'!C59-$B3)/$B4)))</f>
        <v/>
      </c>
      <c r="C59" s="3">
        <f>IF(B59="","",(B59-AVERAGE(B6:B1198))/(STDEV(B6:B1198)+1E-12))</f>
        <v/>
      </c>
      <c r="D59" s="3">
        <f>IF('3a Raw'!D59="","",MAX(-3,MIN(3,('3a Raw'!D59-$D3)/$D4)))</f>
        <v/>
      </c>
      <c r="E59" s="3">
        <f>IF(D59="","",(D59-AVERAGE(D6:D1198))/(STDEV(D6:D1198)+1E-12))</f>
        <v/>
      </c>
      <c r="F59" s="3">
        <f>IF('3a Raw'!E59="","",MAX(-3,MIN(3,('3a Raw'!E59-$F3)/$F4)))</f>
        <v/>
      </c>
      <c r="G59" s="3">
        <f>IF(F59="","",(F59-AVERAGE(F6:F1198))/(STDEV(F6:F1198)+1E-12))</f>
        <v/>
      </c>
      <c r="H59" s="3">
        <f>IF('3a Raw'!F59="","",MAX(-3,MIN(3,('3a Raw'!F59-$H3)/$H4)))</f>
        <v/>
      </c>
      <c r="I59" s="3">
        <f>IF(H59="","",(H59-AVERAGE(H6:H1198))/(STDEV(H6:H1198)+1E-12))</f>
        <v/>
      </c>
      <c r="J59" s="3">
        <f>IF('3a Raw'!G59="","",MAX(-3,MIN(3,('3a Raw'!G59-$J3)/$J4)))</f>
        <v/>
      </c>
      <c r="K59" s="3">
        <f>IF(J59="","",(J59-AVERAGE(J6:J1198))/(STDEV(J6:J1198)+1E-12))</f>
        <v/>
      </c>
      <c r="L59" s="3">
        <f>IF('3a Raw'!H59="","",MAX(-3,MIN(3,('3a Raw'!H59-$L3)/$L4)))</f>
        <v/>
      </c>
      <c r="M59" s="3">
        <f>IF(L59="","",(L59-AVERAGE(L6:L1198))/(STDEV(L6:L1198)+1E-12))</f>
        <v/>
      </c>
      <c r="N59" s="3">
        <f>IF('3a Raw'!I59="","",MAX(-3,MIN(3,('3a Raw'!I59-$N3)/$N4)))</f>
        <v/>
      </c>
      <c r="O59" s="3">
        <f>IF(N59="","",(N59-AVERAGE(N6:N1198))/(STDEV(N6:N1198)+1E-12))</f>
        <v/>
      </c>
      <c r="P59" s="3">
        <f>IF('3a Raw'!J59="","",MAX(-3,MIN(3,('3a Raw'!J59-$P3)/$P4)))</f>
        <v/>
      </c>
      <c r="Q59" s="3">
        <f>IF(P59="","",(P59-AVERAGE(P6:P1198))/(STDEV(P6:P1198)+1E-12))</f>
        <v/>
      </c>
      <c r="R59" s="3">
        <f>IF('3a Raw'!K59="","",MAX(-3,MIN(3,('3a Raw'!K59-$R3)/$R4)))</f>
        <v/>
      </c>
      <c r="S59" s="3">
        <f>IF(R59="","",(R59-AVERAGE(R6:R1198))/(STDEV(R6:R1198)+1E-12))</f>
        <v/>
      </c>
      <c r="T59" s="3">
        <f>IF('3a Raw'!L59="","",MAX(-3,MIN(3,('3a Raw'!L59-$T3)/$T4)))</f>
        <v/>
      </c>
      <c r="U59" s="3">
        <f>IF(T59="","",(T59-AVERAGE(T6:T1198))/(STDEV(T6:T1198)+1E-12))</f>
        <v/>
      </c>
      <c r="X59" s="3">
        <f>IF(U59="","",U59-($V$3*G59+$W$3))</f>
        <v/>
      </c>
      <c r="Y59" s="3">
        <f>IF(X59="","",MAX(-3,MIN(3,(X59-$X3)/$X4)))</f>
        <v/>
      </c>
      <c r="Z59" s="3">
        <f>IF(Y59="","",(Y59-AVERAGE(Y6:Y1198))/(STDEV(Y6:Y1198)+1E-12))</f>
        <v/>
      </c>
    </row>
    <row r="60">
      <c r="A60" t="inlineStr">
        <is>
          <t>alle</t>
        </is>
      </c>
      <c r="B60" s="3">
        <f>IF('3a Raw'!C60="","",MAX(-3,MIN(3,('3a Raw'!C60-$B3)/$B4)))</f>
        <v/>
      </c>
      <c r="C60" s="3">
        <f>IF(B60="","",(B60-AVERAGE(B6:B1198))/(STDEV(B6:B1198)+1E-12))</f>
        <v/>
      </c>
      <c r="D60" s="3">
        <f>IF('3a Raw'!D60="","",MAX(-3,MIN(3,('3a Raw'!D60-$D3)/$D4)))</f>
        <v/>
      </c>
      <c r="E60" s="3">
        <f>IF(D60="","",(D60-AVERAGE(D6:D1198))/(STDEV(D6:D1198)+1E-12))</f>
        <v/>
      </c>
      <c r="F60" s="3">
        <f>IF('3a Raw'!E60="","",MAX(-3,MIN(3,('3a Raw'!E60-$F3)/$F4)))</f>
        <v/>
      </c>
      <c r="G60" s="3">
        <f>IF(F60="","",(F60-AVERAGE(F6:F1198))/(STDEV(F6:F1198)+1E-12))</f>
        <v/>
      </c>
      <c r="H60" s="3">
        <f>IF('3a Raw'!F60="","",MAX(-3,MIN(3,('3a Raw'!F60-$H3)/$H4)))</f>
        <v/>
      </c>
      <c r="I60" s="3">
        <f>IF(H60="","",(H60-AVERAGE(H6:H1198))/(STDEV(H6:H1198)+1E-12))</f>
        <v/>
      </c>
      <c r="J60" s="3">
        <f>IF('3a Raw'!G60="","",MAX(-3,MIN(3,('3a Raw'!G60-$J3)/$J4)))</f>
        <v/>
      </c>
      <c r="K60" s="3">
        <f>IF(J60="","",(J60-AVERAGE(J6:J1198))/(STDEV(J6:J1198)+1E-12))</f>
        <v/>
      </c>
      <c r="L60" s="3">
        <f>IF('3a Raw'!H60="","",MAX(-3,MIN(3,('3a Raw'!H60-$L3)/$L4)))</f>
        <v/>
      </c>
      <c r="M60" s="3">
        <f>IF(L60="","",(L60-AVERAGE(L6:L1198))/(STDEV(L6:L1198)+1E-12))</f>
        <v/>
      </c>
      <c r="N60" s="3">
        <f>IF('3a Raw'!I60="","",MAX(-3,MIN(3,('3a Raw'!I60-$N3)/$N4)))</f>
        <v/>
      </c>
      <c r="O60" s="3">
        <f>IF(N60="","",(N60-AVERAGE(N6:N1198))/(STDEV(N6:N1198)+1E-12))</f>
        <v/>
      </c>
      <c r="P60" s="3">
        <f>IF('3a Raw'!J60="","",MAX(-3,MIN(3,('3a Raw'!J60-$P3)/$P4)))</f>
        <v/>
      </c>
      <c r="Q60" s="3">
        <f>IF(P60="","",(P60-AVERAGE(P6:P1198))/(STDEV(P6:P1198)+1E-12))</f>
        <v/>
      </c>
      <c r="R60" s="3">
        <f>IF('3a Raw'!K60="","",MAX(-3,MIN(3,('3a Raw'!K60-$R3)/$R4)))</f>
        <v/>
      </c>
      <c r="S60" s="3">
        <f>IF(R60="","",(R60-AVERAGE(R6:R1198))/(STDEV(R6:R1198)+1E-12))</f>
        <v/>
      </c>
      <c r="T60" s="3">
        <f>IF('3a Raw'!L60="","",MAX(-3,MIN(3,('3a Raw'!L60-$T3)/$T4)))</f>
        <v/>
      </c>
      <c r="U60" s="3">
        <f>IF(T60="","",(T60-AVERAGE(T6:T1198))/(STDEV(T6:T1198)+1E-12))</f>
        <v/>
      </c>
      <c r="X60" s="3">
        <f>IF(U60="","",U60-($V$3*G60+$W$3))</f>
        <v/>
      </c>
      <c r="Y60" s="3">
        <f>IF(X60="","",MAX(-3,MIN(3,(X60-$X3)/$X4)))</f>
        <v/>
      </c>
      <c r="Z60" s="3">
        <f>IF(Y60="","",(Y60-AVERAGE(Y6:Y1198))/(STDEV(Y6:Y1198)+1E-12))</f>
        <v/>
      </c>
    </row>
    <row r="61">
      <c r="A61" t="inlineStr">
        <is>
          <t>BBG000BC2R71</t>
        </is>
      </c>
      <c r="B61" s="3">
        <f>IF('3a Raw'!C61="","",MAX(-3,MIN(3,('3a Raw'!C61-$B3)/$B4)))</f>
        <v/>
      </c>
      <c r="C61" s="3">
        <f>IF(B61="","",(B61-AVERAGE(B6:B1198))/(STDEV(B6:B1198)+1E-12))</f>
        <v/>
      </c>
      <c r="D61" s="3">
        <f>IF('3a Raw'!D61="","",MAX(-3,MIN(3,('3a Raw'!D61-$D3)/$D4)))</f>
        <v/>
      </c>
      <c r="E61" s="3">
        <f>IF(D61="","",(D61-AVERAGE(D6:D1198))/(STDEV(D6:D1198)+1E-12))</f>
        <v/>
      </c>
      <c r="F61" s="3">
        <f>IF('3a Raw'!E61="","",MAX(-3,MIN(3,('3a Raw'!E61-$F3)/$F4)))</f>
        <v/>
      </c>
      <c r="G61" s="3">
        <f>IF(F61="","",(F61-AVERAGE(F6:F1198))/(STDEV(F6:F1198)+1E-12))</f>
        <v/>
      </c>
      <c r="H61" s="3">
        <f>IF('3a Raw'!F61="","",MAX(-3,MIN(3,('3a Raw'!F61-$H3)/$H4)))</f>
        <v/>
      </c>
      <c r="I61" s="3">
        <f>IF(H61="","",(H61-AVERAGE(H6:H1198))/(STDEV(H6:H1198)+1E-12))</f>
        <v/>
      </c>
      <c r="J61" s="3">
        <f>IF('3a Raw'!G61="","",MAX(-3,MIN(3,('3a Raw'!G61-$J3)/$J4)))</f>
        <v/>
      </c>
      <c r="K61" s="3">
        <f>IF(J61="","",(J61-AVERAGE(J6:J1198))/(STDEV(J6:J1198)+1E-12))</f>
        <v/>
      </c>
      <c r="L61" s="3">
        <f>IF('3a Raw'!H61="","",MAX(-3,MIN(3,('3a Raw'!H61-$L3)/$L4)))</f>
        <v/>
      </c>
      <c r="M61" s="3">
        <f>IF(L61="","",(L61-AVERAGE(L6:L1198))/(STDEV(L6:L1198)+1E-12))</f>
        <v/>
      </c>
      <c r="N61" s="3">
        <f>IF('3a Raw'!I61="","",MAX(-3,MIN(3,('3a Raw'!I61-$N3)/$N4)))</f>
        <v/>
      </c>
      <c r="O61" s="3">
        <f>IF(N61="","",(N61-AVERAGE(N6:N1198))/(STDEV(N6:N1198)+1E-12))</f>
        <v/>
      </c>
      <c r="P61" s="3">
        <f>IF('3a Raw'!J61="","",MAX(-3,MIN(3,('3a Raw'!J61-$P3)/$P4)))</f>
        <v/>
      </c>
      <c r="Q61" s="3">
        <f>IF(P61="","",(P61-AVERAGE(P6:P1198))/(STDEV(P6:P1198)+1E-12))</f>
        <v/>
      </c>
      <c r="R61" s="3">
        <f>IF('3a Raw'!K61="","",MAX(-3,MIN(3,('3a Raw'!K61-$R3)/$R4)))</f>
        <v/>
      </c>
      <c r="S61" s="3">
        <f>IF(R61="","",(R61-AVERAGE(R6:R1198))/(STDEV(R6:R1198)+1E-12))</f>
        <v/>
      </c>
      <c r="T61" s="3">
        <f>IF('3a Raw'!L61="","",MAX(-3,MIN(3,('3a Raw'!L61-$T3)/$T4)))</f>
        <v/>
      </c>
      <c r="U61" s="3">
        <f>IF(T61="","",(T61-AVERAGE(T6:T1198))/(STDEV(T6:T1198)+1E-12))</f>
        <v/>
      </c>
      <c r="X61" s="3">
        <f>IF(U61="","",U61-($V$3*G61+$W$3))</f>
        <v/>
      </c>
      <c r="Y61" s="3">
        <f>IF(X61="","",MAX(-3,MIN(3,(X61-$X3)/$X4)))</f>
        <v/>
      </c>
      <c r="Z61" s="3">
        <f>IF(Y61="","",(Y61-AVERAGE(Y6:Y1198))/(STDEV(Y6:Y1198)+1E-12))</f>
        <v/>
      </c>
    </row>
    <row r="62">
      <c r="A62" t="inlineStr">
        <is>
          <t>BBG000BFGNJ5</t>
        </is>
      </c>
      <c r="B62" s="3">
        <f>IF('3a Raw'!C62="","",MAX(-3,MIN(3,('3a Raw'!C62-$B3)/$B4)))</f>
        <v/>
      </c>
      <c r="C62" s="3">
        <f>IF(B62="","",(B62-AVERAGE(B6:B1198))/(STDEV(B6:B1198)+1E-12))</f>
        <v/>
      </c>
      <c r="D62" s="3">
        <f>IF('3a Raw'!D62="","",MAX(-3,MIN(3,('3a Raw'!D62-$D3)/$D4)))</f>
        <v/>
      </c>
      <c r="E62" s="3">
        <f>IF(D62="","",(D62-AVERAGE(D6:D1198))/(STDEV(D6:D1198)+1E-12))</f>
        <v/>
      </c>
      <c r="F62" s="3">
        <f>IF('3a Raw'!E62="","",MAX(-3,MIN(3,('3a Raw'!E62-$F3)/$F4)))</f>
        <v/>
      </c>
      <c r="G62" s="3">
        <f>IF(F62="","",(F62-AVERAGE(F6:F1198))/(STDEV(F6:F1198)+1E-12))</f>
        <v/>
      </c>
      <c r="H62" s="3">
        <f>IF('3a Raw'!F62="","",MAX(-3,MIN(3,('3a Raw'!F62-$H3)/$H4)))</f>
        <v/>
      </c>
      <c r="I62" s="3">
        <f>IF(H62="","",(H62-AVERAGE(H6:H1198))/(STDEV(H6:H1198)+1E-12))</f>
        <v/>
      </c>
      <c r="J62" s="3">
        <f>IF('3a Raw'!G62="","",MAX(-3,MIN(3,('3a Raw'!G62-$J3)/$J4)))</f>
        <v/>
      </c>
      <c r="K62" s="3">
        <f>IF(J62="","",(J62-AVERAGE(J6:J1198))/(STDEV(J6:J1198)+1E-12))</f>
        <v/>
      </c>
      <c r="L62" s="3">
        <f>IF('3a Raw'!H62="","",MAX(-3,MIN(3,('3a Raw'!H62-$L3)/$L4)))</f>
        <v/>
      </c>
      <c r="M62" s="3">
        <f>IF(L62="","",(L62-AVERAGE(L6:L1198))/(STDEV(L6:L1198)+1E-12))</f>
        <v/>
      </c>
      <c r="N62" s="3">
        <f>IF('3a Raw'!I62="","",MAX(-3,MIN(3,('3a Raw'!I62-$N3)/$N4)))</f>
        <v/>
      </c>
      <c r="O62" s="3">
        <f>IF(N62="","",(N62-AVERAGE(N6:N1198))/(STDEV(N6:N1198)+1E-12))</f>
        <v/>
      </c>
      <c r="P62" s="3">
        <f>IF('3a Raw'!J62="","",MAX(-3,MIN(3,('3a Raw'!J62-$P3)/$P4)))</f>
        <v/>
      </c>
      <c r="Q62" s="3">
        <f>IF(P62="","",(P62-AVERAGE(P6:P1198))/(STDEV(P6:P1198)+1E-12))</f>
        <v/>
      </c>
      <c r="R62" s="3">
        <f>IF('3a Raw'!K62="","",MAX(-3,MIN(3,('3a Raw'!K62-$R3)/$R4)))</f>
        <v/>
      </c>
      <c r="S62" s="3">
        <f>IF(R62="","",(R62-AVERAGE(R6:R1198))/(STDEV(R6:R1198)+1E-12))</f>
        <v/>
      </c>
      <c r="T62" s="3">
        <f>IF('3a Raw'!L62="","",MAX(-3,MIN(3,('3a Raw'!L62-$T3)/$T4)))</f>
        <v/>
      </c>
      <c r="U62" s="3">
        <f>IF(T62="","",(T62-AVERAGE(T6:T1198))/(STDEV(T6:T1198)+1E-12))</f>
        <v/>
      </c>
      <c r="X62" s="3">
        <f>IF(U62="","",U62-($V$3*G62+$W$3))</f>
        <v/>
      </c>
      <c r="Y62" s="3">
        <f>IF(X62="","",MAX(-3,MIN(3,(X62-$X3)/$X4)))</f>
        <v/>
      </c>
      <c r="Z62" s="3">
        <f>IF(Y62="","",(Y62-AVERAGE(Y6:Y1198))/(STDEV(Y6:Y1198)+1E-12))</f>
        <v/>
      </c>
    </row>
    <row r="63">
      <c r="A63" t="inlineStr">
        <is>
          <t>BBG007GNPYY7</t>
        </is>
      </c>
      <c r="B63" s="3">
        <f>IF('3a Raw'!C63="","",MAX(-3,MIN(3,('3a Raw'!C63-$B3)/$B4)))</f>
        <v/>
      </c>
      <c r="C63" s="3">
        <f>IF(B63="","",(B63-AVERAGE(B6:B1198))/(STDEV(B6:B1198)+1E-12))</f>
        <v/>
      </c>
      <c r="D63" s="3">
        <f>IF('3a Raw'!D63="","",MAX(-3,MIN(3,('3a Raw'!D63-$D3)/$D4)))</f>
        <v/>
      </c>
      <c r="E63" s="3">
        <f>IF(D63="","",(D63-AVERAGE(D6:D1198))/(STDEV(D6:D1198)+1E-12))</f>
        <v/>
      </c>
      <c r="F63" s="3">
        <f>IF('3a Raw'!E63="","",MAX(-3,MIN(3,('3a Raw'!E63-$F3)/$F4)))</f>
        <v/>
      </c>
      <c r="G63" s="3">
        <f>IF(F63="","",(F63-AVERAGE(F6:F1198))/(STDEV(F6:F1198)+1E-12))</f>
        <v/>
      </c>
      <c r="H63" s="3">
        <f>IF('3a Raw'!F63="","",MAX(-3,MIN(3,('3a Raw'!F63-$H3)/$H4)))</f>
        <v/>
      </c>
      <c r="I63" s="3">
        <f>IF(H63="","",(H63-AVERAGE(H6:H1198))/(STDEV(H6:H1198)+1E-12))</f>
        <v/>
      </c>
      <c r="J63" s="3">
        <f>IF('3a Raw'!G63="","",MAX(-3,MIN(3,('3a Raw'!G63-$J3)/$J4)))</f>
        <v/>
      </c>
      <c r="K63" s="3">
        <f>IF(J63="","",(J63-AVERAGE(J6:J1198))/(STDEV(J6:J1198)+1E-12))</f>
        <v/>
      </c>
      <c r="L63" s="3">
        <f>IF('3a Raw'!H63="","",MAX(-3,MIN(3,('3a Raw'!H63-$L3)/$L4)))</f>
        <v/>
      </c>
      <c r="M63" s="3">
        <f>IF(L63="","",(L63-AVERAGE(L6:L1198))/(STDEV(L6:L1198)+1E-12))</f>
        <v/>
      </c>
      <c r="N63" s="3">
        <f>IF('3a Raw'!I63="","",MAX(-3,MIN(3,('3a Raw'!I63-$N3)/$N4)))</f>
        <v/>
      </c>
      <c r="O63" s="3">
        <f>IF(N63="","",(N63-AVERAGE(N6:N1198))/(STDEV(N6:N1198)+1E-12))</f>
        <v/>
      </c>
      <c r="P63" s="3">
        <f>IF('3a Raw'!J63="","",MAX(-3,MIN(3,('3a Raw'!J63-$P3)/$P4)))</f>
        <v/>
      </c>
      <c r="Q63" s="3">
        <f>IF(P63="","",(P63-AVERAGE(P6:P1198))/(STDEV(P6:P1198)+1E-12))</f>
        <v/>
      </c>
      <c r="R63" s="3">
        <f>IF('3a Raw'!K63="","",MAX(-3,MIN(3,('3a Raw'!K63-$R3)/$R4)))</f>
        <v/>
      </c>
      <c r="S63" s="3">
        <f>IF(R63="","",(R63-AVERAGE(R6:R1198))/(STDEV(R6:R1198)+1E-12))</f>
        <v/>
      </c>
      <c r="T63" s="3">
        <f>IF('3a Raw'!L63="","",MAX(-3,MIN(3,('3a Raw'!L63-$T3)/$T4)))</f>
        <v/>
      </c>
      <c r="U63" s="3">
        <f>IF(T63="","",(T63-AVERAGE(T6:T1198))/(STDEV(T6:T1198)+1E-12))</f>
        <v/>
      </c>
      <c r="X63" s="3">
        <f>IF(U63="","",U63-($V$3*G63+$W$3))</f>
        <v/>
      </c>
      <c r="Y63" s="3">
        <f>IF(X63="","",MAX(-3,MIN(3,(X63-$X3)/$X4)))</f>
        <v/>
      </c>
      <c r="Z63" s="3">
        <f>IF(Y63="","",(Y63-AVERAGE(Y6:Y1198))/(STDEV(Y6:Y1198)+1E-12))</f>
        <v/>
      </c>
    </row>
    <row r="64">
      <c r="A64" t="inlineStr">
        <is>
          <t>BBG001KY3845</t>
        </is>
      </c>
      <c r="B64" s="3">
        <f>IF('3a Raw'!C64="","",MAX(-3,MIN(3,('3a Raw'!C64-$B3)/$B4)))</f>
        <v/>
      </c>
      <c r="C64" s="3">
        <f>IF(B64="","",(B64-AVERAGE(B6:B1198))/(STDEV(B6:B1198)+1E-12))</f>
        <v/>
      </c>
      <c r="D64" s="3">
        <f>IF('3a Raw'!D64="","",MAX(-3,MIN(3,('3a Raw'!D64-$D3)/$D4)))</f>
        <v/>
      </c>
      <c r="E64" s="3">
        <f>IF(D64="","",(D64-AVERAGE(D6:D1198))/(STDEV(D6:D1198)+1E-12))</f>
        <v/>
      </c>
      <c r="F64" s="3">
        <f>IF('3a Raw'!E64="","",MAX(-3,MIN(3,('3a Raw'!E64-$F3)/$F4)))</f>
        <v/>
      </c>
      <c r="G64" s="3">
        <f>IF(F64="","",(F64-AVERAGE(F6:F1198))/(STDEV(F6:F1198)+1E-12))</f>
        <v/>
      </c>
      <c r="H64" s="3">
        <f>IF('3a Raw'!F64="","",MAX(-3,MIN(3,('3a Raw'!F64-$H3)/$H4)))</f>
        <v/>
      </c>
      <c r="I64" s="3">
        <f>IF(H64="","",(H64-AVERAGE(H6:H1198))/(STDEV(H6:H1198)+1E-12))</f>
        <v/>
      </c>
      <c r="J64" s="3">
        <f>IF('3a Raw'!G64="","",MAX(-3,MIN(3,('3a Raw'!G64-$J3)/$J4)))</f>
        <v/>
      </c>
      <c r="K64" s="3">
        <f>IF(J64="","",(J64-AVERAGE(J6:J1198))/(STDEV(J6:J1198)+1E-12))</f>
        <v/>
      </c>
      <c r="L64" s="3">
        <f>IF('3a Raw'!H64="","",MAX(-3,MIN(3,('3a Raw'!H64-$L3)/$L4)))</f>
        <v/>
      </c>
      <c r="M64" s="3">
        <f>IF(L64="","",(L64-AVERAGE(L6:L1198))/(STDEV(L6:L1198)+1E-12))</f>
        <v/>
      </c>
      <c r="N64" s="3">
        <f>IF('3a Raw'!I64="","",MAX(-3,MIN(3,('3a Raw'!I64-$N3)/$N4)))</f>
        <v/>
      </c>
      <c r="O64" s="3">
        <f>IF(N64="","",(N64-AVERAGE(N6:N1198))/(STDEV(N6:N1198)+1E-12))</f>
        <v/>
      </c>
      <c r="P64" s="3">
        <f>IF('3a Raw'!J64="","",MAX(-3,MIN(3,('3a Raw'!J64-$P3)/$P4)))</f>
        <v/>
      </c>
      <c r="Q64" s="3">
        <f>IF(P64="","",(P64-AVERAGE(P6:P1198))/(STDEV(P6:P1198)+1E-12))</f>
        <v/>
      </c>
      <c r="R64" s="3">
        <f>IF('3a Raw'!K64="","",MAX(-3,MIN(3,('3a Raw'!K64-$R3)/$R4)))</f>
        <v/>
      </c>
      <c r="S64" s="3">
        <f>IF(R64="","",(R64-AVERAGE(R6:R1198))/(STDEV(R6:R1198)+1E-12))</f>
        <v/>
      </c>
      <c r="T64" s="3">
        <f>IF('3a Raw'!L64="","",MAX(-3,MIN(3,('3a Raw'!L64-$T3)/$T4)))</f>
        <v/>
      </c>
      <c r="U64" s="3">
        <f>IF(T64="","",(T64-AVERAGE(T6:T1198))/(STDEV(T6:T1198)+1E-12))</f>
        <v/>
      </c>
      <c r="X64" s="3">
        <f>IF(U64="","",U64-($V$3*G64+$W$3))</f>
        <v/>
      </c>
      <c r="Y64" s="3">
        <f>IF(X64="","",MAX(-3,MIN(3,(X64-$X3)/$X4)))</f>
        <v/>
      </c>
      <c r="Z64" s="3">
        <f>IF(Y64="","",(Y64-AVERAGE(Y6:Y1198))/(STDEV(Y6:Y1198)+1E-12))</f>
        <v/>
      </c>
    </row>
    <row r="65">
      <c r="A65" t="inlineStr">
        <is>
          <t>BBG000BBPFB9</t>
        </is>
      </c>
      <c r="B65" s="3">
        <f>IF('3a Raw'!C65="","",MAX(-3,MIN(3,('3a Raw'!C65-$B3)/$B4)))</f>
        <v/>
      </c>
      <c r="C65" s="3">
        <f>IF(B65="","",(B65-AVERAGE(B6:B1198))/(STDEV(B6:B1198)+1E-12))</f>
        <v/>
      </c>
      <c r="D65" s="3">
        <f>IF('3a Raw'!D65="","",MAX(-3,MIN(3,('3a Raw'!D65-$D3)/$D4)))</f>
        <v/>
      </c>
      <c r="E65" s="3">
        <f>IF(D65="","",(D65-AVERAGE(D6:D1198))/(STDEV(D6:D1198)+1E-12))</f>
        <v/>
      </c>
      <c r="F65" s="3">
        <f>IF('3a Raw'!E65="","",MAX(-3,MIN(3,('3a Raw'!E65-$F3)/$F4)))</f>
        <v/>
      </c>
      <c r="G65" s="3">
        <f>IF(F65="","",(F65-AVERAGE(F6:F1198))/(STDEV(F6:F1198)+1E-12))</f>
        <v/>
      </c>
      <c r="H65" s="3">
        <f>IF('3a Raw'!F65="","",MAX(-3,MIN(3,('3a Raw'!F65-$H3)/$H4)))</f>
        <v/>
      </c>
      <c r="I65" s="3">
        <f>IF(H65="","",(H65-AVERAGE(H6:H1198))/(STDEV(H6:H1198)+1E-12))</f>
        <v/>
      </c>
      <c r="J65" s="3">
        <f>IF('3a Raw'!G65="","",MAX(-3,MIN(3,('3a Raw'!G65-$J3)/$J4)))</f>
        <v/>
      </c>
      <c r="K65" s="3">
        <f>IF(J65="","",(J65-AVERAGE(J6:J1198))/(STDEV(J6:J1198)+1E-12))</f>
        <v/>
      </c>
      <c r="L65" s="3">
        <f>IF('3a Raw'!H65="","",MAX(-3,MIN(3,('3a Raw'!H65-$L3)/$L4)))</f>
        <v/>
      </c>
      <c r="M65" s="3">
        <f>IF(L65="","",(L65-AVERAGE(L6:L1198))/(STDEV(L6:L1198)+1E-12))</f>
        <v/>
      </c>
      <c r="N65" s="3">
        <f>IF('3a Raw'!I65="","",MAX(-3,MIN(3,('3a Raw'!I65-$N3)/$N4)))</f>
        <v/>
      </c>
      <c r="O65" s="3">
        <f>IF(N65="","",(N65-AVERAGE(N6:N1198))/(STDEV(N6:N1198)+1E-12))</f>
        <v/>
      </c>
      <c r="P65" s="3">
        <f>IF('3a Raw'!J65="","",MAX(-3,MIN(3,('3a Raw'!J65-$P3)/$P4)))</f>
        <v/>
      </c>
      <c r="Q65" s="3">
        <f>IF(P65="","",(P65-AVERAGE(P6:P1198))/(STDEV(P6:P1198)+1E-12))</f>
        <v/>
      </c>
      <c r="R65" s="3">
        <f>IF('3a Raw'!K65="","",MAX(-3,MIN(3,('3a Raw'!K65-$R3)/$R4)))</f>
        <v/>
      </c>
      <c r="S65" s="3">
        <f>IF(R65="","",(R65-AVERAGE(R6:R1198))/(STDEV(R6:R1198)+1E-12))</f>
        <v/>
      </c>
      <c r="T65" s="3">
        <f>IF('3a Raw'!L65="","",MAX(-3,MIN(3,('3a Raw'!L65-$T3)/$T4)))</f>
        <v/>
      </c>
      <c r="U65" s="3">
        <f>IF(T65="","",(T65-AVERAGE(T6:T1198))/(STDEV(T6:T1198)+1E-12))</f>
        <v/>
      </c>
      <c r="X65" s="3">
        <f>IF(U65="","",U65-($V$3*G65+$W$3))</f>
        <v/>
      </c>
      <c r="Y65" s="3">
        <f>IF(X65="","",MAX(-3,MIN(3,(X65-$X3)/$X4)))</f>
        <v/>
      </c>
      <c r="Z65" s="3">
        <f>IF(Y65="","",(Y65-AVERAGE(Y6:Y1198))/(STDEV(Y6:Y1198)+1E-12))</f>
        <v/>
      </c>
    </row>
    <row r="66">
      <c r="A66" t="inlineStr">
        <is>
          <t>amcr</t>
        </is>
      </c>
      <c r="B66" s="3">
        <f>IF('3a Raw'!C66="","",MAX(-3,MIN(3,('3a Raw'!C66-$B3)/$B4)))</f>
        <v/>
      </c>
      <c r="C66" s="3">
        <f>IF(B66="","",(B66-AVERAGE(B6:B1198))/(STDEV(B6:B1198)+1E-12))</f>
        <v/>
      </c>
      <c r="D66" s="3">
        <f>IF('3a Raw'!D66="","",MAX(-3,MIN(3,('3a Raw'!D66-$D3)/$D4)))</f>
        <v/>
      </c>
      <c r="E66" s="3">
        <f>IF(D66="","",(D66-AVERAGE(D6:D1198))/(STDEV(D6:D1198)+1E-12))</f>
        <v/>
      </c>
      <c r="F66" s="3">
        <f>IF('3a Raw'!E66="","",MAX(-3,MIN(3,('3a Raw'!E66-$F3)/$F4)))</f>
        <v/>
      </c>
      <c r="G66" s="3">
        <f>IF(F66="","",(F66-AVERAGE(F6:F1198))/(STDEV(F6:F1198)+1E-12))</f>
        <v/>
      </c>
      <c r="H66" s="3">
        <f>IF('3a Raw'!F66="","",MAX(-3,MIN(3,('3a Raw'!F66-$H3)/$H4)))</f>
        <v/>
      </c>
      <c r="I66" s="3">
        <f>IF(H66="","",(H66-AVERAGE(H6:H1198))/(STDEV(H6:H1198)+1E-12))</f>
        <v/>
      </c>
      <c r="J66" s="3">
        <f>IF('3a Raw'!G66="","",MAX(-3,MIN(3,('3a Raw'!G66-$J3)/$J4)))</f>
        <v/>
      </c>
      <c r="K66" s="3">
        <f>IF(J66="","",(J66-AVERAGE(J6:J1198))/(STDEV(J6:J1198)+1E-12))</f>
        <v/>
      </c>
      <c r="L66" s="3">
        <f>IF('3a Raw'!H66="","",MAX(-3,MIN(3,('3a Raw'!H66-$L3)/$L4)))</f>
        <v/>
      </c>
      <c r="M66" s="3">
        <f>IF(L66="","",(L66-AVERAGE(L6:L1198))/(STDEV(L6:L1198)+1E-12))</f>
        <v/>
      </c>
      <c r="N66" s="3">
        <f>IF('3a Raw'!I66="","",MAX(-3,MIN(3,('3a Raw'!I66-$N3)/$N4)))</f>
        <v/>
      </c>
      <c r="O66" s="3">
        <f>IF(N66="","",(N66-AVERAGE(N6:N1198))/(STDEV(N6:N1198)+1E-12))</f>
        <v/>
      </c>
      <c r="P66" s="3">
        <f>IF('3a Raw'!J66="","",MAX(-3,MIN(3,('3a Raw'!J66-$P3)/$P4)))</f>
        <v/>
      </c>
      <c r="Q66" s="3">
        <f>IF(P66="","",(P66-AVERAGE(P6:P1198))/(STDEV(P6:P1198)+1E-12))</f>
        <v/>
      </c>
      <c r="R66" s="3">
        <f>IF('3a Raw'!K66="","",MAX(-3,MIN(3,('3a Raw'!K66-$R3)/$R4)))</f>
        <v/>
      </c>
      <c r="S66" s="3">
        <f>IF(R66="","",(R66-AVERAGE(R6:R1198))/(STDEV(R6:R1198)+1E-12))</f>
        <v/>
      </c>
      <c r="T66" s="3">
        <f>IF('3a Raw'!L66="","",MAX(-3,MIN(3,('3a Raw'!L66-$T3)/$T4)))</f>
        <v/>
      </c>
      <c r="U66" s="3">
        <f>IF(T66="","",(T66-AVERAGE(T6:T1198))/(STDEV(T6:T1198)+1E-12))</f>
        <v/>
      </c>
      <c r="X66" s="3">
        <f>IF(U66="","",U66-($V$3*G66+$W$3))</f>
        <v/>
      </c>
      <c r="Y66" s="3">
        <f>IF(X66="","",MAX(-3,MIN(3,(X66-$X3)/$X4)))</f>
        <v/>
      </c>
      <c r="Z66" s="3">
        <f>IF(Y66="","",(Y66-AVERAGE(Y6:Y1198))/(STDEV(Y6:Y1198)+1E-12))</f>
        <v/>
      </c>
    </row>
    <row r="67">
      <c r="A67" t="inlineStr">
        <is>
          <t>BBG000H01H92</t>
        </is>
      </c>
      <c r="B67" s="3">
        <f>IF('3a Raw'!C67="","",MAX(-3,MIN(3,('3a Raw'!C67-$B3)/$B4)))</f>
        <v/>
      </c>
      <c r="C67" s="3">
        <f>IF(B67="","",(B67-AVERAGE(B6:B1198))/(STDEV(B6:B1198)+1E-12))</f>
        <v/>
      </c>
      <c r="D67" s="3">
        <f>IF('3a Raw'!D67="","",MAX(-3,MIN(3,('3a Raw'!D67-$D3)/$D4)))</f>
        <v/>
      </c>
      <c r="E67" s="3">
        <f>IF(D67="","",(D67-AVERAGE(D6:D1198))/(STDEV(D6:D1198)+1E-12))</f>
        <v/>
      </c>
      <c r="F67" s="3">
        <f>IF('3a Raw'!E67="","",MAX(-3,MIN(3,('3a Raw'!E67-$F3)/$F4)))</f>
        <v/>
      </c>
      <c r="G67" s="3">
        <f>IF(F67="","",(F67-AVERAGE(F6:F1198))/(STDEV(F6:F1198)+1E-12))</f>
        <v/>
      </c>
      <c r="H67" s="3">
        <f>IF('3a Raw'!F67="","",MAX(-3,MIN(3,('3a Raw'!F67-$H3)/$H4)))</f>
        <v/>
      </c>
      <c r="I67" s="3">
        <f>IF(H67="","",(H67-AVERAGE(H6:H1198))/(STDEV(H6:H1198)+1E-12))</f>
        <v/>
      </c>
      <c r="J67" s="3">
        <f>IF('3a Raw'!G67="","",MAX(-3,MIN(3,('3a Raw'!G67-$J3)/$J4)))</f>
        <v/>
      </c>
      <c r="K67" s="3">
        <f>IF(J67="","",(J67-AVERAGE(J6:J1198))/(STDEV(J6:J1198)+1E-12))</f>
        <v/>
      </c>
      <c r="L67" s="3">
        <f>IF('3a Raw'!H67="","",MAX(-3,MIN(3,('3a Raw'!H67-$L3)/$L4)))</f>
        <v/>
      </c>
      <c r="M67" s="3">
        <f>IF(L67="","",(L67-AVERAGE(L6:L1198))/(STDEV(L6:L1198)+1E-12))</f>
        <v/>
      </c>
      <c r="N67" s="3">
        <f>IF('3a Raw'!I67="","",MAX(-3,MIN(3,('3a Raw'!I67-$N3)/$N4)))</f>
        <v/>
      </c>
      <c r="O67" s="3">
        <f>IF(N67="","",(N67-AVERAGE(N6:N1198))/(STDEV(N6:N1198)+1E-12))</f>
        <v/>
      </c>
      <c r="P67" s="3">
        <f>IF('3a Raw'!J67="","",MAX(-3,MIN(3,('3a Raw'!J67-$P3)/$P4)))</f>
        <v/>
      </c>
      <c r="Q67" s="3">
        <f>IF(P67="","",(P67-AVERAGE(P6:P1198))/(STDEV(P6:P1198)+1E-12))</f>
        <v/>
      </c>
      <c r="R67" s="3">
        <f>IF('3a Raw'!K67="","",MAX(-3,MIN(3,('3a Raw'!K67-$R3)/$R4)))</f>
        <v/>
      </c>
      <c r="S67" s="3">
        <f>IF(R67="","",(R67-AVERAGE(R6:R1198))/(STDEV(R6:R1198)+1E-12))</f>
        <v/>
      </c>
      <c r="T67" s="3">
        <f>IF('3a Raw'!L67="","",MAX(-3,MIN(3,('3a Raw'!L67-$T3)/$T4)))</f>
        <v/>
      </c>
      <c r="U67" s="3">
        <f>IF(T67="","",(T67-AVERAGE(T6:T1198))/(STDEV(T6:T1198)+1E-12))</f>
        <v/>
      </c>
      <c r="X67" s="3">
        <f>IF(U67="","",U67-($V$3*G67+$W$3))</f>
        <v/>
      </c>
      <c r="Y67" s="3">
        <f>IF(X67="","",MAX(-3,MIN(3,(X67-$X3)/$X4)))</f>
        <v/>
      </c>
      <c r="Z67" s="3">
        <f>IF(Y67="","",(Y67-AVERAGE(Y6:Y1198))/(STDEV(Y6:Y1198)+1E-12))</f>
        <v/>
      </c>
    </row>
    <row r="68">
      <c r="A68" t="inlineStr">
        <is>
          <t>BBG000BBQCY0</t>
        </is>
      </c>
      <c r="B68" s="3">
        <f>IF('3a Raw'!C68="","",MAX(-3,MIN(3,('3a Raw'!C68-$B3)/$B4)))</f>
        <v/>
      </c>
      <c r="C68" s="3">
        <f>IF(B68="","",(B68-AVERAGE(B6:B1198))/(STDEV(B6:B1198)+1E-12))</f>
        <v/>
      </c>
      <c r="D68" s="3">
        <f>IF('3a Raw'!D68="","",MAX(-3,MIN(3,('3a Raw'!D68-$D3)/$D4)))</f>
        <v/>
      </c>
      <c r="E68" s="3">
        <f>IF(D68="","",(D68-AVERAGE(D6:D1198))/(STDEV(D6:D1198)+1E-12))</f>
        <v/>
      </c>
      <c r="F68" s="3">
        <f>IF('3a Raw'!E68="","",MAX(-3,MIN(3,('3a Raw'!E68-$F3)/$F4)))</f>
        <v/>
      </c>
      <c r="G68" s="3">
        <f>IF(F68="","",(F68-AVERAGE(F6:F1198))/(STDEV(F6:F1198)+1E-12))</f>
        <v/>
      </c>
      <c r="H68" s="3">
        <f>IF('3a Raw'!F68="","",MAX(-3,MIN(3,('3a Raw'!F68-$H3)/$H4)))</f>
        <v/>
      </c>
      <c r="I68" s="3">
        <f>IF(H68="","",(H68-AVERAGE(H6:H1198))/(STDEV(H6:H1198)+1E-12))</f>
        <v/>
      </c>
      <c r="J68" s="3">
        <f>IF('3a Raw'!G68="","",MAX(-3,MIN(3,('3a Raw'!G68-$J3)/$J4)))</f>
        <v/>
      </c>
      <c r="K68" s="3">
        <f>IF(J68="","",(J68-AVERAGE(J6:J1198))/(STDEV(J6:J1198)+1E-12))</f>
        <v/>
      </c>
      <c r="L68" s="3">
        <f>IF('3a Raw'!H68="","",MAX(-3,MIN(3,('3a Raw'!H68-$L3)/$L4)))</f>
        <v/>
      </c>
      <c r="M68" s="3">
        <f>IF(L68="","",(L68-AVERAGE(L6:L1198))/(STDEV(L6:L1198)+1E-12))</f>
        <v/>
      </c>
      <c r="N68" s="3">
        <f>IF('3a Raw'!I68="","",MAX(-3,MIN(3,('3a Raw'!I68-$N3)/$N4)))</f>
        <v/>
      </c>
      <c r="O68" s="3">
        <f>IF(N68="","",(N68-AVERAGE(N6:N1198))/(STDEV(N6:N1198)+1E-12))</f>
        <v/>
      </c>
      <c r="P68" s="3">
        <f>IF('3a Raw'!J68="","",MAX(-3,MIN(3,('3a Raw'!J68-$P3)/$P4)))</f>
        <v/>
      </c>
      <c r="Q68" s="3">
        <f>IF(P68="","",(P68-AVERAGE(P6:P1198))/(STDEV(P6:P1198)+1E-12))</f>
        <v/>
      </c>
      <c r="R68" s="3">
        <f>IF('3a Raw'!K68="","",MAX(-3,MIN(3,('3a Raw'!K68-$R3)/$R4)))</f>
        <v/>
      </c>
      <c r="S68" s="3">
        <f>IF(R68="","",(R68-AVERAGE(R6:R1198))/(STDEV(R6:R1198)+1E-12))</f>
        <v/>
      </c>
      <c r="T68" s="3">
        <f>IF('3a Raw'!L68="","",MAX(-3,MIN(3,('3a Raw'!L68-$T3)/$T4)))</f>
        <v/>
      </c>
      <c r="U68" s="3">
        <f>IF(T68="","",(T68-AVERAGE(T6:T1198))/(STDEV(T6:T1198)+1E-12))</f>
        <v/>
      </c>
      <c r="X68" s="3">
        <f>IF(U68="","",U68-($V$3*G68+$W$3))</f>
        <v/>
      </c>
      <c r="Y68" s="3">
        <f>IF(X68="","",MAX(-3,MIN(3,(X68-$X3)/$X4)))</f>
        <v/>
      </c>
      <c r="Z68" s="3">
        <f>IF(Y68="","",(Y68-AVERAGE(Y6:Y1198))/(STDEV(Y6:Y1198)+1E-12))</f>
        <v/>
      </c>
    </row>
    <row r="69">
      <c r="A69" t="inlineStr">
        <is>
          <t>BBG000B9XG87</t>
        </is>
      </c>
      <c r="B69" s="3">
        <f>IF('3a Raw'!C69="","",MAX(-3,MIN(3,('3a Raw'!C69-$B3)/$B4)))</f>
        <v/>
      </c>
      <c r="C69" s="3">
        <f>IF(B69="","",(B69-AVERAGE(B6:B1198))/(STDEV(B6:B1198)+1E-12))</f>
        <v/>
      </c>
      <c r="D69" s="3">
        <f>IF('3a Raw'!D69="","",MAX(-3,MIN(3,('3a Raw'!D69-$D3)/$D4)))</f>
        <v/>
      </c>
      <c r="E69" s="3">
        <f>IF(D69="","",(D69-AVERAGE(D6:D1198))/(STDEV(D6:D1198)+1E-12))</f>
        <v/>
      </c>
      <c r="F69" s="3">
        <f>IF('3a Raw'!E69="","",MAX(-3,MIN(3,('3a Raw'!E69-$F3)/$F4)))</f>
        <v/>
      </c>
      <c r="G69" s="3">
        <f>IF(F69="","",(F69-AVERAGE(F6:F1198))/(STDEV(F6:F1198)+1E-12))</f>
        <v/>
      </c>
      <c r="H69" s="3">
        <f>IF('3a Raw'!F69="","",MAX(-3,MIN(3,('3a Raw'!F69-$H3)/$H4)))</f>
        <v/>
      </c>
      <c r="I69" s="3">
        <f>IF(H69="","",(H69-AVERAGE(H6:H1198))/(STDEV(H6:H1198)+1E-12))</f>
        <v/>
      </c>
      <c r="J69" s="3">
        <f>IF('3a Raw'!G69="","",MAX(-3,MIN(3,('3a Raw'!G69-$J3)/$J4)))</f>
        <v/>
      </c>
      <c r="K69" s="3">
        <f>IF(J69="","",(J69-AVERAGE(J6:J1198))/(STDEV(J6:J1198)+1E-12))</f>
        <v/>
      </c>
      <c r="L69" s="3">
        <f>IF('3a Raw'!H69="","",MAX(-3,MIN(3,('3a Raw'!H69-$L3)/$L4)))</f>
        <v/>
      </c>
      <c r="M69" s="3">
        <f>IF(L69="","",(L69-AVERAGE(L6:L1198))/(STDEV(L6:L1198)+1E-12))</f>
        <v/>
      </c>
      <c r="N69" s="3">
        <f>IF('3a Raw'!I69="","",MAX(-3,MIN(3,('3a Raw'!I69-$N3)/$N4)))</f>
        <v/>
      </c>
      <c r="O69" s="3">
        <f>IF(N69="","",(N69-AVERAGE(N6:N1198))/(STDEV(N6:N1198)+1E-12))</f>
        <v/>
      </c>
      <c r="P69" s="3">
        <f>IF('3a Raw'!J69="","",MAX(-3,MIN(3,('3a Raw'!J69-$P3)/$P4)))</f>
        <v/>
      </c>
      <c r="Q69" s="3">
        <f>IF(P69="","",(P69-AVERAGE(P6:P1198))/(STDEV(P6:P1198)+1E-12))</f>
        <v/>
      </c>
      <c r="R69" s="3">
        <f>IF('3a Raw'!K69="","",MAX(-3,MIN(3,('3a Raw'!K69-$R3)/$R4)))</f>
        <v/>
      </c>
      <c r="S69" s="3">
        <f>IF(R69="","",(R69-AVERAGE(R6:R1198))/(STDEV(R6:R1198)+1E-12))</f>
        <v/>
      </c>
      <c r="T69" s="3">
        <f>IF('3a Raw'!L69="","",MAX(-3,MIN(3,('3a Raw'!L69-$T3)/$T4)))</f>
        <v/>
      </c>
      <c r="U69" s="3">
        <f>IF(T69="","",(T69-AVERAGE(T6:T1198))/(STDEV(T6:T1198)+1E-12))</f>
        <v/>
      </c>
      <c r="X69" s="3">
        <f>IF(U69="","",U69-($V$3*G69+$W$3))</f>
        <v/>
      </c>
      <c r="Y69" s="3">
        <f>IF(X69="","",MAX(-3,MIN(3,(X69-$X3)/$X4)))</f>
        <v/>
      </c>
      <c r="Z69" s="3">
        <f>IF(Y69="","",(Y69-AVERAGE(Y6:Y1198))/(STDEV(Y6:Y1198)+1E-12))</f>
        <v/>
      </c>
    </row>
    <row r="70">
      <c r="A70" t="inlineStr">
        <is>
          <t>BBG000C060M4</t>
        </is>
      </c>
      <c r="B70" s="3">
        <f>IF('3a Raw'!C70="","",MAX(-3,MIN(3,('3a Raw'!C70-$B3)/$B4)))</f>
        <v/>
      </c>
      <c r="C70" s="3">
        <f>IF(B70="","",(B70-AVERAGE(B6:B1198))/(STDEV(B6:B1198)+1E-12))</f>
        <v/>
      </c>
      <c r="D70" s="3">
        <f>IF('3a Raw'!D70="","",MAX(-3,MIN(3,('3a Raw'!D70-$D3)/$D4)))</f>
        <v/>
      </c>
      <c r="E70" s="3">
        <f>IF(D70="","",(D70-AVERAGE(D6:D1198))/(STDEV(D6:D1198)+1E-12))</f>
        <v/>
      </c>
      <c r="F70" s="3">
        <f>IF('3a Raw'!E70="","",MAX(-3,MIN(3,('3a Raw'!E70-$F3)/$F4)))</f>
        <v/>
      </c>
      <c r="G70" s="3">
        <f>IF(F70="","",(F70-AVERAGE(F6:F1198))/(STDEV(F6:F1198)+1E-12))</f>
        <v/>
      </c>
      <c r="H70" s="3">
        <f>IF('3a Raw'!F70="","",MAX(-3,MIN(3,('3a Raw'!F70-$H3)/$H4)))</f>
        <v/>
      </c>
      <c r="I70" s="3">
        <f>IF(H70="","",(H70-AVERAGE(H6:H1198))/(STDEV(H6:H1198)+1E-12))</f>
        <v/>
      </c>
      <c r="J70" s="3">
        <f>IF('3a Raw'!G70="","",MAX(-3,MIN(3,('3a Raw'!G70-$J3)/$J4)))</f>
        <v/>
      </c>
      <c r="K70" s="3">
        <f>IF(J70="","",(J70-AVERAGE(J6:J1198))/(STDEV(J6:J1198)+1E-12))</f>
        <v/>
      </c>
      <c r="L70" s="3">
        <f>IF('3a Raw'!H70="","",MAX(-3,MIN(3,('3a Raw'!H70-$L3)/$L4)))</f>
        <v/>
      </c>
      <c r="M70" s="3">
        <f>IF(L70="","",(L70-AVERAGE(L6:L1198))/(STDEV(L6:L1198)+1E-12))</f>
        <v/>
      </c>
      <c r="N70" s="3">
        <f>IF('3a Raw'!I70="","",MAX(-3,MIN(3,('3a Raw'!I70-$N3)/$N4)))</f>
        <v/>
      </c>
      <c r="O70" s="3">
        <f>IF(N70="","",(N70-AVERAGE(N6:N1198))/(STDEV(N6:N1198)+1E-12))</f>
        <v/>
      </c>
      <c r="P70" s="3">
        <f>IF('3a Raw'!J70="","",MAX(-3,MIN(3,('3a Raw'!J70-$P3)/$P4)))</f>
        <v/>
      </c>
      <c r="Q70" s="3">
        <f>IF(P70="","",(P70-AVERAGE(P6:P1198))/(STDEV(P6:P1198)+1E-12))</f>
        <v/>
      </c>
      <c r="R70" s="3">
        <f>IF('3a Raw'!K70="","",MAX(-3,MIN(3,('3a Raw'!K70-$R3)/$R4)))</f>
        <v/>
      </c>
      <c r="S70" s="3">
        <f>IF(R70="","",(R70-AVERAGE(R6:R1198))/(STDEV(R6:R1198)+1E-12))</f>
        <v/>
      </c>
      <c r="T70" s="3">
        <f>IF('3a Raw'!L70="","",MAX(-3,MIN(3,('3a Raw'!L70-$T3)/$T4)))</f>
        <v/>
      </c>
      <c r="U70" s="3">
        <f>IF(T70="","",(T70-AVERAGE(T6:T1198))/(STDEV(T6:T1198)+1E-12))</f>
        <v/>
      </c>
      <c r="X70" s="3">
        <f>IF(U70="","",U70-($V$3*G70+$W$3))</f>
        <v/>
      </c>
      <c r="Y70" s="3">
        <f>IF(X70="","",MAX(-3,MIN(3,(X70-$X3)/$X4)))</f>
        <v/>
      </c>
      <c r="Z70" s="3">
        <f>IF(Y70="","",(Y70-AVERAGE(Y6:Y1198))/(STDEV(Y6:Y1198)+1E-12))</f>
        <v/>
      </c>
    </row>
    <row r="71">
      <c r="A71" t="inlineStr">
        <is>
          <t>BBG000BBS2Y0</t>
        </is>
      </c>
      <c r="B71" s="3">
        <f>IF('3a Raw'!C71="","",MAX(-3,MIN(3,('3a Raw'!C71-$B3)/$B4)))</f>
        <v/>
      </c>
      <c r="C71" s="3">
        <f>IF(B71="","",(B71-AVERAGE(B6:B1198))/(STDEV(B6:B1198)+1E-12))</f>
        <v/>
      </c>
      <c r="D71" s="3">
        <f>IF('3a Raw'!D71="","",MAX(-3,MIN(3,('3a Raw'!D71-$D3)/$D4)))</f>
        <v/>
      </c>
      <c r="E71" s="3">
        <f>IF(D71="","",(D71-AVERAGE(D6:D1198))/(STDEV(D6:D1198)+1E-12))</f>
        <v/>
      </c>
      <c r="F71" s="3">
        <f>IF('3a Raw'!E71="","",MAX(-3,MIN(3,('3a Raw'!E71-$F3)/$F4)))</f>
        <v/>
      </c>
      <c r="G71" s="3">
        <f>IF(F71="","",(F71-AVERAGE(F6:F1198))/(STDEV(F6:F1198)+1E-12))</f>
        <v/>
      </c>
      <c r="H71" s="3">
        <f>IF('3a Raw'!F71="","",MAX(-3,MIN(3,('3a Raw'!F71-$H3)/$H4)))</f>
        <v/>
      </c>
      <c r="I71" s="3">
        <f>IF(H71="","",(H71-AVERAGE(H6:H1198))/(STDEV(H6:H1198)+1E-12))</f>
        <v/>
      </c>
      <c r="J71" s="3">
        <f>IF('3a Raw'!G71="","",MAX(-3,MIN(3,('3a Raw'!G71-$J3)/$J4)))</f>
        <v/>
      </c>
      <c r="K71" s="3">
        <f>IF(J71="","",(J71-AVERAGE(J6:J1198))/(STDEV(J6:J1198)+1E-12))</f>
        <v/>
      </c>
      <c r="L71" s="3">
        <f>IF('3a Raw'!H71="","",MAX(-3,MIN(3,('3a Raw'!H71-$L3)/$L4)))</f>
        <v/>
      </c>
      <c r="M71" s="3">
        <f>IF(L71="","",(L71-AVERAGE(L6:L1198))/(STDEV(L6:L1198)+1E-12))</f>
        <v/>
      </c>
      <c r="N71" s="3">
        <f>IF('3a Raw'!I71="","",MAX(-3,MIN(3,('3a Raw'!I71-$N3)/$N4)))</f>
        <v/>
      </c>
      <c r="O71" s="3">
        <f>IF(N71="","",(N71-AVERAGE(N6:N1198))/(STDEV(N6:N1198)+1E-12))</f>
        <v/>
      </c>
      <c r="P71" s="3">
        <f>IF('3a Raw'!J71="","",MAX(-3,MIN(3,('3a Raw'!J71-$P3)/$P4)))</f>
        <v/>
      </c>
      <c r="Q71" s="3">
        <f>IF(P71="","",(P71-AVERAGE(P6:P1198))/(STDEV(P6:P1198)+1E-12))</f>
        <v/>
      </c>
      <c r="R71" s="3">
        <f>IF('3a Raw'!K71="","",MAX(-3,MIN(3,('3a Raw'!K71-$R3)/$R4)))</f>
        <v/>
      </c>
      <c r="S71" s="3">
        <f>IF(R71="","",(R71-AVERAGE(R6:R1198))/(STDEV(R6:R1198)+1E-12))</f>
        <v/>
      </c>
      <c r="T71" s="3">
        <f>IF('3a Raw'!L71="","",MAX(-3,MIN(3,('3a Raw'!L71-$T3)/$T4)))</f>
        <v/>
      </c>
      <c r="U71" s="3">
        <f>IF(T71="","",(T71-AVERAGE(T6:T1198))/(STDEV(T6:T1198)+1E-12))</f>
        <v/>
      </c>
      <c r="X71" s="3">
        <f>IF(U71="","",U71-($V$3*G71+$W$3))</f>
        <v/>
      </c>
      <c r="Y71" s="3">
        <f>IF(X71="","",MAX(-3,MIN(3,(X71-$X3)/$X4)))</f>
        <v/>
      </c>
      <c r="Z71" s="3">
        <f>IF(Y71="","",(Y71-AVERAGE(Y6:Y1198))/(STDEV(Y6:Y1198)+1E-12))</f>
        <v/>
      </c>
    </row>
    <row r="72">
      <c r="A72" t="inlineStr">
        <is>
          <t>BBG000G3QLY3</t>
        </is>
      </c>
      <c r="B72" s="3">
        <f>IF('3a Raw'!C72="","",MAX(-3,MIN(3,('3a Raw'!C72-$B3)/$B4)))</f>
        <v/>
      </c>
      <c r="C72" s="3">
        <f>IF(B72="","",(B72-AVERAGE(B6:B1198))/(STDEV(B6:B1198)+1E-12))</f>
        <v/>
      </c>
      <c r="D72" s="3">
        <f>IF('3a Raw'!D72="","",MAX(-3,MIN(3,('3a Raw'!D72-$D3)/$D4)))</f>
        <v/>
      </c>
      <c r="E72" s="3">
        <f>IF(D72="","",(D72-AVERAGE(D6:D1198))/(STDEV(D6:D1198)+1E-12))</f>
        <v/>
      </c>
      <c r="F72" s="3">
        <f>IF('3a Raw'!E72="","",MAX(-3,MIN(3,('3a Raw'!E72-$F3)/$F4)))</f>
        <v/>
      </c>
      <c r="G72" s="3">
        <f>IF(F72="","",(F72-AVERAGE(F6:F1198))/(STDEV(F6:F1198)+1E-12))</f>
        <v/>
      </c>
      <c r="H72" s="3">
        <f>IF('3a Raw'!F72="","",MAX(-3,MIN(3,('3a Raw'!F72-$H3)/$H4)))</f>
        <v/>
      </c>
      <c r="I72" s="3">
        <f>IF(H72="","",(H72-AVERAGE(H6:H1198))/(STDEV(H6:H1198)+1E-12))</f>
        <v/>
      </c>
      <c r="J72" s="3">
        <f>IF('3a Raw'!G72="","",MAX(-3,MIN(3,('3a Raw'!G72-$J3)/$J4)))</f>
        <v/>
      </c>
      <c r="K72" s="3">
        <f>IF(J72="","",(J72-AVERAGE(J6:J1198))/(STDEV(J6:J1198)+1E-12))</f>
        <v/>
      </c>
      <c r="L72" s="3">
        <f>IF('3a Raw'!H72="","",MAX(-3,MIN(3,('3a Raw'!H72-$L3)/$L4)))</f>
        <v/>
      </c>
      <c r="M72" s="3">
        <f>IF(L72="","",(L72-AVERAGE(L6:L1198))/(STDEV(L6:L1198)+1E-12))</f>
        <v/>
      </c>
      <c r="N72" s="3">
        <f>IF('3a Raw'!I72="","",MAX(-3,MIN(3,('3a Raw'!I72-$N3)/$N4)))</f>
        <v/>
      </c>
      <c r="O72" s="3">
        <f>IF(N72="","",(N72-AVERAGE(N6:N1198))/(STDEV(N6:N1198)+1E-12))</f>
        <v/>
      </c>
      <c r="P72" s="3">
        <f>IF('3a Raw'!J72="","",MAX(-3,MIN(3,('3a Raw'!J72-$P3)/$P4)))</f>
        <v/>
      </c>
      <c r="Q72" s="3">
        <f>IF(P72="","",(P72-AVERAGE(P6:P1198))/(STDEV(P6:P1198)+1E-12))</f>
        <v/>
      </c>
      <c r="R72" s="3">
        <f>IF('3a Raw'!K72="","",MAX(-3,MIN(3,('3a Raw'!K72-$R3)/$R4)))</f>
        <v/>
      </c>
      <c r="S72" s="3">
        <f>IF(R72="","",(R72-AVERAGE(R6:R1198))/(STDEV(R6:R1198)+1E-12))</f>
        <v/>
      </c>
      <c r="T72" s="3">
        <f>IF('3a Raw'!L72="","",MAX(-3,MIN(3,('3a Raw'!L72-$T3)/$T4)))</f>
        <v/>
      </c>
      <c r="U72" s="3">
        <f>IF(T72="","",(T72-AVERAGE(T6:T1198))/(STDEV(T6:T1198)+1E-12))</f>
        <v/>
      </c>
      <c r="X72" s="3">
        <f>IF(U72="","",U72-($V$3*G72+$W$3))</f>
        <v/>
      </c>
      <c r="Y72" s="3">
        <f>IF(X72="","",MAX(-3,MIN(3,(X72-$X3)/$X4)))</f>
        <v/>
      </c>
      <c r="Z72" s="3">
        <f>IF(Y72="","",(Y72-AVERAGE(Y6:Y1198))/(STDEV(Y6:Y1198)+1E-12))</f>
        <v/>
      </c>
    </row>
    <row r="73">
      <c r="A73" t="inlineStr">
        <is>
          <t>BBG000B9XYV2</t>
        </is>
      </c>
      <c r="B73" s="3">
        <f>IF('3a Raw'!C73="","",MAX(-3,MIN(3,('3a Raw'!C73-$B3)/$B4)))</f>
        <v/>
      </c>
      <c r="C73" s="3">
        <f>IF(B73="","",(B73-AVERAGE(B6:B1198))/(STDEV(B6:B1198)+1E-12))</f>
        <v/>
      </c>
      <c r="D73" s="3">
        <f>IF('3a Raw'!D73="","",MAX(-3,MIN(3,('3a Raw'!D73-$D3)/$D4)))</f>
        <v/>
      </c>
      <c r="E73" s="3">
        <f>IF(D73="","",(D73-AVERAGE(D6:D1198))/(STDEV(D6:D1198)+1E-12))</f>
        <v/>
      </c>
      <c r="F73" s="3">
        <f>IF('3a Raw'!E73="","",MAX(-3,MIN(3,('3a Raw'!E73-$F3)/$F4)))</f>
        <v/>
      </c>
      <c r="G73" s="3">
        <f>IF(F73="","",(F73-AVERAGE(F6:F1198))/(STDEV(F6:F1198)+1E-12))</f>
        <v/>
      </c>
      <c r="H73" s="3">
        <f>IF('3a Raw'!F73="","",MAX(-3,MIN(3,('3a Raw'!F73-$H3)/$H4)))</f>
        <v/>
      </c>
      <c r="I73" s="3">
        <f>IF(H73="","",(H73-AVERAGE(H6:H1198))/(STDEV(H6:H1198)+1E-12))</f>
        <v/>
      </c>
      <c r="J73" s="3">
        <f>IF('3a Raw'!G73="","",MAX(-3,MIN(3,('3a Raw'!G73-$J3)/$J4)))</f>
        <v/>
      </c>
      <c r="K73" s="3">
        <f>IF(J73="","",(J73-AVERAGE(J6:J1198))/(STDEV(J6:J1198)+1E-12))</f>
        <v/>
      </c>
      <c r="L73" s="3">
        <f>IF('3a Raw'!H73="","",MAX(-3,MIN(3,('3a Raw'!H73-$L3)/$L4)))</f>
        <v/>
      </c>
      <c r="M73" s="3">
        <f>IF(L73="","",(L73-AVERAGE(L6:L1198))/(STDEV(L6:L1198)+1E-12))</f>
        <v/>
      </c>
      <c r="N73" s="3">
        <f>IF('3a Raw'!I73="","",MAX(-3,MIN(3,('3a Raw'!I73-$N3)/$N4)))</f>
        <v/>
      </c>
      <c r="O73" s="3">
        <f>IF(N73="","",(N73-AVERAGE(N6:N1198))/(STDEV(N6:N1198)+1E-12))</f>
        <v/>
      </c>
      <c r="P73" s="3">
        <f>IF('3a Raw'!J73="","",MAX(-3,MIN(3,('3a Raw'!J73-$P3)/$P4)))</f>
        <v/>
      </c>
      <c r="Q73" s="3">
        <f>IF(P73="","",(P73-AVERAGE(P6:P1198))/(STDEV(P6:P1198)+1E-12))</f>
        <v/>
      </c>
      <c r="R73" s="3">
        <f>IF('3a Raw'!K73="","",MAX(-3,MIN(3,('3a Raw'!K73-$R3)/$R4)))</f>
        <v/>
      </c>
      <c r="S73" s="3">
        <f>IF(R73="","",(R73-AVERAGE(R6:R1198))/(STDEV(R6:R1198)+1E-12))</f>
        <v/>
      </c>
      <c r="T73" s="3">
        <f>IF('3a Raw'!L73="","",MAX(-3,MIN(3,('3a Raw'!L73-$T3)/$T4)))</f>
        <v/>
      </c>
      <c r="U73" s="3">
        <f>IF(T73="","",(T73-AVERAGE(T6:T1198))/(STDEV(T6:T1198)+1E-12))</f>
        <v/>
      </c>
      <c r="X73" s="3">
        <f>IF(U73="","",U73-($V$3*G73+$W$3))</f>
        <v/>
      </c>
      <c r="Y73" s="3">
        <f>IF(X73="","",MAX(-3,MIN(3,(X73-$X3)/$X4)))</f>
        <v/>
      </c>
      <c r="Z73" s="3">
        <f>IF(Y73="","",(Y73-AVERAGE(Y6:Y1198))/(STDEV(Y6:Y1198)+1E-12))</f>
        <v/>
      </c>
    </row>
    <row r="74">
      <c r="A74" t="inlineStr">
        <is>
          <t>BBG01NY7B734</t>
        </is>
      </c>
      <c r="B74" s="3">
        <f>IF('3a Raw'!C74="","",MAX(-3,MIN(3,('3a Raw'!C74-$B3)/$B4)))</f>
        <v/>
      </c>
      <c r="C74" s="3">
        <f>IF(B74="","",(B74-AVERAGE(B6:B1198))/(STDEV(B6:B1198)+1E-12))</f>
        <v/>
      </c>
      <c r="D74" s="3">
        <f>IF('3a Raw'!D74="","",MAX(-3,MIN(3,('3a Raw'!D74-$D3)/$D4)))</f>
        <v/>
      </c>
      <c r="E74" s="3">
        <f>IF(D74="","",(D74-AVERAGE(D6:D1198))/(STDEV(D6:D1198)+1E-12))</f>
        <v/>
      </c>
      <c r="F74" s="3">
        <f>IF('3a Raw'!E74="","",MAX(-3,MIN(3,('3a Raw'!E74-$F3)/$F4)))</f>
        <v/>
      </c>
      <c r="G74" s="3">
        <f>IF(F74="","",(F74-AVERAGE(F6:F1198))/(STDEV(F6:F1198)+1E-12))</f>
        <v/>
      </c>
      <c r="H74" s="3">
        <f>IF('3a Raw'!F74="","",MAX(-3,MIN(3,('3a Raw'!F74-$H3)/$H4)))</f>
        <v/>
      </c>
      <c r="I74" s="3">
        <f>IF(H74="","",(H74-AVERAGE(H6:H1198))/(STDEV(H6:H1198)+1E-12))</f>
        <v/>
      </c>
      <c r="J74" s="3">
        <f>IF('3a Raw'!G74="","",MAX(-3,MIN(3,('3a Raw'!G74-$J3)/$J4)))</f>
        <v/>
      </c>
      <c r="K74" s="3">
        <f>IF(J74="","",(J74-AVERAGE(J6:J1198))/(STDEV(J6:J1198)+1E-12))</f>
        <v/>
      </c>
      <c r="L74" s="3">
        <f>IF('3a Raw'!H74="","",MAX(-3,MIN(3,('3a Raw'!H74-$L3)/$L4)))</f>
        <v/>
      </c>
      <c r="M74" s="3">
        <f>IF(L74="","",(L74-AVERAGE(L6:L1198))/(STDEV(L6:L1198)+1E-12))</f>
        <v/>
      </c>
      <c r="N74" s="3">
        <f>IF('3a Raw'!I74="","",MAX(-3,MIN(3,('3a Raw'!I74-$N3)/$N4)))</f>
        <v/>
      </c>
      <c r="O74" s="3">
        <f>IF(N74="","",(N74-AVERAGE(N6:N1198))/(STDEV(N6:N1198)+1E-12))</f>
        <v/>
      </c>
      <c r="P74" s="3">
        <f>IF('3a Raw'!J74="","",MAX(-3,MIN(3,('3a Raw'!J74-$P3)/$P4)))</f>
        <v/>
      </c>
      <c r="Q74" s="3">
        <f>IF(P74="","",(P74-AVERAGE(P6:P1198))/(STDEV(P6:P1198)+1E-12))</f>
        <v/>
      </c>
      <c r="R74" s="3">
        <f>IF('3a Raw'!K74="","",MAX(-3,MIN(3,('3a Raw'!K74-$R3)/$R4)))</f>
        <v/>
      </c>
      <c r="S74" s="3">
        <f>IF(R74="","",(R74-AVERAGE(R6:R1198))/(STDEV(R6:R1198)+1E-12))</f>
        <v/>
      </c>
      <c r="T74" s="3">
        <f>IF('3a Raw'!L74="","",MAX(-3,MIN(3,('3a Raw'!L74-$T3)/$T4)))</f>
        <v/>
      </c>
      <c r="U74" s="3">
        <f>IF(T74="","",(T74-AVERAGE(T6:T1198))/(STDEV(T6:T1198)+1E-12))</f>
        <v/>
      </c>
      <c r="X74" s="3">
        <f>IF(U74="","",U74-($V$3*G74+$W$3))</f>
        <v/>
      </c>
      <c r="Y74" s="3">
        <f>IF(X74="","",MAX(-3,MIN(3,(X74-$X3)/$X4)))</f>
        <v/>
      </c>
      <c r="Z74" s="3">
        <f>IF(Y74="","",(Y74-AVERAGE(Y6:Y1198))/(STDEV(Y6:Y1198)+1E-12))</f>
        <v/>
      </c>
    </row>
    <row r="75">
      <c r="A75" t="inlineStr">
        <is>
          <t>BBG000BVPV84</t>
        </is>
      </c>
      <c r="B75" s="3">
        <f>IF('3a Raw'!C75="","",MAX(-3,MIN(3,('3a Raw'!C75-$B3)/$B4)))</f>
        <v/>
      </c>
      <c r="C75" s="3">
        <f>IF(B75="","",(B75-AVERAGE(B6:B1198))/(STDEV(B6:B1198)+1E-12))</f>
        <v/>
      </c>
      <c r="D75" s="3">
        <f>IF('3a Raw'!D75="","",MAX(-3,MIN(3,('3a Raw'!D75-$D3)/$D4)))</f>
        <v/>
      </c>
      <c r="E75" s="3">
        <f>IF(D75="","",(D75-AVERAGE(D6:D1198))/(STDEV(D6:D1198)+1E-12))</f>
        <v/>
      </c>
      <c r="F75" s="3">
        <f>IF('3a Raw'!E75="","",MAX(-3,MIN(3,('3a Raw'!E75-$F3)/$F4)))</f>
        <v/>
      </c>
      <c r="G75" s="3">
        <f>IF(F75="","",(F75-AVERAGE(F6:F1198))/(STDEV(F6:F1198)+1E-12))</f>
        <v/>
      </c>
      <c r="H75" s="3">
        <f>IF('3a Raw'!F75="","",MAX(-3,MIN(3,('3a Raw'!F75-$H3)/$H4)))</f>
        <v/>
      </c>
      <c r="I75" s="3">
        <f>IF(H75="","",(H75-AVERAGE(H6:H1198))/(STDEV(H6:H1198)+1E-12))</f>
        <v/>
      </c>
      <c r="J75" s="3">
        <f>IF('3a Raw'!G75="","",MAX(-3,MIN(3,('3a Raw'!G75-$J3)/$J4)))</f>
        <v/>
      </c>
      <c r="K75" s="3">
        <f>IF(J75="","",(J75-AVERAGE(J6:J1198))/(STDEV(J6:J1198)+1E-12))</f>
        <v/>
      </c>
      <c r="L75" s="3">
        <f>IF('3a Raw'!H75="","",MAX(-3,MIN(3,('3a Raw'!H75-$L3)/$L4)))</f>
        <v/>
      </c>
      <c r="M75" s="3">
        <f>IF(L75="","",(L75-AVERAGE(L6:L1198))/(STDEV(L6:L1198)+1E-12))</f>
        <v/>
      </c>
      <c r="N75" s="3">
        <f>IF('3a Raw'!I75="","",MAX(-3,MIN(3,('3a Raw'!I75-$N3)/$N4)))</f>
        <v/>
      </c>
      <c r="O75" s="3">
        <f>IF(N75="","",(N75-AVERAGE(N6:N1198))/(STDEV(N6:N1198)+1E-12))</f>
        <v/>
      </c>
      <c r="P75" s="3">
        <f>IF('3a Raw'!J75="","",MAX(-3,MIN(3,('3a Raw'!J75-$P3)/$P4)))</f>
        <v/>
      </c>
      <c r="Q75" s="3">
        <f>IF(P75="","",(P75-AVERAGE(P6:P1198))/(STDEV(P6:P1198)+1E-12))</f>
        <v/>
      </c>
      <c r="R75" s="3">
        <f>IF('3a Raw'!K75="","",MAX(-3,MIN(3,('3a Raw'!K75-$R3)/$R4)))</f>
        <v/>
      </c>
      <c r="S75" s="3">
        <f>IF(R75="","",(R75-AVERAGE(R6:R1198))/(STDEV(R6:R1198)+1E-12))</f>
        <v/>
      </c>
      <c r="T75" s="3">
        <f>IF('3a Raw'!L75="","",MAX(-3,MIN(3,('3a Raw'!L75-$T3)/$T4)))</f>
        <v/>
      </c>
      <c r="U75" s="3">
        <f>IF(T75="","",(T75-AVERAGE(T6:T1198))/(STDEV(T6:T1198)+1E-12))</f>
        <v/>
      </c>
      <c r="X75" s="3">
        <f>IF(U75="","",U75-($V$3*G75+$W$3))</f>
        <v/>
      </c>
      <c r="Y75" s="3">
        <f>IF(X75="","",MAX(-3,MIN(3,(X75-$X3)/$X4)))</f>
        <v/>
      </c>
      <c r="Z75" s="3">
        <f>IF(Y75="","",(Y75-AVERAGE(Y6:Y1198))/(STDEV(Y6:Y1198)+1E-12))</f>
        <v/>
      </c>
    </row>
    <row r="76">
      <c r="A76" t="inlineStr">
        <is>
          <t>BBG000BBXLW4</t>
        </is>
      </c>
      <c r="B76" s="3">
        <f>IF('3a Raw'!C76="","",MAX(-3,MIN(3,('3a Raw'!C76-$B3)/$B4)))</f>
        <v/>
      </c>
      <c r="C76" s="3">
        <f>IF(B76="","",(B76-AVERAGE(B6:B1198))/(STDEV(B6:B1198)+1E-12))</f>
        <v/>
      </c>
      <c r="D76" s="3">
        <f>IF('3a Raw'!D76="","",MAX(-3,MIN(3,('3a Raw'!D76-$D3)/$D4)))</f>
        <v/>
      </c>
      <c r="E76" s="3">
        <f>IF(D76="","",(D76-AVERAGE(D6:D1198))/(STDEV(D6:D1198)+1E-12))</f>
        <v/>
      </c>
      <c r="F76" s="3">
        <f>IF('3a Raw'!E76="","",MAX(-3,MIN(3,('3a Raw'!E76-$F3)/$F4)))</f>
        <v/>
      </c>
      <c r="G76" s="3">
        <f>IF(F76="","",(F76-AVERAGE(F6:F1198))/(STDEV(F6:F1198)+1E-12))</f>
        <v/>
      </c>
      <c r="H76" s="3">
        <f>IF('3a Raw'!F76="","",MAX(-3,MIN(3,('3a Raw'!F76-$H3)/$H4)))</f>
        <v/>
      </c>
      <c r="I76" s="3">
        <f>IF(H76="","",(H76-AVERAGE(H6:H1198))/(STDEV(H6:H1198)+1E-12))</f>
        <v/>
      </c>
      <c r="J76" s="3">
        <f>IF('3a Raw'!G76="","",MAX(-3,MIN(3,('3a Raw'!G76-$J3)/$J4)))</f>
        <v/>
      </c>
      <c r="K76" s="3">
        <f>IF(J76="","",(J76-AVERAGE(J6:J1198))/(STDEV(J6:J1198)+1E-12))</f>
        <v/>
      </c>
      <c r="L76" s="3">
        <f>IF('3a Raw'!H76="","",MAX(-3,MIN(3,('3a Raw'!H76-$L3)/$L4)))</f>
        <v/>
      </c>
      <c r="M76" s="3">
        <f>IF(L76="","",(L76-AVERAGE(L6:L1198))/(STDEV(L6:L1198)+1E-12))</f>
        <v/>
      </c>
      <c r="N76" s="3">
        <f>IF('3a Raw'!I76="","",MAX(-3,MIN(3,('3a Raw'!I76-$N3)/$N4)))</f>
        <v/>
      </c>
      <c r="O76" s="3">
        <f>IF(N76="","",(N76-AVERAGE(N6:N1198))/(STDEV(N6:N1198)+1E-12))</f>
        <v/>
      </c>
      <c r="P76" s="3">
        <f>IF('3a Raw'!J76="","",MAX(-3,MIN(3,('3a Raw'!J76-$P3)/$P4)))</f>
        <v/>
      </c>
      <c r="Q76" s="3">
        <f>IF(P76="","",(P76-AVERAGE(P6:P1198))/(STDEV(P6:P1198)+1E-12))</f>
        <v/>
      </c>
      <c r="R76" s="3">
        <f>IF('3a Raw'!K76="","",MAX(-3,MIN(3,('3a Raw'!K76-$R3)/$R4)))</f>
        <v/>
      </c>
      <c r="S76" s="3">
        <f>IF(R76="","",(R76-AVERAGE(R6:R1198))/(STDEV(R6:R1198)+1E-12))</f>
        <v/>
      </c>
      <c r="T76" s="3">
        <f>IF('3a Raw'!L76="","",MAX(-3,MIN(3,('3a Raw'!L76-$T3)/$T4)))</f>
        <v/>
      </c>
      <c r="U76" s="3">
        <f>IF(T76="","",(T76-AVERAGE(T6:T1198))/(STDEV(T6:T1198)+1E-12))</f>
        <v/>
      </c>
      <c r="X76" s="3">
        <f>IF(U76="","",U76-($V$3*G76+$W$3))</f>
        <v/>
      </c>
      <c r="Y76" s="3">
        <f>IF(X76="","",MAX(-3,MIN(3,(X76-$X3)/$X4)))</f>
        <v/>
      </c>
      <c r="Z76" s="3">
        <f>IF(Y76="","",(Y76-AVERAGE(Y6:Y1198))/(STDEV(Y6:Y1198)+1E-12))</f>
        <v/>
      </c>
    </row>
    <row r="77">
      <c r="A77" t="inlineStr">
        <is>
          <t>BBG0026ZDHR0</t>
        </is>
      </c>
      <c r="B77" s="3">
        <f>IF('3a Raw'!C77="","",MAX(-3,MIN(3,('3a Raw'!C77-$B3)/$B4)))</f>
        <v/>
      </c>
      <c r="C77" s="3">
        <f>IF(B77="","",(B77-AVERAGE(B6:B1198))/(STDEV(B6:B1198)+1E-12))</f>
        <v/>
      </c>
      <c r="D77" s="3">
        <f>IF('3a Raw'!D77="","",MAX(-3,MIN(3,('3a Raw'!D77-$D3)/$D4)))</f>
        <v/>
      </c>
      <c r="E77" s="3">
        <f>IF(D77="","",(D77-AVERAGE(D6:D1198))/(STDEV(D6:D1198)+1E-12))</f>
        <v/>
      </c>
      <c r="F77" s="3">
        <f>IF('3a Raw'!E77="","",MAX(-3,MIN(3,('3a Raw'!E77-$F3)/$F4)))</f>
        <v/>
      </c>
      <c r="G77" s="3">
        <f>IF(F77="","",(F77-AVERAGE(F6:F1198))/(STDEV(F6:F1198)+1E-12))</f>
        <v/>
      </c>
      <c r="H77" s="3">
        <f>IF('3a Raw'!F77="","",MAX(-3,MIN(3,('3a Raw'!F77-$H3)/$H4)))</f>
        <v/>
      </c>
      <c r="I77" s="3">
        <f>IF(H77="","",(H77-AVERAGE(H6:H1198))/(STDEV(H6:H1198)+1E-12))</f>
        <v/>
      </c>
      <c r="J77" s="3">
        <f>IF('3a Raw'!G77="","",MAX(-3,MIN(3,('3a Raw'!G77-$J3)/$J4)))</f>
        <v/>
      </c>
      <c r="K77" s="3">
        <f>IF(J77="","",(J77-AVERAGE(J6:J1198))/(STDEV(J6:J1198)+1E-12))</f>
        <v/>
      </c>
      <c r="L77" s="3">
        <f>IF('3a Raw'!H77="","",MAX(-3,MIN(3,('3a Raw'!H77-$L3)/$L4)))</f>
        <v/>
      </c>
      <c r="M77" s="3">
        <f>IF(L77="","",(L77-AVERAGE(L6:L1198))/(STDEV(L6:L1198)+1E-12))</f>
        <v/>
      </c>
      <c r="N77" s="3">
        <f>IF('3a Raw'!I77="","",MAX(-3,MIN(3,('3a Raw'!I77-$N3)/$N4)))</f>
        <v/>
      </c>
      <c r="O77" s="3">
        <f>IF(N77="","",(N77-AVERAGE(N6:N1198))/(STDEV(N6:N1198)+1E-12))</f>
        <v/>
      </c>
      <c r="P77" s="3">
        <f>IF('3a Raw'!J77="","",MAX(-3,MIN(3,('3a Raw'!J77-$P3)/$P4)))</f>
        <v/>
      </c>
      <c r="Q77" s="3">
        <f>IF(P77="","",(P77-AVERAGE(P6:P1198))/(STDEV(P6:P1198)+1E-12))</f>
        <v/>
      </c>
      <c r="R77" s="3">
        <f>IF('3a Raw'!K77="","",MAX(-3,MIN(3,('3a Raw'!K77-$R3)/$R4)))</f>
        <v/>
      </c>
      <c r="S77" s="3">
        <f>IF(R77="","",(R77-AVERAGE(R6:R1198))/(STDEV(R6:R1198)+1E-12))</f>
        <v/>
      </c>
      <c r="T77" s="3">
        <f>IF('3a Raw'!L77="","",MAX(-3,MIN(3,('3a Raw'!L77-$T3)/$T4)))</f>
        <v/>
      </c>
      <c r="U77" s="3">
        <f>IF(T77="","",(T77-AVERAGE(T6:T1198))/(STDEV(T6:T1198)+1E-12))</f>
        <v/>
      </c>
      <c r="X77" s="3">
        <f>IF(U77="","",U77-($V$3*G77+$W$3))</f>
        <v/>
      </c>
      <c r="Y77" s="3">
        <f>IF(X77="","",MAX(-3,MIN(3,(X77-$X3)/$X4)))</f>
        <v/>
      </c>
      <c r="Z77" s="3">
        <f>IF(Y77="","",(Y77-AVERAGE(Y6:Y1198))/(STDEV(Y6:Y1198)+1E-12))</f>
        <v/>
      </c>
    </row>
    <row r="78">
      <c r="A78" t="inlineStr">
        <is>
          <t>BBG01XG59BR4</t>
        </is>
      </c>
      <c r="B78" s="3">
        <f>IF('3a Raw'!C78="","",MAX(-3,MIN(3,('3a Raw'!C78-$B3)/$B4)))</f>
        <v/>
      </c>
      <c r="C78" s="3">
        <f>IF(B78="","",(B78-AVERAGE(B6:B1198))/(STDEV(B6:B1198)+1E-12))</f>
        <v/>
      </c>
      <c r="D78" s="3">
        <f>IF('3a Raw'!D78="","",MAX(-3,MIN(3,('3a Raw'!D78-$D3)/$D4)))</f>
        <v/>
      </c>
      <c r="E78" s="3">
        <f>IF(D78="","",(D78-AVERAGE(D6:D1198))/(STDEV(D6:D1198)+1E-12))</f>
        <v/>
      </c>
      <c r="F78" s="3">
        <f>IF('3a Raw'!E78="","",MAX(-3,MIN(3,('3a Raw'!E78-$F3)/$F4)))</f>
        <v/>
      </c>
      <c r="G78" s="3">
        <f>IF(F78="","",(F78-AVERAGE(F6:F1198))/(STDEV(F6:F1198)+1E-12))</f>
        <v/>
      </c>
      <c r="H78" s="3">
        <f>IF('3a Raw'!F78="","",MAX(-3,MIN(3,('3a Raw'!F78-$H3)/$H4)))</f>
        <v/>
      </c>
      <c r="I78" s="3">
        <f>IF(H78="","",(H78-AVERAGE(H6:H1198))/(STDEV(H6:H1198)+1E-12))</f>
        <v/>
      </c>
      <c r="J78" s="3">
        <f>IF('3a Raw'!G78="","",MAX(-3,MIN(3,('3a Raw'!G78-$J3)/$J4)))</f>
        <v/>
      </c>
      <c r="K78" s="3">
        <f>IF(J78="","",(J78-AVERAGE(J6:J1198))/(STDEV(J6:J1198)+1E-12))</f>
        <v/>
      </c>
      <c r="L78" s="3">
        <f>IF('3a Raw'!H78="","",MAX(-3,MIN(3,('3a Raw'!H78-$L3)/$L4)))</f>
        <v/>
      </c>
      <c r="M78" s="3">
        <f>IF(L78="","",(L78-AVERAGE(L6:L1198))/(STDEV(L6:L1198)+1E-12))</f>
        <v/>
      </c>
      <c r="N78" s="3">
        <f>IF('3a Raw'!I78="","",MAX(-3,MIN(3,('3a Raw'!I78-$N3)/$N4)))</f>
        <v/>
      </c>
      <c r="O78" s="3">
        <f>IF(N78="","",(N78-AVERAGE(N6:N1198))/(STDEV(N6:N1198)+1E-12))</f>
        <v/>
      </c>
      <c r="P78" s="3">
        <f>IF('3a Raw'!J78="","",MAX(-3,MIN(3,('3a Raw'!J78-$P3)/$P4)))</f>
        <v/>
      </c>
      <c r="Q78" s="3">
        <f>IF(P78="","",(P78-AVERAGE(P6:P1198))/(STDEV(P6:P1198)+1E-12))</f>
        <v/>
      </c>
      <c r="R78" s="3">
        <f>IF('3a Raw'!K78="","",MAX(-3,MIN(3,('3a Raw'!K78-$R3)/$R4)))</f>
        <v/>
      </c>
      <c r="S78" s="3">
        <f>IF(R78="","",(R78-AVERAGE(R6:R1198))/(STDEV(R6:R1198)+1E-12))</f>
        <v/>
      </c>
      <c r="T78" s="3">
        <f>IF('3a Raw'!L78="","",MAX(-3,MIN(3,('3a Raw'!L78-$T3)/$T4)))</f>
        <v/>
      </c>
      <c r="U78" s="3">
        <f>IF(T78="","",(T78-AVERAGE(T6:T1198))/(STDEV(T6:T1198)+1E-12))</f>
        <v/>
      </c>
      <c r="X78" s="3">
        <f>IF(U78="","",U78-($V$3*G78+$W$3))</f>
        <v/>
      </c>
      <c r="Y78" s="3">
        <f>IF(X78="","",MAX(-3,MIN(3,(X78-$X3)/$X4)))</f>
        <v/>
      </c>
      <c r="Z78" s="3">
        <f>IF(Y78="","",(Y78-AVERAGE(Y6:Y1198))/(STDEV(Y6:Y1198)+1E-12))</f>
        <v/>
      </c>
    </row>
    <row r="79">
      <c r="A79" t="inlineStr">
        <is>
          <t>anet</t>
        </is>
      </c>
      <c r="B79" s="3">
        <f>IF('3a Raw'!C79="","",MAX(-3,MIN(3,('3a Raw'!C79-$B3)/$B4)))</f>
        <v/>
      </c>
      <c r="C79" s="3">
        <f>IF(B79="","",(B79-AVERAGE(B6:B1198))/(STDEV(B6:B1198)+1E-12))</f>
        <v/>
      </c>
      <c r="D79" s="3">
        <f>IF('3a Raw'!D79="","",MAX(-3,MIN(3,('3a Raw'!D79-$D3)/$D4)))</f>
        <v/>
      </c>
      <c r="E79" s="3">
        <f>IF(D79="","",(D79-AVERAGE(D6:D1198))/(STDEV(D6:D1198)+1E-12))</f>
        <v/>
      </c>
      <c r="F79" s="3">
        <f>IF('3a Raw'!E79="","",MAX(-3,MIN(3,('3a Raw'!E79-$F3)/$F4)))</f>
        <v/>
      </c>
      <c r="G79" s="3">
        <f>IF(F79="","",(F79-AVERAGE(F6:F1198))/(STDEV(F6:F1198)+1E-12))</f>
        <v/>
      </c>
      <c r="H79" s="3">
        <f>IF('3a Raw'!F79="","",MAX(-3,MIN(3,('3a Raw'!F79-$H3)/$H4)))</f>
        <v/>
      </c>
      <c r="I79" s="3">
        <f>IF(H79="","",(H79-AVERAGE(H6:H1198))/(STDEV(H6:H1198)+1E-12))</f>
        <v/>
      </c>
      <c r="J79" s="3">
        <f>IF('3a Raw'!G79="","",MAX(-3,MIN(3,('3a Raw'!G79-$J3)/$J4)))</f>
        <v/>
      </c>
      <c r="K79" s="3">
        <f>IF(J79="","",(J79-AVERAGE(J6:J1198))/(STDEV(J6:J1198)+1E-12))</f>
        <v/>
      </c>
      <c r="L79" s="3">
        <f>IF('3a Raw'!H79="","",MAX(-3,MIN(3,('3a Raw'!H79-$L3)/$L4)))</f>
        <v/>
      </c>
      <c r="M79" s="3">
        <f>IF(L79="","",(L79-AVERAGE(L6:L1198))/(STDEV(L6:L1198)+1E-12))</f>
        <v/>
      </c>
      <c r="N79" s="3">
        <f>IF('3a Raw'!I79="","",MAX(-3,MIN(3,('3a Raw'!I79-$N3)/$N4)))</f>
        <v/>
      </c>
      <c r="O79" s="3">
        <f>IF(N79="","",(N79-AVERAGE(N6:N1198))/(STDEV(N6:N1198)+1E-12))</f>
        <v/>
      </c>
      <c r="P79" s="3">
        <f>IF('3a Raw'!J79="","",MAX(-3,MIN(3,('3a Raw'!J79-$P3)/$P4)))</f>
        <v/>
      </c>
      <c r="Q79" s="3">
        <f>IF(P79="","",(P79-AVERAGE(P6:P1198))/(STDEV(P6:P1198)+1E-12))</f>
        <v/>
      </c>
      <c r="R79" s="3">
        <f>IF('3a Raw'!K79="","",MAX(-3,MIN(3,('3a Raw'!K79-$R3)/$R4)))</f>
        <v/>
      </c>
      <c r="S79" s="3">
        <f>IF(R79="","",(R79-AVERAGE(R6:R1198))/(STDEV(R6:R1198)+1E-12))</f>
        <v/>
      </c>
      <c r="T79" s="3">
        <f>IF('3a Raw'!L79="","",MAX(-3,MIN(3,('3a Raw'!L79-$T3)/$T4)))</f>
        <v/>
      </c>
      <c r="U79" s="3">
        <f>IF(T79="","",(T79-AVERAGE(T6:T1198))/(STDEV(T6:T1198)+1E-12))</f>
        <v/>
      </c>
      <c r="X79" s="3">
        <f>IF(U79="","",U79-($V$3*G79+$W$3))</f>
        <v/>
      </c>
      <c r="Y79" s="3">
        <f>IF(X79="","",MAX(-3,MIN(3,(X79-$X3)/$X4)))</f>
        <v/>
      </c>
      <c r="Z79" s="3">
        <f>IF(Y79="","",(Y79-AVERAGE(Y6:Y1198))/(STDEV(Y6:Y1198)+1E-12))</f>
        <v/>
      </c>
    </row>
    <row r="80">
      <c r="A80" t="inlineStr">
        <is>
          <t>BBG000H9G7X2</t>
        </is>
      </c>
      <c r="B80" s="3">
        <f>IF('3a Raw'!C80="","",MAX(-3,MIN(3,('3a Raw'!C80-$B3)/$B4)))</f>
        <v/>
      </c>
      <c r="C80" s="3">
        <f>IF(B80="","",(B80-AVERAGE(B6:B1198))/(STDEV(B6:B1198)+1E-12))</f>
        <v/>
      </c>
      <c r="D80" s="3">
        <f>IF('3a Raw'!D80="","",MAX(-3,MIN(3,('3a Raw'!D80-$D3)/$D4)))</f>
        <v/>
      </c>
      <c r="E80" s="3">
        <f>IF(D80="","",(D80-AVERAGE(D6:D1198))/(STDEV(D6:D1198)+1E-12))</f>
        <v/>
      </c>
      <c r="F80" s="3">
        <f>IF('3a Raw'!E80="","",MAX(-3,MIN(3,('3a Raw'!E80-$F3)/$F4)))</f>
        <v/>
      </c>
      <c r="G80" s="3">
        <f>IF(F80="","",(F80-AVERAGE(F6:F1198))/(STDEV(F6:F1198)+1E-12))</f>
        <v/>
      </c>
      <c r="H80" s="3">
        <f>IF('3a Raw'!F80="","",MAX(-3,MIN(3,('3a Raw'!F80-$H3)/$H4)))</f>
        <v/>
      </c>
      <c r="I80" s="3">
        <f>IF(H80="","",(H80-AVERAGE(H6:H1198))/(STDEV(H6:H1198)+1E-12))</f>
        <v/>
      </c>
      <c r="J80" s="3">
        <f>IF('3a Raw'!G80="","",MAX(-3,MIN(3,('3a Raw'!G80-$J3)/$J4)))</f>
        <v/>
      </c>
      <c r="K80" s="3">
        <f>IF(J80="","",(J80-AVERAGE(J6:J1198))/(STDEV(J6:J1198)+1E-12))</f>
        <v/>
      </c>
      <c r="L80" s="3">
        <f>IF('3a Raw'!H80="","",MAX(-3,MIN(3,('3a Raw'!H80-$L3)/$L4)))</f>
        <v/>
      </c>
      <c r="M80" s="3">
        <f>IF(L80="","",(L80-AVERAGE(L6:L1198))/(STDEV(L6:L1198)+1E-12))</f>
        <v/>
      </c>
      <c r="N80" s="3">
        <f>IF('3a Raw'!I80="","",MAX(-3,MIN(3,('3a Raw'!I80-$N3)/$N4)))</f>
        <v/>
      </c>
      <c r="O80" s="3">
        <f>IF(N80="","",(N80-AVERAGE(N6:N1198))/(STDEV(N6:N1198)+1E-12))</f>
        <v/>
      </c>
      <c r="P80" s="3">
        <f>IF('3a Raw'!J80="","",MAX(-3,MIN(3,('3a Raw'!J80-$P3)/$P4)))</f>
        <v/>
      </c>
      <c r="Q80" s="3">
        <f>IF(P80="","",(P80-AVERAGE(P6:P1198))/(STDEV(P6:P1198)+1E-12))</f>
        <v/>
      </c>
      <c r="R80" s="3">
        <f>IF('3a Raw'!K80="","",MAX(-3,MIN(3,('3a Raw'!K80-$R3)/$R4)))</f>
        <v/>
      </c>
      <c r="S80" s="3">
        <f>IF(R80="","",(R80-AVERAGE(R6:R1198))/(STDEV(R6:R1198)+1E-12))</f>
        <v/>
      </c>
      <c r="T80" s="3">
        <f>IF('3a Raw'!L80="","",MAX(-3,MIN(3,('3a Raw'!L80-$T3)/$T4)))</f>
        <v/>
      </c>
      <c r="U80" s="3">
        <f>IF(T80="","",(T80-AVERAGE(T6:T1198))/(STDEV(T6:T1198)+1E-12))</f>
        <v/>
      </c>
      <c r="X80" s="3">
        <f>IF(U80="","",U80-($V$3*G80+$W$3))</f>
        <v/>
      </c>
      <c r="Y80" s="3">
        <f>IF(X80="","",MAX(-3,MIN(3,(X80-$X3)/$X4)))</f>
        <v/>
      </c>
      <c r="Z80" s="3">
        <f>IF(Y80="","",(Y80-AVERAGE(Y6:Y1198))/(STDEV(Y6:Y1198)+1E-12))</f>
        <v/>
      </c>
    </row>
    <row r="81">
      <c r="A81" t="inlineStr">
        <is>
          <t>aon</t>
        </is>
      </c>
      <c r="B81" s="3">
        <f>IF('3a Raw'!C81="","",MAX(-3,MIN(3,('3a Raw'!C81-$B3)/$B4)))</f>
        <v/>
      </c>
      <c r="C81" s="3">
        <f>IF(B81="","",(B81-AVERAGE(B6:B1198))/(STDEV(B6:B1198)+1E-12))</f>
        <v/>
      </c>
      <c r="D81" s="3">
        <f>IF('3a Raw'!D81="","",MAX(-3,MIN(3,('3a Raw'!D81-$D3)/$D4)))</f>
        <v/>
      </c>
      <c r="E81" s="3">
        <f>IF(D81="","",(D81-AVERAGE(D6:D1198))/(STDEV(D6:D1198)+1E-12))</f>
        <v/>
      </c>
      <c r="F81" s="3">
        <f>IF('3a Raw'!E81="","",MAX(-3,MIN(3,('3a Raw'!E81-$F3)/$F4)))</f>
        <v/>
      </c>
      <c r="G81" s="3">
        <f>IF(F81="","",(F81-AVERAGE(F6:F1198))/(STDEV(F6:F1198)+1E-12))</f>
        <v/>
      </c>
      <c r="H81" s="3">
        <f>IF('3a Raw'!F81="","",MAX(-3,MIN(3,('3a Raw'!F81-$H3)/$H4)))</f>
        <v/>
      </c>
      <c r="I81" s="3">
        <f>IF(H81="","",(H81-AVERAGE(H6:H1198))/(STDEV(H6:H1198)+1E-12))</f>
        <v/>
      </c>
      <c r="J81" s="3">
        <f>IF('3a Raw'!G81="","",MAX(-3,MIN(3,('3a Raw'!G81-$J3)/$J4)))</f>
        <v/>
      </c>
      <c r="K81" s="3">
        <f>IF(J81="","",(J81-AVERAGE(J6:J1198))/(STDEV(J6:J1198)+1E-12))</f>
        <v/>
      </c>
      <c r="L81" s="3">
        <f>IF('3a Raw'!H81="","",MAX(-3,MIN(3,('3a Raw'!H81-$L3)/$L4)))</f>
        <v/>
      </c>
      <c r="M81" s="3">
        <f>IF(L81="","",(L81-AVERAGE(L6:L1198))/(STDEV(L6:L1198)+1E-12))</f>
        <v/>
      </c>
      <c r="N81" s="3">
        <f>IF('3a Raw'!I81="","",MAX(-3,MIN(3,('3a Raw'!I81-$N3)/$N4)))</f>
        <v/>
      </c>
      <c r="O81" s="3">
        <f>IF(N81="","",(N81-AVERAGE(N6:N1198))/(STDEV(N6:N1198)+1E-12))</f>
        <v/>
      </c>
      <c r="P81" s="3">
        <f>IF('3a Raw'!J81="","",MAX(-3,MIN(3,('3a Raw'!J81-$P3)/$P4)))</f>
        <v/>
      </c>
      <c r="Q81" s="3">
        <f>IF(P81="","",(P81-AVERAGE(P6:P1198))/(STDEV(P6:P1198)+1E-12))</f>
        <v/>
      </c>
      <c r="R81" s="3">
        <f>IF('3a Raw'!K81="","",MAX(-3,MIN(3,('3a Raw'!K81-$R3)/$R4)))</f>
        <v/>
      </c>
      <c r="S81" s="3">
        <f>IF(R81="","",(R81-AVERAGE(R6:R1198))/(STDEV(R6:R1198)+1E-12))</f>
        <v/>
      </c>
      <c r="T81" s="3">
        <f>IF('3a Raw'!L81="","",MAX(-3,MIN(3,('3a Raw'!L81-$T3)/$T4)))</f>
        <v/>
      </c>
      <c r="U81" s="3">
        <f>IF(T81="","",(T81-AVERAGE(T6:T1198))/(STDEV(T6:T1198)+1E-12))</f>
        <v/>
      </c>
      <c r="X81" s="3">
        <f>IF(U81="","",U81-($V$3*G81+$W$3))</f>
        <v/>
      </c>
      <c r="Y81" s="3">
        <f>IF(X81="","",MAX(-3,MIN(3,(X81-$X3)/$X4)))</f>
        <v/>
      </c>
      <c r="Z81" s="3">
        <f>IF(Y81="","",(Y81-AVERAGE(Y6:Y1198))/(STDEV(Y6:Y1198)+1E-12))</f>
        <v/>
      </c>
    </row>
    <row r="82">
      <c r="A82" t="inlineStr">
        <is>
          <t>aos</t>
        </is>
      </c>
      <c r="B82" s="3">
        <f>IF('3a Raw'!C82="","",MAX(-3,MIN(3,('3a Raw'!C82-$B3)/$B4)))</f>
        <v/>
      </c>
      <c r="C82" s="3">
        <f>IF(B82="","",(B82-AVERAGE(B6:B1198))/(STDEV(B6:B1198)+1E-12))</f>
        <v/>
      </c>
      <c r="D82" s="3">
        <f>IF('3a Raw'!D82="","",MAX(-3,MIN(3,('3a Raw'!D82-$D3)/$D4)))</f>
        <v/>
      </c>
      <c r="E82" s="3">
        <f>IF(D82="","",(D82-AVERAGE(D6:D1198))/(STDEV(D6:D1198)+1E-12))</f>
        <v/>
      </c>
      <c r="F82" s="3">
        <f>IF('3a Raw'!E82="","",MAX(-3,MIN(3,('3a Raw'!E82-$F3)/$F4)))</f>
        <v/>
      </c>
      <c r="G82" s="3">
        <f>IF(F82="","",(F82-AVERAGE(F6:F1198))/(STDEV(F6:F1198)+1E-12))</f>
        <v/>
      </c>
      <c r="H82" s="3">
        <f>IF('3a Raw'!F82="","",MAX(-3,MIN(3,('3a Raw'!F82-$H3)/$H4)))</f>
        <v/>
      </c>
      <c r="I82" s="3">
        <f>IF(H82="","",(H82-AVERAGE(H6:H1198))/(STDEV(H6:H1198)+1E-12))</f>
        <v/>
      </c>
      <c r="J82" s="3">
        <f>IF('3a Raw'!G82="","",MAX(-3,MIN(3,('3a Raw'!G82-$J3)/$J4)))</f>
        <v/>
      </c>
      <c r="K82" s="3">
        <f>IF(J82="","",(J82-AVERAGE(J6:J1198))/(STDEV(J6:J1198)+1E-12))</f>
        <v/>
      </c>
      <c r="L82" s="3">
        <f>IF('3a Raw'!H82="","",MAX(-3,MIN(3,('3a Raw'!H82-$L3)/$L4)))</f>
        <v/>
      </c>
      <c r="M82" s="3">
        <f>IF(L82="","",(L82-AVERAGE(L6:L1198))/(STDEV(L6:L1198)+1E-12))</f>
        <v/>
      </c>
      <c r="N82" s="3">
        <f>IF('3a Raw'!I82="","",MAX(-3,MIN(3,('3a Raw'!I82-$N3)/$N4)))</f>
        <v/>
      </c>
      <c r="O82" s="3">
        <f>IF(N82="","",(N82-AVERAGE(N6:N1198))/(STDEV(N6:N1198)+1E-12))</f>
        <v/>
      </c>
      <c r="P82" s="3">
        <f>IF('3a Raw'!J82="","",MAX(-3,MIN(3,('3a Raw'!J82-$P3)/$P4)))</f>
        <v/>
      </c>
      <c r="Q82" s="3">
        <f>IF(P82="","",(P82-AVERAGE(P6:P1198))/(STDEV(P6:P1198)+1E-12))</f>
        <v/>
      </c>
      <c r="R82" s="3">
        <f>IF('3a Raw'!K82="","",MAX(-3,MIN(3,('3a Raw'!K82-$R3)/$R4)))</f>
        <v/>
      </c>
      <c r="S82" s="3">
        <f>IF(R82="","",(R82-AVERAGE(R6:R1198))/(STDEV(R6:R1198)+1E-12))</f>
        <v/>
      </c>
      <c r="T82" s="3">
        <f>IF('3a Raw'!L82="","",MAX(-3,MIN(3,('3a Raw'!L82-$T3)/$T4)))</f>
        <v/>
      </c>
      <c r="U82" s="3">
        <f>IF(T82="","",(T82-AVERAGE(T6:T1198))/(STDEV(T6:T1198)+1E-12))</f>
        <v/>
      </c>
      <c r="X82" s="3">
        <f>IF(U82="","",U82-($V$3*G82+$W$3))</f>
        <v/>
      </c>
      <c r="Y82" s="3">
        <f>IF(X82="","",MAX(-3,MIN(3,(X82-$X3)/$X4)))</f>
        <v/>
      </c>
      <c r="Z82" s="3">
        <f>IF(Y82="","",(Y82-AVERAGE(Y6:Y1198))/(STDEV(Y6:Y1198)+1E-12))</f>
        <v/>
      </c>
    </row>
    <row r="83">
      <c r="A83" t="inlineStr">
        <is>
          <t>apa</t>
        </is>
      </c>
      <c r="B83" s="3">
        <f>IF('3a Raw'!C83="","",MAX(-3,MIN(3,('3a Raw'!C83-$B3)/$B4)))</f>
        <v/>
      </c>
      <c r="C83" s="3">
        <f>IF(B83="","",(B83-AVERAGE(B6:B1198))/(STDEV(B6:B1198)+1E-12))</f>
        <v/>
      </c>
      <c r="D83" s="3">
        <f>IF('3a Raw'!D83="","",MAX(-3,MIN(3,('3a Raw'!D83-$D3)/$D4)))</f>
        <v/>
      </c>
      <c r="E83" s="3">
        <f>IF(D83="","",(D83-AVERAGE(D6:D1198))/(STDEV(D6:D1198)+1E-12))</f>
        <v/>
      </c>
      <c r="F83" s="3">
        <f>IF('3a Raw'!E83="","",MAX(-3,MIN(3,('3a Raw'!E83-$F3)/$F4)))</f>
        <v/>
      </c>
      <c r="G83" s="3">
        <f>IF(F83="","",(F83-AVERAGE(F6:F1198))/(STDEV(F6:F1198)+1E-12))</f>
        <v/>
      </c>
      <c r="H83" s="3">
        <f>IF('3a Raw'!F83="","",MAX(-3,MIN(3,('3a Raw'!F83-$H3)/$H4)))</f>
        <v/>
      </c>
      <c r="I83" s="3">
        <f>IF(H83="","",(H83-AVERAGE(H6:H1198))/(STDEV(H6:H1198)+1E-12))</f>
        <v/>
      </c>
      <c r="J83" s="3">
        <f>IF('3a Raw'!G83="","",MAX(-3,MIN(3,('3a Raw'!G83-$J3)/$J4)))</f>
        <v/>
      </c>
      <c r="K83" s="3">
        <f>IF(J83="","",(J83-AVERAGE(J6:J1198))/(STDEV(J6:J1198)+1E-12))</f>
        <v/>
      </c>
      <c r="L83" s="3">
        <f>IF('3a Raw'!H83="","",MAX(-3,MIN(3,('3a Raw'!H83-$L3)/$L4)))</f>
        <v/>
      </c>
      <c r="M83" s="3">
        <f>IF(L83="","",(L83-AVERAGE(L6:L1198))/(STDEV(L6:L1198)+1E-12))</f>
        <v/>
      </c>
      <c r="N83" s="3">
        <f>IF('3a Raw'!I83="","",MAX(-3,MIN(3,('3a Raw'!I83-$N3)/$N4)))</f>
        <v/>
      </c>
      <c r="O83" s="3">
        <f>IF(N83="","",(N83-AVERAGE(N6:N1198))/(STDEV(N6:N1198)+1E-12))</f>
        <v/>
      </c>
      <c r="P83" s="3">
        <f>IF('3a Raw'!J83="","",MAX(-3,MIN(3,('3a Raw'!J83-$P3)/$P4)))</f>
        <v/>
      </c>
      <c r="Q83" s="3">
        <f>IF(P83="","",(P83-AVERAGE(P6:P1198))/(STDEV(P6:P1198)+1E-12))</f>
        <v/>
      </c>
      <c r="R83" s="3">
        <f>IF('3a Raw'!K83="","",MAX(-3,MIN(3,('3a Raw'!K83-$R3)/$R4)))</f>
        <v/>
      </c>
      <c r="S83" s="3">
        <f>IF(R83="","",(R83-AVERAGE(R6:R1198))/(STDEV(R6:R1198)+1E-12))</f>
        <v/>
      </c>
      <c r="T83" s="3">
        <f>IF('3a Raw'!L83="","",MAX(-3,MIN(3,('3a Raw'!L83-$T3)/$T4)))</f>
        <v/>
      </c>
      <c r="U83" s="3">
        <f>IF(T83="","",(T83-AVERAGE(T6:T1198))/(STDEV(T6:T1198)+1E-12))</f>
        <v/>
      </c>
      <c r="X83" s="3">
        <f>IF(U83="","",U83-($V$3*G83+$W$3))</f>
        <v/>
      </c>
      <c r="Y83" s="3">
        <f>IF(X83="","",MAX(-3,MIN(3,(X83-$X3)/$X4)))</f>
        <v/>
      </c>
      <c r="Z83" s="3">
        <f>IF(Y83="","",(Y83-AVERAGE(Y6:Y1198))/(STDEV(Y6:Y1198)+1E-12))</f>
        <v/>
      </c>
    </row>
    <row r="84">
      <c r="A84" t="inlineStr">
        <is>
          <t>BBG000BC4JJ4</t>
        </is>
      </c>
      <c r="B84" s="3">
        <f>IF('3a Raw'!C84="","",MAX(-3,MIN(3,('3a Raw'!C84-$B3)/$B4)))</f>
        <v/>
      </c>
      <c r="C84" s="3">
        <f>IF(B84="","",(B84-AVERAGE(B6:B1198))/(STDEV(B6:B1198)+1E-12))</f>
        <v/>
      </c>
      <c r="D84" s="3">
        <f>IF('3a Raw'!D84="","",MAX(-3,MIN(3,('3a Raw'!D84-$D3)/$D4)))</f>
        <v/>
      </c>
      <c r="E84" s="3">
        <f>IF(D84="","",(D84-AVERAGE(D6:D1198))/(STDEV(D6:D1198)+1E-12))</f>
        <v/>
      </c>
      <c r="F84" s="3">
        <f>IF('3a Raw'!E84="","",MAX(-3,MIN(3,('3a Raw'!E84-$F3)/$F4)))</f>
        <v/>
      </c>
      <c r="G84" s="3">
        <f>IF(F84="","",(F84-AVERAGE(F6:F1198))/(STDEV(F6:F1198)+1E-12))</f>
        <v/>
      </c>
      <c r="H84" s="3">
        <f>IF('3a Raw'!F84="","",MAX(-3,MIN(3,('3a Raw'!F84-$H3)/$H4)))</f>
        <v/>
      </c>
      <c r="I84" s="3">
        <f>IF(H84="","",(H84-AVERAGE(H6:H1198))/(STDEV(H6:H1198)+1E-12))</f>
        <v/>
      </c>
      <c r="J84" s="3">
        <f>IF('3a Raw'!G84="","",MAX(-3,MIN(3,('3a Raw'!G84-$J3)/$J4)))</f>
        <v/>
      </c>
      <c r="K84" s="3">
        <f>IF(J84="","",(J84-AVERAGE(J6:J1198))/(STDEV(J6:J1198)+1E-12))</f>
        <v/>
      </c>
      <c r="L84" s="3">
        <f>IF('3a Raw'!H84="","",MAX(-3,MIN(3,('3a Raw'!H84-$L3)/$L4)))</f>
        <v/>
      </c>
      <c r="M84" s="3">
        <f>IF(L84="","",(L84-AVERAGE(L6:L1198))/(STDEV(L6:L1198)+1E-12))</f>
        <v/>
      </c>
      <c r="N84" s="3">
        <f>IF('3a Raw'!I84="","",MAX(-3,MIN(3,('3a Raw'!I84-$N3)/$N4)))</f>
        <v/>
      </c>
      <c r="O84" s="3">
        <f>IF(N84="","",(N84-AVERAGE(N6:N1198))/(STDEV(N6:N1198)+1E-12))</f>
        <v/>
      </c>
      <c r="P84" s="3">
        <f>IF('3a Raw'!J84="","",MAX(-3,MIN(3,('3a Raw'!J84-$P3)/$P4)))</f>
        <v/>
      </c>
      <c r="Q84" s="3">
        <f>IF(P84="","",(P84-AVERAGE(P6:P1198))/(STDEV(P6:P1198)+1E-12))</f>
        <v/>
      </c>
      <c r="R84" s="3">
        <f>IF('3a Raw'!K84="","",MAX(-3,MIN(3,('3a Raw'!K84-$R3)/$R4)))</f>
        <v/>
      </c>
      <c r="S84" s="3">
        <f>IF(R84="","",(R84-AVERAGE(R6:R1198))/(STDEV(R6:R1198)+1E-12))</f>
        <v/>
      </c>
      <c r="T84" s="3">
        <f>IF('3a Raw'!L84="","",MAX(-3,MIN(3,('3a Raw'!L84-$T3)/$T4)))</f>
        <v/>
      </c>
      <c r="U84" s="3">
        <f>IF(T84="","",(T84-AVERAGE(T6:T1198))/(STDEV(T6:T1198)+1E-12))</f>
        <v/>
      </c>
      <c r="X84" s="3">
        <f>IF(U84="","",U84-($V$3*G84+$W$3))</f>
        <v/>
      </c>
      <c r="Y84" s="3">
        <f>IF(X84="","",MAX(-3,MIN(3,(X84-$X3)/$X4)))</f>
        <v/>
      </c>
      <c r="Z84" s="3">
        <f>IF(Y84="","",(Y84-AVERAGE(Y6:Y1198))/(STDEV(Y6:Y1198)+1E-12))</f>
        <v/>
      </c>
    </row>
    <row r="85">
      <c r="A85" t="inlineStr">
        <is>
          <t>BBG00HXKRGY9</t>
        </is>
      </c>
      <c r="B85" s="3">
        <f>IF('3a Raw'!C85="","",MAX(-3,MIN(3,('3a Raw'!C85-$B3)/$B4)))</f>
        <v/>
      </c>
      <c r="C85" s="3">
        <f>IF(B85="","",(B85-AVERAGE(B6:B1198))/(STDEV(B6:B1198)+1E-12))</f>
        <v/>
      </c>
      <c r="D85" s="3">
        <f>IF('3a Raw'!D85="","",MAX(-3,MIN(3,('3a Raw'!D85-$D3)/$D4)))</f>
        <v/>
      </c>
      <c r="E85" s="3">
        <f>IF(D85="","",(D85-AVERAGE(D6:D1198))/(STDEV(D6:D1198)+1E-12))</f>
        <v/>
      </c>
      <c r="F85" s="3">
        <f>IF('3a Raw'!E85="","",MAX(-3,MIN(3,('3a Raw'!E85-$F3)/$F4)))</f>
        <v/>
      </c>
      <c r="G85" s="3">
        <f>IF(F85="","",(F85-AVERAGE(F6:F1198))/(STDEV(F6:F1198)+1E-12))</f>
        <v/>
      </c>
      <c r="H85" s="3">
        <f>IF('3a Raw'!F85="","",MAX(-3,MIN(3,('3a Raw'!F85-$H3)/$H4)))</f>
        <v/>
      </c>
      <c r="I85" s="3">
        <f>IF(H85="","",(H85-AVERAGE(H6:H1198))/(STDEV(H6:H1198)+1E-12))</f>
        <v/>
      </c>
      <c r="J85" s="3">
        <f>IF('3a Raw'!G85="","",MAX(-3,MIN(3,('3a Raw'!G85-$J3)/$J4)))</f>
        <v/>
      </c>
      <c r="K85" s="3">
        <f>IF(J85="","",(J85-AVERAGE(J6:J1198))/(STDEV(J6:J1198)+1E-12))</f>
        <v/>
      </c>
      <c r="L85" s="3">
        <f>IF('3a Raw'!H85="","",MAX(-3,MIN(3,('3a Raw'!H85-$L3)/$L4)))</f>
        <v/>
      </c>
      <c r="M85" s="3">
        <f>IF(L85="","",(L85-AVERAGE(L6:L1198))/(STDEV(L6:L1198)+1E-12))</f>
        <v/>
      </c>
      <c r="N85" s="3">
        <f>IF('3a Raw'!I85="","",MAX(-3,MIN(3,('3a Raw'!I85-$N3)/$N4)))</f>
        <v/>
      </c>
      <c r="O85" s="3">
        <f>IF(N85="","",(N85-AVERAGE(N6:N1198))/(STDEV(N6:N1198)+1E-12))</f>
        <v/>
      </c>
      <c r="P85" s="3">
        <f>IF('3a Raw'!J85="","",MAX(-3,MIN(3,('3a Raw'!J85-$P3)/$P4)))</f>
        <v/>
      </c>
      <c r="Q85" s="3">
        <f>IF(P85="","",(P85-AVERAGE(P6:P1198))/(STDEV(P6:P1198)+1E-12))</f>
        <v/>
      </c>
      <c r="R85" s="3">
        <f>IF('3a Raw'!K85="","",MAX(-3,MIN(3,('3a Raw'!K85-$R3)/$R4)))</f>
        <v/>
      </c>
      <c r="S85" s="3">
        <f>IF(R85="","",(R85-AVERAGE(R6:R1198))/(STDEV(R6:R1198)+1E-12))</f>
        <v/>
      </c>
      <c r="T85" s="3">
        <f>IF('3a Raw'!L85="","",MAX(-3,MIN(3,('3a Raw'!L85-$T3)/$T4)))</f>
        <v/>
      </c>
      <c r="U85" s="3">
        <f>IF(T85="","",(T85-AVERAGE(T6:T1198))/(STDEV(T6:T1198)+1E-12))</f>
        <v/>
      </c>
      <c r="X85" s="3">
        <f>IF(U85="","",U85-($V$3*G85+$W$3))</f>
        <v/>
      </c>
      <c r="Y85" s="3">
        <f>IF(X85="","",MAX(-3,MIN(3,(X85-$X3)/$X4)))</f>
        <v/>
      </c>
      <c r="Z85" s="3">
        <f>IF(Y85="","",(Y85-AVERAGE(Y6:Y1198))/(STDEV(Y6:Y1198)+1E-12))</f>
        <v/>
      </c>
    </row>
    <row r="86">
      <c r="A86" t="inlineStr">
        <is>
          <t>aph</t>
        </is>
      </c>
      <c r="B86" s="3">
        <f>IF('3a Raw'!C86="","",MAX(-3,MIN(3,('3a Raw'!C86-$B3)/$B4)))</f>
        <v/>
      </c>
      <c r="C86" s="3">
        <f>IF(B86="","",(B86-AVERAGE(B6:B1198))/(STDEV(B6:B1198)+1E-12))</f>
        <v/>
      </c>
      <c r="D86" s="3">
        <f>IF('3a Raw'!D86="","",MAX(-3,MIN(3,('3a Raw'!D86-$D3)/$D4)))</f>
        <v/>
      </c>
      <c r="E86" s="3">
        <f>IF(D86="","",(D86-AVERAGE(D6:D1198))/(STDEV(D6:D1198)+1E-12))</f>
        <v/>
      </c>
      <c r="F86" s="3">
        <f>IF('3a Raw'!E86="","",MAX(-3,MIN(3,('3a Raw'!E86-$F3)/$F4)))</f>
        <v/>
      </c>
      <c r="G86" s="3">
        <f>IF(F86="","",(F86-AVERAGE(F6:F1198))/(STDEV(F6:F1198)+1E-12))</f>
        <v/>
      </c>
      <c r="H86" s="3">
        <f>IF('3a Raw'!F86="","",MAX(-3,MIN(3,('3a Raw'!F86-$H3)/$H4)))</f>
        <v/>
      </c>
      <c r="I86" s="3">
        <f>IF(H86="","",(H86-AVERAGE(H6:H1198))/(STDEV(H6:H1198)+1E-12))</f>
        <v/>
      </c>
      <c r="J86" s="3">
        <f>IF('3a Raw'!G86="","",MAX(-3,MIN(3,('3a Raw'!G86-$J3)/$J4)))</f>
        <v/>
      </c>
      <c r="K86" s="3">
        <f>IF(J86="","",(J86-AVERAGE(J6:J1198))/(STDEV(J6:J1198)+1E-12))</f>
        <v/>
      </c>
      <c r="L86" s="3">
        <f>IF('3a Raw'!H86="","",MAX(-3,MIN(3,('3a Raw'!H86-$L3)/$L4)))</f>
        <v/>
      </c>
      <c r="M86" s="3">
        <f>IF(L86="","",(L86-AVERAGE(L6:L1198))/(STDEV(L6:L1198)+1E-12))</f>
        <v/>
      </c>
      <c r="N86" s="3">
        <f>IF('3a Raw'!I86="","",MAX(-3,MIN(3,('3a Raw'!I86-$N3)/$N4)))</f>
        <v/>
      </c>
      <c r="O86" s="3">
        <f>IF(N86="","",(N86-AVERAGE(N6:N1198))/(STDEV(N6:N1198)+1E-12))</f>
        <v/>
      </c>
      <c r="P86" s="3">
        <f>IF('3a Raw'!J86="","",MAX(-3,MIN(3,('3a Raw'!J86-$P3)/$P4)))</f>
        <v/>
      </c>
      <c r="Q86" s="3">
        <f>IF(P86="","",(P86-AVERAGE(P6:P1198))/(STDEV(P6:P1198)+1E-12))</f>
        <v/>
      </c>
      <c r="R86" s="3">
        <f>IF('3a Raw'!K86="","",MAX(-3,MIN(3,('3a Raw'!K86-$R3)/$R4)))</f>
        <v/>
      </c>
      <c r="S86" s="3">
        <f>IF(R86="","",(R86-AVERAGE(R6:R1198))/(STDEV(R6:R1198)+1E-12))</f>
        <v/>
      </c>
      <c r="T86" s="3">
        <f>IF('3a Raw'!L86="","",MAX(-3,MIN(3,('3a Raw'!L86-$T3)/$T4)))</f>
        <v/>
      </c>
      <c r="U86" s="3">
        <f>IF(T86="","",(T86-AVERAGE(T6:T1198))/(STDEV(T6:T1198)+1E-12))</f>
        <v/>
      </c>
      <c r="X86" s="3">
        <f>IF(U86="","",U86-($V$3*G86+$W$3))</f>
        <v/>
      </c>
      <c r="Y86" s="3">
        <f>IF(X86="","",MAX(-3,MIN(3,(X86-$X3)/$X4)))</f>
        <v/>
      </c>
      <c r="Z86" s="3">
        <f>IF(Y86="","",(Y86-AVERAGE(Y6:Y1198))/(STDEV(Y6:Y1198)+1E-12))</f>
        <v/>
      </c>
    </row>
    <row r="87">
      <c r="A87" t="inlineStr">
        <is>
          <t>BBG000DSJYS8</t>
        </is>
      </c>
      <c r="B87" s="3">
        <f>IF('3a Raw'!C87="","",MAX(-3,MIN(3,('3a Raw'!C87-$B3)/$B4)))</f>
        <v/>
      </c>
      <c r="C87" s="3">
        <f>IF(B87="","",(B87-AVERAGE(B6:B1198))/(STDEV(B6:B1198)+1E-12))</f>
        <v/>
      </c>
      <c r="D87" s="3">
        <f>IF('3a Raw'!D87="","",MAX(-3,MIN(3,('3a Raw'!D87-$D3)/$D4)))</f>
        <v/>
      </c>
      <c r="E87" s="3">
        <f>IF(D87="","",(D87-AVERAGE(D6:D1198))/(STDEV(D6:D1198)+1E-12))</f>
        <v/>
      </c>
      <c r="F87" s="3">
        <f>IF('3a Raw'!E87="","",MAX(-3,MIN(3,('3a Raw'!E87-$F3)/$F4)))</f>
        <v/>
      </c>
      <c r="G87" s="3">
        <f>IF(F87="","",(F87-AVERAGE(F6:F1198))/(STDEV(F6:F1198)+1E-12))</f>
        <v/>
      </c>
      <c r="H87" s="3">
        <f>IF('3a Raw'!F87="","",MAX(-3,MIN(3,('3a Raw'!F87-$H3)/$H4)))</f>
        <v/>
      </c>
      <c r="I87" s="3">
        <f>IF(H87="","",(H87-AVERAGE(H6:H1198))/(STDEV(H6:H1198)+1E-12))</f>
        <v/>
      </c>
      <c r="J87" s="3">
        <f>IF('3a Raw'!G87="","",MAX(-3,MIN(3,('3a Raw'!G87-$J3)/$J4)))</f>
        <v/>
      </c>
      <c r="K87" s="3">
        <f>IF(J87="","",(J87-AVERAGE(J6:J1198))/(STDEV(J6:J1198)+1E-12))</f>
        <v/>
      </c>
      <c r="L87" s="3">
        <f>IF('3a Raw'!H87="","",MAX(-3,MIN(3,('3a Raw'!H87-$L3)/$L4)))</f>
        <v/>
      </c>
      <c r="M87" s="3">
        <f>IF(L87="","",(L87-AVERAGE(L6:L1198))/(STDEV(L6:L1198)+1E-12))</f>
        <v/>
      </c>
      <c r="N87" s="3">
        <f>IF('3a Raw'!I87="","",MAX(-3,MIN(3,('3a Raw'!I87-$N3)/$N4)))</f>
        <v/>
      </c>
      <c r="O87" s="3">
        <f>IF(N87="","",(N87-AVERAGE(N6:N1198))/(STDEV(N6:N1198)+1E-12))</f>
        <v/>
      </c>
      <c r="P87" s="3">
        <f>IF('3a Raw'!J87="","",MAX(-3,MIN(3,('3a Raw'!J87-$P3)/$P4)))</f>
        <v/>
      </c>
      <c r="Q87" s="3">
        <f>IF(P87="","",(P87-AVERAGE(P6:P1198))/(STDEV(P6:P1198)+1E-12))</f>
        <v/>
      </c>
      <c r="R87" s="3">
        <f>IF('3a Raw'!K87="","",MAX(-3,MIN(3,('3a Raw'!K87-$R3)/$R4)))</f>
        <v/>
      </c>
      <c r="S87" s="3">
        <f>IF(R87="","",(R87-AVERAGE(R6:R1198))/(STDEV(R6:R1198)+1E-12))</f>
        <v/>
      </c>
      <c r="T87" s="3">
        <f>IF('3a Raw'!L87="","",MAX(-3,MIN(3,('3a Raw'!L87-$T3)/$T4)))</f>
        <v/>
      </c>
      <c r="U87" s="3">
        <f>IF(T87="","",(T87-AVERAGE(T6:T1198))/(STDEV(T6:T1198)+1E-12))</f>
        <v/>
      </c>
      <c r="X87" s="3">
        <f>IF(U87="","",U87-($V$3*G87+$W$3))</f>
        <v/>
      </c>
      <c r="Y87" s="3">
        <f>IF(X87="","",MAX(-3,MIN(3,(X87-$X3)/$X4)))</f>
        <v/>
      </c>
      <c r="Z87" s="3">
        <f>IF(Y87="","",(Y87-AVERAGE(Y6:Y1198))/(STDEV(Y6:Y1198)+1E-12))</f>
        <v/>
      </c>
    </row>
    <row r="88">
      <c r="A88" t="inlineStr">
        <is>
          <t>BBG00ZNLTFK3</t>
        </is>
      </c>
      <c r="B88" s="3">
        <f>IF('3a Raw'!C88="","",MAX(-3,MIN(3,('3a Raw'!C88-$B3)/$B4)))</f>
        <v/>
      </c>
      <c r="C88" s="3">
        <f>IF(B88="","",(B88-AVERAGE(B6:B1198))/(STDEV(B6:B1198)+1E-12))</f>
        <v/>
      </c>
      <c r="D88" s="3">
        <f>IF('3a Raw'!D88="","",MAX(-3,MIN(3,('3a Raw'!D88-$D3)/$D4)))</f>
        <v/>
      </c>
      <c r="E88" s="3">
        <f>IF(D88="","",(D88-AVERAGE(D6:D1198))/(STDEV(D6:D1198)+1E-12))</f>
        <v/>
      </c>
      <c r="F88" s="3">
        <f>IF('3a Raw'!E88="","",MAX(-3,MIN(3,('3a Raw'!E88-$F3)/$F4)))</f>
        <v/>
      </c>
      <c r="G88" s="3">
        <f>IF(F88="","",(F88-AVERAGE(F6:F1198))/(STDEV(F6:F1198)+1E-12))</f>
        <v/>
      </c>
      <c r="H88" s="3">
        <f>IF('3a Raw'!F88="","",MAX(-3,MIN(3,('3a Raw'!F88-$H3)/$H4)))</f>
        <v/>
      </c>
      <c r="I88" s="3">
        <f>IF(H88="","",(H88-AVERAGE(H6:H1198))/(STDEV(H6:H1198)+1E-12))</f>
        <v/>
      </c>
      <c r="J88" s="3">
        <f>IF('3a Raw'!G88="","",MAX(-3,MIN(3,('3a Raw'!G88-$J3)/$J4)))</f>
        <v/>
      </c>
      <c r="K88" s="3">
        <f>IF(J88="","",(J88-AVERAGE(J6:J1198))/(STDEV(J6:J1198)+1E-12))</f>
        <v/>
      </c>
      <c r="L88" s="3">
        <f>IF('3a Raw'!H88="","",MAX(-3,MIN(3,('3a Raw'!H88-$L3)/$L4)))</f>
        <v/>
      </c>
      <c r="M88" s="3">
        <f>IF(L88="","",(L88-AVERAGE(L6:L1198))/(STDEV(L6:L1198)+1E-12))</f>
        <v/>
      </c>
      <c r="N88" s="3">
        <f>IF('3a Raw'!I88="","",MAX(-3,MIN(3,('3a Raw'!I88-$N3)/$N4)))</f>
        <v/>
      </c>
      <c r="O88" s="3">
        <f>IF(N88="","",(N88-AVERAGE(N6:N1198))/(STDEV(N6:N1198)+1E-12))</f>
        <v/>
      </c>
      <c r="P88" s="3">
        <f>IF('3a Raw'!J88="","",MAX(-3,MIN(3,('3a Raw'!J88-$P3)/$P4)))</f>
        <v/>
      </c>
      <c r="Q88" s="3">
        <f>IF(P88="","",(P88-AVERAGE(P6:P1198))/(STDEV(P6:P1198)+1E-12))</f>
        <v/>
      </c>
      <c r="R88" s="3">
        <f>IF('3a Raw'!K88="","",MAX(-3,MIN(3,('3a Raw'!K88-$R3)/$R4)))</f>
        <v/>
      </c>
      <c r="S88" s="3">
        <f>IF(R88="","",(R88-AVERAGE(R6:R1198))/(STDEV(R6:R1198)+1E-12))</f>
        <v/>
      </c>
      <c r="T88" s="3">
        <f>IF('3a Raw'!L88="","",MAX(-3,MIN(3,('3a Raw'!L88-$T3)/$T4)))</f>
        <v/>
      </c>
      <c r="U88" s="3">
        <f>IF(T88="","",(T88-AVERAGE(T6:T1198))/(STDEV(T6:T1198)+1E-12))</f>
        <v/>
      </c>
      <c r="X88" s="3">
        <f>IF(U88="","",U88-($V$3*G88+$W$3))</f>
        <v/>
      </c>
      <c r="Y88" s="3">
        <f>IF(X88="","",MAX(-3,MIN(3,(X88-$X3)/$X4)))</f>
        <v/>
      </c>
      <c r="Z88" s="3">
        <f>IF(Y88="","",(Y88-AVERAGE(Y6:Y1198))/(STDEV(Y6:Y1198)+1E-12))</f>
        <v/>
      </c>
    </row>
    <row r="89">
      <c r="A89" t="inlineStr">
        <is>
          <t>app</t>
        </is>
      </c>
      <c r="B89" s="3">
        <f>IF('3a Raw'!C89="","",MAX(-3,MIN(3,('3a Raw'!C89-$B3)/$B4)))</f>
        <v/>
      </c>
      <c r="C89" s="3">
        <f>IF(B89="","",(B89-AVERAGE(B6:B1198))/(STDEV(B6:B1198)+1E-12))</f>
        <v/>
      </c>
      <c r="D89" s="3">
        <f>IF('3a Raw'!D89="","",MAX(-3,MIN(3,('3a Raw'!D89-$D3)/$D4)))</f>
        <v/>
      </c>
      <c r="E89" s="3">
        <f>IF(D89="","",(D89-AVERAGE(D6:D1198))/(STDEV(D6:D1198)+1E-12))</f>
        <v/>
      </c>
      <c r="F89" s="3">
        <f>IF('3a Raw'!E89="","",MAX(-3,MIN(3,('3a Raw'!E89-$F3)/$F4)))</f>
        <v/>
      </c>
      <c r="G89" s="3">
        <f>IF(F89="","",(F89-AVERAGE(F6:F1198))/(STDEV(F6:F1198)+1E-12))</f>
        <v/>
      </c>
      <c r="H89" s="3">
        <f>IF('3a Raw'!F89="","",MAX(-3,MIN(3,('3a Raw'!F89-$H3)/$H4)))</f>
        <v/>
      </c>
      <c r="I89" s="3">
        <f>IF(H89="","",(H89-AVERAGE(H6:H1198))/(STDEV(H6:H1198)+1E-12))</f>
        <v/>
      </c>
      <c r="J89" s="3">
        <f>IF('3a Raw'!G89="","",MAX(-3,MIN(3,('3a Raw'!G89-$J3)/$J4)))</f>
        <v/>
      </c>
      <c r="K89" s="3">
        <f>IF(J89="","",(J89-AVERAGE(J6:J1198))/(STDEV(J6:J1198)+1E-12))</f>
        <v/>
      </c>
      <c r="L89" s="3">
        <f>IF('3a Raw'!H89="","",MAX(-3,MIN(3,('3a Raw'!H89-$L3)/$L4)))</f>
        <v/>
      </c>
      <c r="M89" s="3">
        <f>IF(L89="","",(L89-AVERAGE(L6:L1198))/(STDEV(L6:L1198)+1E-12))</f>
        <v/>
      </c>
      <c r="N89" s="3">
        <f>IF('3a Raw'!I89="","",MAX(-3,MIN(3,('3a Raw'!I89-$N3)/$N4)))</f>
        <v/>
      </c>
      <c r="O89" s="3">
        <f>IF(N89="","",(N89-AVERAGE(N6:N1198))/(STDEV(N6:N1198)+1E-12))</f>
        <v/>
      </c>
      <c r="P89" s="3">
        <f>IF('3a Raw'!J89="","",MAX(-3,MIN(3,('3a Raw'!J89-$P3)/$P4)))</f>
        <v/>
      </c>
      <c r="Q89" s="3">
        <f>IF(P89="","",(P89-AVERAGE(P6:P1198))/(STDEV(P6:P1198)+1E-12))</f>
        <v/>
      </c>
      <c r="R89" s="3">
        <f>IF('3a Raw'!K89="","",MAX(-3,MIN(3,('3a Raw'!K89-$R3)/$R4)))</f>
        <v/>
      </c>
      <c r="S89" s="3">
        <f>IF(R89="","",(R89-AVERAGE(R6:R1198))/(STDEV(R6:R1198)+1E-12))</f>
        <v/>
      </c>
      <c r="T89" s="3">
        <f>IF('3a Raw'!L89="","",MAX(-3,MIN(3,('3a Raw'!L89-$T3)/$T4)))</f>
        <v/>
      </c>
      <c r="U89" s="3">
        <f>IF(T89="","",(T89-AVERAGE(T6:T1198))/(STDEV(T6:T1198)+1E-12))</f>
        <v/>
      </c>
      <c r="X89" s="3">
        <f>IF(U89="","",U89-($V$3*G89+$W$3))</f>
        <v/>
      </c>
      <c r="Y89" s="3">
        <f>IF(X89="","",MAX(-3,MIN(3,(X89-$X3)/$X4)))</f>
        <v/>
      </c>
      <c r="Z89" s="3">
        <f>IF(Y89="","",(Y89-AVERAGE(Y6:Y1198))/(STDEV(Y6:Y1198)+1E-12))</f>
        <v/>
      </c>
    </row>
    <row r="90">
      <c r="A90" t="inlineStr">
        <is>
          <t>aptv</t>
        </is>
      </c>
      <c r="B90" s="3">
        <f>IF('3a Raw'!C90="","",MAX(-3,MIN(3,('3a Raw'!C90-$B3)/$B4)))</f>
        <v/>
      </c>
      <c r="C90" s="3">
        <f>IF(B90="","",(B90-AVERAGE(B6:B1198))/(STDEV(B6:B1198)+1E-12))</f>
        <v/>
      </c>
      <c r="D90" s="3">
        <f>IF('3a Raw'!D90="","",MAX(-3,MIN(3,('3a Raw'!D90-$D3)/$D4)))</f>
        <v/>
      </c>
      <c r="E90" s="3">
        <f>IF(D90="","",(D90-AVERAGE(D6:D1198))/(STDEV(D6:D1198)+1E-12))</f>
        <v/>
      </c>
      <c r="F90" s="3">
        <f>IF('3a Raw'!E90="","",MAX(-3,MIN(3,('3a Raw'!E90-$F3)/$F4)))</f>
        <v/>
      </c>
      <c r="G90" s="3">
        <f>IF(F90="","",(F90-AVERAGE(F6:F1198))/(STDEV(F6:F1198)+1E-12))</f>
        <v/>
      </c>
      <c r="H90" s="3">
        <f>IF('3a Raw'!F90="","",MAX(-3,MIN(3,('3a Raw'!F90-$H3)/$H4)))</f>
        <v/>
      </c>
      <c r="I90" s="3">
        <f>IF(H90="","",(H90-AVERAGE(H6:H1198))/(STDEV(H6:H1198)+1E-12))</f>
        <v/>
      </c>
      <c r="J90" s="3">
        <f>IF('3a Raw'!G90="","",MAX(-3,MIN(3,('3a Raw'!G90-$J3)/$J4)))</f>
        <v/>
      </c>
      <c r="K90" s="3">
        <f>IF(J90="","",(J90-AVERAGE(J6:J1198))/(STDEV(J6:J1198)+1E-12))</f>
        <v/>
      </c>
      <c r="L90" s="3">
        <f>IF('3a Raw'!H90="","",MAX(-3,MIN(3,('3a Raw'!H90-$L3)/$L4)))</f>
        <v/>
      </c>
      <c r="M90" s="3">
        <f>IF(L90="","",(L90-AVERAGE(L6:L1198))/(STDEV(L6:L1198)+1E-12))</f>
        <v/>
      </c>
      <c r="N90" s="3">
        <f>IF('3a Raw'!I90="","",MAX(-3,MIN(3,('3a Raw'!I90-$N3)/$N4)))</f>
        <v/>
      </c>
      <c r="O90" s="3">
        <f>IF(N90="","",(N90-AVERAGE(N6:N1198))/(STDEV(N6:N1198)+1E-12))</f>
        <v/>
      </c>
      <c r="P90" s="3">
        <f>IF('3a Raw'!J90="","",MAX(-3,MIN(3,('3a Raw'!J90-$P3)/$P4)))</f>
        <v/>
      </c>
      <c r="Q90" s="3">
        <f>IF(P90="","",(P90-AVERAGE(P6:P1198))/(STDEV(P6:P1198)+1E-12))</f>
        <v/>
      </c>
      <c r="R90" s="3">
        <f>IF('3a Raw'!K90="","",MAX(-3,MIN(3,('3a Raw'!K90-$R3)/$R4)))</f>
        <v/>
      </c>
      <c r="S90" s="3">
        <f>IF(R90="","",(R90-AVERAGE(R6:R1198))/(STDEV(R6:R1198)+1E-12))</f>
        <v/>
      </c>
      <c r="T90" s="3">
        <f>IF('3a Raw'!L90="","",MAX(-3,MIN(3,('3a Raw'!L90-$T3)/$T4)))</f>
        <v/>
      </c>
      <c r="U90" s="3">
        <f>IF(T90="","",(T90-AVERAGE(T6:T1198))/(STDEV(T6:T1198)+1E-12))</f>
        <v/>
      </c>
      <c r="X90" s="3">
        <f>IF(U90="","",U90-($V$3*G90+$W$3))</f>
        <v/>
      </c>
      <c r="Y90" s="3">
        <f>IF(X90="","",MAX(-3,MIN(3,(X90-$X3)/$X4)))</f>
        <v/>
      </c>
      <c r="Z90" s="3">
        <f>IF(Y90="","",(Y90-AVERAGE(Y6:Y1198))/(STDEV(Y6:Y1198)+1E-12))</f>
        <v/>
      </c>
    </row>
    <row r="91">
      <c r="A91" t="inlineStr">
        <is>
          <t>BBG000PD6X77</t>
        </is>
      </c>
      <c r="B91" s="3">
        <f>IF('3a Raw'!C91="","",MAX(-3,MIN(3,('3a Raw'!C91-$B3)/$B4)))</f>
        <v/>
      </c>
      <c r="C91" s="3">
        <f>IF(B91="","",(B91-AVERAGE(B6:B1198))/(STDEV(B6:B1198)+1E-12))</f>
        <v/>
      </c>
      <c r="D91" s="3">
        <f>IF('3a Raw'!D91="","",MAX(-3,MIN(3,('3a Raw'!D91-$D3)/$D4)))</f>
        <v/>
      </c>
      <c r="E91" s="3">
        <f>IF(D91="","",(D91-AVERAGE(D6:D1198))/(STDEV(D6:D1198)+1E-12))</f>
        <v/>
      </c>
      <c r="F91" s="3">
        <f>IF('3a Raw'!E91="","",MAX(-3,MIN(3,('3a Raw'!E91-$F3)/$F4)))</f>
        <v/>
      </c>
      <c r="G91" s="3">
        <f>IF(F91="","",(F91-AVERAGE(F6:F1198))/(STDEV(F6:F1198)+1E-12))</f>
        <v/>
      </c>
      <c r="H91" s="3">
        <f>IF('3a Raw'!F91="","",MAX(-3,MIN(3,('3a Raw'!F91-$H3)/$H4)))</f>
        <v/>
      </c>
      <c r="I91" s="3">
        <f>IF(H91="","",(H91-AVERAGE(H6:H1198))/(STDEV(H6:H1198)+1E-12))</f>
        <v/>
      </c>
      <c r="J91" s="3">
        <f>IF('3a Raw'!G91="","",MAX(-3,MIN(3,('3a Raw'!G91-$J3)/$J4)))</f>
        <v/>
      </c>
      <c r="K91" s="3">
        <f>IF(J91="","",(J91-AVERAGE(J6:J1198))/(STDEV(J6:J1198)+1E-12))</f>
        <v/>
      </c>
      <c r="L91" s="3">
        <f>IF('3a Raw'!H91="","",MAX(-3,MIN(3,('3a Raw'!H91-$L3)/$L4)))</f>
        <v/>
      </c>
      <c r="M91" s="3">
        <f>IF(L91="","",(L91-AVERAGE(L6:L1198))/(STDEV(L6:L1198)+1E-12))</f>
        <v/>
      </c>
      <c r="N91" s="3">
        <f>IF('3a Raw'!I91="","",MAX(-3,MIN(3,('3a Raw'!I91-$N3)/$N4)))</f>
        <v/>
      </c>
      <c r="O91" s="3">
        <f>IF(N91="","",(N91-AVERAGE(N6:N1198))/(STDEV(N6:N1198)+1E-12))</f>
        <v/>
      </c>
      <c r="P91" s="3">
        <f>IF('3a Raw'!J91="","",MAX(-3,MIN(3,('3a Raw'!J91-$P3)/$P4)))</f>
        <v/>
      </c>
      <c r="Q91" s="3">
        <f>IF(P91="","",(P91-AVERAGE(P6:P1198))/(STDEV(P6:P1198)+1E-12))</f>
        <v/>
      </c>
      <c r="R91" s="3">
        <f>IF('3a Raw'!K91="","",MAX(-3,MIN(3,('3a Raw'!K91-$R3)/$R4)))</f>
        <v/>
      </c>
      <c r="S91" s="3">
        <f>IF(R91="","",(R91-AVERAGE(R6:R1198))/(STDEV(R6:R1198)+1E-12))</f>
        <v/>
      </c>
      <c r="T91" s="3">
        <f>IF('3a Raw'!L91="","",MAX(-3,MIN(3,('3a Raw'!L91-$T3)/$T4)))</f>
        <v/>
      </c>
      <c r="U91" s="3">
        <f>IF(T91="","",(T91-AVERAGE(T6:T1198))/(STDEV(T6:T1198)+1E-12))</f>
        <v/>
      </c>
      <c r="X91" s="3">
        <f>IF(U91="","",U91-($V$3*G91+$W$3))</f>
        <v/>
      </c>
      <c r="Y91" s="3">
        <f>IF(X91="","",MAX(-3,MIN(3,(X91-$X3)/$X4)))</f>
        <v/>
      </c>
      <c r="Z91" s="3">
        <f>IF(Y91="","",(Y91-AVERAGE(Y6:Y1198))/(STDEV(Y6:Y1198)+1E-12))</f>
        <v/>
      </c>
    </row>
    <row r="92">
      <c r="A92" t="inlineStr">
        <is>
          <t>BBG00DM203B3</t>
        </is>
      </c>
      <c r="B92" s="3">
        <f>IF('3a Raw'!C92="","",MAX(-3,MIN(3,('3a Raw'!C92-$B3)/$B4)))</f>
        <v/>
      </c>
      <c r="C92" s="3">
        <f>IF(B92="","",(B92-AVERAGE(B6:B1198))/(STDEV(B6:B1198)+1E-12))</f>
        <v/>
      </c>
      <c r="D92" s="3">
        <f>IF('3a Raw'!D92="","",MAX(-3,MIN(3,('3a Raw'!D92-$D3)/$D4)))</f>
        <v/>
      </c>
      <c r="E92" s="3">
        <f>IF(D92="","",(D92-AVERAGE(D6:D1198))/(STDEV(D6:D1198)+1E-12))</f>
        <v/>
      </c>
      <c r="F92" s="3">
        <f>IF('3a Raw'!E92="","",MAX(-3,MIN(3,('3a Raw'!E92-$F3)/$F4)))</f>
        <v/>
      </c>
      <c r="G92" s="3">
        <f>IF(F92="","",(F92-AVERAGE(F6:F1198))/(STDEV(F6:F1198)+1E-12))</f>
        <v/>
      </c>
      <c r="H92" s="3">
        <f>IF('3a Raw'!F92="","",MAX(-3,MIN(3,('3a Raw'!F92-$H3)/$H4)))</f>
        <v/>
      </c>
      <c r="I92" s="3">
        <f>IF(H92="","",(H92-AVERAGE(H6:H1198))/(STDEV(H6:H1198)+1E-12))</f>
        <v/>
      </c>
      <c r="J92" s="3">
        <f>IF('3a Raw'!G92="","",MAX(-3,MIN(3,('3a Raw'!G92-$J3)/$J4)))</f>
        <v/>
      </c>
      <c r="K92" s="3">
        <f>IF(J92="","",(J92-AVERAGE(J6:J1198))/(STDEV(J6:J1198)+1E-12))</f>
        <v/>
      </c>
      <c r="L92" s="3">
        <f>IF('3a Raw'!H92="","",MAX(-3,MIN(3,('3a Raw'!H92-$L3)/$L4)))</f>
        <v/>
      </c>
      <c r="M92" s="3">
        <f>IF(L92="","",(L92-AVERAGE(L6:L1198))/(STDEV(L6:L1198)+1E-12))</f>
        <v/>
      </c>
      <c r="N92" s="3">
        <f>IF('3a Raw'!I92="","",MAX(-3,MIN(3,('3a Raw'!I92-$N3)/$N4)))</f>
        <v/>
      </c>
      <c r="O92" s="3">
        <f>IF(N92="","",(N92-AVERAGE(N6:N1198))/(STDEV(N6:N1198)+1E-12))</f>
        <v/>
      </c>
      <c r="P92" s="3">
        <f>IF('3a Raw'!J92="","",MAX(-3,MIN(3,('3a Raw'!J92-$P3)/$P4)))</f>
        <v/>
      </c>
      <c r="Q92" s="3">
        <f>IF(P92="","",(P92-AVERAGE(P6:P1198))/(STDEV(P6:P1198)+1E-12))</f>
        <v/>
      </c>
      <c r="R92" s="3">
        <f>IF('3a Raw'!K92="","",MAX(-3,MIN(3,('3a Raw'!K92-$R3)/$R4)))</f>
        <v/>
      </c>
      <c r="S92" s="3">
        <f>IF(R92="","",(R92-AVERAGE(R6:R1198))/(STDEV(R6:R1198)+1E-12))</f>
        <v/>
      </c>
      <c r="T92" s="3">
        <f>IF('3a Raw'!L92="","",MAX(-3,MIN(3,('3a Raw'!L92-$T3)/$T4)))</f>
        <v/>
      </c>
      <c r="U92" s="3">
        <f>IF(T92="","",(T92-AVERAGE(T6:T1198))/(STDEV(T6:T1198)+1E-12))</f>
        <v/>
      </c>
      <c r="X92" s="3">
        <f>IF(U92="","",U92-($V$3*G92+$W$3))</f>
        <v/>
      </c>
      <c r="Y92" s="3">
        <f>IF(X92="","",MAX(-3,MIN(3,(X92-$X3)/$X4)))</f>
        <v/>
      </c>
      <c r="Z92" s="3">
        <f>IF(Y92="","",(Y92-AVERAGE(Y6:Y1198))/(STDEV(Y6:Y1198)+1E-12))</f>
        <v/>
      </c>
    </row>
    <row r="93">
      <c r="A93" t="inlineStr">
        <is>
          <t>BBG000BC33T9</t>
        </is>
      </c>
      <c r="B93" s="3">
        <f>IF('3a Raw'!C93="","",MAX(-3,MIN(3,('3a Raw'!C93-$B3)/$B4)))</f>
        <v/>
      </c>
      <c r="C93" s="3">
        <f>IF(B93="","",(B93-AVERAGE(B6:B1198))/(STDEV(B6:B1198)+1E-12))</f>
        <v/>
      </c>
      <c r="D93" s="3">
        <f>IF('3a Raw'!D93="","",MAX(-3,MIN(3,('3a Raw'!D93-$D3)/$D4)))</f>
        <v/>
      </c>
      <c r="E93" s="3">
        <f>IF(D93="","",(D93-AVERAGE(D6:D1198))/(STDEV(D6:D1198)+1E-12))</f>
        <v/>
      </c>
      <c r="F93" s="3">
        <f>IF('3a Raw'!E93="","",MAX(-3,MIN(3,('3a Raw'!E93-$F3)/$F4)))</f>
        <v/>
      </c>
      <c r="G93" s="3">
        <f>IF(F93="","",(F93-AVERAGE(F6:F1198))/(STDEV(F6:F1198)+1E-12))</f>
        <v/>
      </c>
      <c r="H93" s="3">
        <f>IF('3a Raw'!F93="","",MAX(-3,MIN(3,('3a Raw'!F93-$H3)/$H4)))</f>
        <v/>
      </c>
      <c r="I93" s="3">
        <f>IF(H93="","",(H93-AVERAGE(H6:H1198))/(STDEV(H6:H1198)+1E-12))</f>
        <v/>
      </c>
      <c r="J93" s="3">
        <f>IF('3a Raw'!G93="","",MAX(-3,MIN(3,('3a Raw'!G93-$J3)/$J4)))</f>
        <v/>
      </c>
      <c r="K93" s="3">
        <f>IF(J93="","",(J93-AVERAGE(J6:J1198))/(STDEV(J6:J1198)+1E-12))</f>
        <v/>
      </c>
      <c r="L93" s="3">
        <f>IF('3a Raw'!H93="","",MAX(-3,MIN(3,('3a Raw'!H93-$L3)/$L4)))</f>
        <v/>
      </c>
      <c r="M93" s="3">
        <f>IF(L93="","",(L93-AVERAGE(L6:L1198))/(STDEV(L6:L1198)+1E-12))</f>
        <v/>
      </c>
      <c r="N93" s="3">
        <f>IF('3a Raw'!I93="","",MAX(-3,MIN(3,('3a Raw'!I93-$N3)/$N4)))</f>
        <v/>
      </c>
      <c r="O93" s="3">
        <f>IF(N93="","",(N93-AVERAGE(N6:N1198))/(STDEV(N6:N1198)+1E-12))</f>
        <v/>
      </c>
      <c r="P93" s="3">
        <f>IF('3a Raw'!J93="","",MAX(-3,MIN(3,('3a Raw'!J93-$P3)/$P4)))</f>
        <v/>
      </c>
      <c r="Q93" s="3">
        <f>IF(P93="","",(P93-AVERAGE(P6:P1198))/(STDEV(P6:P1198)+1E-12))</f>
        <v/>
      </c>
      <c r="R93" s="3">
        <f>IF('3a Raw'!K93="","",MAX(-3,MIN(3,('3a Raw'!K93-$R3)/$R4)))</f>
        <v/>
      </c>
      <c r="S93" s="3">
        <f>IF(R93="","",(R93-AVERAGE(R6:R1198))/(STDEV(R6:R1198)+1E-12))</f>
        <v/>
      </c>
      <c r="T93" s="3">
        <f>IF('3a Raw'!L93="","",MAX(-3,MIN(3,('3a Raw'!L93-$T3)/$T4)))</f>
        <v/>
      </c>
      <c r="U93" s="3">
        <f>IF(T93="","",(T93-AVERAGE(T6:T1198))/(STDEV(T6:T1198)+1E-12))</f>
        <v/>
      </c>
      <c r="X93" s="3">
        <f>IF(U93="","",U93-($V$3*G93+$W$3))</f>
        <v/>
      </c>
      <c r="Y93" s="3">
        <f>IF(X93="","",MAX(-3,MIN(3,(X93-$X3)/$X4)))</f>
        <v/>
      </c>
      <c r="Z93" s="3">
        <f>IF(Y93="","",(Y93-AVERAGE(Y6:Y1198))/(STDEV(Y6:Y1198)+1E-12))</f>
        <v/>
      </c>
    </row>
    <row r="94">
      <c r="A94" t="inlineStr">
        <is>
          <t>BBG0068KVV91</t>
        </is>
      </c>
      <c r="B94" s="3">
        <f>IF('3a Raw'!C94="","",MAX(-3,MIN(3,('3a Raw'!C94-$B3)/$B4)))</f>
        <v/>
      </c>
      <c r="C94" s="3">
        <f>IF(B94="","",(B94-AVERAGE(B6:B1198))/(STDEV(B6:B1198)+1E-12))</f>
        <v/>
      </c>
      <c r="D94" s="3">
        <f>IF('3a Raw'!D94="","",MAX(-3,MIN(3,('3a Raw'!D94-$D3)/$D4)))</f>
        <v/>
      </c>
      <c r="E94" s="3">
        <f>IF(D94="","",(D94-AVERAGE(D6:D1198))/(STDEV(D6:D1198)+1E-12))</f>
        <v/>
      </c>
      <c r="F94" s="3">
        <f>IF('3a Raw'!E94="","",MAX(-3,MIN(3,('3a Raw'!E94-$F3)/$F4)))</f>
        <v/>
      </c>
      <c r="G94" s="3">
        <f>IF(F94="","",(F94-AVERAGE(F6:F1198))/(STDEV(F6:F1198)+1E-12))</f>
        <v/>
      </c>
      <c r="H94" s="3">
        <f>IF('3a Raw'!F94="","",MAX(-3,MIN(3,('3a Raw'!F94-$H3)/$H4)))</f>
        <v/>
      </c>
      <c r="I94" s="3">
        <f>IF(H94="","",(H94-AVERAGE(H6:H1198))/(STDEV(H6:H1198)+1E-12))</f>
        <v/>
      </c>
      <c r="J94" s="3">
        <f>IF('3a Raw'!G94="","",MAX(-3,MIN(3,('3a Raw'!G94-$J3)/$J4)))</f>
        <v/>
      </c>
      <c r="K94" s="3">
        <f>IF(J94="","",(J94-AVERAGE(J6:J1198))/(STDEV(J6:J1198)+1E-12))</f>
        <v/>
      </c>
      <c r="L94" s="3">
        <f>IF('3a Raw'!H94="","",MAX(-3,MIN(3,('3a Raw'!H94-$L3)/$L4)))</f>
        <v/>
      </c>
      <c r="M94" s="3">
        <f>IF(L94="","",(L94-AVERAGE(L6:L1198))/(STDEV(L6:L1198)+1E-12))</f>
        <v/>
      </c>
      <c r="N94" s="3">
        <f>IF('3a Raw'!I94="","",MAX(-3,MIN(3,('3a Raw'!I94-$N3)/$N4)))</f>
        <v/>
      </c>
      <c r="O94" s="3">
        <f>IF(N94="","",(N94-AVERAGE(N6:N1198))/(STDEV(N6:N1198)+1E-12))</f>
        <v/>
      </c>
      <c r="P94" s="3">
        <f>IF('3a Raw'!J94="","",MAX(-3,MIN(3,('3a Raw'!J94-$P3)/$P4)))</f>
        <v/>
      </c>
      <c r="Q94" s="3">
        <f>IF(P94="","",(P94-AVERAGE(P6:P1198))/(STDEV(P6:P1198)+1E-12))</f>
        <v/>
      </c>
      <c r="R94" s="3">
        <f>IF('3a Raw'!K94="","",MAX(-3,MIN(3,('3a Raw'!K94-$R3)/$R4)))</f>
        <v/>
      </c>
      <c r="S94" s="3">
        <f>IF(R94="","",(R94-AVERAGE(R6:R1198))/(STDEV(R6:R1198)+1E-12))</f>
        <v/>
      </c>
      <c r="T94" s="3">
        <f>IF('3a Raw'!L94="","",MAX(-3,MIN(3,('3a Raw'!L94-$T3)/$T4)))</f>
        <v/>
      </c>
      <c r="U94" s="3">
        <f>IF(T94="","",(T94-AVERAGE(T6:T1198))/(STDEV(T6:T1198)+1E-12))</f>
        <v/>
      </c>
      <c r="X94" s="3">
        <f>IF(U94="","",U94-($V$3*G94+$W$3))</f>
        <v/>
      </c>
      <c r="Y94" s="3">
        <f>IF(X94="","",MAX(-3,MIN(3,(X94-$X3)/$X4)))</f>
        <v/>
      </c>
      <c r="Z94" s="3">
        <f>IF(Y94="","",(Y94-AVERAGE(Y6:Y1198))/(STDEV(Y6:Y1198)+1E-12))</f>
        <v/>
      </c>
    </row>
    <row r="95">
      <c r="A95" t="inlineStr">
        <is>
          <t>BBG00GHB88X9</t>
        </is>
      </c>
      <c r="B95" s="3">
        <f>IF('3a Raw'!C95="","",MAX(-3,MIN(3,('3a Raw'!C95-$B3)/$B4)))</f>
        <v/>
      </c>
      <c r="C95" s="3">
        <f>IF(B95="","",(B95-AVERAGE(B6:B1198))/(STDEV(B6:B1198)+1E-12))</f>
        <v/>
      </c>
      <c r="D95" s="3">
        <f>IF('3a Raw'!D95="","",MAX(-3,MIN(3,('3a Raw'!D95-$D3)/$D4)))</f>
        <v/>
      </c>
      <c r="E95" s="3">
        <f>IF(D95="","",(D95-AVERAGE(D6:D1198))/(STDEV(D6:D1198)+1E-12))</f>
        <v/>
      </c>
      <c r="F95" s="3">
        <f>IF('3a Raw'!E95="","",MAX(-3,MIN(3,('3a Raw'!E95-$F3)/$F4)))</f>
        <v/>
      </c>
      <c r="G95" s="3">
        <f>IF(F95="","",(F95-AVERAGE(F6:F1198))/(STDEV(F6:F1198)+1E-12))</f>
        <v/>
      </c>
      <c r="H95" s="3">
        <f>IF('3a Raw'!F95="","",MAX(-3,MIN(3,('3a Raw'!F95-$H3)/$H4)))</f>
        <v/>
      </c>
      <c r="I95" s="3">
        <f>IF(H95="","",(H95-AVERAGE(H6:H1198))/(STDEV(H6:H1198)+1E-12))</f>
        <v/>
      </c>
      <c r="J95" s="3">
        <f>IF('3a Raw'!G95="","",MAX(-3,MIN(3,('3a Raw'!G95-$J3)/$J4)))</f>
        <v/>
      </c>
      <c r="K95" s="3">
        <f>IF(J95="","",(J95-AVERAGE(J6:J1198))/(STDEV(J6:J1198)+1E-12))</f>
        <v/>
      </c>
      <c r="L95" s="3">
        <f>IF('3a Raw'!H95="","",MAX(-3,MIN(3,('3a Raw'!H95-$L3)/$L4)))</f>
        <v/>
      </c>
      <c r="M95" s="3">
        <f>IF(L95="","",(L95-AVERAGE(L6:L1198))/(STDEV(L6:L1198)+1E-12))</f>
        <v/>
      </c>
      <c r="N95" s="3">
        <f>IF('3a Raw'!I95="","",MAX(-3,MIN(3,('3a Raw'!I95-$N3)/$N4)))</f>
        <v/>
      </c>
      <c r="O95" s="3">
        <f>IF(N95="","",(N95-AVERAGE(N6:N1198))/(STDEV(N6:N1198)+1E-12))</f>
        <v/>
      </c>
      <c r="P95" s="3">
        <f>IF('3a Raw'!J95="","",MAX(-3,MIN(3,('3a Raw'!J95-$P3)/$P4)))</f>
        <v/>
      </c>
      <c r="Q95" s="3">
        <f>IF(P95="","",(P95-AVERAGE(P6:P1198))/(STDEV(P6:P1198)+1E-12))</f>
        <v/>
      </c>
      <c r="R95" s="3">
        <f>IF('3a Raw'!K95="","",MAX(-3,MIN(3,('3a Raw'!K95-$R3)/$R4)))</f>
        <v/>
      </c>
      <c r="S95" s="3">
        <f>IF(R95="","",(R95-AVERAGE(R6:R1198))/(STDEV(R6:R1198)+1E-12))</f>
        <v/>
      </c>
      <c r="T95" s="3">
        <f>IF('3a Raw'!L95="","",MAX(-3,MIN(3,('3a Raw'!L95-$T3)/$T4)))</f>
        <v/>
      </c>
      <c r="U95" s="3">
        <f>IF(T95="","",(T95-AVERAGE(T6:T1198))/(STDEV(T6:T1198)+1E-12))</f>
        <v/>
      </c>
      <c r="X95" s="3">
        <f>IF(U95="","",U95-($V$3*G95+$W$3))</f>
        <v/>
      </c>
      <c r="Y95" s="3">
        <f>IF(X95="","",MAX(-3,MIN(3,(X95-$X3)/$X4)))</f>
        <v/>
      </c>
      <c r="Z95" s="3">
        <f>IF(Y95="","",(Y95-AVERAGE(Y6:Y1198))/(STDEV(Y6:Y1198)+1E-12))</f>
        <v/>
      </c>
    </row>
    <row r="96">
      <c r="A96" t="inlineStr">
        <is>
          <t>BBG01J1GXZF0</t>
        </is>
      </c>
      <c r="B96" s="3">
        <f>IF('3a Raw'!C96="","",MAX(-3,MIN(3,('3a Raw'!C96-$B3)/$B4)))</f>
        <v/>
      </c>
      <c r="C96" s="3">
        <f>IF(B96="","",(B96-AVERAGE(B6:B1198))/(STDEV(B6:B1198)+1E-12))</f>
        <v/>
      </c>
      <c r="D96" s="3">
        <f>IF('3a Raw'!D96="","",MAX(-3,MIN(3,('3a Raw'!D96-$D3)/$D4)))</f>
        <v/>
      </c>
      <c r="E96" s="3">
        <f>IF(D96="","",(D96-AVERAGE(D6:D1198))/(STDEV(D6:D1198)+1E-12))</f>
        <v/>
      </c>
      <c r="F96" s="3">
        <f>IF('3a Raw'!E96="","",MAX(-3,MIN(3,('3a Raw'!E96-$F3)/$F4)))</f>
        <v/>
      </c>
      <c r="G96" s="3">
        <f>IF(F96="","",(F96-AVERAGE(F6:F1198))/(STDEV(F6:F1198)+1E-12))</f>
        <v/>
      </c>
      <c r="H96" s="3">
        <f>IF('3a Raw'!F96="","",MAX(-3,MIN(3,('3a Raw'!F96-$H3)/$H4)))</f>
        <v/>
      </c>
      <c r="I96" s="3">
        <f>IF(H96="","",(H96-AVERAGE(H6:H1198))/(STDEV(H6:H1198)+1E-12))</f>
        <v/>
      </c>
      <c r="J96" s="3">
        <f>IF('3a Raw'!G96="","",MAX(-3,MIN(3,('3a Raw'!G96-$J3)/$J4)))</f>
        <v/>
      </c>
      <c r="K96" s="3">
        <f>IF(J96="","",(J96-AVERAGE(J6:J1198))/(STDEV(J6:J1198)+1E-12))</f>
        <v/>
      </c>
      <c r="L96" s="3">
        <f>IF('3a Raw'!H96="","",MAX(-3,MIN(3,('3a Raw'!H96-$L3)/$L4)))</f>
        <v/>
      </c>
      <c r="M96" s="3">
        <f>IF(L96="","",(L96-AVERAGE(L6:L1198))/(STDEV(L6:L1198)+1E-12))</f>
        <v/>
      </c>
      <c r="N96" s="3">
        <f>IF('3a Raw'!I96="","",MAX(-3,MIN(3,('3a Raw'!I96-$N3)/$N4)))</f>
        <v/>
      </c>
      <c r="O96" s="3">
        <f>IF(N96="","",(N96-AVERAGE(N6:N1198))/(STDEV(N6:N1198)+1E-12))</f>
        <v/>
      </c>
      <c r="P96" s="3">
        <f>IF('3a Raw'!J96="","",MAX(-3,MIN(3,('3a Raw'!J96-$P3)/$P4)))</f>
        <v/>
      </c>
      <c r="Q96" s="3">
        <f>IF(P96="","",(P96-AVERAGE(P6:P1198))/(STDEV(P6:P1198)+1E-12))</f>
        <v/>
      </c>
      <c r="R96" s="3">
        <f>IF('3a Raw'!K96="","",MAX(-3,MIN(3,('3a Raw'!K96-$R3)/$R4)))</f>
        <v/>
      </c>
      <c r="S96" s="3">
        <f>IF(R96="","",(R96-AVERAGE(R6:R1198))/(STDEV(R6:R1198)+1E-12))</f>
        <v/>
      </c>
      <c r="T96" s="3">
        <f>IF('3a Raw'!L96="","",MAX(-3,MIN(3,('3a Raw'!L96-$T3)/$T4)))</f>
        <v/>
      </c>
      <c r="U96" s="3">
        <f>IF(T96="","",(T96-AVERAGE(T6:T1198))/(STDEV(T6:T1198)+1E-12))</f>
        <v/>
      </c>
      <c r="X96" s="3">
        <f>IF(U96="","",U96-($V$3*G96+$W$3))</f>
        <v/>
      </c>
      <c r="Y96" s="3">
        <f>IF(X96="","",MAX(-3,MIN(3,(X96-$X3)/$X4)))</f>
        <v/>
      </c>
      <c r="Z96" s="3">
        <f>IF(Y96="","",(Y96-AVERAGE(Y6:Y1198))/(STDEV(Y6:Y1198)+1E-12))</f>
        <v/>
      </c>
    </row>
    <row r="97">
      <c r="A97" t="inlineStr">
        <is>
          <t>BBG001KY4N87</t>
        </is>
      </c>
      <c r="B97" s="3">
        <f>IF('3a Raw'!C97="","",MAX(-3,MIN(3,('3a Raw'!C97-$B3)/$B4)))</f>
        <v/>
      </c>
      <c r="C97" s="3">
        <f>IF(B97="","",(B97-AVERAGE(B6:B1198))/(STDEV(B6:B1198)+1E-12))</f>
        <v/>
      </c>
      <c r="D97" s="3">
        <f>IF('3a Raw'!D97="","",MAX(-3,MIN(3,('3a Raw'!D97-$D3)/$D4)))</f>
        <v/>
      </c>
      <c r="E97" s="3">
        <f>IF(D97="","",(D97-AVERAGE(D6:D1198))/(STDEV(D6:D1198)+1E-12))</f>
        <v/>
      </c>
      <c r="F97" s="3">
        <f>IF('3a Raw'!E97="","",MAX(-3,MIN(3,('3a Raw'!E97-$F3)/$F4)))</f>
        <v/>
      </c>
      <c r="G97" s="3">
        <f>IF(F97="","",(F97-AVERAGE(F6:F1198))/(STDEV(F6:F1198)+1E-12))</f>
        <v/>
      </c>
      <c r="H97" s="3">
        <f>IF('3a Raw'!F97="","",MAX(-3,MIN(3,('3a Raw'!F97-$H3)/$H4)))</f>
        <v/>
      </c>
      <c r="I97" s="3">
        <f>IF(H97="","",(H97-AVERAGE(H6:H1198))/(STDEV(H6:H1198)+1E-12))</f>
        <v/>
      </c>
      <c r="J97" s="3">
        <f>IF('3a Raw'!G97="","",MAX(-3,MIN(3,('3a Raw'!G97-$J3)/$J4)))</f>
        <v/>
      </c>
      <c r="K97" s="3">
        <f>IF(J97="","",(J97-AVERAGE(J6:J1198))/(STDEV(J6:J1198)+1E-12))</f>
        <v/>
      </c>
      <c r="L97" s="3">
        <f>IF('3a Raw'!H97="","",MAX(-3,MIN(3,('3a Raw'!H97-$L3)/$L4)))</f>
        <v/>
      </c>
      <c r="M97" s="3">
        <f>IF(L97="","",(L97-AVERAGE(L6:L1198))/(STDEV(L6:L1198)+1E-12))</f>
        <v/>
      </c>
      <c r="N97" s="3">
        <f>IF('3a Raw'!I97="","",MAX(-3,MIN(3,('3a Raw'!I97-$N3)/$N4)))</f>
        <v/>
      </c>
      <c r="O97" s="3">
        <f>IF(N97="","",(N97-AVERAGE(N6:N1198))/(STDEV(N6:N1198)+1E-12))</f>
        <v/>
      </c>
      <c r="P97" s="3">
        <f>IF('3a Raw'!J97="","",MAX(-3,MIN(3,('3a Raw'!J97-$P3)/$P4)))</f>
        <v/>
      </c>
      <c r="Q97" s="3">
        <f>IF(P97="","",(P97-AVERAGE(P6:P1198))/(STDEV(P6:P1198)+1E-12))</f>
        <v/>
      </c>
      <c r="R97" s="3">
        <f>IF('3a Raw'!K97="","",MAX(-3,MIN(3,('3a Raw'!K97-$R3)/$R4)))</f>
        <v/>
      </c>
      <c r="S97" s="3">
        <f>IF(R97="","",(R97-AVERAGE(R6:R1198))/(STDEV(R6:R1198)+1E-12))</f>
        <v/>
      </c>
      <c r="T97" s="3">
        <f>IF('3a Raw'!L97="","",MAX(-3,MIN(3,('3a Raw'!L97-$T3)/$T4)))</f>
        <v/>
      </c>
      <c r="U97" s="3">
        <f>IF(T97="","",(T97-AVERAGE(T6:T1198))/(STDEV(T6:T1198)+1E-12))</f>
        <v/>
      </c>
      <c r="X97" s="3">
        <f>IF(U97="","",U97-($V$3*G97+$W$3))</f>
        <v/>
      </c>
      <c r="Y97" s="3">
        <f>IF(X97="","",MAX(-3,MIN(3,(X97-$X3)/$X4)))</f>
        <v/>
      </c>
      <c r="Z97" s="3">
        <f>IF(Y97="","",(Y97-AVERAGE(Y6:Y1198))/(STDEV(Y6:Y1198)+1E-12))</f>
        <v/>
      </c>
    </row>
    <row r="98">
      <c r="A98" t="inlineStr">
        <is>
          <t>BBG001V4SF46</t>
        </is>
      </c>
      <c r="B98" s="3">
        <f>IF('3a Raw'!C98="","",MAX(-3,MIN(3,('3a Raw'!C98-$B3)/$B4)))</f>
        <v/>
      </c>
      <c r="C98" s="3">
        <f>IF(B98="","",(B98-AVERAGE(B6:B1198))/(STDEV(B6:B1198)+1E-12))</f>
        <v/>
      </c>
      <c r="D98" s="3">
        <f>IF('3a Raw'!D98="","",MAX(-3,MIN(3,('3a Raw'!D98-$D3)/$D4)))</f>
        <v/>
      </c>
      <c r="E98" s="3">
        <f>IF(D98="","",(D98-AVERAGE(D6:D1198))/(STDEV(D6:D1198)+1E-12))</f>
        <v/>
      </c>
      <c r="F98" s="3">
        <f>IF('3a Raw'!E98="","",MAX(-3,MIN(3,('3a Raw'!E98-$F3)/$F4)))</f>
        <v/>
      </c>
      <c r="G98" s="3">
        <f>IF(F98="","",(F98-AVERAGE(F6:F1198))/(STDEV(F6:F1198)+1E-12))</f>
        <v/>
      </c>
      <c r="H98" s="3">
        <f>IF('3a Raw'!F98="","",MAX(-3,MIN(3,('3a Raw'!F98-$H3)/$H4)))</f>
        <v/>
      </c>
      <c r="I98" s="3">
        <f>IF(H98="","",(H98-AVERAGE(H6:H1198))/(STDEV(H6:H1198)+1E-12))</f>
        <v/>
      </c>
      <c r="J98" s="3">
        <f>IF('3a Raw'!G98="","",MAX(-3,MIN(3,('3a Raw'!G98-$J3)/$J4)))</f>
        <v/>
      </c>
      <c r="K98" s="3">
        <f>IF(J98="","",(J98-AVERAGE(J6:J1198))/(STDEV(J6:J1198)+1E-12))</f>
        <v/>
      </c>
      <c r="L98" s="3">
        <f>IF('3a Raw'!H98="","",MAX(-3,MIN(3,('3a Raw'!H98-$L3)/$L4)))</f>
        <v/>
      </c>
      <c r="M98" s="3">
        <f>IF(L98="","",(L98-AVERAGE(L6:L1198))/(STDEV(L6:L1198)+1E-12))</f>
        <v/>
      </c>
      <c r="N98" s="3">
        <f>IF('3a Raw'!I98="","",MAX(-3,MIN(3,('3a Raw'!I98-$N3)/$N4)))</f>
        <v/>
      </c>
      <c r="O98" s="3">
        <f>IF(N98="","",(N98-AVERAGE(N6:N1198))/(STDEV(N6:N1198)+1E-12))</f>
        <v/>
      </c>
      <c r="P98" s="3">
        <f>IF('3a Raw'!J98="","",MAX(-3,MIN(3,('3a Raw'!J98-$P3)/$P4)))</f>
        <v/>
      </c>
      <c r="Q98" s="3">
        <f>IF(P98="","",(P98-AVERAGE(P6:P1198))/(STDEV(P6:P1198)+1E-12))</f>
        <v/>
      </c>
      <c r="R98" s="3">
        <f>IF('3a Raw'!K98="","",MAX(-3,MIN(3,('3a Raw'!K98-$R3)/$R4)))</f>
        <v/>
      </c>
      <c r="S98" s="3">
        <f>IF(R98="","",(R98-AVERAGE(R6:R1198))/(STDEV(R6:R1198)+1E-12))</f>
        <v/>
      </c>
      <c r="T98" s="3">
        <f>IF('3a Raw'!L98="","",MAX(-3,MIN(3,('3a Raw'!L98-$T3)/$T4)))</f>
        <v/>
      </c>
      <c r="U98" s="3">
        <f>IF(T98="","",(T98-AVERAGE(T6:T1198))/(STDEV(T6:T1198)+1E-12))</f>
        <v/>
      </c>
      <c r="X98" s="3">
        <f>IF(U98="","",U98-($V$3*G98+$W$3))</f>
        <v/>
      </c>
      <c r="Y98" s="3">
        <f>IF(X98="","",MAX(-3,MIN(3,(X98-$X3)/$X4)))</f>
        <v/>
      </c>
      <c r="Z98" s="3">
        <f>IF(Y98="","",(Y98-AVERAGE(Y6:Y1198))/(STDEV(Y6:Y1198)+1E-12))</f>
        <v/>
      </c>
    </row>
    <row r="99">
      <c r="A99" t="inlineStr">
        <is>
          <t>BBG000BCFQC3</t>
        </is>
      </c>
      <c r="B99" s="3">
        <f>IF('3a Raw'!C99="","",MAX(-3,MIN(3,('3a Raw'!C99-$B3)/$B4)))</f>
        <v/>
      </c>
      <c r="C99" s="3">
        <f>IF(B99="","",(B99-AVERAGE(B6:B1198))/(STDEV(B6:B1198)+1E-12))</f>
        <v/>
      </c>
      <c r="D99" s="3">
        <f>IF('3a Raw'!D99="","",MAX(-3,MIN(3,('3a Raw'!D99-$D3)/$D4)))</f>
        <v/>
      </c>
      <c r="E99" s="3">
        <f>IF(D99="","",(D99-AVERAGE(D6:D1198))/(STDEV(D6:D1198)+1E-12))</f>
        <v/>
      </c>
      <c r="F99" s="3">
        <f>IF('3a Raw'!E99="","",MAX(-3,MIN(3,('3a Raw'!E99-$F3)/$F4)))</f>
        <v/>
      </c>
      <c r="G99" s="3">
        <f>IF(F99="","",(F99-AVERAGE(F6:F1198))/(STDEV(F6:F1198)+1E-12))</f>
        <v/>
      </c>
      <c r="H99" s="3">
        <f>IF('3a Raw'!F99="","",MAX(-3,MIN(3,('3a Raw'!F99-$H3)/$H4)))</f>
        <v/>
      </c>
      <c r="I99" s="3">
        <f>IF(H99="","",(H99-AVERAGE(H6:H1198))/(STDEV(H6:H1198)+1E-12))</f>
        <v/>
      </c>
      <c r="J99" s="3">
        <f>IF('3a Raw'!G99="","",MAX(-3,MIN(3,('3a Raw'!G99-$J3)/$J4)))</f>
        <v/>
      </c>
      <c r="K99" s="3">
        <f>IF(J99="","",(J99-AVERAGE(J6:J1198))/(STDEV(J6:J1198)+1E-12))</f>
        <v/>
      </c>
      <c r="L99" s="3">
        <f>IF('3a Raw'!H99="","",MAX(-3,MIN(3,('3a Raw'!H99-$L3)/$L4)))</f>
        <v/>
      </c>
      <c r="M99" s="3">
        <f>IF(L99="","",(L99-AVERAGE(L6:L1198))/(STDEV(L6:L1198)+1E-12))</f>
        <v/>
      </c>
      <c r="N99" s="3">
        <f>IF('3a Raw'!I99="","",MAX(-3,MIN(3,('3a Raw'!I99-$N3)/$N4)))</f>
        <v/>
      </c>
      <c r="O99" s="3">
        <f>IF(N99="","",(N99-AVERAGE(N6:N1198))/(STDEV(N6:N1198)+1E-12))</f>
        <v/>
      </c>
      <c r="P99" s="3">
        <f>IF('3a Raw'!J99="","",MAX(-3,MIN(3,('3a Raw'!J99-$P3)/$P4)))</f>
        <v/>
      </c>
      <c r="Q99" s="3">
        <f>IF(P99="","",(P99-AVERAGE(P6:P1198))/(STDEV(P6:P1198)+1E-12))</f>
        <v/>
      </c>
      <c r="R99" s="3">
        <f>IF('3a Raw'!K99="","",MAX(-3,MIN(3,('3a Raw'!K99-$R3)/$R4)))</f>
        <v/>
      </c>
      <c r="S99" s="3">
        <f>IF(R99="","",(R99-AVERAGE(R6:R1198))/(STDEV(R6:R1198)+1E-12))</f>
        <v/>
      </c>
      <c r="T99" s="3">
        <f>IF('3a Raw'!L99="","",MAX(-3,MIN(3,('3a Raw'!L99-$T3)/$T4)))</f>
        <v/>
      </c>
      <c r="U99" s="3">
        <f>IF(T99="","",(T99-AVERAGE(T6:T1198))/(STDEV(T6:T1198)+1E-12))</f>
        <v/>
      </c>
      <c r="X99" s="3">
        <f>IF(U99="","",U99-($V$3*G99+$W$3))</f>
        <v/>
      </c>
      <c r="Y99" s="3">
        <f>IF(X99="","",MAX(-3,MIN(3,(X99-$X3)/$X4)))</f>
        <v/>
      </c>
      <c r="Z99" s="3">
        <f>IF(Y99="","",(Y99-AVERAGE(Y6:Y1198))/(STDEV(Y6:Y1198)+1E-12))</f>
        <v/>
      </c>
    </row>
    <row r="100">
      <c r="A100" t="inlineStr">
        <is>
          <t>BBG00D0Y81M1</t>
        </is>
      </c>
      <c r="B100" s="3">
        <f>IF('3a Raw'!C100="","",MAX(-3,MIN(3,('3a Raw'!C100-$B3)/$B4)))</f>
        <v/>
      </c>
      <c r="C100" s="3">
        <f>IF(B100="","",(B100-AVERAGE(B6:B1198))/(STDEV(B6:B1198)+1E-12))</f>
        <v/>
      </c>
      <c r="D100" s="3">
        <f>IF('3a Raw'!D100="","",MAX(-3,MIN(3,('3a Raw'!D100-$D3)/$D4)))</f>
        <v/>
      </c>
      <c r="E100" s="3">
        <f>IF(D100="","",(D100-AVERAGE(D6:D1198))/(STDEV(D6:D1198)+1E-12))</f>
        <v/>
      </c>
      <c r="F100" s="3">
        <f>IF('3a Raw'!E100="","",MAX(-3,MIN(3,('3a Raw'!E100-$F3)/$F4)))</f>
        <v/>
      </c>
      <c r="G100" s="3">
        <f>IF(F100="","",(F100-AVERAGE(F6:F1198))/(STDEV(F6:F1198)+1E-12))</f>
        <v/>
      </c>
      <c r="H100" s="3">
        <f>IF('3a Raw'!F100="","",MAX(-3,MIN(3,('3a Raw'!F100-$H3)/$H4)))</f>
        <v/>
      </c>
      <c r="I100" s="3">
        <f>IF(H100="","",(H100-AVERAGE(H6:H1198))/(STDEV(H6:H1198)+1E-12))</f>
        <v/>
      </c>
      <c r="J100" s="3">
        <f>IF('3a Raw'!G100="","",MAX(-3,MIN(3,('3a Raw'!G100-$J3)/$J4)))</f>
        <v/>
      </c>
      <c r="K100" s="3">
        <f>IF(J100="","",(J100-AVERAGE(J6:J1198))/(STDEV(J6:J1198)+1E-12))</f>
        <v/>
      </c>
      <c r="L100" s="3">
        <f>IF('3a Raw'!H100="","",MAX(-3,MIN(3,('3a Raw'!H100-$L3)/$L4)))</f>
        <v/>
      </c>
      <c r="M100" s="3">
        <f>IF(L100="","",(L100-AVERAGE(L6:L1198))/(STDEV(L6:L1198)+1E-12))</f>
        <v/>
      </c>
      <c r="N100" s="3">
        <f>IF('3a Raw'!I100="","",MAX(-3,MIN(3,('3a Raw'!I100-$N3)/$N4)))</f>
        <v/>
      </c>
      <c r="O100" s="3">
        <f>IF(N100="","",(N100-AVERAGE(N6:N1198))/(STDEV(N6:N1198)+1E-12))</f>
        <v/>
      </c>
      <c r="P100" s="3">
        <f>IF('3a Raw'!J100="","",MAX(-3,MIN(3,('3a Raw'!J100-$P3)/$P4)))</f>
        <v/>
      </c>
      <c r="Q100" s="3">
        <f>IF(P100="","",(P100-AVERAGE(P6:P1198))/(STDEV(P6:P1198)+1E-12))</f>
        <v/>
      </c>
      <c r="R100" s="3">
        <f>IF('3a Raw'!K100="","",MAX(-3,MIN(3,('3a Raw'!K100-$R3)/$R4)))</f>
        <v/>
      </c>
      <c r="S100" s="3">
        <f>IF(R100="","",(R100-AVERAGE(R6:R1198))/(STDEV(R6:R1198)+1E-12))</f>
        <v/>
      </c>
      <c r="T100" s="3">
        <f>IF('3a Raw'!L100="","",MAX(-3,MIN(3,('3a Raw'!L100-$T3)/$T4)))</f>
        <v/>
      </c>
      <c r="U100" s="3">
        <f>IF(T100="","",(T100-AVERAGE(T6:T1198))/(STDEV(T6:T1198)+1E-12))</f>
        <v/>
      </c>
      <c r="X100" s="3">
        <f>IF(U100="","",U100-($V$3*G100+$W$3))</f>
        <v/>
      </c>
      <c r="Y100" s="3">
        <f>IF(X100="","",MAX(-3,MIN(3,(X100-$X3)/$X4)))</f>
        <v/>
      </c>
      <c r="Z100" s="3">
        <f>IF(Y100="","",(Y100-AVERAGE(Y6:Y1198))/(STDEV(Y6:Y1198)+1E-12))</f>
        <v/>
      </c>
    </row>
    <row r="101">
      <c r="A101" t="inlineStr">
        <is>
          <t>BBG00X7L1C14</t>
        </is>
      </c>
      <c r="B101" s="3">
        <f>IF('3a Raw'!C101="","",MAX(-3,MIN(3,('3a Raw'!C101-$B3)/$B4)))</f>
        <v/>
      </c>
      <c r="C101" s="3">
        <f>IF(B101="","",(B101-AVERAGE(B6:B1198))/(STDEV(B6:B1198)+1E-12))</f>
        <v/>
      </c>
      <c r="D101" s="3">
        <f>IF('3a Raw'!D101="","",MAX(-3,MIN(3,('3a Raw'!D101-$D3)/$D4)))</f>
        <v/>
      </c>
      <c r="E101" s="3">
        <f>IF(D101="","",(D101-AVERAGE(D6:D1198))/(STDEV(D6:D1198)+1E-12))</f>
        <v/>
      </c>
      <c r="F101" s="3">
        <f>IF('3a Raw'!E101="","",MAX(-3,MIN(3,('3a Raw'!E101-$F3)/$F4)))</f>
        <v/>
      </c>
      <c r="G101" s="3">
        <f>IF(F101="","",(F101-AVERAGE(F6:F1198))/(STDEV(F6:F1198)+1E-12))</f>
        <v/>
      </c>
      <c r="H101" s="3">
        <f>IF('3a Raw'!F101="","",MAX(-3,MIN(3,('3a Raw'!F101-$H3)/$H4)))</f>
        <v/>
      </c>
      <c r="I101" s="3">
        <f>IF(H101="","",(H101-AVERAGE(H6:H1198))/(STDEV(H6:H1198)+1E-12))</f>
        <v/>
      </c>
      <c r="J101" s="3">
        <f>IF('3a Raw'!G101="","",MAX(-3,MIN(3,('3a Raw'!G101-$J3)/$J4)))</f>
        <v/>
      </c>
      <c r="K101" s="3">
        <f>IF(J101="","",(J101-AVERAGE(J6:J1198))/(STDEV(J6:J1198)+1E-12))</f>
        <v/>
      </c>
      <c r="L101" s="3">
        <f>IF('3a Raw'!H101="","",MAX(-3,MIN(3,('3a Raw'!H101-$L3)/$L4)))</f>
        <v/>
      </c>
      <c r="M101" s="3">
        <f>IF(L101="","",(L101-AVERAGE(L6:L1198))/(STDEV(L6:L1198)+1E-12))</f>
        <v/>
      </c>
      <c r="N101" s="3">
        <f>IF('3a Raw'!I101="","",MAX(-3,MIN(3,('3a Raw'!I101-$N3)/$N4)))</f>
        <v/>
      </c>
      <c r="O101" s="3">
        <f>IF(N101="","",(N101-AVERAGE(N6:N1198))/(STDEV(N6:N1198)+1E-12))</f>
        <v/>
      </c>
      <c r="P101" s="3">
        <f>IF('3a Raw'!J101="","",MAX(-3,MIN(3,('3a Raw'!J101-$P3)/$P4)))</f>
        <v/>
      </c>
      <c r="Q101" s="3">
        <f>IF(P101="","",(P101-AVERAGE(P6:P1198))/(STDEV(P6:P1198)+1E-12))</f>
        <v/>
      </c>
      <c r="R101" s="3">
        <f>IF('3a Raw'!K101="","",MAX(-3,MIN(3,('3a Raw'!K101-$R3)/$R4)))</f>
        <v/>
      </c>
      <c r="S101" s="3">
        <f>IF(R101="","",(R101-AVERAGE(R6:R1198))/(STDEV(R6:R1198)+1E-12))</f>
        <v/>
      </c>
      <c r="T101" s="3">
        <f>IF('3a Raw'!L101="","",MAX(-3,MIN(3,('3a Raw'!L101-$T3)/$T4)))</f>
        <v/>
      </c>
      <c r="U101" s="3">
        <f>IF(T101="","",(T101-AVERAGE(T6:T1198))/(STDEV(T6:T1198)+1E-12))</f>
        <v/>
      </c>
      <c r="X101" s="3">
        <f>IF(U101="","",U101-($V$3*G101+$W$3))</f>
        <v/>
      </c>
      <c r="Y101" s="3">
        <f>IF(X101="","",MAX(-3,MIN(3,(X101-$X3)/$X4)))</f>
        <v/>
      </c>
      <c r="Z101" s="3">
        <f>IF(Y101="","",(Y101-AVERAGE(Y6:Y1198))/(STDEV(Y6:Y1198)+1E-12))</f>
        <v/>
      </c>
    </row>
    <row r="102">
      <c r="A102" t="inlineStr">
        <is>
          <t>BBG00Q402TR2</t>
        </is>
      </c>
      <c r="B102" s="3">
        <f>IF('3a Raw'!C102="","",MAX(-3,MIN(3,('3a Raw'!C102-$B3)/$B4)))</f>
        <v/>
      </c>
      <c r="C102" s="3">
        <f>IF(B102="","",(B102-AVERAGE(B6:B1198))/(STDEV(B6:B1198)+1E-12))</f>
        <v/>
      </c>
      <c r="D102" s="3">
        <f>IF('3a Raw'!D102="","",MAX(-3,MIN(3,('3a Raw'!D102-$D3)/$D4)))</f>
        <v/>
      </c>
      <c r="E102" s="3">
        <f>IF(D102="","",(D102-AVERAGE(D6:D1198))/(STDEV(D6:D1198)+1E-12))</f>
        <v/>
      </c>
      <c r="F102" s="3">
        <f>IF('3a Raw'!E102="","",MAX(-3,MIN(3,('3a Raw'!E102-$F3)/$F4)))</f>
        <v/>
      </c>
      <c r="G102" s="3">
        <f>IF(F102="","",(F102-AVERAGE(F6:F1198))/(STDEV(F6:F1198)+1E-12))</f>
        <v/>
      </c>
      <c r="H102" s="3">
        <f>IF('3a Raw'!F102="","",MAX(-3,MIN(3,('3a Raw'!F102-$H3)/$H4)))</f>
        <v/>
      </c>
      <c r="I102" s="3">
        <f>IF(H102="","",(H102-AVERAGE(H6:H1198))/(STDEV(H6:H1198)+1E-12))</f>
        <v/>
      </c>
      <c r="J102" s="3">
        <f>IF('3a Raw'!G102="","",MAX(-3,MIN(3,('3a Raw'!G102-$J3)/$J4)))</f>
        <v/>
      </c>
      <c r="K102" s="3">
        <f>IF(J102="","",(J102-AVERAGE(J6:J1198))/(STDEV(J6:J1198)+1E-12))</f>
        <v/>
      </c>
      <c r="L102" s="3">
        <f>IF('3a Raw'!H102="","",MAX(-3,MIN(3,('3a Raw'!H102-$L3)/$L4)))</f>
        <v/>
      </c>
      <c r="M102" s="3">
        <f>IF(L102="","",(L102-AVERAGE(L6:L1198))/(STDEV(L6:L1198)+1E-12))</f>
        <v/>
      </c>
      <c r="N102" s="3">
        <f>IF('3a Raw'!I102="","",MAX(-3,MIN(3,('3a Raw'!I102-$N3)/$N4)))</f>
        <v/>
      </c>
      <c r="O102" s="3">
        <f>IF(N102="","",(N102-AVERAGE(N6:N1198))/(STDEV(N6:N1198)+1E-12))</f>
        <v/>
      </c>
      <c r="P102" s="3">
        <f>IF('3a Raw'!J102="","",MAX(-3,MIN(3,('3a Raw'!J102-$P3)/$P4)))</f>
        <v/>
      </c>
      <c r="Q102" s="3">
        <f>IF(P102="","",(P102-AVERAGE(P6:P1198))/(STDEV(P6:P1198)+1E-12))</f>
        <v/>
      </c>
      <c r="R102" s="3">
        <f>IF('3a Raw'!K102="","",MAX(-3,MIN(3,('3a Raw'!K102-$R3)/$R4)))</f>
        <v/>
      </c>
      <c r="S102" s="3">
        <f>IF(R102="","",(R102-AVERAGE(R6:R1198))/(STDEV(R6:R1198)+1E-12))</f>
        <v/>
      </c>
      <c r="T102" s="3">
        <f>IF('3a Raw'!L102="","",MAX(-3,MIN(3,('3a Raw'!L102-$T3)/$T4)))</f>
        <v/>
      </c>
      <c r="U102" s="3">
        <f>IF(T102="","",(T102-AVERAGE(T6:T1198))/(STDEV(T6:T1198)+1E-12))</f>
        <v/>
      </c>
      <c r="X102" s="3">
        <f>IF(U102="","",U102-($V$3*G102+$W$3))</f>
        <v/>
      </c>
      <c r="Y102" s="3">
        <f>IF(X102="","",MAX(-3,MIN(3,(X102-$X3)/$X4)))</f>
        <v/>
      </c>
      <c r="Z102" s="3">
        <f>IF(Y102="","",(Y102-AVERAGE(Y6:Y1198))/(STDEV(Y6:Y1198)+1E-12))</f>
        <v/>
      </c>
    </row>
    <row r="103">
      <c r="A103" t="inlineStr">
        <is>
          <t>BBG005JYTDQ5</t>
        </is>
      </c>
      <c r="B103" s="3">
        <f>IF('3a Raw'!C103="","",MAX(-3,MIN(3,('3a Raw'!C103-$B3)/$B4)))</f>
        <v/>
      </c>
      <c r="C103" s="3">
        <f>IF(B103="","",(B103-AVERAGE(B6:B1198))/(STDEV(B6:B1198)+1E-12))</f>
        <v/>
      </c>
      <c r="D103" s="3">
        <f>IF('3a Raw'!D103="","",MAX(-3,MIN(3,('3a Raw'!D103-$D3)/$D4)))</f>
        <v/>
      </c>
      <c r="E103" s="3">
        <f>IF(D103="","",(D103-AVERAGE(D6:D1198))/(STDEV(D6:D1198)+1E-12))</f>
        <v/>
      </c>
      <c r="F103" s="3">
        <f>IF('3a Raw'!E103="","",MAX(-3,MIN(3,('3a Raw'!E103-$F3)/$F4)))</f>
        <v/>
      </c>
      <c r="G103" s="3">
        <f>IF(F103="","",(F103-AVERAGE(F6:F1198))/(STDEV(F6:F1198)+1E-12))</f>
        <v/>
      </c>
      <c r="H103" s="3">
        <f>IF('3a Raw'!F103="","",MAX(-3,MIN(3,('3a Raw'!F103-$H3)/$H4)))</f>
        <v/>
      </c>
      <c r="I103" s="3">
        <f>IF(H103="","",(H103-AVERAGE(H6:H1198))/(STDEV(H6:H1198)+1E-12))</f>
        <v/>
      </c>
      <c r="J103" s="3">
        <f>IF('3a Raw'!G103="","",MAX(-3,MIN(3,('3a Raw'!G103-$J3)/$J4)))</f>
        <v/>
      </c>
      <c r="K103" s="3">
        <f>IF(J103="","",(J103-AVERAGE(J6:J1198))/(STDEV(J6:J1198)+1E-12))</f>
        <v/>
      </c>
      <c r="L103" s="3">
        <f>IF('3a Raw'!H103="","",MAX(-3,MIN(3,('3a Raw'!H103-$L3)/$L4)))</f>
        <v/>
      </c>
      <c r="M103" s="3">
        <f>IF(L103="","",(L103-AVERAGE(L6:L1198))/(STDEV(L6:L1198)+1E-12))</f>
        <v/>
      </c>
      <c r="N103" s="3">
        <f>IF('3a Raw'!I103="","",MAX(-3,MIN(3,('3a Raw'!I103-$N3)/$N4)))</f>
        <v/>
      </c>
      <c r="O103" s="3">
        <f>IF(N103="","",(N103-AVERAGE(N6:N1198))/(STDEV(N6:N1198)+1E-12))</f>
        <v/>
      </c>
      <c r="P103" s="3">
        <f>IF('3a Raw'!J103="","",MAX(-3,MIN(3,('3a Raw'!J103-$P3)/$P4)))</f>
        <v/>
      </c>
      <c r="Q103" s="3">
        <f>IF(P103="","",(P103-AVERAGE(P6:P1198))/(STDEV(P6:P1198)+1E-12))</f>
        <v/>
      </c>
      <c r="R103" s="3">
        <f>IF('3a Raw'!K103="","",MAX(-3,MIN(3,('3a Raw'!K103-$R3)/$R4)))</f>
        <v/>
      </c>
      <c r="S103" s="3">
        <f>IF(R103="","",(R103-AVERAGE(R6:R1198))/(STDEV(R6:R1198)+1E-12))</f>
        <v/>
      </c>
      <c r="T103" s="3">
        <f>IF('3a Raw'!L103="","",MAX(-3,MIN(3,('3a Raw'!L103-$T3)/$T4)))</f>
        <v/>
      </c>
      <c r="U103" s="3">
        <f>IF(T103="","",(T103-AVERAGE(T6:T1198))/(STDEV(T6:T1198)+1E-12))</f>
        <v/>
      </c>
      <c r="X103" s="3">
        <f>IF(U103="","",U103-($V$3*G103+$W$3))</f>
        <v/>
      </c>
      <c r="Y103" s="3">
        <f>IF(X103="","",MAX(-3,MIN(3,(X103-$X3)/$X4)))</f>
        <v/>
      </c>
      <c r="Z103" s="3">
        <f>IF(Y103="","",(Y103-AVERAGE(Y6:Y1198))/(STDEV(Y6:Y1198)+1E-12))</f>
        <v/>
      </c>
    </row>
    <row r="104">
      <c r="A104" t="inlineStr">
        <is>
          <t>BBG000LC1FS4</t>
        </is>
      </c>
      <c r="B104" s="3">
        <f>IF('3a Raw'!C104="","",MAX(-3,MIN(3,('3a Raw'!C104-$B3)/$B4)))</f>
        <v/>
      </c>
      <c r="C104" s="3">
        <f>IF(B104="","",(B104-AVERAGE(B6:B1198))/(STDEV(B6:B1198)+1E-12))</f>
        <v/>
      </c>
      <c r="D104" s="3">
        <f>IF('3a Raw'!D104="","",MAX(-3,MIN(3,('3a Raw'!D104-$D3)/$D4)))</f>
        <v/>
      </c>
      <c r="E104" s="3">
        <f>IF(D104="","",(D104-AVERAGE(D6:D1198))/(STDEV(D6:D1198)+1E-12))</f>
        <v/>
      </c>
      <c r="F104" s="3">
        <f>IF('3a Raw'!E104="","",MAX(-3,MIN(3,('3a Raw'!E104-$F3)/$F4)))</f>
        <v/>
      </c>
      <c r="G104" s="3">
        <f>IF(F104="","",(F104-AVERAGE(F6:F1198))/(STDEV(F6:F1198)+1E-12))</f>
        <v/>
      </c>
      <c r="H104" s="3">
        <f>IF('3a Raw'!F104="","",MAX(-3,MIN(3,('3a Raw'!F104-$H3)/$H4)))</f>
        <v/>
      </c>
      <c r="I104" s="3">
        <f>IF(H104="","",(H104-AVERAGE(H6:H1198))/(STDEV(H6:H1198)+1E-12))</f>
        <v/>
      </c>
      <c r="J104" s="3">
        <f>IF('3a Raw'!G104="","",MAX(-3,MIN(3,('3a Raw'!G104-$J3)/$J4)))</f>
        <v/>
      </c>
      <c r="K104" s="3">
        <f>IF(J104="","",(J104-AVERAGE(J6:J1198))/(STDEV(J6:J1198)+1E-12))</f>
        <v/>
      </c>
      <c r="L104" s="3">
        <f>IF('3a Raw'!H104="","",MAX(-3,MIN(3,('3a Raw'!H104-$L3)/$L4)))</f>
        <v/>
      </c>
      <c r="M104" s="3">
        <f>IF(L104="","",(L104-AVERAGE(L6:L1198))/(STDEV(L6:L1198)+1E-12))</f>
        <v/>
      </c>
      <c r="N104" s="3">
        <f>IF('3a Raw'!I104="","",MAX(-3,MIN(3,('3a Raw'!I104-$N3)/$N4)))</f>
        <v/>
      </c>
      <c r="O104" s="3">
        <f>IF(N104="","",(N104-AVERAGE(N6:N1198))/(STDEV(N6:N1198)+1E-12))</f>
        <v/>
      </c>
      <c r="P104" s="3">
        <f>IF('3a Raw'!J104="","",MAX(-3,MIN(3,('3a Raw'!J104-$P3)/$P4)))</f>
        <v/>
      </c>
      <c r="Q104" s="3">
        <f>IF(P104="","",(P104-AVERAGE(P6:P1198))/(STDEV(P6:P1198)+1E-12))</f>
        <v/>
      </c>
      <c r="R104" s="3">
        <f>IF('3a Raw'!K104="","",MAX(-3,MIN(3,('3a Raw'!K104-$R3)/$R4)))</f>
        <v/>
      </c>
      <c r="S104" s="3">
        <f>IF(R104="","",(R104-AVERAGE(R6:R1198))/(STDEV(R6:R1198)+1E-12))</f>
        <v/>
      </c>
      <c r="T104" s="3">
        <f>IF('3a Raw'!L104="","",MAX(-3,MIN(3,('3a Raw'!L104-$T3)/$T4)))</f>
        <v/>
      </c>
      <c r="U104" s="3">
        <f>IF(T104="","",(T104-AVERAGE(T6:T1198))/(STDEV(T6:T1198)+1E-12))</f>
        <v/>
      </c>
      <c r="X104" s="3">
        <f>IF(U104="","",U104-($V$3*G104+$W$3))</f>
        <v/>
      </c>
      <c r="Y104" s="3">
        <f>IF(X104="","",MAX(-3,MIN(3,(X104-$X3)/$X4)))</f>
        <v/>
      </c>
      <c r="Z104" s="3">
        <f>IF(Y104="","",(Y104-AVERAGE(Y6:Y1198))/(STDEV(Y6:Y1198)+1E-12))</f>
        <v/>
      </c>
    </row>
    <row r="105">
      <c r="A105" t="inlineStr">
        <is>
          <t>BBG000BRNGM2</t>
        </is>
      </c>
      <c r="B105" s="3">
        <f>IF('3a Raw'!C105="","",MAX(-3,MIN(3,('3a Raw'!C105-$B3)/$B4)))</f>
        <v/>
      </c>
      <c r="C105" s="3">
        <f>IF(B105="","",(B105-AVERAGE(B6:B1198))/(STDEV(B6:B1198)+1E-12))</f>
        <v/>
      </c>
      <c r="D105" s="3">
        <f>IF('3a Raw'!D105="","",MAX(-3,MIN(3,('3a Raw'!D105-$D3)/$D4)))</f>
        <v/>
      </c>
      <c r="E105" s="3">
        <f>IF(D105="","",(D105-AVERAGE(D6:D1198))/(STDEV(D6:D1198)+1E-12))</f>
        <v/>
      </c>
      <c r="F105" s="3">
        <f>IF('3a Raw'!E105="","",MAX(-3,MIN(3,('3a Raw'!E105-$F3)/$F4)))</f>
        <v/>
      </c>
      <c r="G105" s="3">
        <f>IF(F105="","",(F105-AVERAGE(F6:F1198))/(STDEV(F6:F1198)+1E-12))</f>
        <v/>
      </c>
      <c r="H105" s="3">
        <f>IF('3a Raw'!F105="","",MAX(-3,MIN(3,('3a Raw'!F105-$H3)/$H4)))</f>
        <v/>
      </c>
      <c r="I105" s="3">
        <f>IF(H105="","",(H105-AVERAGE(H6:H1198))/(STDEV(H6:H1198)+1E-12))</f>
        <v/>
      </c>
      <c r="J105" s="3">
        <f>IF('3a Raw'!G105="","",MAX(-3,MIN(3,('3a Raw'!G105-$J3)/$J4)))</f>
        <v/>
      </c>
      <c r="K105" s="3">
        <f>IF(J105="","",(J105-AVERAGE(J6:J1198))/(STDEV(J6:J1198)+1E-12))</f>
        <v/>
      </c>
      <c r="L105" s="3">
        <f>IF('3a Raw'!H105="","",MAX(-3,MIN(3,('3a Raw'!H105-$L3)/$L4)))</f>
        <v/>
      </c>
      <c r="M105" s="3">
        <f>IF(L105="","",(L105-AVERAGE(L6:L1198))/(STDEV(L6:L1198)+1E-12))</f>
        <v/>
      </c>
      <c r="N105" s="3">
        <f>IF('3a Raw'!I105="","",MAX(-3,MIN(3,('3a Raw'!I105-$N3)/$N4)))</f>
        <v/>
      </c>
      <c r="O105" s="3">
        <f>IF(N105="","",(N105-AVERAGE(N6:N1198))/(STDEV(N6:N1198)+1E-12))</f>
        <v/>
      </c>
      <c r="P105" s="3">
        <f>IF('3a Raw'!J105="","",MAX(-3,MIN(3,('3a Raw'!J105-$P3)/$P4)))</f>
        <v/>
      </c>
      <c r="Q105" s="3">
        <f>IF(P105="","",(P105-AVERAGE(P6:P1198))/(STDEV(P6:P1198)+1E-12))</f>
        <v/>
      </c>
      <c r="R105" s="3">
        <f>IF('3a Raw'!K105="","",MAX(-3,MIN(3,('3a Raw'!K105-$R3)/$R4)))</f>
        <v/>
      </c>
      <c r="S105" s="3">
        <f>IF(R105="","",(R105-AVERAGE(R6:R1198))/(STDEV(R6:R1198)+1E-12))</f>
        <v/>
      </c>
      <c r="T105" s="3">
        <f>IF('3a Raw'!L105="","",MAX(-3,MIN(3,('3a Raw'!L105-$T3)/$T4)))</f>
        <v/>
      </c>
      <c r="U105" s="3">
        <f>IF(T105="","",(T105-AVERAGE(T6:T1198))/(STDEV(T6:T1198)+1E-12))</f>
        <v/>
      </c>
      <c r="X105" s="3">
        <f>IF(U105="","",U105-($V$3*G105+$W$3))</f>
        <v/>
      </c>
      <c r="Y105" s="3">
        <f>IF(X105="","",MAX(-3,MIN(3,(X105-$X3)/$X4)))</f>
        <v/>
      </c>
      <c r="Z105" s="3">
        <f>IF(Y105="","",(Y105-AVERAGE(Y6:Y1198))/(STDEV(Y6:Y1198)+1E-12))</f>
        <v/>
      </c>
    </row>
    <row r="106">
      <c r="A106" t="inlineStr">
        <is>
          <t>BBG000BGX2S0</t>
        </is>
      </c>
      <c r="B106" s="3">
        <f>IF('3a Raw'!C106="","",MAX(-3,MIN(3,('3a Raw'!C106-$B3)/$B4)))</f>
        <v/>
      </c>
      <c r="C106" s="3">
        <f>IF(B106="","",(B106-AVERAGE(B6:B1198))/(STDEV(B6:B1198)+1E-12))</f>
        <v/>
      </c>
      <c r="D106" s="3">
        <f>IF('3a Raw'!D106="","",MAX(-3,MIN(3,('3a Raw'!D106-$D3)/$D4)))</f>
        <v/>
      </c>
      <c r="E106" s="3">
        <f>IF(D106="","",(D106-AVERAGE(D6:D1198))/(STDEV(D6:D1198)+1E-12))</f>
        <v/>
      </c>
      <c r="F106" s="3">
        <f>IF('3a Raw'!E106="","",MAX(-3,MIN(3,('3a Raw'!E106-$F3)/$F4)))</f>
        <v/>
      </c>
      <c r="G106" s="3">
        <f>IF(F106="","",(F106-AVERAGE(F6:F1198))/(STDEV(F6:F1198)+1E-12))</f>
        <v/>
      </c>
      <c r="H106" s="3">
        <f>IF('3a Raw'!F106="","",MAX(-3,MIN(3,('3a Raw'!F106-$H3)/$H4)))</f>
        <v/>
      </c>
      <c r="I106" s="3">
        <f>IF(H106="","",(H106-AVERAGE(H6:H1198))/(STDEV(H6:H1198)+1E-12))</f>
        <v/>
      </c>
      <c r="J106" s="3">
        <f>IF('3a Raw'!G106="","",MAX(-3,MIN(3,('3a Raw'!G106-$J3)/$J4)))</f>
        <v/>
      </c>
      <c r="K106" s="3">
        <f>IF(J106="","",(J106-AVERAGE(J6:J1198))/(STDEV(J6:J1198)+1E-12))</f>
        <v/>
      </c>
      <c r="L106" s="3">
        <f>IF('3a Raw'!H106="","",MAX(-3,MIN(3,('3a Raw'!H106-$L3)/$L4)))</f>
        <v/>
      </c>
      <c r="M106" s="3">
        <f>IF(L106="","",(L106-AVERAGE(L6:L1198))/(STDEV(L6:L1198)+1E-12))</f>
        <v/>
      </c>
      <c r="N106" s="3">
        <f>IF('3a Raw'!I106="","",MAX(-3,MIN(3,('3a Raw'!I106-$N3)/$N4)))</f>
        <v/>
      </c>
      <c r="O106" s="3">
        <f>IF(N106="","",(N106-AVERAGE(N6:N1198))/(STDEV(N6:N1198)+1E-12))</f>
        <v/>
      </c>
      <c r="P106" s="3">
        <f>IF('3a Raw'!J106="","",MAX(-3,MIN(3,('3a Raw'!J106-$P3)/$P4)))</f>
        <v/>
      </c>
      <c r="Q106" s="3">
        <f>IF(P106="","",(P106-AVERAGE(P6:P1198))/(STDEV(P6:P1198)+1E-12))</f>
        <v/>
      </c>
      <c r="R106" s="3">
        <f>IF('3a Raw'!K106="","",MAX(-3,MIN(3,('3a Raw'!K106-$R3)/$R4)))</f>
        <v/>
      </c>
      <c r="S106" s="3">
        <f>IF(R106="","",(R106-AVERAGE(R6:R1198))/(STDEV(R6:R1198)+1E-12))</f>
        <v/>
      </c>
      <c r="T106" s="3">
        <f>IF('3a Raw'!L106="","",MAX(-3,MIN(3,('3a Raw'!L106-$T3)/$T4)))</f>
        <v/>
      </c>
      <c r="U106" s="3">
        <f>IF(T106="","",(T106-AVERAGE(T6:T1198))/(STDEV(T6:T1198)+1E-12))</f>
        <v/>
      </c>
      <c r="X106" s="3">
        <f>IF(U106="","",U106-($V$3*G106+$W$3))</f>
        <v/>
      </c>
      <c r="Y106" s="3">
        <f>IF(X106="","",MAX(-3,MIN(3,(X106-$X3)/$X4)))</f>
        <v/>
      </c>
      <c r="Z106" s="3">
        <f>IF(Y106="","",(Y106-AVERAGE(Y6:Y1198))/(STDEV(Y6:Y1198)+1E-12))</f>
        <v/>
      </c>
    </row>
    <row r="107">
      <c r="A107" t="inlineStr">
        <is>
          <t>BBG000BCLBY5</t>
        </is>
      </c>
      <c r="B107" s="3">
        <f>IF('3a Raw'!C107="","",MAX(-3,MIN(3,('3a Raw'!C107-$B3)/$B4)))</f>
        <v/>
      </c>
      <c r="C107" s="3">
        <f>IF(B107="","",(B107-AVERAGE(B6:B1198))/(STDEV(B6:B1198)+1E-12))</f>
        <v/>
      </c>
      <c r="D107" s="3">
        <f>IF('3a Raw'!D107="","",MAX(-3,MIN(3,('3a Raw'!D107-$D3)/$D4)))</f>
        <v/>
      </c>
      <c r="E107" s="3">
        <f>IF(D107="","",(D107-AVERAGE(D6:D1198))/(STDEV(D6:D1198)+1E-12))</f>
        <v/>
      </c>
      <c r="F107" s="3">
        <f>IF('3a Raw'!E107="","",MAX(-3,MIN(3,('3a Raw'!E107-$F3)/$F4)))</f>
        <v/>
      </c>
      <c r="G107" s="3">
        <f>IF(F107="","",(F107-AVERAGE(F6:F1198))/(STDEV(F6:F1198)+1E-12))</f>
        <v/>
      </c>
      <c r="H107" s="3">
        <f>IF('3a Raw'!F107="","",MAX(-3,MIN(3,('3a Raw'!F107-$H3)/$H4)))</f>
        <v/>
      </c>
      <c r="I107" s="3">
        <f>IF(H107="","",(H107-AVERAGE(H6:H1198))/(STDEV(H6:H1198)+1E-12))</f>
        <v/>
      </c>
      <c r="J107" s="3">
        <f>IF('3a Raw'!G107="","",MAX(-3,MIN(3,('3a Raw'!G107-$J3)/$J4)))</f>
        <v/>
      </c>
      <c r="K107" s="3">
        <f>IF(J107="","",(J107-AVERAGE(J6:J1198))/(STDEV(J6:J1198)+1E-12))</f>
        <v/>
      </c>
      <c r="L107" s="3">
        <f>IF('3a Raw'!H107="","",MAX(-3,MIN(3,('3a Raw'!H107-$L3)/$L4)))</f>
        <v/>
      </c>
      <c r="M107" s="3">
        <f>IF(L107="","",(L107-AVERAGE(L6:L1198))/(STDEV(L6:L1198)+1E-12))</f>
        <v/>
      </c>
      <c r="N107" s="3">
        <f>IF('3a Raw'!I107="","",MAX(-3,MIN(3,('3a Raw'!I107-$N3)/$N4)))</f>
        <v/>
      </c>
      <c r="O107" s="3">
        <f>IF(N107="","",(N107-AVERAGE(N6:N1198))/(STDEV(N6:N1198)+1E-12))</f>
        <v/>
      </c>
      <c r="P107" s="3">
        <f>IF('3a Raw'!J107="","",MAX(-3,MIN(3,('3a Raw'!J107-$P3)/$P4)))</f>
        <v/>
      </c>
      <c r="Q107" s="3">
        <f>IF(P107="","",(P107-AVERAGE(P6:P1198))/(STDEV(P6:P1198)+1E-12))</f>
        <v/>
      </c>
      <c r="R107" s="3">
        <f>IF('3a Raw'!K107="","",MAX(-3,MIN(3,('3a Raw'!K107-$R3)/$R4)))</f>
        <v/>
      </c>
      <c r="S107" s="3">
        <f>IF(R107="","",(R107-AVERAGE(R6:R1198))/(STDEV(R6:R1198)+1E-12))</f>
        <v/>
      </c>
      <c r="T107" s="3">
        <f>IF('3a Raw'!L107="","",MAX(-3,MIN(3,('3a Raw'!L107-$T3)/$T4)))</f>
        <v/>
      </c>
      <c r="U107" s="3">
        <f>IF(T107="","",(T107-AVERAGE(T6:T1198))/(STDEV(T6:T1198)+1E-12))</f>
        <v/>
      </c>
      <c r="X107" s="3">
        <f>IF(U107="","",U107-($V$3*G107+$W$3))</f>
        <v/>
      </c>
      <c r="Y107" s="3">
        <f>IF(X107="","",MAX(-3,MIN(3,(X107-$X3)/$X4)))</f>
        <v/>
      </c>
      <c r="Z107" s="3">
        <f>IF(Y107="","",(Y107-AVERAGE(Y6:Y1198))/(STDEV(Y6:Y1198)+1E-12))</f>
        <v/>
      </c>
    </row>
    <row r="108">
      <c r="A108" t="inlineStr">
        <is>
          <t>BBG000BKS4S3</t>
        </is>
      </c>
      <c r="B108" s="3">
        <f>IF('3a Raw'!C108="","",MAX(-3,MIN(3,('3a Raw'!C108-$B3)/$B4)))</f>
        <v/>
      </c>
      <c r="C108" s="3">
        <f>IF(B108="","",(B108-AVERAGE(B6:B1198))/(STDEV(B6:B1198)+1E-12))</f>
        <v/>
      </c>
      <c r="D108" s="3">
        <f>IF('3a Raw'!D108="","",MAX(-3,MIN(3,('3a Raw'!D108-$D3)/$D4)))</f>
        <v/>
      </c>
      <c r="E108" s="3">
        <f>IF(D108="","",(D108-AVERAGE(D6:D1198))/(STDEV(D6:D1198)+1E-12))</f>
        <v/>
      </c>
      <c r="F108" s="3">
        <f>IF('3a Raw'!E108="","",MAX(-3,MIN(3,('3a Raw'!E108-$F3)/$F4)))</f>
        <v/>
      </c>
      <c r="G108" s="3">
        <f>IF(F108="","",(F108-AVERAGE(F6:F1198))/(STDEV(F6:F1198)+1E-12))</f>
        <v/>
      </c>
      <c r="H108" s="3">
        <f>IF('3a Raw'!F108="","",MAX(-3,MIN(3,('3a Raw'!F108-$H3)/$H4)))</f>
        <v/>
      </c>
      <c r="I108" s="3">
        <f>IF(H108="","",(H108-AVERAGE(H6:H1198))/(STDEV(H6:H1198)+1E-12))</f>
        <v/>
      </c>
      <c r="J108" s="3">
        <f>IF('3a Raw'!G108="","",MAX(-3,MIN(3,('3a Raw'!G108-$J3)/$J4)))</f>
        <v/>
      </c>
      <c r="K108" s="3">
        <f>IF(J108="","",(J108-AVERAGE(J6:J1198))/(STDEV(J6:J1198)+1E-12))</f>
        <v/>
      </c>
      <c r="L108" s="3">
        <f>IF('3a Raw'!H108="","",MAX(-3,MIN(3,('3a Raw'!H108-$L3)/$L4)))</f>
        <v/>
      </c>
      <c r="M108" s="3">
        <f>IF(L108="","",(L108-AVERAGE(L6:L1198))/(STDEV(L6:L1198)+1E-12))</f>
        <v/>
      </c>
      <c r="N108" s="3">
        <f>IF('3a Raw'!I108="","",MAX(-3,MIN(3,('3a Raw'!I108-$N3)/$N4)))</f>
        <v/>
      </c>
      <c r="O108" s="3">
        <f>IF(N108="","",(N108-AVERAGE(N6:N1198))/(STDEV(N6:N1198)+1E-12))</f>
        <v/>
      </c>
      <c r="P108" s="3">
        <f>IF('3a Raw'!J108="","",MAX(-3,MIN(3,('3a Raw'!J108-$P3)/$P4)))</f>
        <v/>
      </c>
      <c r="Q108" s="3">
        <f>IF(P108="","",(P108-AVERAGE(P6:P1198))/(STDEV(P6:P1198)+1E-12))</f>
        <v/>
      </c>
      <c r="R108" s="3">
        <f>IF('3a Raw'!K108="","",MAX(-3,MIN(3,('3a Raw'!K108-$R3)/$R4)))</f>
        <v/>
      </c>
      <c r="S108" s="3">
        <f>IF(R108="","",(R108-AVERAGE(R6:R1198))/(STDEV(R6:R1198)+1E-12))</f>
        <v/>
      </c>
      <c r="T108" s="3">
        <f>IF('3a Raw'!L108="","",MAX(-3,MIN(3,('3a Raw'!L108-$T3)/$T4)))</f>
        <v/>
      </c>
      <c r="U108" s="3">
        <f>IF(T108="","",(T108-AVERAGE(T6:T1198))/(STDEV(T6:T1198)+1E-12))</f>
        <v/>
      </c>
      <c r="X108" s="3">
        <f>IF(U108="","",U108-($V$3*G108+$W$3))</f>
        <v/>
      </c>
      <c r="Y108" s="3">
        <f>IF(X108="","",MAX(-3,MIN(3,(X108-$X3)/$X4)))</f>
        <v/>
      </c>
      <c r="Z108" s="3">
        <f>IF(Y108="","",(Y108-AVERAGE(Y6:Y1198))/(STDEV(Y6:Y1198)+1E-12))</f>
        <v/>
      </c>
    </row>
    <row r="109">
      <c r="A109" t="inlineStr">
        <is>
          <t>BBG00Z92Y6X1</t>
        </is>
      </c>
      <c r="B109" s="3">
        <f>IF('3a Raw'!C109="","",MAX(-3,MIN(3,('3a Raw'!C109-$B3)/$B4)))</f>
        <v/>
      </c>
      <c r="C109" s="3">
        <f>IF(B109="","",(B109-AVERAGE(B6:B1198))/(STDEV(B6:B1198)+1E-12))</f>
        <v/>
      </c>
      <c r="D109" s="3">
        <f>IF('3a Raw'!D109="","",MAX(-3,MIN(3,('3a Raw'!D109-$D3)/$D4)))</f>
        <v/>
      </c>
      <c r="E109" s="3">
        <f>IF(D109="","",(D109-AVERAGE(D6:D1198))/(STDEV(D6:D1198)+1E-12))</f>
        <v/>
      </c>
      <c r="F109" s="3">
        <f>IF('3a Raw'!E109="","",MAX(-3,MIN(3,('3a Raw'!E109-$F3)/$F4)))</f>
        <v/>
      </c>
      <c r="G109" s="3">
        <f>IF(F109="","",(F109-AVERAGE(F6:F1198))/(STDEV(F6:F1198)+1E-12))</f>
        <v/>
      </c>
      <c r="H109" s="3">
        <f>IF('3a Raw'!F109="","",MAX(-3,MIN(3,('3a Raw'!F109-$H3)/$H4)))</f>
        <v/>
      </c>
      <c r="I109" s="3">
        <f>IF(H109="","",(H109-AVERAGE(H6:H1198))/(STDEV(H6:H1198)+1E-12))</f>
        <v/>
      </c>
      <c r="J109" s="3">
        <f>IF('3a Raw'!G109="","",MAX(-3,MIN(3,('3a Raw'!G109-$J3)/$J4)))</f>
        <v/>
      </c>
      <c r="K109" s="3">
        <f>IF(J109="","",(J109-AVERAGE(J6:J1198))/(STDEV(J6:J1198)+1E-12))</f>
        <v/>
      </c>
      <c r="L109" s="3">
        <f>IF('3a Raw'!H109="","",MAX(-3,MIN(3,('3a Raw'!H109-$L3)/$L4)))</f>
        <v/>
      </c>
      <c r="M109" s="3">
        <f>IF(L109="","",(L109-AVERAGE(L6:L1198))/(STDEV(L6:L1198)+1E-12))</f>
        <v/>
      </c>
      <c r="N109" s="3">
        <f>IF('3a Raw'!I109="","",MAX(-3,MIN(3,('3a Raw'!I109-$N3)/$N4)))</f>
        <v/>
      </c>
      <c r="O109" s="3">
        <f>IF(N109="","",(N109-AVERAGE(N6:N1198))/(STDEV(N6:N1198)+1E-12))</f>
        <v/>
      </c>
      <c r="P109" s="3">
        <f>IF('3a Raw'!J109="","",MAX(-3,MIN(3,('3a Raw'!J109-$P3)/$P4)))</f>
        <v/>
      </c>
      <c r="Q109" s="3">
        <f>IF(P109="","",(P109-AVERAGE(P6:P1198))/(STDEV(P6:P1198)+1E-12))</f>
        <v/>
      </c>
      <c r="R109" s="3">
        <f>IF('3a Raw'!K109="","",MAX(-3,MIN(3,('3a Raw'!K109-$R3)/$R4)))</f>
        <v/>
      </c>
      <c r="S109" s="3">
        <f>IF(R109="","",(R109-AVERAGE(R6:R1198))/(STDEV(R6:R1198)+1E-12))</f>
        <v/>
      </c>
      <c r="T109" s="3">
        <f>IF('3a Raw'!L109="","",MAX(-3,MIN(3,('3a Raw'!L109-$T3)/$T4)))</f>
        <v/>
      </c>
      <c r="U109" s="3">
        <f>IF(T109="","",(T109-AVERAGE(T6:T1198))/(STDEV(T6:T1198)+1E-12))</f>
        <v/>
      </c>
      <c r="X109" s="3">
        <f>IF(U109="","",U109-($V$3*G109+$W$3))</f>
        <v/>
      </c>
      <c r="Y109" s="3">
        <f>IF(X109="","",MAX(-3,MIN(3,(X109-$X3)/$X4)))</f>
        <v/>
      </c>
      <c r="Z109" s="3">
        <f>IF(Y109="","",(Y109-AVERAGE(Y6:Y1198))/(STDEV(Y6:Y1198)+1E-12))</f>
        <v/>
      </c>
    </row>
    <row r="110">
      <c r="A110" t="inlineStr">
        <is>
          <t>BBG000BLPBL5</t>
        </is>
      </c>
      <c r="B110" s="3">
        <f>IF('3a Raw'!C110="","",MAX(-3,MIN(3,('3a Raw'!C110-$B3)/$B4)))</f>
        <v/>
      </c>
      <c r="C110" s="3">
        <f>IF(B110="","",(B110-AVERAGE(B6:B1198))/(STDEV(B6:B1198)+1E-12))</f>
        <v/>
      </c>
      <c r="D110" s="3">
        <f>IF('3a Raw'!D110="","",MAX(-3,MIN(3,('3a Raw'!D110-$D3)/$D4)))</f>
        <v/>
      </c>
      <c r="E110" s="3">
        <f>IF(D110="","",(D110-AVERAGE(D6:D1198))/(STDEV(D6:D1198)+1E-12))</f>
        <v/>
      </c>
      <c r="F110" s="3">
        <f>IF('3a Raw'!E110="","",MAX(-3,MIN(3,('3a Raw'!E110-$F3)/$F4)))</f>
        <v/>
      </c>
      <c r="G110" s="3">
        <f>IF(F110="","",(F110-AVERAGE(F6:F1198))/(STDEV(F6:F1198)+1E-12))</f>
        <v/>
      </c>
      <c r="H110" s="3">
        <f>IF('3a Raw'!F110="","",MAX(-3,MIN(3,('3a Raw'!F110-$H3)/$H4)))</f>
        <v/>
      </c>
      <c r="I110" s="3">
        <f>IF(H110="","",(H110-AVERAGE(H6:H1198))/(STDEV(H6:H1198)+1E-12))</f>
        <v/>
      </c>
      <c r="J110" s="3">
        <f>IF('3a Raw'!G110="","",MAX(-3,MIN(3,('3a Raw'!G110-$J3)/$J4)))</f>
        <v/>
      </c>
      <c r="K110" s="3">
        <f>IF(J110="","",(J110-AVERAGE(J6:J1198))/(STDEV(J6:J1198)+1E-12))</f>
        <v/>
      </c>
      <c r="L110" s="3">
        <f>IF('3a Raw'!H110="","",MAX(-3,MIN(3,('3a Raw'!H110-$L3)/$L4)))</f>
        <v/>
      </c>
      <c r="M110" s="3">
        <f>IF(L110="","",(L110-AVERAGE(L6:L1198))/(STDEV(L6:L1198)+1E-12))</f>
        <v/>
      </c>
      <c r="N110" s="3">
        <f>IF('3a Raw'!I110="","",MAX(-3,MIN(3,('3a Raw'!I110-$N3)/$N4)))</f>
        <v/>
      </c>
      <c r="O110" s="3">
        <f>IF(N110="","",(N110-AVERAGE(N6:N1198))/(STDEV(N6:N1198)+1E-12))</f>
        <v/>
      </c>
      <c r="P110" s="3">
        <f>IF('3a Raw'!J110="","",MAX(-3,MIN(3,('3a Raw'!J110-$P3)/$P4)))</f>
        <v/>
      </c>
      <c r="Q110" s="3">
        <f>IF(P110="","",(P110-AVERAGE(P6:P1198))/(STDEV(P6:P1198)+1E-12))</f>
        <v/>
      </c>
      <c r="R110" s="3">
        <f>IF('3a Raw'!K110="","",MAX(-3,MIN(3,('3a Raw'!K110-$R3)/$R4)))</f>
        <v/>
      </c>
      <c r="S110" s="3">
        <f>IF(R110="","",(R110-AVERAGE(R6:R1198))/(STDEV(R6:R1198)+1E-12))</f>
        <v/>
      </c>
      <c r="T110" s="3">
        <f>IF('3a Raw'!L110="","",MAX(-3,MIN(3,('3a Raw'!L110-$T3)/$T4)))</f>
        <v/>
      </c>
      <c r="U110" s="3">
        <f>IF(T110="","",(T110-AVERAGE(T6:T1198))/(STDEV(T6:T1198)+1E-12))</f>
        <v/>
      </c>
      <c r="X110" s="3">
        <f>IF(U110="","",U110-($V$3*G110+$W$3))</f>
        <v/>
      </c>
      <c r="Y110" s="3">
        <f>IF(X110="","",MAX(-3,MIN(3,(X110-$X3)/$X4)))</f>
        <v/>
      </c>
      <c r="Z110" s="3">
        <f>IF(Y110="","",(Y110-AVERAGE(Y6:Y1198))/(STDEV(Y6:Y1198)+1E-12))</f>
        <v/>
      </c>
    </row>
    <row r="111">
      <c r="A111" t="inlineStr">
        <is>
          <t>BBG00KHY5S69</t>
        </is>
      </c>
      <c r="B111" s="3">
        <f>IF('3a Raw'!C111="","",MAX(-3,MIN(3,('3a Raw'!C111-$B3)/$B4)))</f>
        <v/>
      </c>
      <c r="C111" s="3">
        <f>IF(B111="","",(B111-AVERAGE(B6:B1198))/(STDEV(B6:B1198)+1E-12))</f>
        <v/>
      </c>
      <c r="D111" s="3">
        <f>IF('3a Raw'!D111="","",MAX(-3,MIN(3,('3a Raw'!D111-$D3)/$D4)))</f>
        <v/>
      </c>
      <c r="E111" s="3">
        <f>IF(D111="","",(D111-AVERAGE(D6:D1198))/(STDEV(D6:D1198)+1E-12))</f>
        <v/>
      </c>
      <c r="F111" s="3">
        <f>IF('3a Raw'!E111="","",MAX(-3,MIN(3,('3a Raw'!E111-$F3)/$F4)))</f>
        <v/>
      </c>
      <c r="G111" s="3">
        <f>IF(F111="","",(F111-AVERAGE(F6:F1198))/(STDEV(F6:F1198)+1E-12))</f>
        <v/>
      </c>
      <c r="H111" s="3">
        <f>IF('3a Raw'!F111="","",MAX(-3,MIN(3,('3a Raw'!F111-$H3)/$H4)))</f>
        <v/>
      </c>
      <c r="I111" s="3">
        <f>IF(H111="","",(H111-AVERAGE(H6:H1198))/(STDEV(H6:H1198)+1E-12))</f>
        <v/>
      </c>
      <c r="J111" s="3">
        <f>IF('3a Raw'!G111="","",MAX(-3,MIN(3,('3a Raw'!G111-$J3)/$J4)))</f>
        <v/>
      </c>
      <c r="K111" s="3">
        <f>IF(J111="","",(J111-AVERAGE(J6:J1198))/(STDEV(J6:J1198)+1E-12))</f>
        <v/>
      </c>
      <c r="L111" s="3">
        <f>IF('3a Raw'!H111="","",MAX(-3,MIN(3,('3a Raw'!H111-$L3)/$L4)))</f>
        <v/>
      </c>
      <c r="M111" s="3">
        <f>IF(L111="","",(L111-AVERAGE(L6:L1198))/(STDEV(L6:L1198)+1E-12))</f>
        <v/>
      </c>
      <c r="N111" s="3">
        <f>IF('3a Raw'!I111="","",MAX(-3,MIN(3,('3a Raw'!I111-$N3)/$N4)))</f>
        <v/>
      </c>
      <c r="O111" s="3">
        <f>IF(N111="","",(N111-AVERAGE(N6:N1198))/(STDEV(N6:N1198)+1E-12))</f>
        <v/>
      </c>
      <c r="P111" s="3">
        <f>IF('3a Raw'!J111="","",MAX(-3,MIN(3,('3a Raw'!J111-$P3)/$P4)))</f>
        <v/>
      </c>
      <c r="Q111" s="3">
        <f>IF(P111="","",(P111-AVERAGE(P6:P1198))/(STDEV(P6:P1198)+1E-12))</f>
        <v/>
      </c>
      <c r="R111" s="3">
        <f>IF('3a Raw'!K111="","",MAX(-3,MIN(3,('3a Raw'!K111-$R3)/$R4)))</f>
        <v/>
      </c>
      <c r="S111" s="3">
        <f>IF(R111="","",(R111-AVERAGE(R6:R1198))/(STDEV(R6:R1198)+1E-12))</f>
        <v/>
      </c>
      <c r="T111" s="3">
        <f>IF('3a Raw'!L111="","",MAX(-3,MIN(3,('3a Raw'!L111-$T3)/$T4)))</f>
        <v/>
      </c>
      <c r="U111" s="3">
        <f>IF(T111="","",(T111-AVERAGE(T6:T1198))/(STDEV(T6:T1198)+1E-12))</f>
        <v/>
      </c>
      <c r="X111" s="3">
        <f>IF(U111="","",U111-($V$3*G111+$W$3))</f>
        <v/>
      </c>
      <c r="Y111" s="3">
        <f>IF(X111="","",MAX(-3,MIN(3,(X111-$X3)/$X4)))</f>
        <v/>
      </c>
      <c r="Z111" s="3">
        <f>IF(Y111="","",(Y111-AVERAGE(Y6:Y1198))/(STDEV(Y6:Y1198)+1E-12))</f>
        <v/>
      </c>
    </row>
    <row r="112">
      <c r="A112" t="inlineStr">
        <is>
          <t>BBG00G2HHYD7</t>
        </is>
      </c>
      <c r="B112" s="3">
        <f>IF('3a Raw'!C112="","",MAX(-3,MIN(3,('3a Raw'!C112-$B3)/$B4)))</f>
        <v/>
      </c>
      <c r="C112" s="3">
        <f>IF(B112="","",(B112-AVERAGE(B6:B1198))/(STDEV(B6:B1198)+1E-12))</f>
        <v/>
      </c>
      <c r="D112" s="3">
        <f>IF('3a Raw'!D112="","",MAX(-3,MIN(3,('3a Raw'!D112-$D3)/$D4)))</f>
        <v/>
      </c>
      <c r="E112" s="3">
        <f>IF(D112="","",(D112-AVERAGE(D6:D1198))/(STDEV(D6:D1198)+1E-12))</f>
        <v/>
      </c>
      <c r="F112" s="3">
        <f>IF('3a Raw'!E112="","",MAX(-3,MIN(3,('3a Raw'!E112-$F3)/$F4)))</f>
        <v/>
      </c>
      <c r="G112" s="3">
        <f>IF(F112="","",(F112-AVERAGE(F6:F1198))/(STDEV(F6:F1198)+1E-12))</f>
        <v/>
      </c>
      <c r="H112" s="3">
        <f>IF('3a Raw'!F112="","",MAX(-3,MIN(3,('3a Raw'!F112-$H3)/$H4)))</f>
        <v/>
      </c>
      <c r="I112" s="3">
        <f>IF(H112="","",(H112-AVERAGE(H6:H1198))/(STDEV(H6:H1198)+1E-12))</f>
        <v/>
      </c>
      <c r="J112" s="3">
        <f>IF('3a Raw'!G112="","",MAX(-3,MIN(3,('3a Raw'!G112-$J3)/$J4)))</f>
        <v/>
      </c>
      <c r="K112" s="3">
        <f>IF(J112="","",(J112-AVERAGE(J6:J1198))/(STDEV(J6:J1198)+1E-12))</f>
        <v/>
      </c>
      <c r="L112" s="3">
        <f>IF('3a Raw'!H112="","",MAX(-3,MIN(3,('3a Raw'!H112-$L3)/$L4)))</f>
        <v/>
      </c>
      <c r="M112" s="3">
        <f>IF(L112="","",(L112-AVERAGE(L6:L1198))/(STDEV(L6:L1198)+1E-12))</f>
        <v/>
      </c>
      <c r="N112" s="3">
        <f>IF('3a Raw'!I112="","",MAX(-3,MIN(3,('3a Raw'!I112-$N3)/$N4)))</f>
        <v/>
      </c>
      <c r="O112" s="3">
        <f>IF(N112="","",(N112-AVERAGE(N6:N1198))/(STDEV(N6:N1198)+1E-12))</f>
        <v/>
      </c>
      <c r="P112" s="3">
        <f>IF('3a Raw'!J112="","",MAX(-3,MIN(3,('3a Raw'!J112-$P3)/$P4)))</f>
        <v/>
      </c>
      <c r="Q112" s="3">
        <f>IF(P112="","",(P112-AVERAGE(P6:P1198))/(STDEV(P6:P1198)+1E-12))</f>
        <v/>
      </c>
      <c r="R112" s="3">
        <f>IF('3a Raw'!K112="","",MAX(-3,MIN(3,('3a Raw'!K112-$R3)/$R4)))</f>
        <v/>
      </c>
      <c r="S112" s="3">
        <f>IF(R112="","",(R112-AVERAGE(R6:R1198))/(STDEV(R6:R1198)+1E-12))</f>
        <v/>
      </c>
      <c r="T112" s="3">
        <f>IF('3a Raw'!L112="","",MAX(-3,MIN(3,('3a Raw'!L112-$T3)/$T4)))</f>
        <v/>
      </c>
      <c r="U112" s="3">
        <f>IF(T112="","",(T112-AVERAGE(T6:T1198))/(STDEV(T6:T1198)+1E-12))</f>
        <v/>
      </c>
      <c r="X112" s="3">
        <f>IF(U112="","",U112-($V$3*G112+$W$3))</f>
        <v/>
      </c>
      <c r="Y112" s="3">
        <f>IF(X112="","",MAX(-3,MIN(3,(X112-$X3)/$X4)))</f>
        <v/>
      </c>
      <c r="Z112" s="3">
        <f>IF(Y112="","",(Y112-AVERAGE(Y6:Y1198))/(STDEV(Y6:Y1198)+1E-12))</f>
        <v/>
      </c>
    </row>
    <row r="113">
      <c r="A113" t="inlineStr">
        <is>
          <t>BBG000BCQ4P6</t>
        </is>
      </c>
      <c r="B113" s="3">
        <f>IF('3a Raw'!C113="","",MAX(-3,MIN(3,('3a Raw'!C113-$B3)/$B4)))</f>
        <v/>
      </c>
      <c r="C113" s="3">
        <f>IF(B113="","",(B113-AVERAGE(B6:B1198))/(STDEV(B6:B1198)+1E-12))</f>
        <v/>
      </c>
      <c r="D113" s="3">
        <f>IF('3a Raw'!D113="","",MAX(-3,MIN(3,('3a Raw'!D113-$D3)/$D4)))</f>
        <v/>
      </c>
      <c r="E113" s="3">
        <f>IF(D113="","",(D113-AVERAGE(D6:D1198))/(STDEV(D6:D1198)+1E-12))</f>
        <v/>
      </c>
      <c r="F113" s="3">
        <f>IF('3a Raw'!E113="","",MAX(-3,MIN(3,('3a Raw'!E113-$F3)/$F4)))</f>
        <v/>
      </c>
      <c r="G113" s="3">
        <f>IF(F113="","",(F113-AVERAGE(F6:F1198))/(STDEV(F6:F1198)+1E-12))</f>
        <v/>
      </c>
      <c r="H113" s="3">
        <f>IF('3a Raw'!F113="","",MAX(-3,MIN(3,('3a Raw'!F113-$H3)/$H4)))</f>
        <v/>
      </c>
      <c r="I113" s="3">
        <f>IF(H113="","",(H113-AVERAGE(H6:H1198))/(STDEV(H6:H1198)+1E-12))</f>
        <v/>
      </c>
      <c r="J113" s="3">
        <f>IF('3a Raw'!G113="","",MAX(-3,MIN(3,('3a Raw'!G113-$J3)/$J4)))</f>
        <v/>
      </c>
      <c r="K113" s="3">
        <f>IF(J113="","",(J113-AVERAGE(J6:J1198))/(STDEV(J6:J1198)+1E-12))</f>
        <v/>
      </c>
      <c r="L113" s="3">
        <f>IF('3a Raw'!H113="","",MAX(-3,MIN(3,('3a Raw'!H113-$L3)/$L4)))</f>
        <v/>
      </c>
      <c r="M113" s="3">
        <f>IF(L113="","",(L113-AVERAGE(L6:L1198))/(STDEV(L6:L1198)+1E-12))</f>
        <v/>
      </c>
      <c r="N113" s="3">
        <f>IF('3a Raw'!I113="","",MAX(-3,MIN(3,('3a Raw'!I113-$N3)/$N4)))</f>
        <v/>
      </c>
      <c r="O113" s="3">
        <f>IF(N113="","",(N113-AVERAGE(N6:N1198))/(STDEV(N6:N1198)+1E-12))</f>
        <v/>
      </c>
      <c r="P113" s="3">
        <f>IF('3a Raw'!J113="","",MAX(-3,MIN(3,('3a Raw'!J113-$P3)/$P4)))</f>
        <v/>
      </c>
      <c r="Q113" s="3">
        <f>IF(P113="","",(P113-AVERAGE(P6:P1198))/(STDEV(P6:P1198)+1E-12))</f>
        <v/>
      </c>
      <c r="R113" s="3">
        <f>IF('3a Raw'!K113="","",MAX(-3,MIN(3,('3a Raw'!K113-$R3)/$R4)))</f>
        <v/>
      </c>
      <c r="S113" s="3">
        <f>IF(R113="","",(R113-AVERAGE(R6:R1198))/(STDEV(R6:R1198)+1E-12))</f>
        <v/>
      </c>
      <c r="T113" s="3">
        <f>IF('3a Raw'!L113="","",MAX(-3,MIN(3,('3a Raw'!L113-$T3)/$T4)))</f>
        <v/>
      </c>
      <c r="U113" s="3">
        <f>IF(T113="","",(T113-AVERAGE(T6:T1198))/(STDEV(T6:T1198)+1E-12))</f>
        <v/>
      </c>
      <c r="X113" s="3">
        <f>IF(U113="","",U113-($V$3*G113+$W$3))</f>
        <v/>
      </c>
      <c r="Y113" s="3">
        <f>IF(X113="","",MAX(-3,MIN(3,(X113-$X3)/$X4)))</f>
        <v/>
      </c>
      <c r="Z113" s="3">
        <f>IF(Y113="","",(Y113-AVERAGE(Y6:Y1198))/(STDEV(Y6:Y1198)+1E-12))</f>
        <v/>
      </c>
    </row>
    <row r="114">
      <c r="A114" t="inlineStr">
        <is>
          <t>BBG000TRJ294</t>
        </is>
      </c>
      <c r="B114" s="3">
        <f>IF('3a Raw'!C114="","",MAX(-3,MIN(3,('3a Raw'!C114-$B3)/$B4)))</f>
        <v/>
      </c>
      <c r="C114" s="3">
        <f>IF(B114="","",(B114-AVERAGE(B6:B1198))/(STDEV(B6:B1198)+1E-12))</f>
        <v/>
      </c>
      <c r="D114" s="3">
        <f>IF('3a Raw'!D114="","",MAX(-3,MIN(3,('3a Raw'!D114-$D3)/$D4)))</f>
        <v/>
      </c>
      <c r="E114" s="3">
        <f>IF(D114="","",(D114-AVERAGE(D6:D1198))/(STDEV(D6:D1198)+1E-12))</f>
        <v/>
      </c>
      <c r="F114" s="3">
        <f>IF('3a Raw'!E114="","",MAX(-3,MIN(3,('3a Raw'!E114-$F3)/$F4)))</f>
        <v/>
      </c>
      <c r="G114" s="3">
        <f>IF(F114="","",(F114-AVERAGE(F6:F1198))/(STDEV(F6:F1198)+1E-12))</f>
        <v/>
      </c>
      <c r="H114" s="3">
        <f>IF('3a Raw'!F114="","",MAX(-3,MIN(3,('3a Raw'!F114-$H3)/$H4)))</f>
        <v/>
      </c>
      <c r="I114" s="3">
        <f>IF(H114="","",(H114-AVERAGE(H6:H1198))/(STDEV(H6:H1198)+1E-12))</f>
        <v/>
      </c>
      <c r="J114" s="3">
        <f>IF('3a Raw'!G114="","",MAX(-3,MIN(3,('3a Raw'!G114-$J3)/$J4)))</f>
        <v/>
      </c>
      <c r="K114" s="3">
        <f>IF(J114="","",(J114-AVERAGE(J6:J1198))/(STDEV(J6:J1198)+1E-12))</f>
        <v/>
      </c>
      <c r="L114" s="3">
        <f>IF('3a Raw'!H114="","",MAX(-3,MIN(3,('3a Raw'!H114-$L3)/$L4)))</f>
        <v/>
      </c>
      <c r="M114" s="3">
        <f>IF(L114="","",(L114-AVERAGE(L6:L1198))/(STDEV(L6:L1198)+1E-12))</f>
        <v/>
      </c>
      <c r="N114" s="3">
        <f>IF('3a Raw'!I114="","",MAX(-3,MIN(3,('3a Raw'!I114-$N3)/$N4)))</f>
        <v/>
      </c>
      <c r="O114" s="3">
        <f>IF(N114="","",(N114-AVERAGE(N6:N1198))/(STDEV(N6:N1198)+1E-12))</f>
        <v/>
      </c>
      <c r="P114" s="3">
        <f>IF('3a Raw'!J114="","",MAX(-3,MIN(3,('3a Raw'!J114-$P3)/$P4)))</f>
        <v/>
      </c>
      <c r="Q114" s="3">
        <f>IF(P114="","",(P114-AVERAGE(P6:P1198))/(STDEV(P6:P1198)+1E-12))</f>
        <v/>
      </c>
      <c r="R114" s="3">
        <f>IF('3a Raw'!K114="","",MAX(-3,MIN(3,('3a Raw'!K114-$R3)/$R4)))</f>
        <v/>
      </c>
      <c r="S114" s="3">
        <f>IF(R114="","",(R114-AVERAGE(R6:R1198))/(STDEV(R6:R1198)+1E-12))</f>
        <v/>
      </c>
      <c r="T114" s="3">
        <f>IF('3a Raw'!L114="","",MAX(-3,MIN(3,('3a Raw'!L114-$T3)/$T4)))</f>
        <v/>
      </c>
      <c r="U114" s="3">
        <f>IF(T114="","",(T114-AVERAGE(T6:T1198))/(STDEV(T6:T1198)+1E-12))</f>
        <v/>
      </c>
      <c r="X114" s="3">
        <f>IF(U114="","",U114-($V$3*G114+$W$3))</f>
        <v/>
      </c>
      <c r="Y114" s="3">
        <f>IF(X114="","",MAX(-3,MIN(3,(X114-$X3)/$X4)))</f>
        <v/>
      </c>
      <c r="Z114" s="3">
        <f>IF(Y114="","",(Y114-AVERAGE(Y6:Y1198))/(STDEV(Y6:Y1198)+1E-12))</f>
        <v/>
      </c>
    </row>
    <row r="115">
      <c r="A115" t="inlineStr">
        <is>
          <t>BBG000BL5Q89</t>
        </is>
      </c>
      <c r="B115" s="3">
        <f>IF('3a Raw'!C115="","",MAX(-3,MIN(3,('3a Raw'!C115-$B3)/$B4)))</f>
        <v/>
      </c>
      <c r="C115" s="3">
        <f>IF(B115="","",(B115-AVERAGE(B6:B1198))/(STDEV(B6:B1198)+1E-12))</f>
        <v/>
      </c>
      <c r="D115" s="3">
        <f>IF('3a Raw'!D115="","",MAX(-3,MIN(3,('3a Raw'!D115-$D3)/$D4)))</f>
        <v/>
      </c>
      <c r="E115" s="3">
        <f>IF(D115="","",(D115-AVERAGE(D6:D1198))/(STDEV(D6:D1198)+1E-12))</f>
        <v/>
      </c>
      <c r="F115" s="3">
        <f>IF('3a Raw'!E115="","",MAX(-3,MIN(3,('3a Raw'!E115-$F3)/$F4)))</f>
        <v/>
      </c>
      <c r="G115" s="3">
        <f>IF(F115="","",(F115-AVERAGE(F6:F1198))/(STDEV(F6:F1198)+1E-12))</f>
        <v/>
      </c>
      <c r="H115" s="3">
        <f>IF('3a Raw'!F115="","",MAX(-3,MIN(3,('3a Raw'!F115-$H3)/$H4)))</f>
        <v/>
      </c>
      <c r="I115" s="3">
        <f>IF(H115="","",(H115-AVERAGE(H6:H1198))/(STDEV(H6:H1198)+1E-12))</f>
        <v/>
      </c>
      <c r="J115" s="3">
        <f>IF('3a Raw'!G115="","",MAX(-3,MIN(3,('3a Raw'!G115-$J3)/$J4)))</f>
        <v/>
      </c>
      <c r="K115" s="3">
        <f>IF(J115="","",(J115-AVERAGE(J6:J1198))/(STDEV(J6:J1198)+1E-12))</f>
        <v/>
      </c>
      <c r="L115" s="3">
        <f>IF('3a Raw'!H115="","",MAX(-3,MIN(3,('3a Raw'!H115-$L3)/$L4)))</f>
        <v/>
      </c>
      <c r="M115" s="3">
        <f>IF(L115="","",(L115-AVERAGE(L6:L1198))/(STDEV(L6:L1198)+1E-12))</f>
        <v/>
      </c>
      <c r="N115" s="3">
        <f>IF('3a Raw'!I115="","",MAX(-3,MIN(3,('3a Raw'!I115-$N3)/$N4)))</f>
        <v/>
      </c>
      <c r="O115" s="3">
        <f>IF(N115="","",(N115-AVERAGE(N6:N1198))/(STDEV(N6:N1198)+1E-12))</f>
        <v/>
      </c>
      <c r="P115" s="3">
        <f>IF('3a Raw'!J115="","",MAX(-3,MIN(3,('3a Raw'!J115-$P3)/$P4)))</f>
        <v/>
      </c>
      <c r="Q115" s="3">
        <f>IF(P115="","",(P115-AVERAGE(P6:P1198))/(STDEV(P6:P1198)+1E-12))</f>
        <v/>
      </c>
      <c r="R115" s="3">
        <f>IF('3a Raw'!K115="","",MAX(-3,MIN(3,('3a Raw'!K115-$R3)/$R4)))</f>
        <v/>
      </c>
      <c r="S115" s="3">
        <f>IF(R115="","",(R115-AVERAGE(R6:R1198))/(STDEV(R6:R1198)+1E-12))</f>
        <v/>
      </c>
      <c r="T115" s="3">
        <f>IF('3a Raw'!L115="","",MAX(-3,MIN(3,('3a Raw'!L115-$T3)/$T4)))</f>
        <v/>
      </c>
      <c r="U115" s="3">
        <f>IF(T115="","",(T115-AVERAGE(T6:T1198))/(STDEV(T6:T1198)+1E-12))</f>
        <v/>
      </c>
      <c r="X115" s="3">
        <f>IF(U115="","",U115-($V$3*G115+$W$3))</f>
        <v/>
      </c>
      <c r="Y115" s="3">
        <f>IF(X115="","",MAX(-3,MIN(3,(X115-$X3)/$X4)))</f>
        <v/>
      </c>
      <c r="Z115" s="3">
        <f>IF(Y115="","",(Y115-AVERAGE(Y6:Y1198))/(STDEV(Y6:Y1198)+1E-12))</f>
        <v/>
      </c>
    </row>
    <row r="116">
      <c r="A116" t="inlineStr">
        <is>
          <t>axon</t>
        </is>
      </c>
      <c r="B116" s="3">
        <f>IF('3a Raw'!C116="","",MAX(-3,MIN(3,('3a Raw'!C116-$B3)/$B4)))</f>
        <v/>
      </c>
      <c r="C116" s="3">
        <f>IF(B116="","",(B116-AVERAGE(B6:B1198))/(STDEV(B6:B1198)+1E-12))</f>
        <v/>
      </c>
      <c r="D116" s="3">
        <f>IF('3a Raw'!D116="","",MAX(-3,MIN(3,('3a Raw'!D116-$D3)/$D4)))</f>
        <v/>
      </c>
      <c r="E116" s="3">
        <f>IF(D116="","",(D116-AVERAGE(D6:D1198))/(STDEV(D6:D1198)+1E-12))</f>
        <v/>
      </c>
      <c r="F116" s="3">
        <f>IF('3a Raw'!E116="","",MAX(-3,MIN(3,('3a Raw'!E116-$F3)/$F4)))</f>
        <v/>
      </c>
      <c r="G116" s="3">
        <f>IF(F116="","",(F116-AVERAGE(F6:F1198))/(STDEV(F6:F1198)+1E-12))</f>
        <v/>
      </c>
      <c r="H116" s="3">
        <f>IF('3a Raw'!F116="","",MAX(-3,MIN(3,('3a Raw'!F116-$H3)/$H4)))</f>
        <v/>
      </c>
      <c r="I116" s="3">
        <f>IF(H116="","",(H116-AVERAGE(H6:H1198))/(STDEV(H6:H1198)+1E-12))</f>
        <v/>
      </c>
      <c r="J116" s="3">
        <f>IF('3a Raw'!G116="","",MAX(-3,MIN(3,('3a Raw'!G116-$J3)/$J4)))</f>
        <v/>
      </c>
      <c r="K116" s="3">
        <f>IF(J116="","",(J116-AVERAGE(J6:J1198))/(STDEV(J6:J1198)+1E-12))</f>
        <v/>
      </c>
      <c r="L116" s="3">
        <f>IF('3a Raw'!H116="","",MAX(-3,MIN(3,('3a Raw'!H116-$L3)/$L4)))</f>
        <v/>
      </c>
      <c r="M116" s="3">
        <f>IF(L116="","",(L116-AVERAGE(L6:L1198))/(STDEV(L6:L1198)+1E-12))</f>
        <v/>
      </c>
      <c r="N116" s="3">
        <f>IF('3a Raw'!I116="","",MAX(-3,MIN(3,('3a Raw'!I116-$N3)/$N4)))</f>
        <v/>
      </c>
      <c r="O116" s="3">
        <f>IF(N116="","",(N116-AVERAGE(N6:N1198))/(STDEV(N6:N1198)+1E-12))</f>
        <v/>
      </c>
      <c r="P116" s="3">
        <f>IF('3a Raw'!J116="","",MAX(-3,MIN(3,('3a Raw'!J116-$P3)/$P4)))</f>
        <v/>
      </c>
      <c r="Q116" s="3">
        <f>IF(P116="","",(P116-AVERAGE(P6:P1198))/(STDEV(P6:P1198)+1E-12))</f>
        <v/>
      </c>
      <c r="R116" s="3">
        <f>IF('3a Raw'!K116="","",MAX(-3,MIN(3,('3a Raw'!K116-$R3)/$R4)))</f>
        <v/>
      </c>
      <c r="S116" s="3">
        <f>IF(R116="","",(R116-AVERAGE(R6:R1198))/(STDEV(R6:R1198)+1E-12))</f>
        <v/>
      </c>
      <c r="T116" s="3">
        <f>IF('3a Raw'!L116="","",MAX(-3,MIN(3,('3a Raw'!L116-$T3)/$T4)))</f>
        <v/>
      </c>
      <c r="U116" s="3">
        <f>IF(T116="","",(T116-AVERAGE(T6:T1198))/(STDEV(T6:T1198)+1E-12))</f>
        <v/>
      </c>
      <c r="X116" s="3">
        <f>IF(U116="","",U116-($V$3*G116+$W$3))</f>
        <v/>
      </c>
      <c r="Y116" s="3">
        <f>IF(X116="","",MAX(-3,MIN(3,(X116-$X3)/$X4)))</f>
        <v/>
      </c>
      <c r="Z116" s="3">
        <f>IF(Y116="","",(Y116-AVERAGE(Y6:Y1198))/(STDEV(Y6:Y1198)+1E-12))</f>
        <v/>
      </c>
    </row>
    <row r="117">
      <c r="A117" t="inlineStr">
        <is>
          <t>BBG000BCQZS4</t>
        </is>
      </c>
      <c r="B117" s="3">
        <f>IF('3a Raw'!C117="","",MAX(-3,MIN(3,('3a Raw'!C117-$B3)/$B4)))</f>
        <v/>
      </c>
      <c r="C117" s="3">
        <f>IF(B117="","",(B117-AVERAGE(B6:B1198))/(STDEV(B6:B1198)+1E-12))</f>
        <v/>
      </c>
      <c r="D117" s="3">
        <f>IF('3a Raw'!D117="","",MAX(-3,MIN(3,('3a Raw'!D117-$D3)/$D4)))</f>
        <v/>
      </c>
      <c r="E117" s="3">
        <f>IF(D117="","",(D117-AVERAGE(D6:D1198))/(STDEV(D6:D1198)+1E-12))</f>
        <v/>
      </c>
      <c r="F117" s="3">
        <f>IF('3a Raw'!E117="","",MAX(-3,MIN(3,('3a Raw'!E117-$F3)/$F4)))</f>
        <v/>
      </c>
      <c r="G117" s="3">
        <f>IF(F117="","",(F117-AVERAGE(F6:F1198))/(STDEV(F6:F1198)+1E-12))</f>
        <v/>
      </c>
      <c r="H117" s="3">
        <f>IF('3a Raw'!F117="","",MAX(-3,MIN(3,('3a Raw'!F117-$H3)/$H4)))</f>
        <v/>
      </c>
      <c r="I117" s="3">
        <f>IF(H117="","",(H117-AVERAGE(H6:H1198))/(STDEV(H6:H1198)+1E-12))</f>
        <v/>
      </c>
      <c r="J117" s="3">
        <f>IF('3a Raw'!G117="","",MAX(-3,MIN(3,('3a Raw'!G117-$J3)/$J4)))</f>
        <v/>
      </c>
      <c r="K117" s="3">
        <f>IF(J117="","",(J117-AVERAGE(J6:J1198))/(STDEV(J6:J1198)+1E-12))</f>
        <v/>
      </c>
      <c r="L117" s="3">
        <f>IF('3a Raw'!H117="","",MAX(-3,MIN(3,('3a Raw'!H117-$L3)/$L4)))</f>
        <v/>
      </c>
      <c r="M117" s="3">
        <f>IF(L117="","",(L117-AVERAGE(L6:L1198))/(STDEV(L6:L1198)+1E-12))</f>
        <v/>
      </c>
      <c r="N117" s="3">
        <f>IF('3a Raw'!I117="","",MAX(-3,MIN(3,('3a Raw'!I117-$N3)/$N4)))</f>
        <v/>
      </c>
      <c r="O117" s="3">
        <f>IF(N117="","",(N117-AVERAGE(N6:N1198))/(STDEV(N6:N1198)+1E-12))</f>
        <v/>
      </c>
      <c r="P117" s="3">
        <f>IF('3a Raw'!J117="","",MAX(-3,MIN(3,('3a Raw'!J117-$P3)/$P4)))</f>
        <v/>
      </c>
      <c r="Q117" s="3">
        <f>IF(P117="","",(P117-AVERAGE(P6:P1198))/(STDEV(P6:P1198)+1E-12))</f>
        <v/>
      </c>
      <c r="R117" s="3">
        <f>IF('3a Raw'!K117="","",MAX(-3,MIN(3,('3a Raw'!K117-$R3)/$R4)))</f>
        <v/>
      </c>
      <c r="S117" s="3">
        <f>IF(R117="","",(R117-AVERAGE(R6:R1198))/(STDEV(R6:R1198)+1E-12))</f>
        <v/>
      </c>
      <c r="T117" s="3">
        <f>IF('3a Raw'!L117="","",MAX(-3,MIN(3,('3a Raw'!L117-$T3)/$T4)))</f>
        <v/>
      </c>
      <c r="U117" s="3">
        <f>IF(T117="","",(T117-AVERAGE(T6:T1198))/(STDEV(T6:T1198)+1E-12))</f>
        <v/>
      </c>
      <c r="X117" s="3">
        <f>IF(U117="","",U117-($V$3*G117+$W$3))</f>
        <v/>
      </c>
      <c r="Y117" s="3">
        <f>IF(X117="","",MAX(-3,MIN(3,(X117-$X3)/$X4)))</f>
        <v/>
      </c>
      <c r="Z117" s="3">
        <f>IF(Y117="","",(Y117-AVERAGE(Y6:Y1198))/(STDEV(Y6:Y1198)+1E-12))</f>
        <v/>
      </c>
    </row>
    <row r="118">
      <c r="A118" t="inlineStr">
        <is>
          <t>BBG000BJ5HK0</t>
        </is>
      </c>
      <c r="B118" s="3">
        <f>IF('3a Raw'!C118="","",MAX(-3,MIN(3,('3a Raw'!C118-$B3)/$B4)))</f>
        <v/>
      </c>
      <c r="C118" s="3">
        <f>IF(B118="","",(B118-AVERAGE(B6:B1198))/(STDEV(B6:B1198)+1E-12))</f>
        <v/>
      </c>
      <c r="D118" s="3">
        <f>IF('3a Raw'!D118="","",MAX(-3,MIN(3,('3a Raw'!D118-$D3)/$D4)))</f>
        <v/>
      </c>
      <c r="E118" s="3">
        <f>IF(D118="","",(D118-AVERAGE(D6:D1198))/(STDEV(D6:D1198)+1E-12))</f>
        <v/>
      </c>
      <c r="F118" s="3">
        <f>IF('3a Raw'!E118="","",MAX(-3,MIN(3,('3a Raw'!E118-$F3)/$F4)))</f>
        <v/>
      </c>
      <c r="G118" s="3">
        <f>IF(F118="","",(F118-AVERAGE(F6:F1198))/(STDEV(F6:F1198)+1E-12))</f>
        <v/>
      </c>
      <c r="H118" s="3">
        <f>IF('3a Raw'!F118="","",MAX(-3,MIN(3,('3a Raw'!F118-$H3)/$H4)))</f>
        <v/>
      </c>
      <c r="I118" s="3">
        <f>IF(H118="","",(H118-AVERAGE(H6:H1198))/(STDEV(H6:H1198)+1E-12))</f>
        <v/>
      </c>
      <c r="J118" s="3">
        <f>IF('3a Raw'!G118="","",MAX(-3,MIN(3,('3a Raw'!G118-$J3)/$J4)))</f>
        <v/>
      </c>
      <c r="K118" s="3">
        <f>IF(J118="","",(J118-AVERAGE(J6:J1198))/(STDEV(J6:J1198)+1E-12))</f>
        <v/>
      </c>
      <c r="L118" s="3">
        <f>IF('3a Raw'!H118="","",MAX(-3,MIN(3,('3a Raw'!H118-$L3)/$L4)))</f>
        <v/>
      </c>
      <c r="M118" s="3">
        <f>IF(L118="","",(L118-AVERAGE(L6:L1198))/(STDEV(L6:L1198)+1E-12))</f>
        <v/>
      </c>
      <c r="N118" s="3">
        <f>IF('3a Raw'!I118="","",MAX(-3,MIN(3,('3a Raw'!I118-$N3)/$N4)))</f>
        <v/>
      </c>
      <c r="O118" s="3">
        <f>IF(N118="","",(N118-AVERAGE(N6:N1198))/(STDEV(N6:N1198)+1E-12))</f>
        <v/>
      </c>
      <c r="P118" s="3">
        <f>IF('3a Raw'!J118="","",MAX(-3,MIN(3,('3a Raw'!J118-$P3)/$P4)))</f>
        <v/>
      </c>
      <c r="Q118" s="3">
        <f>IF(P118="","",(P118-AVERAGE(P6:P1198))/(STDEV(P6:P1198)+1E-12))</f>
        <v/>
      </c>
      <c r="R118" s="3">
        <f>IF('3a Raw'!K118="","",MAX(-3,MIN(3,('3a Raw'!K118-$R3)/$R4)))</f>
        <v/>
      </c>
      <c r="S118" s="3">
        <f>IF(R118="","",(R118-AVERAGE(R6:R1198))/(STDEV(R6:R1198)+1E-12))</f>
        <v/>
      </c>
      <c r="T118" s="3">
        <f>IF('3a Raw'!L118="","",MAX(-3,MIN(3,('3a Raw'!L118-$T3)/$T4)))</f>
        <v/>
      </c>
      <c r="U118" s="3">
        <f>IF(T118="","",(T118-AVERAGE(T6:T1198))/(STDEV(T6:T1198)+1E-12))</f>
        <v/>
      </c>
      <c r="X118" s="3">
        <f>IF(U118="","",U118-($V$3*G118+$W$3))</f>
        <v/>
      </c>
      <c r="Y118" s="3">
        <f>IF(X118="","",MAX(-3,MIN(3,(X118-$X3)/$X4)))</f>
        <v/>
      </c>
      <c r="Z118" s="3">
        <f>IF(Y118="","",(Y118-AVERAGE(Y6:Y1198))/(STDEV(Y6:Y1198)+1E-12))</f>
        <v/>
      </c>
    </row>
    <row r="119">
      <c r="A119" t="inlineStr">
        <is>
          <t>BBG000C7LMS8</t>
        </is>
      </c>
      <c r="B119" s="3">
        <f>IF('3a Raw'!C119="","",MAX(-3,MIN(3,('3a Raw'!C119-$B3)/$B4)))</f>
        <v/>
      </c>
      <c r="C119" s="3">
        <f>IF(B119="","",(B119-AVERAGE(B6:B1198))/(STDEV(B6:B1198)+1E-12))</f>
        <v/>
      </c>
      <c r="D119" s="3">
        <f>IF('3a Raw'!D119="","",MAX(-3,MIN(3,('3a Raw'!D119-$D3)/$D4)))</f>
        <v/>
      </c>
      <c r="E119" s="3">
        <f>IF(D119="","",(D119-AVERAGE(D6:D1198))/(STDEV(D6:D1198)+1E-12))</f>
        <v/>
      </c>
      <c r="F119" s="3">
        <f>IF('3a Raw'!E119="","",MAX(-3,MIN(3,('3a Raw'!E119-$F3)/$F4)))</f>
        <v/>
      </c>
      <c r="G119" s="3">
        <f>IF(F119="","",(F119-AVERAGE(F6:F1198))/(STDEV(F6:F1198)+1E-12))</f>
        <v/>
      </c>
      <c r="H119" s="3">
        <f>IF('3a Raw'!F119="","",MAX(-3,MIN(3,('3a Raw'!F119-$H3)/$H4)))</f>
        <v/>
      </c>
      <c r="I119" s="3">
        <f>IF(H119="","",(H119-AVERAGE(H6:H1198))/(STDEV(H6:H1198)+1E-12))</f>
        <v/>
      </c>
      <c r="J119" s="3">
        <f>IF('3a Raw'!G119="","",MAX(-3,MIN(3,('3a Raw'!G119-$J3)/$J4)))</f>
        <v/>
      </c>
      <c r="K119" s="3">
        <f>IF(J119="","",(J119-AVERAGE(J6:J1198))/(STDEV(J6:J1198)+1E-12))</f>
        <v/>
      </c>
      <c r="L119" s="3">
        <f>IF('3a Raw'!H119="","",MAX(-3,MIN(3,('3a Raw'!H119-$L3)/$L4)))</f>
        <v/>
      </c>
      <c r="M119" s="3">
        <f>IF(L119="","",(L119-AVERAGE(L6:L1198))/(STDEV(L6:L1198)+1E-12))</f>
        <v/>
      </c>
      <c r="N119" s="3">
        <f>IF('3a Raw'!I119="","",MAX(-3,MIN(3,('3a Raw'!I119-$N3)/$N4)))</f>
        <v/>
      </c>
      <c r="O119" s="3">
        <f>IF(N119="","",(N119-AVERAGE(N6:N1198))/(STDEV(N6:N1198)+1E-12))</f>
        <v/>
      </c>
      <c r="P119" s="3">
        <f>IF('3a Raw'!J119="","",MAX(-3,MIN(3,('3a Raw'!J119-$P3)/$P4)))</f>
        <v/>
      </c>
      <c r="Q119" s="3">
        <f>IF(P119="","",(P119-AVERAGE(P6:P1198))/(STDEV(P6:P1198)+1E-12))</f>
        <v/>
      </c>
      <c r="R119" s="3">
        <f>IF('3a Raw'!K119="","",MAX(-3,MIN(3,('3a Raw'!K119-$R3)/$R4)))</f>
        <v/>
      </c>
      <c r="S119" s="3">
        <f>IF(R119="","",(R119-AVERAGE(R6:R1198))/(STDEV(R6:R1198)+1E-12))</f>
        <v/>
      </c>
      <c r="T119" s="3">
        <f>IF('3a Raw'!L119="","",MAX(-3,MIN(3,('3a Raw'!L119-$T3)/$T4)))</f>
        <v/>
      </c>
      <c r="U119" s="3">
        <f>IF(T119="","",(T119-AVERAGE(T6:T1198))/(STDEV(T6:T1198)+1E-12))</f>
        <v/>
      </c>
      <c r="X119" s="3">
        <f>IF(U119="","",U119-($V$3*G119+$W$3))</f>
        <v/>
      </c>
      <c r="Y119" s="3">
        <f>IF(X119="","",MAX(-3,MIN(3,(X119-$X3)/$X4)))</f>
        <v/>
      </c>
      <c r="Z119" s="3">
        <f>IF(Y119="","",(Y119-AVERAGE(Y6:Y1198))/(STDEV(Y6:Y1198)+1E-12))</f>
        <v/>
      </c>
    </row>
    <row r="120">
      <c r="A120" t="inlineStr">
        <is>
          <t>BBG000BCSST7</t>
        </is>
      </c>
      <c r="B120" s="3">
        <f>IF('3a Raw'!C120="","",MAX(-3,MIN(3,('3a Raw'!C120-$B3)/$B4)))</f>
        <v/>
      </c>
      <c r="C120" s="3">
        <f>IF(B120="","",(B120-AVERAGE(B6:B1198))/(STDEV(B6:B1198)+1E-12))</f>
        <v/>
      </c>
      <c r="D120" s="3">
        <f>IF('3a Raw'!D120="","",MAX(-3,MIN(3,('3a Raw'!D120-$D3)/$D4)))</f>
        <v/>
      </c>
      <c r="E120" s="3">
        <f>IF(D120="","",(D120-AVERAGE(D6:D1198))/(STDEV(D6:D1198)+1E-12))</f>
        <v/>
      </c>
      <c r="F120" s="3">
        <f>IF('3a Raw'!E120="","",MAX(-3,MIN(3,('3a Raw'!E120-$F3)/$F4)))</f>
        <v/>
      </c>
      <c r="G120" s="3">
        <f>IF(F120="","",(F120-AVERAGE(F6:F1198))/(STDEV(F6:F1198)+1E-12))</f>
        <v/>
      </c>
      <c r="H120" s="3">
        <f>IF('3a Raw'!F120="","",MAX(-3,MIN(3,('3a Raw'!F120-$H3)/$H4)))</f>
        <v/>
      </c>
      <c r="I120" s="3">
        <f>IF(H120="","",(H120-AVERAGE(H6:H1198))/(STDEV(H6:H1198)+1E-12))</f>
        <v/>
      </c>
      <c r="J120" s="3">
        <f>IF('3a Raw'!G120="","",MAX(-3,MIN(3,('3a Raw'!G120-$J3)/$J4)))</f>
        <v/>
      </c>
      <c r="K120" s="3">
        <f>IF(J120="","",(J120-AVERAGE(J6:J1198))/(STDEV(J6:J1198)+1E-12))</f>
        <v/>
      </c>
      <c r="L120" s="3">
        <f>IF('3a Raw'!H120="","",MAX(-3,MIN(3,('3a Raw'!H120-$L3)/$L4)))</f>
        <v/>
      </c>
      <c r="M120" s="3">
        <f>IF(L120="","",(L120-AVERAGE(L6:L1198))/(STDEV(L6:L1198)+1E-12))</f>
        <v/>
      </c>
      <c r="N120" s="3">
        <f>IF('3a Raw'!I120="","",MAX(-3,MIN(3,('3a Raw'!I120-$N3)/$N4)))</f>
        <v/>
      </c>
      <c r="O120" s="3">
        <f>IF(N120="","",(N120-AVERAGE(N6:N1198))/(STDEV(N6:N1198)+1E-12))</f>
        <v/>
      </c>
      <c r="P120" s="3">
        <f>IF('3a Raw'!J120="","",MAX(-3,MIN(3,('3a Raw'!J120-$P3)/$P4)))</f>
        <v/>
      </c>
      <c r="Q120" s="3">
        <f>IF(P120="","",(P120-AVERAGE(P6:P1198))/(STDEV(P6:P1198)+1E-12))</f>
        <v/>
      </c>
      <c r="R120" s="3">
        <f>IF('3a Raw'!K120="","",MAX(-3,MIN(3,('3a Raw'!K120-$R3)/$R4)))</f>
        <v/>
      </c>
      <c r="S120" s="3">
        <f>IF(R120="","",(R120-AVERAGE(R6:R1198))/(STDEV(R6:R1198)+1E-12))</f>
        <v/>
      </c>
      <c r="T120" s="3">
        <f>IF('3a Raw'!L120="","",MAX(-3,MIN(3,('3a Raw'!L120-$T3)/$T4)))</f>
        <v/>
      </c>
      <c r="U120" s="3">
        <f>IF(T120="","",(T120-AVERAGE(T6:T1198))/(STDEV(T6:T1198)+1E-12))</f>
        <v/>
      </c>
      <c r="X120" s="3">
        <f>IF(U120="","",U120-($V$3*G120+$W$3))</f>
        <v/>
      </c>
      <c r="Y120" s="3">
        <f>IF(X120="","",MAX(-3,MIN(3,(X120-$X3)/$X4)))</f>
        <v/>
      </c>
      <c r="Z120" s="3">
        <f>IF(Y120="","",(Y120-AVERAGE(Y6:Y1198))/(STDEV(Y6:Y1198)+1E-12))</f>
        <v/>
      </c>
    </row>
    <row r="121">
      <c r="A121" s="5" t="inlineStr">
        <is>
          <t>BBG006G2JVL2</t>
        </is>
      </c>
      <c r="B121" s="6">
        <f>IF('3a Raw'!C121="","",MAX(-3,MIN(3,('3a Raw'!C121-$B3)/$B4)))</f>
        <v/>
      </c>
      <c r="C121" s="6">
        <f>IF(B121="","",(B121-AVERAGE(B6:B1198))/(STDEV(B6:B1198)+1E-12))</f>
        <v/>
      </c>
      <c r="D121" s="6">
        <f>IF('3a Raw'!D121="","",MAX(-3,MIN(3,('3a Raw'!D121-$D3)/$D4)))</f>
        <v/>
      </c>
      <c r="E121" s="6">
        <f>IF(D121="","",(D121-AVERAGE(D6:D1198))/(STDEV(D6:D1198)+1E-12))</f>
        <v/>
      </c>
      <c r="F121" s="6">
        <f>IF('3a Raw'!E121="","",MAX(-3,MIN(3,('3a Raw'!E121-$F3)/$F4)))</f>
        <v/>
      </c>
      <c r="G121" s="6">
        <f>IF(F121="","",(F121-AVERAGE(F6:F1198))/(STDEV(F6:F1198)+1E-12))</f>
        <v/>
      </c>
      <c r="H121" s="6">
        <f>IF('3a Raw'!F121="","",MAX(-3,MIN(3,('3a Raw'!F121-$H3)/$H4)))</f>
        <v/>
      </c>
      <c r="I121" s="6">
        <f>IF(H121="","",(H121-AVERAGE(H6:H1198))/(STDEV(H6:H1198)+1E-12))</f>
        <v/>
      </c>
      <c r="J121" s="6">
        <f>IF('3a Raw'!G121="","",MAX(-3,MIN(3,('3a Raw'!G121-$J3)/$J4)))</f>
        <v/>
      </c>
      <c r="K121" s="6">
        <f>IF(J121="","",(J121-AVERAGE(J6:J1198))/(STDEV(J6:J1198)+1E-12))</f>
        <v/>
      </c>
      <c r="L121" s="6">
        <f>IF('3a Raw'!H121="","",MAX(-3,MIN(3,('3a Raw'!H121-$L3)/$L4)))</f>
        <v/>
      </c>
      <c r="M121" s="6">
        <f>IF(L121="","",(L121-AVERAGE(L6:L1198))/(STDEV(L6:L1198)+1E-12))</f>
        <v/>
      </c>
      <c r="N121" s="6">
        <f>IF('3a Raw'!I121="","",MAX(-3,MIN(3,('3a Raw'!I121-$N3)/$N4)))</f>
        <v/>
      </c>
      <c r="O121" s="6">
        <f>IF(N121="","",(N121-AVERAGE(N6:N1198))/(STDEV(N6:N1198)+1E-12))</f>
        <v/>
      </c>
      <c r="P121" s="6">
        <f>IF('3a Raw'!J121="","",MAX(-3,MIN(3,('3a Raw'!J121-$P3)/$P4)))</f>
        <v/>
      </c>
      <c r="Q121" s="6">
        <f>IF(P121="","",(P121-AVERAGE(P6:P1198))/(STDEV(P6:P1198)+1E-12))</f>
        <v/>
      </c>
      <c r="R121" s="6">
        <f>IF('3a Raw'!K121="","",MAX(-3,MIN(3,('3a Raw'!K121-$R3)/$R4)))</f>
        <v/>
      </c>
      <c r="S121" s="6">
        <f>IF(R121="","",(R121-AVERAGE(R6:R1198))/(STDEV(R6:R1198)+1E-12))</f>
        <v/>
      </c>
      <c r="T121" s="6">
        <f>IF('3a Raw'!L121="","",MAX(-3,MIN(3,('3a Raw'!L121-$T3)/$T4)))</f>
        <v/>
      </c>
      <c r="U121" s="6">
        <f>IF(T121="","",(T121-AVERAGE(T6:T1198))/(STDEV(T6:T1198)+1E-12))</f>
        <v/>
      </c>
      <c r="V121" s="5" t="n"/>
      <c r="X121" s="3">
        <f>IF(U121="","",U121-($V$3*G121+$W$3))</f>
        <v/>
      </c>
      <c r="Y121" s="3">
        <f>IF(X121="","",MAX(-3,MIN(3,(X121-$X3)/$X4)))</f>
        <v/>
      </c>
      <c r="Z121" s="3">
        <f>IF(Y121="","",(Y121-AVERAGE(Y6:Y1198))/(STDEV(Y6:Y1198)+1E-12))</f>
        <v/>
      </c>
    </row>
    <row r="122">
      <c r="A122" t="inlineStr">
        <is>
          <t>BBG000BCTLF6</t>
        </is>
      </c>
      <c r="B122" s="3">
        <f>IF('3a Raw'!C122="","",MAX(-3,MIN(3,('3a Raw'!C122-$B3)/$B4)))</f>
        <v/>
      </c>
      <c r="C122" s="3">
        <f>IF(B122="","",(B122-AVERAGE(B6:B1198))/(STDEV(B6:B1198)+1E-12))</f>
        <v/>
      </c>
      <c r="D122" s="3">
        <f>IF('3a Raw'!D122="","",MAX(-3,MIN(3,('3a Raw'!D122-$D3)/$D4)))</f>
        <v/>
      </c>
      <c r="E122" s="3">
        <f>IF(D122="","",(D122-AVERAGE(D6:D1198))/(STDEV(D6:D1198)+1E-12))</f>
        <v/>
      </c>
      <c r="F122" s="3">
        <f>IF('3a Raw'!E122="","",MAX(-3,MIN(3,('3a Raw'!E122-$F3)/$F4)))</f>
        <v/>
      </c>
      <c r="G122" s="3">
        <f>IF(F122="","",(F122-AVERAGE(F6:F1198))/(STDEV(F6:F1198)+1E-12))</f>
        <v/>
      </c>
      <c r="H122" s="3">
        <f>IF('3a Raw'!F122="","",MAX(-3,MIN(3,('3a Raw'!F122-$H3)/$H4)))</f>
        <v/>
      </c>
      <c r="I122" s="3">
        <f>IF(H122="","",(H122-AVERAGE(H6:H1198))/(STDEV(H6:H1198)+1E-12))</f>
        <v/>
      </c>
      <c r="J122" s="3">
        <f>IF('3a Raw'!G122="","",MAX(-3,MIN(3,('3a Raw'!G122-$J3)/$J4)))</f>
        <v/>
      </c>
      <c r="K122" s="3">
        <f>IF(J122="","",(J122-AVERAGE(J6:J1198))/(STDEV(J6:J1198)+1E-12))</f>
        <v/>
      </c>
      <c r="L122" s="3">
        <f>IF('3a Raw'!H122="","",MAX(-3,MIN(3,('3a Raw'!H122-$L3)/$L4)))</f>
        <v/>
      </c>
      <c r="M122" s="3">
        <f>IF(L122="","",(L122-AVERAGE(L6:L1198))/(STDEV(L6:L1198)+1E-12))</f>
        <v/>
      </c>
      <c r="N122" s="3">
        <f>IF('3a Raw'!I122="","",MAX(-3,MIN(3,('3a Raw'!I122-$N3)/$N4)))</f>
        <v/>
      </c>
      <c r="O122" s="3">
        <f>IF(N122="","",(N122-AVERAGE(N6:N1198))/(STDEV(N6:N1198)+1E-12))</f>
        <v/>
      </c>
      <c r="P122" s="3">
        <f>IF('3a Raw'!J122="","",MAX(-3,MIN(3,('3a Raw'!J122-$P3)/$P4)))</f>
        <v/>
      </c>
      <c r="Q122" s="3">
        <f>IF(P122="","",(P122-AVERAGE(P6:P1198))/(STDEV(P6:P1198)+1E-12))</f>
        <v/>
      </c>
      <c r="R122" s="3">
        <f>IF('3a Raw'!K122="","",MAX(-3,MIN(3,('3a Raw'!K122-$R3)/$R4)))</f>
        <v/>
      </c>
      <c r="S122" s="3">
        <f>IF(R122="","",(R122-AVERAGE(R6:R1198))/(STDEV(R6:R1198)+1E-12))</f>
        <v/>
      </c>
      <c r="T122" s="3">
        <f>IF('3a Raw'!L122="","",MAX(-3,MIN(3,('3a Raw'!L122-$T3)/$T4)))</f>
        <v/>
      </c>
      <c r="U122" s="3">
        <f>IF(T122="","",(T122-AVERAGE(T6:T1198))/(STDEV(T6:T1198)+1E-12))</f>
        <v/>
      </c>
      <c r="X122" s="3">
        <f>IF(U122="","",U122-($V$3*G122+$W$3))</f>
        <v/>
      </c>
      <c r="Y122" s="3">
        <f>IF(X122="","",MAX(-3,MIN(3,(X122-$X3)/$X4)))</f>
        <v/>
      </c>
      <c r="Z122" s="3">
        <f>IF(Y122="","",(Y122-AVERAGE(Y6:Y1198))/(STDEV(Y6:Y1198)+1E-12))</f>
        <v/>
      </c>
    </row>
    <row r="123">
      <c r="A123" t="inlineStr">
        <is>
          <t>BBG000R2YFG7</t>
        </is>
      </c>
      <c r="B123" s="3">
        <f>IF('3a Raw'!C123="","",MAX(-3,MIN(3,('3a Raw'!C123-$B3)/$B4)))</f>
        <v/>
      </c>
      <c r="C123" s="3">
        <f>IF(B123="","",(B123-AVERAGE(B6:B1198))/(STDEV(B6:B1198)+1E-12))</f>
        <v/>
      </c>
      <c r="D123" s="3">
        <f>IF('3a Raw'!D123="","",MAX(-3,MIN(3,('3a Raw'!D123-$D3)/$D4)))</f>
        <v/>
      </c>
      <c r="E123" s="3">
        <f>IF(D123="","",(D123-AVERAGE(D6:D1198))/(STDEV(D6:D1198)+1E-12))</f>
        <v/>
      </c>
      <c r="F123" s="3">
        <f>IF('3a Raw'!E123="","",MAX(-3,MIN(3,('3a Raw'!E123-$F3)/$F4)))</f>
        <v/>
      </c>
      <c r="G123" s="3">
        <f>IF(F123="","",(F123-AVERAGE(F6:F1198))/(STDEV(F6:F1198)+1E-12))</f>
        <v/>
      </c>
      <c r="H123" s="3">
        <f>IF('3a Raw'!F123="","",MAX(-3,MIN(3,('3a Raw'!F123-$H3)/$H4)))</f>
        <v/>
      </c>
      <c r="I123" s="3">
        <f>IF(H123="","",(H123-AVERAGE(H6:H1198))/(STDEV(H6:H1198)+1E-12))</f>
        <v/>
      </c>
      <c r="J123" s="3">
        <f>IF('3a Raw'!G123="","",MAX(-3,MIN(3,('3a Raw'!G123-$J3)/$J4)))</f>
        <v/>
      </c>
      <c r="K123" s="3">
        <f>IF(J123="","",(J123-AVERAGE(J6:J1198))/(STDEV(J6:J1198)+1E-12))</f>
        <v/>
      </c>
      <c r="L123" s="3">
        <f>IF('3a Raw'!H123="","",MAX(-3,MIN(3,('3a Raw'!H123-$L3)/$L4)))</f>
        <v/>
      </c>
      <c r="M123" s="3">
        <f>IF(L123="","",(L123-AVERAGE(L6:L1198))/(STDEV(L6:L1198)+1E-12))</f>
        <v/>
      </c>
      <c r="N123" s="3">
        <f>IF('3a Raw'!I123="","",MAX(-3,MIN(3,('3a Raw'!I123-$N3)/$N4)))</f>
        <v/>
      </c>
      <c r="O123" s="3">
        <f>IF(N123="","",(N123-AVERAGE(N6:N1198))/(STDEV(N6:N1198)+1E-12))</f>
        <v/>
      </c>
      <c r="P123" s="3">
        <f>IF('3a Raw'!J123="","",MAX(-3,MIN(3,('3a Raw'!J123-$P3)/$P4)))</f>
        <v/>
      </c>
      <c r="Q123" s="3">
        <f>IF(P123="","",(P123-AVERAGE(P6:P1198))/(STDEV(P6:P1198)+1E-12))</f>
        <v/>
      </c>
      <c r="R123" s="3">
        <f>IF('3a Raw'!K123="","",MAX(-3,MIN(3,('3a Raw'!K123-$R3)/$R4)))</f>
        <v/>
      </c>
      <c r="S123" s="3">
        <f>IF(R123="","",(R123-AVERAGE(R6:R1198))/(STDEV(R6:R1198)+1E-12))</f>
        <v/>
      </c>
      <c r="T123" s="3">
        <f>IF('3a Raw'!L123="","",MAX(-3,MIN(3,('3a Raw'!L123-$T3)/$T4)))</f>
        <v/>
      </c>
      <c r="U123" s="3">
        <f>IF(T123="","",(T123-AVERAGE(T6:T1198))/(STDEV(T6:T1198)+1E-12))</f>
        <v/>
      </c>
      <c r="X123" s="3">
        <f>IF(U123="","",U123-($V$3*G123+$W$3))</f>
        <v/>
      </c>
      <c r="Y123" s="3">
        <f>IF(X123="","",MAX(-3,MIN(3,(X123-$X3)/$X4)))</f>
        <v/>
      </c>
      <c r="Z123" s="3">
        <f>IF(Y123="","",(Y123-AVERAGE(Y6:Y1198))/(STDEV(Y6:Y1198)+1E-12))</f>
        <v/>
      </c>
    </row>
    <row r="124">
      <c r="A124" t="inlineStr">
        <is>
          <t>BBG000BDDNH5</t>
        </is>
      </c>
      <c r="B124" s="3">
        <f>IF('3a Raw'!C124="","",MAX(-3,MIN(3,('3a Raw'!C124-$B3)/$B4)))</f>
        <v/>
      </c>
      <c r="C124" s="3">
        <f>IF(B124="","",(B124-AVERAGE(B6:B1198))/(STDEV(B6:B1198)+1E-12))</f>
        <v/>
      </c>
      <c r="D124" s="3">
        <f>IF('3a Raw'!D124="","",MAX(-3,MIN(3,('3a Raw'!D124-$D3)/$D4)))</f>
        <v/>
      </c>
      <c r="E124" s="3">
        <f>IF(D124="","",(D124-AVERAGE(D6:D1198))/(STDEV(D6:D1198)+1E-12))</f>
        <v/>
      </c>
      <c r="F124" s="3">
        <f>IF('3a Raw'!E124="","",MAX(-3,MIN(3,('3a Raw'!E124-$F3)/$F4)))</f>
        <v/>
      </c>
      <c r="G124" s="3">
        <f>IF(F124="","",(F124-AVERAGE(F6:F1198))/(STDEV(F6:F1198)+1E-12))</f>
        <v/>
      </c>
      <c r="H124" s="3">
        <f>IF('3a Raw'!F124="","",MAX(-3,MIN(3,('3a Raw'!F124-$H3)/$H4)))</f>
        <v/>
      </c>
      <c r="I124" s="3">
        <f>IF(H124="","",(H124-AVERAGE(H6:H1198))/(STDEV(H6:H1198)+1E-12))</f>
        <v/>
      </c>
      <c r="J124" s="3">
        <f>IF('3a Raw'!G124="","",MAX(-3,MIN(3,('3a Raw'!G124-$J3)/$J4)))</f>
        <v/>
      </c>
      <c r="K124" s="3">
        <f>IF(J124="","",(J124-AVERAGE(J6:J1198))/(STDEV(J6:J1198)+1E-12))</f>
        <v/>
      </c>
      <c r="L124" s="3">
        <f>IF('3a Raw'!H124="","",MAX(-3,MIN(3,('3a Raw'!H124-$L3)/$L4)))</f>
        <v/>
      </c>
      <c r="M124" s="3">
        <f>IF(L124="","",(L124-AVERAGE(L6:L1198))/(STDEV(L6:L1198)+1E-12))</f>
        <v/>
      </c>
      <c r="N124" s="3">
        <f>IF('3a Raw'!I124="","",MAX(-3,MIN(3,('3a Raw'!I124-$N3)/$N4)))</f>
        <v/>
      </c>
      <c r="O124" s="3">
        <f>IF(N124="","",(N124-AVERAGE(N6:N1198))/(STDEV(N6:N1198)+1E-12))</f>
        <v/>
      </c>
      <c r="P124" s="3">
        <f>IF('3a Raw'!J124="","",MAX(-3,MIN(3,('3a Raw'!J124-$P3)/$P4)))</f>
        <v/>
      </c>
      <c r="Q124" s="3">
        <f>IF(P124="","",(P124-AVERAGE(P6:P1198))/(STDEV(P6:P1198)+1E-12))</f>
        <v/>
      </c>
      <c r="R124" s="3">
        <f>IF('3a Raw'!K124="","",MAX(-3,MIN(3,('3a Raw'!K124-$R3)/$R4)))</f>
        <v/>
      </c>
      <c r="S124" s="3">
        <f>IF(R124="","",(R124-AVERAGE(R6:R1198))/(STDEV(R6:R1198)+1E-12))</f>
        <v/>
      </c>
      <c r="T124" s="3">
        <f>IF('3a Raw'!L124="","",MAX(-3,MIN(3,('3a Raw'!L124-$T3)/$T4)))</f>
        <v/>
      </c>
      <c r="U124" s="3">
        <f>IF(T124="","",(T124-AVERAGE(T6:T1198))/(STDEV(T6:T1198)+1E-12))</f>
        <v/>
      </c>
      <c r="X124" s="3">
        <f>IF(U124="","",U124-($V$3*G124+$W$3))</f>
        <v/>
      </c>
      <c r="Y124" s="3">
        <f>IF(X124="","",MAX(-3,MIN(3,(X124-$X3)/$X4)))</f>
        <v/>
      </c>
      <c r="Z124" s="3">
        <f>IF(Y124="","",(Y124-AVERAGE(Y6:Y1198))/(STDEV(Y6:Y1198)+1E-12))</f>
        <v/>
      </c>
    </row>
    <row r="125">
      <c r="A125" t="inlineStr">
        <is>
          <t>BBG01BPHNXZ3</t>
        </is>
      </c>
      <c r="B125" s="3">
        <f>IF('3a Raw'!C125="","",MAX(-3,MIN(3,('3a Raw'!C125-$B3)/$B4)))</f>
        <v/>
      </c>
      <c r="C125" s="3">
        <f>IF(B125="","",(B125-AVERAGE(B6:B1198))/(STDEV(B6:B1198)+1E-12))</f>
        <v/>
      </c>
      <c r="D125" s="3">
        <f>IF('3a Raw'!D125="","",MAX(-3,MIN(3,('3a Raw'!D125-$D3)/$D4)))</f>
        <v/>
      </c>
      <c r="E125" s="3">
        <f>IF(D125="","",(D125-AVERAGE(D6:D1198))/(STDEV(D6:D1198)+1E-12))</f>
        <v/>
      </c>
      <c r="F125" s="3">
        <f>IF('3a Raw'!E125="","",MAX(-3,MIN(3,('3a Raw'!E125-$F3)/$F4)))</f>
        <v/>
      </c>
      <c r="G125" s="3">
        <f>IF(F125="","",(F125-AVERAGE(F6:F1198))/(STDEV(F6:F1198)+1E-12))</f>
        <v/>
      </c>
      <c r="H125" s="3">
        <f>IF('3a Raw'!F125="","",MAX(-3,MIN(3,('3a Raw'!F125-$H3)/$H4)))</f>
        <v/>
      </c>
      <c r="I125" s="3">
        <f>IF(H125="","",(H125-AVERAGE(H6:H1198))/(STDEV(H6:H1198)+1E-12))</f>
        <v/>
      </c>
      <c r="J125" s="3">
        <f>IF('3a Raw'!G125="","",MAX(-3,MIN(3,('3a Raw'!G125-$J3)/$J4)))</f>
        <v/>
      </c>
      <c r="K125" s="3">
        <f>IF(J125="","",(J125-AVERAGE(J6:J1198))/(STDEV(J6:J1198)+1E-12))</f>
        <v/>
      </c>
      <c r="L125" s="3">
        <f>IF('3a Raw'!H125="","",MAX(-3,MIN(3,('3a Raw'!H125-$L3)/$L4)))</f>
        <v/>
      </c>
      <c r="M125" s="3">
        <f>IF(L125="","",(L125-AVERAGE(L6:L1198))/(STDEV(L6:L1198)+1E-12))</f>
        <v/>
      </c>
      <c r="N125" s="3">
        <f>IF('3a Raw'!I125="","",MAX(-3,MIN(3,('3a Raw'!I125-$N3)/$N4)))</f>
        <v/>
      </c>
      <c r="O125" s="3">
        <f>IF(N125="","",(N125-AVERAGE(N6:N1198))/(STDEV(N6:N1198)+1E-12))</f>
        <v/>
      </c>
      <c r="P125" s="3">
        <f>IF('3a Raw'!J125="","",MAX(-3,MIN(3,('3a Raw'!J125-$P3)/$P4)))</f>
        <v/>
      </c>
      <c r="Q125" s="3">
        <f>IF(P125="","",(P125-AVERAGE(P6:P1198))/(STDEV(P6:P1198)+1E-12))</f>
        <v/>
      </c>
      <c r="R125" s="3">
        <f>IF('3a Raw'!K125="","",MAX(-3,MIN(3,('3a Raw'!K125-$R3)/$R4)))</f>
        <v/>
      </c>
      <c r="S125" s="3">
        <f>IF(R125="","",(R125-AVERAGE(R6:R1198))/(STDEV(R6:R1198)+1E-12))</f>
        <v/>
      </c>
      <c r="T125" s="3">
        <f>IF('3a Raw'!L125="","",MAX(-3,MIN(3,('3a Raw'!L125-$T3)/$T4)))</f>
        <v/>
      </c>
      <c r="U125" s="3">
        <f>IF(T125="","",(T125-AVERAGE(T6:T1198))/(STDEV(T6:T1198)+1E-12))</f>
        <v/>
      </c>
      <c r="X125" s="3">
        <f>IF(U125="","",U125-($V$3*G125+$W$3))</f>
        <v/>
      </c>
      <c r="Y125" s="3">
        <f>IF(X125="","",MAX(-3,MIN(3,(X125-$X3)/$X4)))</f>
        <v/>
      </c>
      <c r="Z125" s="3">
        <f>IF(Y125="","",(Y125-AVERAGE(Y6:Y1198))/(STDEV(Y6:Y1198)+1E-12))</f>
        <v/>
      </c>
    </row>
    <row r="126">
      <c r="A126" t="inlineStr">
        <is>
          <t>BBG001K003W2</t>
        </is>
      </c>
      <c r="B126" s="3">
        <f>IF('3a Raw'!C126="","",MAX(-3,MIN(3,('3a Raw'!C126-$B3)/$B4)))</f>
        <v/>
      </c>
      <c r="C126" s="3">
        <f>IF(B126="","",(B126-AVERAGE(B6:B1198))/(STDEV(B6:B1198)+1E-12))</f>
        <v/>
      </c>
      <c r="D126" s="3">
        <f>IF('3a Raw'!D126="","",MAX(-3,MIN(3,('3a Raw'!D126-$D3)/$D4)))</f>
        <v/>
      </c>
      <c r="E126" s="3">
        <f>IF(D126="","",(D126-AVERAGE(D6:D1198))/(STDEV(D6:D1198)+1E-12))</f>
        <v/>
      </c>
      <c r="F126" s="3">
        <f>IF('3a Raw'!E126="","",MAX(-3,MIN(3,('3a Raw'!E126-$F3)/$F4)))</f>
        <v/>
      </c>
      <c r="G126" s="3">
        <f>IF(F126="","",(F126-AVERAGE(F6:F1198))/(STDEV(F6:F1198)+1E-12))</f>
        <v/>
      </c>
      <c r="H126" s="3">
        <f>IF('3a Raw'!F126="","",MAX(-3,MIN(3,('3a Raw'!F126-$H3)/$H4)))</f>
        <v/>
      </c>
      <c r="I126" s="3">
        <f>IF(H126="","",(H126-AVERAGE(H6:H1198))/(STDEV(H6:H1198)+1E-12))</f>
        <v/>
      </c>
      <c r="J126" s="3">
        <f>IF('3a Raw'!G126="","",MAX(-3,MIN(3,('3a Raw'!G126-$J3)/$J4)))</f>
        <v/>
      </c>
      <c r="K126" s="3">
        <f>IF(J126="","",(J126-AVERAGE(J6:J1198))/(STDEV(J6:J1198)+1E-12))</f>
        <v/>
      </c>
      <c r="L126" s="3">
        <f>IF('3a Raw'!H126="","",MAX(-3,MIN(3,('3a Raw'!H126-$L3)/$L4)))</f>
        <v/>
      </c>
      <c r="M126" s="3">
        <f>IF(L126="","",(L126-AVERAGE(L6:L1198))/(STDEV(L6:L1198)+1E-12))</f>
        <v/>
      </c>
      <c r="N126" s="3">
        <f>IF('3a Raw'!I126="","",MAX(-3,MIN(3,('3a Raw'!I126-$N3)/$N4)))</f>
        <v/>
      </c>
      <c r="O126" s="3">
        <f>IF(N126="","",(N126-AVERAGE(N6:N1198))/(STDEV(N6:N1198)+1E-12))</f>
        <v/>
      </c>
      <c r="P126" s="3">
        <f>IF('3a Raw'!J126="","",MAX(-3,MIN(3,('3a Raw'!J126-$P3)/$P4)))</f>
        <v/>
      </c>
      <c r="Q126" s="3">
        <f>IF(P126="","",(P126-AVERAGE(P6:P1198))/(STDEV(P6:P1198)+1E-12))</f>
        <v/>
      </c>
      <c r="R126" s="3">
        <f>IF('3a Raw'!K126="","",MAX(-3,MIN(3,('3a Raw'!K126-$R3)/$R4)))</f>
        <v/>
      </c>
      <c r="S126" s="3">
        <f>IF(R126="","",(R126-AVERAGE(R6:R1198))/(STDEV(R6:R1198)+1E-12))</f>
        <v/>
      </c>
      <c r="T126" s="3">
        <f>IF('3a Raw'!L126="","",MAX(-3,MIN(3,('3a Raw'!L126-$T3)/$T4)))</f>
        <v/>
      </c>
      <c r="U126" s="3">
        <f>IF(T126="","",(T126-AVERAGE(T6:T1198))/(STDEV(T6:T1198)+1E-12))</f>
        <v/>
      </c>
      <c r="X126" s="3">
        <f>IF(U126="","",U126-($V$3*G126+$W$3))</f>
        <v/>
      </c>
      <c r="Y126" s="3">
        <f>IF(X126="","",MAX(-3,MIN(3,(X126-$X3)/$X4)))</f>
        <v/>
      </c>
      <c r="Z126" s="3">
        <f>IF(Y126="","",(Y126-AVERAGE(Y6:Y1198))/(STDEV(Y6:Y1198)+1E-12))</f>
        <v/>
      </c>
    </row>
    <row r="127">
      <c r="A127" t="inlineStr">
        <is>
          <t>BBG000BCVJ77</t>
        </is>
      </c>
      <c r="B127" s="3">
        <f>IF('3a Raw'!C127="","",MAX(-3,MIN(3,('3a Raw'!C127-$B3)/$B4)))</f>
        <v/>
      </c>
      <c r="C127" s="3">
        <f>IF(B127="","",(B127-AVERAGE(B6:B1198))/(STDEV(B6:B1198)+1E-12))</f>
        <v/>
      </c>
      <c r="D127" s="3">
        <f>IF('3a Raw'!D127="","",MAX(-3,MIN(3,('3a Raw'!D127-$D3)/$D4)))</f>
        <v/>
      </c>
      <c r="E127" s="3">
        <f>IF(D127="","",(D127-AVERAGE(D6:D1198))/(STDEV(D6:D1198)+1E-12))</f>
        <v/>
      </c>
      <c r="F127" s="3">
        <f>IF('3a Raw'!E127="","",MAX(-3,MIN(3,('3a Raw'!E127-$F3)/$F4)))</f>
        <v/>
      </c>
      <c r="G127" s="3">
        <f>IF(F127="","",(F127-AVERAGE(F6:F1198))/(STDEV(F6:F1198)+1E-12))</f>
        <v/>
      </c>
      <c r="H127" s="3">
        <f>IF('3a Raw'!F127="","",MAX(-3,MIN(3,('3a Raw'!F127-$H3)/$H4)))</f>
        <v/>
      </c>
      <c r="I127" s="3">
        <f>IF(H127="","",(H127-AVERAGE(H6:H1198))/(STDEV(H6:H1198)+1E-12))</f>
        <v/>
      </c>
      <c r="J127" s="3">
        <f>IF('3a Raw'!G127="","",MAX(-3,MIN(3,('3a Raw'!G127-$J3)/$J4)))</f>
        <v/>
      </c>
      <c r="K127" s="3">
        <f>IF(J127="","",(J127-AVERAGE(J6:J1198))/(STDEV(J6:J1198)+1E-12))</f>
        <v/>
      </c>
      <c r="L127" s="3">
        <f>IF('3a Raw'!H127="","",MAX(-3,MIN(3,('3a Raw'!H127-$L3)/$L4)))</f>
        <v/>
      </c>
      <c r="M127" s="3">
        <f>IF(L127="","",(L127-AVERAGE(L6:L1198))/(STDEV(L6:L1198)+1E-12))</f>
        <v/>
      </c>
      <c r="N127" s="3">
        <f>IF('3a Raw'!I127="","",MAX(-3,MIN(3,('3a Raw'!I127-$N3)/$N4)))</f>
        <v/>
      </c>
      <c r="O127" s="3">
        <f>IF(N127="","",(N127-AVERAGE(N6:N1198))/(STDEV(N6:N1198)+1E-12))</f>
        <v/>
      </c>
      <c r="P127" s="3">
        <f>IF('3a Raw'!J127="","",MAX(-3,MIN(3,('3a Raw'!J127-$P3)/$P4)))</f>
        <v/>
      </c>
      <c r="Q127" s="3">
        <f>IF(P127="","",(P127-AVERAGE(P6:P1198))/(STDEV(P6:P1198)+1E-12))</f>
        <v/>
      </c>
      <c r="R127" s="3">
        <f>IF('3a Raw'!K127="","",MAX(-3,MIN(3,('3a Raw'!K127-$R3)/$R4)))</f>
        <v/>
      </c>
      <c r="S127" s="3">
        <f>IF(R127="","",(R127-AVERAGE(R6:R1198))/(STDEV(R6:R1198)+1E-12))</f>
        <v/>
      </c>
      <c r="T127" s="3">
        <f>IF('3a Raw'!L127="","",MAX(-3,MIN(3,('3a Raw'!L127-$T3)/$T4)))</f>
        <v/>
      </c>
      <c r="U127" s="3">
        <f>IF(T127="","",(T127-AVERAGE(T6:T1198))/(STDEV(T6:T1198)+1E-12))</f>
        <v/>
      </c>
      <c r="X127" s="3">
        <f>IF(U127="","",U127-($V$3*G127+$W$3))</f>
        <v/>
      </c>
      <c r="Y127" s="3">
        <f>IF(X127="","",MAX(-3,MIN(3,(X127-$X3)/$X4)))</f>
        <v/>
      </c>
      <c r="Z127" s="3">
        <f>IF(Y127="","",(Y127-AVERAGE(Y6:Y1198))/(STDEV(Y6:Y1198)+1E-12))</f>
        <v/>
      </c>
    </row>
    <row r="128">
      <c r="A128" t="inlineStr">
        <is>
          <t>BBG000BF7BV7</t>
        </is>
      </c>
      <c r="B128" s="3">
        <f>IF('3a Raw'!C128="","",MAX(-3,MIN(3,('3a Raw'!C128-$B3)/$B4)))</f>
        <v/>
      </c>
      <c r="C128" s="3">
        <f>IF(B128="","",(B128-AVERAGE(B6:B1198))/(STDEV(B6:B1198)+1E-12))</f>
        <v/>
      </c>
      <c r="D128" s="3">
        <f>IF('3a Raw'!D128="","",MAX(-3,MIN(3,('3a Raw'!D128-$D3)/$D4)))</f>
        <v/>
      </c>
      <c r="E128" s="3">
        <f>IF(D128="","",(D128-AVERAGE(D6:D1198))/(STDEV(D6:D1198)+1E-12))</f>
        <v/>
      </c>
      <c r="F128" s="3">
        <f>IF('3a Raw'!E128="","",MAX(-3,MIN(3,('3a Raw'!E128-$F3)/$F4)))</f>
        <v/>
      </c>
      <c r="G128" s="3">
        <f>IF(F128="","",(F128-AVERAGE(F6:F1198))/(STDEV(F6:F1198)+1E-12))</f>
        <v/>
      </c>
      <c r="H128" s="3">
        <f>IF('3a Raw'!F128="","",MAX(-3,MIN(3,('3a Raw'!F128-$H3)/$H4)))</f>
        <v/>
      </c>
      <c r="I128" s="3">
        <f>IF(H128="","",(H128-AVERAGE(H6:H1198))/(STDEV(H6:H1198)+1E-12))</f>
        <v/>
      </c>
      <c r="J128" s="3">
        <f>IF('3a Raw'!G128="","",MAX(-3,MIN(3,('3a Raw'!G128-$J3)/$J4)))</f>
        <v/>
      </c>
      <c r="K128" s="3">
        <f>IF(J128="","",(J128-AVERAGE(J6:J1198))/(STDEV(J6:J1198)+1E-12))</f>
        <v/>
      </c>
      <c r="L128" s="3">
        <f>IF('3a Raw'!H128="","",MAX(-3,MIN(3,('3a Raw'!H128-$L3)/$L4)))</f>
        <v/>
      </c>
      <c r="M128" s="3">
        <f>IF(L128="","",(L128-AVERAGE(L6:L1198))/(STDEV(L6:L1198)+1E-12))</f>
        <v/>
      </c>
      <c r="N128" s="3">
        <f>IF('3a Raw'!I128="","",MAX(-3,MIN(3,('3a Raw'!I128-$N3)/$N4)))</f>
        <v/>
      </c>
      <c r="O128" s="3">
        <f>IF(N128="","",(N128-AVERAGE(N6:N1198))/(STDEV(N6:N1198)+1E-12))</f>
        <v/>
      </c>
      <c r="P128" s="3">
        <f>IF('3a Raw'!J128="","",MAX(-3,MIN(3,('3a Raw'!J128-$P3)/$P4)))</f>
        <v/>
      </c>
      <c r="Q128" s="3">
        <f>IF(P128="","",(P128-AVERAGE(P6:P1198))/(STDEV(P6:P1198)+1E-12))</f>
        <v/>
      </c>
      <c r="R128" s="3">
        <f>IF('3a Raw'!K128="","",MAX(-3,MIN(3,('3a Raw'!K128-$R3)/$R4)))</f>
        <v/>
      </c>
      <c r="S128" s="3">
        <f>IF(R128="","",(R128-AVERAGE(R6:R1198))/(STDEV(R6:R1198)+1E-12))</f>
        <v/>
      </c>
      <c r="T128" s="3">
        <f>IF('3a Raw'!L128="","",MAX(-3,MIN(3,('3a Raw'!L128-$T3)/$T4)))</f>
        <v/>
      </c>
      <c r="U128" s="3">
        <f>IF(T128="","",(T128-AVERAGE(T6:T1198))/(STDEV(T6:T1198)+1E-12))</f>
        <v/>
      </c>
      <c r="X128" s="3">
        <f>IF(U128="","",U128-($V$3*G128+$W$3))</f>
        <v/>
      </c>
      <c r="Y128" s="3">
        <f>IF(X128="","",MAX(-3,MIN(3,(X128-$X3)/$X4)))</f>
        <v/>
      </c>
      <c r="Z128" s="3">
        <f>IF(Y128="","",(Y128-AVERAGE(Y6:Y1198))/(STDEV(Y6:Y1198)+1E-12))</f>
        <v/>
      </c>
    </row>
    <row r="129">
      <c r="A129" t="inlineStr">
        <is>
          <t>BBG00JNGG9Q2</t>
        </is>
      </c>
      <c r="B129" s="3">
        <f>IF('3a Raw'!C129="","",MAX(-3,MIN(3,('3a Raw'!C129-$B3)/$B4)))</f>
        <v/>
      </c>
      <c r="C129" s="3">
        <f>IF(B129="","",(B129-AVERAGE(B6:B1198))/(STDEV(B6:B1198)+1E-12))</f>
        <v/>
      </c>
      <c r="D129" s="3">
        <f>IF('3a Raw'!D129="","",MAX(-3,MIN(3,('3a Raw'!D129-$D3)/$D4)))</f>
        <v/>
      </c>
      <c r="E129" s="3">
        <f>IF(D129="","",(D129-AVERAGE(D6:D1198))/(STDEV(D6:D1198)+1E-12))</f>
        <v/>
      </c>
      <c r="F129" s="3">
        <f>IF('3a Raw'!E129="","",MAX(-3,MIN(3,('3a Raw'!E129-$F3)/$F4)))</f>
        <v/>
      </c>
      <c r="G129" s="3">
        <f>IF(F129="","",(F129-AVERAGE(F6:F1198))/(STDEV(F6:F1198)+1E-12))</f>
        <v/>
      </c>
      <c r="H129" s="3">
        <f>IF('3a Raw'!F129="","",MAX(-3,MIN(3,('3a Raw'!F129-$H3)/$H4)))</f>
        <v/>
      </c>
      <c r="I129" s="3">
        <f>IF(H129="","",(H129-AVERAGE(H6:H1198))/(STDEV(H6:H1198)+1E-12))</f>
        <v/>
      </c>
      <c r="J129" s="3">
        <f>IF('3a Raw'!G129="","",MAX(-3,MIN(3,('3a Raw'!G129-$J3)/$J4)))</f>
        <v/>
      </c>
      <c r="K129" s="3">
        <f>IF(J129="","",(J129-AVERAGE(J6:J1198))/(STDEV(J6:J1198)+1E-12))</f>
        <v/>
      </c>
      <c r="L129" s="3">
        <f>IF('3a Raw'!H129="","",MAX(-3,MIN(3,('3a Raw'!H129-$L3)/$L4)))</f>
        <v/>
      </c>
      <c r="M129" s="3">
        <f>IF(L129="","",(L129-AVERAGE(L6:L1198))/(STDEV(L6:L1198)+1E-12))</f>
        <v/>
      </c>
      <c r="N129" s="3">
        <f>IF('3a Raw'!I129="","",MAX(-3,MIN(3,('3a Raw'!I129-$N3)/$N4)))</f>
        <v/>
      </c>
      <c r="O129" s="3">
        <f>IF(N129="","",(N129-AVERAGE(N6:N1198))/(STDEV(N6:N1198)+1E-12))</f>
        <v/>
      </c>
      <c r="P129" s="3">
        <f>IF('3a Raw'!J129="","",MAX(-3,MIN(3,('3a Raw'!J129-$P3)/$P4)))</f>
        <v/>
      </c>
      <c r="Q129" s="3">
        <f>IF(P129="","",(P129-AVERAGE(P6:P1198))/(STDEV(P6:P1198)+1E-12))</f>
        <v/>
      </c>
      <c r="R129" s="3">
        <f>IF('3a Raw'!K129="","",MAX(-3,MIN(3,('3a Raw'!K129-$R3)/$R4)))</f>
        <v/>
      </c>
      <c r="S129" s="3">
        <f>IF(R129="","",(R129-AVERAGE(R6:R1198))/(STDEV(R6:R1198)+1E-12))</f>
        <v/>
      </c>
      <c r="T129" s="3">
        <f>IF('3a Raw'!L129="","",MAX(-3,MIN(3,('3a Raw'!L129-$T3)/$T4)))</f>
        <v/>
      </c>
      <c r="U129" s="3">
        <f>IF(T129="","",(T129-AVERAGE(T6:T1198))/(STDEV(T6:T1198)+1E-12))</f>
        <v/>
      </c>
      <c r="X129" s="3">
        <f>IF(U129="","",U129-($V$3*G129+$W$3))</f>
        <v/>
      </c>
      <c r="Y129" s="3">
        <f>IF(X129="","",MAX(-3,MIN(3,(X129-$X3)/$X4)))</f>
        <v/>
      </c>
      <c r="Z129" s="3">
        <f>IF(Y129="","",(Y129-AVERAGE(Y6:Y1198))/(STDEV(Y6:Y1198)+1E-12))</f>
        <v/>
      </c>
    </row>
    <row r="130">
      <c r="A130" t="inlineStr">
        <is>
          <t>BBG000BCWCG1</t>
        </is>
      </c>
      <c r="B130" s="3">
        <f>IF('3a Raw'!C130="","",MAX(-3,MIN(3,('3a Raw'!C130-$B3)/$B4)))</f>
        <v/>
      </c>
      <c r="C130" s="3">
        <f>IF(B130="","",(B130-AVERAGE(B6:B1198))/(STDEV(B6:B1198)+1E-12))</f>
        <v/>
      </c>
      <c r="D130" s="3">
        <f>IF('3a Raw'!D130="","",MAX(-3,MIN(3,('3a Raw'!D130-$D3)/$D4)))</f>
        <v/>
      </c>
      <c r="E130" s="3">
        <f>IF(D130="","",(D130-AVERAGE(D6:D1198))/(STDEV(D6:D1198)+1E-12))</f>
        <v/>
      </c>
      <c r="F130" s="3">
        <f>IF('3a Raw'!E130="","",MAX(-3,MIN(3,('3a Raw'!E130-$F3)/$F4)))</f>
        <v/>
      </c>
      <c r="G130" s="3">
        <f>IF(F130="","",(F130-AVERAGE(F6:F1198))/(STDEV(F6:F1198)+1E-12))</f>
        <v/>
      </c>
      <c r="H130" s="3">
        <f>IF('3a Raw'!F130="","",MAX(-3,MIN(3,('3a Raw'!F130-$H3)/$H4)))</f>
        <v/>
      </c>
      <c r="I130" s="3">
        <f>IF(H130="","",(H130-AVERAGE(H6:H1198))/(STDEV(H6:H1198)+1E-12))</f>
        <v/>
      </c>
      <c r="J130" s="3">
        <f>IF('3a Raw'!G130="","",MAX(-3,MIN(3,('3a Raw'!G130-$J3)/$J4)))</f>
        <v/>
      </c>
      <c r="K130" s="3">
        <f>IF(J130="","",(J130-AVERAGE(J6:J1198))/(STDEV(J6:J1198)+1E-12))</f>
        <v/>
      </c>
      <c r="L130" s="3">
        <f>IF('3a Raw'!H130="","",MAX(-3,MIN(3,('3a Raw'!H130-$L3)/$L4)))</f>
        <v/>
      </c>
      <c r="M130" s="3">
        <f>IF(L130="","",(L130-AVERAGE(L6:L1198))/(STDEV(L6:L1198)+1E-12))</f>
        <v/>
      </c>
      <c r="N130" s="3">
        <f>IF('3a Raw'!I130="","",MAX(-3,MIN(3,('3a Raw'!I130-$N3)/$N4)))</f>
        <v/>
      </c>
      <c r="O130" s="3">
        <f>IF(N130="","",(N130-AVERAGE(N6:N1198))/(STDEV(N6:N1198)+1E-12))</f>
        <v/>
      </c>
      <c r="P130" s="3">
        <f>IF('3a Raw'!J130="","",MAX(-3,MIN(3,('3a Raw'!J130-$P3)/$P4)))</f>
        <v/>
      </c>
      <c r="Q130" s="3">
        <f>IF(P130="","",(P130-AVERAGE(P6:P1198))/(STDEV(P6:P1198)+1E-12))</f>
        <v/>
      </c>
      <c r="R130" s="3">
        <f>IF('3a Raw'!K130="","",MAX(-3,MIN(3,('3a Raw'!K130-$R3)/$R4)))</f>
        <v/>
      </c>
      <c r="S130" s="3">
        <f>IF(R130="","",(R130-AVERAGE(R6:R1198))/(STDEV(R6:R1198)+1E-12))</f>
        <v/>
      </c>
      <c r="T130" s="3">
        <f>IF('3a Raw'!L130="","",MAX(-3,MIN(3,('3a Raw'!L130-$T3)/$T4)))</f>
        <v/>
      </c>
      <c r="U130" s="3">
        <f>IF(T130="","",(T130-AVERAGE(T6:T1198))/(STDEV(T6:T1198)+1E-12))</f>
        <v/>
      </c>
      <c r="X130" s="3">
        <f>IF(U130="","",U130-($V$3*G130+$W$3))</f>
        <v/>
      </c>
      <c r="Y130" s="3">
        <f>IF(X130="","",MAX(-3,MIN(3,(X130-$X3)/$X4)))</f>
        <v/>
      </c>
      <c r="Z130" s="3">
        <f>IF(Y130="","",(Y130-AVERAGE(Y6:Y1198))/(STDEV(Y6:Y1198)+1E-12))</f>
        <v/>
      </c>
    </row>
    <row r="131">
      <c r="A131" t="inlineStr">
        <is>
          <t>BBG00Z15DGK7</t>
        </is>
      </c>
      <c r="B131" s="3">
        <f>IF('3a Raw'!C131="","",MAX(-3,MIN(3,('3a Raw'!C131-$B3)/$B4)))</f>
        <v/>
      </c>
      <c r="C131" s="3">
        <f>IF(B131="","",(B131-AVERAGE(B6:B1198))/(STDEV(B6:B1198)+1E-12))</f>
        <v/>
      </c>
      <c r="D131" s="3">
        <f>IF('3a Raw'!D131="","",MAX(-3,MIN(3,('3a Raw'!D131-$D3)/$D4)))</f>
        <v/>
      </c>
      <c r="E131" s="3">
        <f>IF(D131="","",(D131-AVERAGE(D6:D1198))/(STDEV(D6:D1198)+1E-12))</f>
        <v/>
      </c>
      <c r="F131" s="3">
        <f>IF('3a Raw'!E131="","",MAX(-3,MIN(3,('3a Raw'!E131-$F3)/$F4)))</f>
        <v/>
      </c>
      <c r="G131" s="3">
        <f>IF(F131="","",(F131-AVERAGE(F6:F1198))/(STDEV(F6:F1198)+1E-12))</f>
        <v/>
      </c>
      <c r="H131" s="3">
        <f>IF('3a Raw'!F131="","",MAX(-3,MIN(3,('3a Raw'!F131-$H3)/$H4)))</f>
        <v/>
      </c>
      <c r="I131" s="3">
        <f>IF(H131="","",(H131-AVERAGE(H6:H1198))/(STDEV(H6:H1198)+1E-12))</f>
        <v/>
      </c>
      <c r="J131" s="3">
        <f>IF('3a Raw'!G131="","",MAX(-3,MIN(3,('3a Raw'!G131-$J3)/$J4)))</f>
        <v/>
      </c>
      <c r="K131" s="3">
        <f>IF(J131="","",(J131-AVERAGE(J6:J1198))/(STDEV(J6:J1198)+1E-12))</f>
        <v/>
      </c>
      <c r="L131" s="3">
        <f>IF('3a Raw'!H131="","",MAX(-3,MIN(3,('3a Raw'!H131-$L3)/$L4)))</f>
        <v/>
      </c>
      <c r="M131" s="3">
        <f>IF(L131="","",(L131-AVERAGE(L6:L1198))/(STDEV(L6:L1198)+1E-12))</f>
        <v/>
      </c>
      <c r="N131" s="3">
        <f>IF('3a Raw'!I131="","",MAX(-3,MIN(3,('3a Raw'!I131-$N3)/$N4)))</f>
        <v/>
      </c>
      <c r="O131" s="3">
        <f>IF(N131="","",(N131-AVERAGE(N6:N1198))/(STDEV(N6:N1198)+1E-12))</f>
        <v/>
      </c>
      <c r="P131" s="3">
        <f>IF('3a Raw'!J131="","",MAX(-3,MIN(3,('3a Raw'!J131-$P3)/$P4)))</f>
        <v/>
      </c>
      <c r="Q131" s="3">
        <f>IF(P131="","",(P131-AVERAGE(P6:P1198))/(STDEV(P6:P1198)+1E-12))</f>
        <v/>
      </c>
      <c r="R131" s="3">
        <f>IF('3a Raw'!K131="","",MAX(-3,MIN(3,('3a Raw'!K131-$R3)/$R4)))</f>
        <v/>
      </c>
      <c r="S131" s="3">
        <f>IF(R131="","",(R131-AVERAGE(R6:R1198))/(STDEV(R6:R1198)+1E-12))</f>
        <v/>
      </c>
      <c r="T131" s="3">
        <f>IF('3a Raw'!L131="","",MAX(-3,MIN(3,('3a Raw'!L131-$T3)/$T4)))</f>
        <v/>
      </c>
      <c r="U131" s="3">
        <f>IF(T131="","",(T131-AVERAGE(T6:T1198))/(STDEV(T6:T1198)+1E-12))</f>
        <v/>
      </c>
      <c r="X131" s="3">
        <f>IF(U131="","",U131-($V$3*G131+$W$3))</f>
        <v/>
      </c>
      <c r="Y131" s="3">
        <f>IF(X131="","",MAX(-3,MIN(3,(X131-$X3)/$X4)))</f>
        <v/>
      </c>
      <c r="Z131" s="3">
        <f>IF(Y131="","",(Y131-AVERAGE(Y6:Y1198))/(STDEV(Y6:Y1198)+1E-12))</f>
        <v/>
      </c>
    </row>
    <row r="132">
      <c r="A132" t="inlineStr">
        <is>
          <t>BBG000BLYWX6</t>
        </is>
      </c>
      <c r="B132" s="3">
        <f>IF('3a Raw'!C132="","",MAX(-3,MIN(3,('3a Raw'!C132-$B3)/$B4)))</f>
        <v/>
      </c>
      <c r="C132" s="3">
        <f>IF(B132="","",(B132-AVERAGE(B6:B1198))/(STDEV(B6:B1198)+1E-12))</f>
        <v/>
      </c>
      <c r="D132" s="3">
        <f>IF('3a Raw'!D132="","",MAX(-3,MIN(3,('3a Raw'!D132-$D3)/$D4)))</f>
        <v/>
      </c>
      <c r="E132" s="3">
        <f>IF(D132="","",(D132-AVERAGE(D6:D1198))/(STDEV(D6:D1198)+1E-12))</f>
        <v/>
      </c>
      <c r="F132" s="3">
        <f>IF('3a Raw'!E132="","",MAX(-3,MIN(3,('3a Raw'!E132-$F3)/$F4)))</f>
        <v/>
      </c>
      <c r="G132" s="3">
        <f>IF(F132="","",(F132-AVERAGE(F6:F1198))/(STDEV(F6:F1198)+1E-12))</f>
        <v/>
      </c>
      <c r="H132" s="3">
        <f>IF('3a Raw'!F132="","",MAX(-3,MIN(3,('3a Raw'!F132-$H3)/$H4)))</f>
        <v/>
      </c>
      <c r="I132" s="3">
        <f>IF(H132="","",(H132-AVERAGE(H6:H1198))/(STDEV(H6:H1198)+1E-12))</f>
        <v/>
      </c>
      <c r="J132" s="3">
        <f>IF('3a Raw'!G132="","",MAX(-3,MIN(3,('3a Raw'!G132-$J3)/$J4)))</f>
        <v/>
      </c>
      <c r="K132" s="3">
        <f>IF(J132="","",(J132-AVERAGE(J6:J1198))/(STDEV(J6:J1198)+1E-12))</f>
        <v/>
      </c>
      <c r="L132" s="3">
        <f>IF('3a Raw'!H132="","",MAX(-3,MIN(3,('3a Raw'!H132-$L3)/$L4)))</f>
        <v/>
      </c>
      <c r="M132" s="3">
        <f>IF(L132="","",(L132-AVERAGE(L6:L1198))/(STDEV(L6:L1198)+1E-12))</f>
        <v/>
      </c>
      <c r="N132" s="3">
        <f>IF('3a Raw'!I132="","",MAX(-3,MIN(3,('3a Raw'!I132-$N3)/$N4)))</f>
        <v/>
      </c>
      <c r="O132" s="3">
        <f>IF(N132="","",(N132-AVERAGE(N6:N1198))/(STDEV(N6:N1198)+1E-12))</f>
        <v/>
      </c>
      <c r="P132" s="3">
        <f>IF('3a Raw'!J132="","",MAX(-3,MIN(3,('3a Raw'!J132-$P3)/$P4)))</f>
        <v/>
      </c>
      <c r="Q132" s="3">
        <f>IF(P132="","",(P132-AVERAGE(P6:P1198))/(STDEV(P6:P1198)+1E-12))</f>
        <v/>
      </c>
      <c r="R132" s="3">
        <f>IF('3a Raw'!K132="","",MAX(-3,MIN(3,('3a Raw'!K132-$R3)/$R4)))</f>
        <v/>
      </c>
      <c r="S132" s="3">
        <f>IF(R132="","",(R132-AVERAGE(R6:R1198))/(STDEV(R6:R1198)+1E-12))</f>
        <v/>
      </c>
      <c r="T132" s="3">
        <f>IF('3a Raw'!L132="","",MAX(-3,MIN(3,('3a Raw'!L132-$T3)/$T4)))</f>
        <v/>
      </c>
      <c r="U132" s="3">
        <f>IF(T132="","",(T132-AVERAGE(T6:T1198))/(STDEV(T6:T1198)+1E-12))</f>
        <v/>
      </c>
      <c r="X132" s="3">
        <f>IF(U132="","",U132-($V$3*G132+$W$3))</f>
        <v/>
      </c>
      <c r="Y132" s="3">
        <f>IF(X132="","",MAX(-3,MIN(3,(X132-$X3)/$X4)))</f>
        <v/>
      </c>
      <c r="Z132" s="3">
        <f>IF(Y132="","",(Y132-AVERAGE(Y6:Y1198))/(STDEV(Y6:Y1198)+1E-12))</f>
        <v/>
      </c>
    </row>
    <row r="133">
      <c r="A133" t="inlineStr">
        <is>
          <t>BBG000Q4XNV1</t>
        </is>
      </c>
      <c r="B133" s="3">
        <f>IF('3a Raw'!C133="","",MAX(-3,MIN(3,('3a Raw'!C133-$B3)/$B4)))</f>
        <v/>
      </c>
      <c r="C133" s="3">
        <f>IF(B133="","",(B133-AVERAGE(B6:B1198))/(STDEV(B6:B1198)+1E-12))</f>
        <v/>
      </c>
      <c r="D133" s="3">
        <f>IF('3a Raw'!D133="","",MAX(-3,MIN(3,('3a Raw'!D133-$D3)/$D4)))</f>
        <v/>
      </c>
      <c r="E133" s="3">
        <f>IF(D133="","",(D133-AVERAGE(D6:D1198))/(STDEV(D6:D1198)+1E-12))</f>
        <v/>
      </c>
      <c r="F133" s="3">
        <f>IF('3a Raw'!E133="","",MAX(-3,MIN(3,('3a Raw'!E133-$F3)/$F4)))</f>
        <v/>
      </c>
      <c r="G133" s="3">
        <f>IF(F133="","",(F133-AVERAGE(F6:F1198))/(STDEV(F6:F1198)+1E-12))</f>
        <v/>
      </c>
      <c r="H133" s="3">
        <f>IF('3a Raw'!F133="","",MAX(-3,MIN(3,('3a Raw'!F133-$H3)/$H4)))</f>
        <v/>
      </c>
      <c r="I133" s="3">
        <f>IF(H133="","",(H133-AVERAGE(H6:H1198))/(STDEV(H6:H1198)+1E-12))</f>
        <v/>
      </c>
      <c r="J133" s="3">
        <f>IF('3a Raw'!G133="","",MAX(-3,MIN(3,('3a Raw'!G133-$J3)/$J4)))</f>
        <v/>
      </c>
      <c r="K133" s="3">
        <f>IF(J133="","",(J133-AVERAGE(J6:J1198))/(STDEV(J6:J1198)+1E-12))</f>
        <v/>
      </c>
      <c r="L133" s="3">
        <f>IF('3a Raw'!H133="","",MAX(-3,MIN(3,('3a Raw'!H133-$L3)/$L4)))</f>
        <v/>
      </c>
      <c r="M133" s="3">
        <f>IF(L133="","",(L133-AVERAGE(L6:L1198))/(STDEV(L6:L1198)+1E-12))</f>
        <v/>
      </c>
      <c r="N133" s="3">
        <f>IF('3a Raw'!I133="","",MAX(-3,MIN(3,('3a Raw'!I133-$N3)/$N4)))</f>
        <v/>
      </c>
      <c r="O133" s="3">
        <f>IF(N133="","",(N133-AVERAGE(N6:N1198))/(STDEV(N6:N1198)+1E-12))</f>
        <v/>
      </c>
      <c r="P133" s="3">
        <f>IF('3a Raw'!J133="","",MAX(-3,MIN(3,('3a Raw'!J133-$P3)/$P4)))</f>
        <v/>
      </c>
      <c r="Q133" s="3">
        <f>IF(P133="","",(P133-AVERAGE(P6:P1198))/(STDEV(P6:P1198)+1E-12))</f>
        <v/>
      </c>
      <c r="R133" s="3">
        <f>IF('3a Raw'!K133="","",MAX(-3,MIN(3,('3a Raw'!K133-$R3)/$R4)))</f>
        <v/>
      </c>
      <c r="S133" s="3">
        <f>IF(R133="","",(R133-AVERAGE(R6:R1198))/(STDEV(R6:R1198)+1E-12))</f>
        <v/>
      </c>
      <c r="T133" s="3">
        <f>IF('3a Raw'!L133="","",MAX(-3,MIN(3,('3a Raw'!L133-$T3)/$T4)))</f>
        <v/>
      </c>
      <c r="U133" s="3">
        <f>IF(T133="","",(T133-AVERAGE(T6:T1198))/(STDEV(T6:T1198)+1E-12))</f>
        <v/>
      </c>
      <c r="X133" s="3">
        <f>IF(U133="","",U133-($V$3*G133+$W$3))</f>
        <v/>
      </c>
      <c r="Y133" s="3">
        <f>IF(X133="","",MAX(-3,MIN(3,(X133-$X3)/$X4)))</f>
        <v/>
      </c>
      <c r="Z133" s="3">
        <f>IF(Y133="","",(Y133-AVERAGE(Y6:Y1198))/(STDEV(Y6:Y1198)+1E-12))</f>
        <v/>
      </c>
    </row>
    <row r="134">
      <c r="A134" t="inlineStr">
        <is>
          <t>BBG000BCZYD3</t>
        </is>
      </c>
      <c r="B134" s="3">
        <f>IF('3a Raw'!C134="","",MAX(-3,MIN(3,('3a Raw'!C134-$B3)/$B4)))</f>
        <v/>
      </c>
      <c r="C134" s="3">
        <f>IF(B134="","",(B134-AVERAGE(B6:B1198))/(STDEV(B6:B1198)+1E-12))</f>
        <v/>
      </c>
      <c r="D134" s="3">
        <f>IF('3a Raw'!D134="","",MAX(-3,MIN(3,('3a Raw'!D134-$D3)/$D4)))</f>
        <v/>
      </c>
      <c r="E134" s="3">
        <f>IF(D134="","",(D134-AVERAGE(D6:D1198))/(STDEV(D6:D1198)+1E-12))</f>
        <v/>
      </c>
      <c r="F134" s="3">
        <f>IF('3a Raw'!E134="","",MAX(-3,MIN(3,('3a Raw'!E134-$F3)/$F4)))</f>
        <v/>
      </c>
      <c r="G134" s="3">
        <f>IF(F134="","",(F134-AVERAGE(F6:F1198))/(STDEV(F6:F1198)+1E-12))</f>
        <v/>
      </c>
      <c r="H134" s="3">
        <f>IF('3a Raw'!F134="","",MAX(-3,MIN(3,('3a Raw'!F134-$H3)/$H4)))</f>
        <v/>
      </c>
      <c r="I134" s="3">
        <f>IF(H134="","",(H134-AVERAGE(H6:H1198))/(STDEV(H6:H1198)+1E-12))</f>
        <v/>
      </c>
      <c r="J134" s="3">
        <f>IF('3a Raw'!G134="","",MAX(-3,MIN(3,('3a Raw'!G134-$J3)/$J4)))</f>
        <v/>
      </c>
      <c r="K134" s="3">
        <f>IF(J134="","",(J134-AVERAGE(J6:J1198))/(STDEV(J6:J1198)+1E-12))</f>
        <v/>
      </c>
      <c r="L134" s="3">
        <f>IF('3a Raw'!H134="","",MAX(-3,MIN(3,('3a Raw'!H134-$L3)/$L4)))</f>
        <v/>
      </c>
      <c r="M134" s="3">
        <f>IF(L134="","",(L134-AVERAGE(L6:L1198))/(STDEV(L6:L1198)+1E-12))</f>
        <v/>
      </c>
      <c r="N134" s="3">
        <f>IF('3a Raw'!I134="","",MAX(-3,MIN(3,('3a Raw'!I134-$N3)/$N4)))</f>
        <v/>
      </c>
      <c r="O134" s="3">
        <f>IF(N134="","",(N134-AVERAGE(N6:N1198))/(STDEV(N6:N1198)+1E-12))</f>
        <v/>
      </c>
      <c r="P134" s="3">
        <f>IF('3a Raw'!J134="","",MAX(-3,MIN(3,('3a Raw'!J134-$P3)/$P4)))</f>
        <v/>
      </c>
      <c r="Q134" s="3">
        <f>IF(P134="","",(P134-AVERAGE(P6:P1198))/(STDEV(P6:P1198)+1E-12))</f>
        <v/>
      </c>
      <c r="R134" s="3">
        <f>IF('3a Raw'!K134="","",MAX(-3,MIN(3,('3a Raw'!K134-$R3)/$R4)))</f>
        <v/>
      </c>
      <c r="S134" s="3">
        <f>IF(R134="","",(R134-AVERAGE(R6:R1198))/(STDEV(R6:R1198)+1E-12))</f>
        <v/>
      </c>
      <c r="T134" s="3">
        <f>IF('3a Raw'!L134="","",MAX(-3,MIN(3,('3a Raw'!L134-$T3)/$T4)))</f>
        <v/>
      </c>
      <c r="U134" s="3">
        <f>IF(T134="","",(T134-AVERAGE(T6:T1198))/(STDEV(T6:T1198)+1E-12))</f>
        <v/>
      </c>
      <c r="X134" s="3">
        <f>IF(U134="","",U134-($V$3*G134+$W$3))</f>
        <v/>
      </c>
      <c r="Y134" s="3">
        <f>IF(X134="","",MAX(-3,MIN(3,(X134-$X3)/$X4)))</f>
        <v/>
      </c>
      <c r="Z134" s="3">
        <f>IF(Y134="","",(Y134-AVERAGE(Y6:Y1198))/(STDEV(Y6:Y1198)+1E-12))</f>
        <v/>
      </c>
    </row>
    <row r="135">
      <c r="A135" t="inlineStr">
        <is>
          <t>BBG000BD0TF8</t>
        </is>
      </c>
      <c r="B135" s="3">
        <f>IF('3a Raw'!C135="","",MAX(-3,MIN(3,('3a Raw'!C135-$B3)/$B4)))</f>
        <v/>
      </c>
      <c r="C135" s="3">
        <f>IF(B135="","",(B135-AVERAGE(B6:B1198))/(STDEV(B6:B1198)+1E-12))</f>
        <v/>
      </c>
      <c r="D135" s="3">
        <f>IF('3a Raw'!D135="","",MAX(-3,MIN(3,('3a Raw'!D135-$D3)/$D4)))</f>
        <v/>
      </c>
      <c r="E135" s="3">
        <f>IF(D135="","",(D135-AVERAGE(D6:D1198))/(STDEV(D6:D1198)+1E-12))</f>
        <v/>
      </c>
      <c r="F135" s="3">
        <f>IF('3a Raw'!E135="","",MAX(-3,MIN(3,('3a Raw'!E135-$F3)/$F4)))</f>
        <v/>
      </c>
      <c r="G135" s="3">
        <f>IF(F135="","",(F135-AVERAGE(F6:F1198))/(STDEV(F6:F1198)+1E-12))</f>
        <v/>
      </c>
      <c r="H135" s="3">
        <f>IF('3a Raw'!F135="","",MAX(-3,MIN(3,('3a Raw'!F135-$H3)/$H4)))</f>
        <v/>
      </c>
      <c r="I135" s="3">
        <f>IF(H135="","",(H135-AVERAGE(H6:H1198))/(STDEV(H6:H1198)+1E-12))</f>
        <v/>
      </c>
      <c r="J135" s="3">
        <f>IF('3a Raw'!G135="","",MAX(-3,MIN(3,('3a Raw'!G135-$J3)/$J4)))</f>
        <v/>
      </c>
      <c r="K135" s="3">
        <f>IF(J135="","",(J135-AVERAGE(J6:J1198))/(STDEV(J6:J1198)+1E-12))</f>
        <v/>
      </c>
      <c r="L135" s="3">
        <f>IF('3a Raw'!H135="","",MAX(-3,MIN(3,('3a Raw'!H135-$L3)/$L4)))</f>
        <v/>
      </c>
      <c r="M135" s="3">
        <f>IF(L135="","",(L135-AVERAGE(L6:L1198))/(STDEV(L6:L1198)+1E-12))</f>
        <v/>
      </c>
      <c r="N135" s="3">
        <f>IF('3a Raw'!I135="","",MAX(-3,MIN(3,('3a Raw'!I135-$N3)/$N4)))</f>
        <v/>
      </c>
      <c r="O135" s="3">
        <f>IF(N135="","",(N135-AVERAGE(N6:N1198))/(STDEV(N6:N1198)+1E-12))</f>
        <v/>
      </c>
      <c r="P135" s="3">
        <f>IF('3a Raw'!J135="","",MAX(-3,MIN(3,('3a Raw'!J135-$P3)/$P4)))</f>
        <v/>
      </c>
      <c r="Q135" s="3">
        <f>IF(P135="","",(P135-AVERAGE(P6:P1198))/(STDEV(P6:P1198)+1E-12))</f>
        <v/>
      </c>
      <c r="R135" s="3">
        <f>IF('3a Raw'!K135="","",MAX(-3,MIN(3,('3a Raw'!K135-$R3)/$R4)))</f>
        <v/>
      </c>
      <c r="S135" s="3">
        <f>IF(R135="","",(R135-AVERAGE(R6:R1198))/(STDEV(R6:R1198)+1E-12))</f>
        <v/>
      </c>
      <c r="T135" s="3">
        <f>IF('3a Raw'!L135="","",MAX(-3,MIN(3,('3a Raw'!L135-$T3)/$T4)))</f>
        <v/>
      </c>
      <c r="U135" s="3">
        <f>IF(T135="","",(T135-AVERAGE(T6:T1198))/(STDEV(T6:T1198)+1E-12))</f>
        <v/>
      </c>
      <c r="X135" s="3">
        <f>IF(U135="","",U135-($V$3*G135+$W$3))</f>
        <v/>
      </c>
      <c r="Y135" s="3">
        <f>IF(X135="","",MAX(-3,MIN(3,(X135-$X3)/$X4)))</f>
        <v/>
      </c>
      <c r="Z135" s="3">
        <f>IF(Y135="","",(Y135-AVERAGE(Y6:Y1198))/(STDEV(Y6:Y1198)+1E-12))</f>
        <v/>
      </c>
    </row>
    <row r="136">
      <c r="A136" t="inlineStr">
        <is>
          <t>BBG000MBSFT5</t>
        </is>
      </c>
      <c r="B136" s="3">
        <f>IF('3a Raw'!C136="","",MAX(-3,MIN(3,('3a Raw'!C136-$B3)/$B4)))</f>
        <v/>
      </c>
      <c r="C136" s="3">
        <f>IF(B136="","",(B136-AVERAGE(B6:B1198))/(STDEV(B6:B1198)+1E-12))</f>
        <v/>
      </c>
      <c r="D136" s="3">
        <f>IF('3a Raw'!D136="","",MAX(-3,MIN(3,('3a Raw'!D136-$D3)/$D4)))</f>
        <v/>
      </c>
      <c r="E136" s="3">
        <f>IF(D136="","",(D136-AVERAGE(D6:D1198))/(STDEV(D6:D1198)+1E-12))</f>
        <v/>
      </c>
      <c r="F136" s="3">
        <f>IF('3a Raw'!E136="","",MAX(-3,MIN(3,('3a Raw'!E136-$F3)/$F4)))</f>
        <v/>
      </c>
      <c r="G136" s="3">
        <f>IF(F136="","",(F136-AVERAGE(F6:F1198))/(STDEV(F6:F1198)+1E-12))</f>
        <v/>
      </c>
      <c r="H136" s="3">
        <f>IF('3a Raw'!F136="","",MAX(-3,MIN(3,('3a Raw'!F136-$H3)/$H4)))</f>
        <v/>
      </c>
      <c r="I136" s="3">
        <f>IF(H136="","",(H136-AVERAGE(H6:H1198))/(STDEV(H6:H1198)+1E-12))</f>
        <v/>
      </c>
      <c r="J136" s="3">
        <f>IF('3a Raw'!G136="","",MAX(-3,MIN(3,('3a Raw'!G136-$J3)/$J4)))</f>
        <v/>
      </c>
      <c r="K136" s="3">
        <f>IF(J136="","",(J136-AVERAGE(J6:J1198))/(STDEV(J6:J1198)+1E-12))</f>
        <v/>
      </c>
      <c r="L136" s="3">
        <f>IF('3a Raw'!H136="","",MAX(-3,MIN(3,('3a Raw'!H136-$L3)/$L4)))</f>
        <v/>
      </c>
      <c r="M136" s="3">
        <f>IF(L136="","",(L136-AVERAGE(L6:L1198))/(STDEV(L6:L1198)+1E-12))</f>
        <v/>
      </c>
      <c r="N136" s="3">
        <f>IF('3a Raw'!I136="","",MAX(-3,MIN(3,('3a Raw'!I136-$N3)/$N4)))</f>
        <v/>
      </c>
      <c r="O136" s="3">
        <f>IF(N136="","",(N136-AVERAGE(N6:N1198))/(STDEV(N6:N1198)+1E-12))</f>
        <v/>
      </c>
      <c r="P136" s="3">
        <f>IF('3a Raw'!J136="","",MAX(-3,MIN(3,('3a Raw'!J136-$P3)/$P4)))</f>
        <v/>
      </c>
      <c r="Q136" s="3">
        <f>IF(P136="","",(P136-AVERAGE(P6:P1198))/(STDEV(P6:P1198)+1E-12))</f>
        <v/>
      </c>
      <c r="R136" s="3">
        <f>IF('3a Raw'!K136="","",MAX(-3,MIN(3,('3a Raw'!K136-$R3)/$R4)))</f>
        <v/>
      </c>
      <c r="S136" s="3">
        <f>IF(R136="","",(R136-AVERAGE(R6:R1198))/(STDEV(R6:R1198)+1E-12))</f>
        <v/>
      </c>
      <c r="T136" s="3">
        <f>IF('3a Raw'!L136="","",MAX(-3,MIN(3,('3a Raw'!L136-$T3)/$T4)))</f>
        <v/>
      </c>
      <c r="U136" s="3">
        <f>IF(T136="","",(T136-AVERAGE(T6:T1198))/(STDEV(T6:T1198)+1E-12))</f>
        <v/>
      </c>
      <c r="X136" s="3">
        <f>IF(U136="","",U136-($V$3*G136+$W$3))</f>
        <v/>
      </c>
      <c r="Y136" s="3">
        <f>IF(X136="","",MAX(-3,MIN(3,(X136-$X3)/$X4)))</f>
        <v/>
      </c>
      <c r="Z136" s="3">
        <f>IF(Y136="","",(Y136-AVERAGE(Y6:Y1198))/(STDEV(Y6:Y1198)+1E-12))</f>
        <v/>
      </c>
    </row>
    <row r="137">
      <c r="A137" t="inlineStr">
        <is>
          <t>bf-b</t>
        </is>
      </c>
      <c r="B137" s="3">
        <f>IF('3a Raw'!C137="","",MAX(-3,MIN(3,('3a Raw'!C137-$B3)/$B4)))</f>
        <v/>
      </c>
      <c r="C137" s="3">
        <f>IF(B137="","",(B137-AVERAGE(B6:B1198))/(STDEV(B6:B1198)+1E-12))</f>
        <v/>
      </c>
      <c r="D137" s="3">
        <f>IF('3a Raw'!D137="","",MAX(-3,MIN(3,('3a Raw'!D137-$D3)/$D4)))</f>
        <v/>
      </c>
      <c r="E137" s="3">
        <f>IF(D137="","",(D137-AVERAGE(D6:D1198))/(STDEV(D6:D1198)+1E-12))</f>
        <v/>
      </c>
      <c r="F137" s="3">
        <f>IF('3a Raw'!E137="","",MAX(-3,MIN(3,('3a Raw'!E137-$F3)/$F4)))</f>
        <v/>
      </c>
      <c r="G137" s="3">
        <f>IF(F137="","",(F137-AVERAGE(F6:F1198))/(STDEV(F6:F1198)+1E-12))</f>
        <v/>
      </c>
      <c r="H137" s="3">
        <f>IF('3a Raw'!F137="","",MAX(-3,MIN(3,('3a Raw'!F137-$H3)/$H4)))</f>
        <v/>
      </c>
      <c r="I137" s="3">
        <f>IF(H137="","",(H137-AVERAGE(H6:H1198))/(STDEV(H6:H1198)+1E-12))</f>
        <v/>
      </c>
      <c r="J137" s="3">
        <f>IF('3a Raw'!G137="","",MAX(-3,MIN(3,('3a Raw'!G137-$J3)/$J4)))</f>
        <v/>
      </c>
      <c r="K137" s="3">
        <f>IF(J137="","",(J137-AVERAGE(J6:J1198))/(STDEV(J6:J1198)+1E-12))</f>
        <v/>
      </c>
      <c r="L137" s="3">
        <f>IF('3a Raw'!H137="","",MAX(-3,MIN(3,('3a Raw'!H137-$L3)/$L4)))</f>
        <v/>
      </c>
      <c r="M137" s="3">
        <f>IF(L137="","",(L137-AVERAGE(L6:L1198))/(STDEV(L6:L1198)+1E-12))</f>
        <v/>
      </c>
      <c r="N137" s="3">
        <f>IF('3a Raw'!I137="","",MAX(-3,MIN(3,('3a Raw'!I137-$N3)/$N4)))</f>
        <v/>
      </c>
      <c r="O137" s="3">
        <f>IF(N137="","",(N137-AVERAGE(N6:N1198))/(STDEV(N6:N1198)+1E-12))</f>
        <v/>
      </c>
      <c r="P137" s="3">
        <f>IF('3a Raw'!J137="","",MAX(-3,MIN(3,('3a Raw'!J137-$P3)/$P4)))</f>
        <v/>
      </c>
      <c r="Q137" s="3">
        <f>IF(P137="","",(P137-AVERAGE(P6:P1198))/(STDEV(P6:P1198)+1E-12))</f>
        <v/>
      </c>
      <c r="R137" s="3">
        <f>IF('3a Raw'!K137="","",MAX(-3,MIN(3,('3a Raw'!K137-$R3)/$R4)))</f>
        <v/>
      </c>
      <c r="S137" s="3">
        <f>IF(R137="","",(R137-AVERAGE(R6:R1198))/(STDEV(R6:R1198)+1E-12))</f>
        <v/>
      </c>
      <c r="T137" s="3">
        <f>IF('3a Raw'!L137="","",MAX(-3,MIN(3,('3a Raw'!L137-$T3)/$T4)))</f>
        <v/>
      </c>
      <c r="U137" s="3">
        <f>IF(T137="","",(T137-AVERAGE(T6:T1198))/(STDEV(T6:T1198)+1E-12))</f>
        <v/>
      </c>
      <c r="X137" s="3">
        <f>IF(U137="","",U137-($V$3*G137+$W$3))</f>
        <v/>
      </c>
      <c r="Y137" s="3">
        <f>IF(X137="","",MAX(-3,MIN(3,(X137-$X3)/$X4)))</f>
        <v/>
      </c>
      <c r="Z137" s="3">
        <f>IF(Y137="","",(Y137-AVERAGE(Y6:Y1198))/(STDEV(Y6:Y1198)+1E-12))</f>
        <v/>
      </c>
    </row>
    <row r="138">
      <c r="A138" t="inlineStr">
        <is>
          <t>BBG003LFWP05</t>
        </is>
      </c>
      <c r="B138" s="3">
        <f>IF('3a Raw'!C138="","",MAX(-3,MIN(3,('3a Raw'!C138-$B3)/$B4)))</f>
        <v/>
      </c>
      <c r="C138" s="3">
        <f>IF(B138="","",(B138-AVERAGE(B6:B1198))/(STDEV(B6:B1198)+1E-12))</f>
        <v/>
      </c>
      <c r="D138" s="3">
        <f>IF('3a Raw'!D138="","",MAX(-3,MIN(3,('3a Raw'!D138-$D3)/$D4)))</f>
        <v/>
      </c>
      <c r="E138" s="3">
        <f>IF(D138="","",(D138-AVERAGE(D6:D1198))/(STDEV(D6:D1198)+1E-12))</f>
        <v/>
      </c>
      <c r="F138" s="3">
        <f>IF('3a Raw'!E138="","",MAX(-3,MIN(3,('3a Raw'!E138-$F3)/$F4)))</f>
        <v/>
      </c>
      <c r="G138" s="3">
        <f>IF(F138="","",(F138-AVERAGE(F6:F1198))/(STDEV(F6:F1198)+1E-12))</f>
        <v/>
      </c>
      <c r="H138" s="3">
        <f>IF('3a Raw'!F138="","",MAX(-3,MIN(3,('3a Raw'!F138-$H3)/$H4)))</f>
        <v/>
      </c>
      <c r="I138" s="3">
        <f>IF(H138="","",(H138-AVERAGE(H6:H1198))/(STDEV(H6:H1198)+1E-12))</f>
        <v/>
      </c>
      <c r="J138" s="3">
        <f>IF('3a Raw'!G138="","",MAX(-3,MIN(3,('3a Raw'!G138-$J3)/$J4)))</f>
        <v/>
      </c>
      <c r="K138" s="3">
        <f>IF(J138="","",(J138-AVERAGE(J6:J1198))/(STDEV(J6:J1198)+1E-12))</f>
        <v/>
      </c>
      <c r="L138" s="3">
        <f>IF('3a Raw'!H138="","",MAX(-3,MIN(3,('3a Raw'!H138-$L3)/$L4)))</f>
        <v/>
      </c>
      <c r="M138" s="3">
        <f>IF(L138="","",(L138-AVERAGE(L6:L1198))/(STDEV(L6:L1198)+1E-12))</f>
        <v/>
      </c>
      <c r="N138" s="3">
        <f>IF('3a Raw'!I138="","",MAX(-3,MIN(3,('3a Raw'!I138-$N3)/$N4)))</f>
        <v/>
      </c>
      <c r="O138" s="3">
        <f>IF(N138="","",(N138-AVERAGE(N6:N1198))/(STDEV(N6:N1198)+1E-12))</f>
        <v/>
      </c>
      <c r="P138" s="3">
        <f>IF('3a Raw'!J138="","",MAX(-3,MIN(3,('3a Raw'!J138-$P3)/$P4)))</f>
        <v/>
      </c>
      <c r="Q138" s="3">
        <f>IF(P138="","",(P138-AVERAGE(P6:P1198))/(STDEV(P6:P1198)+1E-12))</f>
        <v/>
      </c>
      <c r="R138" s="3">
        <f>IF('3a Raw'!K138="","",MAX(-3,MIN(3,('3a Raw'!K138-$R3)/$R4)))</f>
        <v/>
      </c>
      <c r="S138" s="3">
        <f>IF(R138="","",(R138-AVERAGE(R6:R1198))/(STDEV(R6:R1198)+1E-12))</f>
        <v/>
      </c>
      <c r="T138" s="3">
        <f>IF('3a Raw'!L138="","",MAX(-3,MIN(3,('3a Raw'!L138-$T3)/$T4)))</f>
        <v/>
      </c>
      <c r="U138" s="3">
        <f>IF(T138="","",(T138-AVERAGE(T6:T1198))/(STDEV(T6:T1198)+1E-12))</f>
        <v/>
      </c>
      <c r="X138" s="3">
        <f>IF(U138="","",U138-($V$3*G138+$W$3))</f>
        <v/>
      </c>
      <c r="Y138" s="3">
        <f>IF(X138="","",MAX(-3,MIN(3,(X138-$X3)/$X4)))</f>
        <v/>
      </c>
      <c r="Z138" s="3">
        <f>IF(Y138="","",(Y138-AVERAGE(Y6:Y1198))/(STDEV(Y6:Y1198)+1E-12))</f>
        <v/>
      </c>
    </row>
    <row r="139">
      <c r="A139" t="inlineStr">
        <is>
          <t>BBG000BFNR17</t>
        </is>
      </c>
      <c r="B139" s="3">
        <f>IF('3a Raw'!C139="","",MAX(-3,MIN(3,('3a Raw'!C139-$B3)/$B4)))</f>
        <v/>
      </c>
      <c r="C139" s="3">
        <f>IF(B139="","",(B139-AVERAGE(B6:B1198))/(STDEV(B6:B1198)+1E-12))</f>
        <v/>
      </c>
      <c r="D139" s="3">
        <f>IF('3a Raw'!D139="","",MAX(-3,MIN(3,('3a Raw'!D139-$D3)/$D4)))</f>
        <v/>
      </c>
      <c r="E139" s="3">
        <f>IF(D139="","",(D139-AVERAGE(D6:D1198))/(STDEV(D6:D1198)+1E-12))</f>
        <v/>
      </c>
      <c r="F139" s="3">
        <f>IF('3a Raw'!E139="","",MAX(-3,MIN(3,('3a Raw'!E139-$F3)/$F4)))</f>
        <v/>
      </c>
      <c r="G139" s="3">
        <f>IF(F139="","",(F139-AVERAGE(F6:F1198))/(STDEV(F6:F1198)+1E-12))</f>
        <v/>
      </c>
      <c r="H139" s="3">
        <f>IF('3a Raw'!F139="","",MAX(-3,MIN(3,('3a Raw'!F139-$H3)/$H4)))</f>
        <v/>
      </c>
      <c r="I139" s="3">
        <f>IF(H139="","",(H139-AVERAGE(H6:H1198))/(STDEV(H6:H1198)+1E-12))</f>
        <v/>
      </c>
      <c r="J139" s="3">
        <f>IF('3a Raw'!G139="","",MAX(-3,MIN(3,('3a Raw'!G139-$J3)/$J4)))</f>
        <v/>
      </c>
      <c r="K139" s="3">
        <f>IF(J139="","",(J139-AVERAGE(J6:J1198))/(STDEV(J6:J1198)+1E-12))</f>
        <v/>
      </c>
      <c r="L139" s="3">
        <f>IF('3a Raw'!H139="","",MAX(-3,MIN(3,('3a Raw'!H139-$L3)/$L4)))</f>
        <v/>
      </c>
      <c r="M139" s="3">
        <f>IF(L139="","",(L139-AVERAGE(L6:L1198))/(STDEV(L6:L1198)+1E-12))</f>
        <v/>
      </c>
      <c r="N139" s="3">
        <f>IF('3a Raw'!I139="","",MAX(-3,MIN(3,('3a Raw'!I139-$N3)/$N4)))</f>
        <v/>
      </c>
      <c r="O139" s="3">
        <f>IF(N139="","",(N139-AVERAGE(N6:N1198))/(STDEV(N6:N1198)+1E-12))</f>
        <v/>
      </c>
      <c r="P139" s="3">
        <f>IF('3a Raw'!J139="","",MAX(-3,MIN(3,('3a Raw'!J139-$P3)/$P4)))</f>
        <v/>
      </c>
      <c r="Q139" s="3">
        <f>IF(P139="","",(P139-AVERAGE(P6:P1198))/(STDEV(P6:P1198)+1E-12))</f>
        <v/>
      </c>
      <c r="R139" s="3">
        <f>IF('3a Raw'!K139="","",MAX(-3,MIN(3,('3a Raw'!K139-$R3)/$R4)))</f>
        <v/>
      </c>
      <c r="S139" s="3">
        <f>IF(R139="","",(R139-AVERAGE(R6:R1198))/(STDEV(R6:R1198)+1E-12))</f>
        <v/>
      </c>
      <c r="T139" s="3">
        <f>IF('3a Raw'!L139="","",MAX(-3,MIN(3,('3a Raw'!L139-$T3)/$T4)))</f>
        <v/>
      </c>
      <c r="U139" s="3">
        <f>IF(T139="","",(T139-AVERAGE(T6:T1198))/(STDEV(T6:T1198)+1E-12))</f>
        <v/>
      </c>
      <c r="X139" s="3">
        <f>IF(U139="","",U139-($V$3*G139+$W$3))</f>
        <v/>
      </c>
      <c r="Y139" s="3">
        <f>IF(X139="","",MAX(-3,MIN(3,(X139-$X3)/$X4)))</f>
        <v/>
      </c>
      <c r="Z139" s="3">
        <f>IF(Y139="","",(Y139-AVERAGE(Y6:Y1198))/(STDEV(Y6:Y1198)+1E-12))</f>
        <v/>
      </c>
    </row>
    <row r="140">
      <c r="A140" t="inlineStr">
        <is>
          <t>bg</t>
        </is>
      </c>
      <c r="B140" s="3">
        <f>IF('3a Raw'!C140="","",MAX(-3,MIN(3,('3a Raw'!C140-$B3)/$B4)))</f>
        <v/>
      </c>
      <c r="C140" s="3">
        <f>IF(B140="","",(B140-AVERAGE(B6:B1198))/(STDEV(B6:B1198)+1E-12))</f>
        <v/>
      </c>
      <c r="D140" s="3">
        <f>IF('3a Raw'!D140="","",MAX(-3,MIN(3,('3a Raw'!D140-$D3)/$D4)))</f>
        <v/>
      </c>
      <c r="E140" s="3">
        <f>IF(D140="","",(D140-AVERAGE(D6:D1198))/(STDEV(D6:D1198)+1E-12))</f>
        <v/>
      </c>
      <c r="F140" s="3">
        <f>IF('3a Raw'!E140="","",MAX(-3,MIN(3,('3a Raw'!E140-$F3)/$F4)))</f>
        <v/>
      </c>
      <c r="G140" s="3">
        <f>IF(F140="","",(F140-AVERAGE(F6:F1198))/(STDEV(F6:F1198)+1E-12))</f>
        <v/>
      </c>
      <c r="H140" s="3">
        <f>IF('3a Raw'!F140="","",MAX(-3,MIN(3,('3a Raw'!F140-$H3)/$H4)))</f>
        <v/>
      </c>
      <c r="I140" s="3">
        <f>IF(H140="","",(H140-AVERAGE(H6:H1198))/(STDEV(H6:H1198)+1E-12))</f>
        <v/>
      </c>
      <c r="J140" s="3">
        <f>IF('3a Raw'!G140="","",MAX(-3,MIN(3,('3a Raw'!G140-$J3)/$J4)))</f>
        <v/>
      </c>
      <c r="K140" s="3">
        <f>IF(J140="","",(J140-AVERAGE(J6:J1198))/(STDEV(J6:J1198)+1E-12))</f>
        <v/>
      </c>
      <c r="L140" s="3">
        <f>IF('3a Raw'!H140="","",MAX(-3,MIN(3,('3a Raw'!H140-$L3)/$L4)))</f>
        <v/>
      </c>
      <c r="M140" s="3">
        <f>IF(L140="","",(L140-AVERAGE(L6:L1198))/(STDEV(L6:L1198)+1E-12))</f>
        <v/>
      </c>
      <c r="N140" s="3">
        <f>IF('3a Raw'!I140="","",MAX(-3,MIN(3,('3a Raw'!I140-$N3)/$N4)))</f>
        <v/>
      </c>
      <c r="O140" s="3">
        <f>IF(N140="","",(N140-AVERAGE(N6:N1198))/(STDEV(N6:N1198)+1E-12))</f>
        <v/>
      </c>
      <c r="P140" s="3">
        <f>IF('3a Raw'!J140="","",MAX(-3,MIN(3,('3a Raw'!J140-$P3)/$P4)))</f>
        <v/>
      </c>
      <c r="Q140" s="3">
        <f>IF(P140="","",(P140-AVERAGE(P6:P1198))/(STDEV(P6:P1198)+1E-12))</f>
        <v/>
      </c>
      <c r="R140" s="3">
        <f>IF('3a Raw'!K140="","",MAX(-3,MIN(3,('3a Raw'!K140-$R3)/$R4)))</f>
        <v/>
      </c>
      <c r="S140" s="3">
        <f>IF(R140="","",(R140-AVERAGE(R6:R1198))/(STDEV(R6:R1198)+1E-12))</f>
        <v/>
      </c>
      <c r="T140" s="3">
        <f>IF('3a Raw'!L140="","",MAX(-3,MIN(3,('3a Raw'!L140-$T3)/$T4)))</f>
        <v/>
      </c>
      <c r="U140" s="3">
        <f>IF(T140="","",(T140-AVERAGE(T6:T1198))/(STDEV(T6:T1198)+1E-12))</f>
        <v/>
      </c>
      <c r="X140" s="3">
        <f>IF(U140="","",U140-($V$3*G140+$W$3))</f>
        <v/>
      </c>
      <c r="Y140" s="3">
        <f>IF(X140="","",MAX(-3,MIN(3,(X140-$X3)/$X4)))</f>
        <v/>
      </c>
      <c r="Z140" s="3">
        <f>IF(Y140="","",(Y140-AVERAGE(Y6:Y1198))/(STDEV(Y6:Y1198)+1E-12))</f>
        <v/>
      </c>
    </row>
    <row r="141">
      <c r="A141" t="inlineStr">
        <is>
          <t>BBG01H9FTGX5</t>
        </is>
      </c>
      <c r="B141" s="3">
        <f>IF('3a Raw'!C141="","",MAX(-3,MIN(3,('3a Raw'!C141-$B3)/$B4)))</f>
        <v/>
      </c>
      <c r="C141" s="3">
        <f>IF(B141="","",(B141-AVERAGE(B6:B1198))/(STDEV(B6:B1198)+1E-12))</f>
        <v/>
      </c>
      <c r="D141" s="3">
        <f>IF('3a Raw'!D141="","",MAX(-3,MIN(3,('3a Raw'!D141-$D3)/$D4)))</f>
        <v/>
      </c>
      <c r="E141" s="3">
        <f>IF(D141="","",(D141-AVERAGE(D6:D1198))/(STDEV(D6:D1198)+1E-12))</f>
        <v/>
      </c>
      <c r="F141" s="3">
        <f>IF('3a Raw'!E141="","",MAX(-3,MIN(3,('3a Raw'!E141-$F3)/$F4)))</f>
        <v/>
      </c>
      <c r="G141" s="3">
        <f>IF(F141="","",(F141-AVERAGE(F6:F1198))/(STDEV(F6:F1198)+1E-12))</f>
        <v/>
      </c>
      <c r="H141" s="3">
        <f>IF('3a Raw'!F141="","",MAX(-3,MIN(3,('3a Raw'!F141-$H3)/$H4)))</f>
        <v/>
      </c>
      <c r="I141" s="3">
        <f>IF(H141="","",(H141-AVERAGE(H6:H1198))/(STDEV(H6:H1198)+1E-12))</f>
        <v/>
      </c>
      <c r="J141" s="3">
        <f>IF('3a Raw'!G141="","",MAX(-3,MIN(3,('3a Raw'!G141-$J3)/$J4)))</f>
        <v/>
      </c>
      <c r="K141" s="3">
        <f>IF(J141="","",(J141-AVERAGE(J6:J1198))/(STDEV(J6:J1198)+1E-12))</f>
        <v/>
      </c>
      <c r="L141" s="3">
        <f>IF('3a Raw'!H141="","",MAX(-3,MIN(3,('3a Raw'!H141-$L3)/$L4)))</f>
        <v/>
      </c>
      <c r="M141" s="3">
        <f>IF(L141="","",(L141-AVERAGE(L6:L1198))/(STDEV(L6:L1198)+1E-12))</f>
        <v/>
      </c>
      <c r="N141" s="3">
        <f>IF('3a Raw'!I141="","",MAX(-3,MIN(3,('3a Raw'!I141-$N3)/$N4)))</f>
        <v/>
      </c>
      <c r="O141" s="3">
        <f>IF(N141="","",(N141-AVERAGE(N6:N1198))/(STDEV(N6:N1198)+1E-12))</f>
        <v/>
      </c>
      <c r="P141" s="3">
        <f>IF('3a Raw'!J141="","",MAX(-3,MIN(3,('3a Raw'!J141-$P3)/$P4)))</f>
        <v/>
      </c>
      <c r="Q141" s="3">
        <f>IF(P141="","",(P141-AVERAGE(P6:P1198))/(STDEV(P6:P1198)+1E-12))</f>
        <v/>
      </c>
      <c r="R141" s="3">
        <f>IF('3a Raw'!K141="","",MAX(-3,MIN(3,('3a Raw'!K141-$R3)/$R4)))</f>
        <v/>
      </c>
      <c r="S141" s="3">
        <f>IF(R141="","",(R141-AVERAGE(R6:R1198))/(STDEV(R6:R1198)+1E-12))</f>
        <v/>
      </c>
      <c r="T141" s="3">
        <f>IF('3a Raw'!L141="","",MAX(-3,MIN(3,('3a Raw'!L141-$T3)/$T4)))</f>
        <v/>
      </c>
      <c r="U141" s="3">
        <f>IF(T141="","",(T141-AVERAGE(T6:T1198))/(STDEV(T6:T1198)+1E-12))</f>
        <v/>
      </c>
      <c r="X141" s="3">
        <f>IF(U141="","",U141-($V$3*G141+$W$3))</f>
        <v/>
      </c>
      <c r="Y141" s="3">
        <f>IF(X141="","",MAX(-3,MIN(3,(X141-$X3)/$X4)))</f>
        <v/>
      </c>
      <c r="Z141" s="3">
        <f>IF(Y141="","",(Y141-AVERAGE(Y6:Y1198))/(STDEV(Y6:Y1198)+1E-12))</f>
        <v/>
      </c>
    </row>
    <row r="142">
      <c r="A142" t="inlineStr">
        <is>
          <t>BBG00DYPZ4T0</t>
        </is>
      </c>
      <c r="B142" s="3">
        <f>IF('3a Raw'!C142="","",MAX(-3,MIN(3,('3a Raw'!C142-$B3)/$B4)))</f>
        <v/>
      </c>
      <c r="C142" s="3">
        <f>IF(B142="","",(B142-AVERAGE(B6:B1198))/(STDEV(B6:B1198)+1E-12))</f>
        <v/>
      </c>
      <c r="D142" s="3">
        <f>IF('3a Raw'!D142="","",MAX(-3,MIN(3,('3a Raw'!D142-$D3)/$D4)))</f>
        <v/>
      </c>
      <c r="E142" s="3">
        <f>IF(D142="","",(D142-AVERAGE(D6:D1198))/(STDEV(D6:D1198)+1E-12))</f>
        <v/>
      </c>
      <c r="F142" s="3">
        <f>IF('3a Raw'!E142="","",MAX(-3,MIN(3,('3a Raw'!E142-$F3)/$F4)))</f>
        <v/>
      </c>
      <c r="G142" s="3">
        <f>IF(F142="","",(F142-AVERAGE(F6:F1198))/(STDEV(F6:F1198)+1E-12))</f>
        <v/>
      </c>
      <c r="H142" s="3">
        <f>IF('3a Raw'!F142="","",MAX(-3,MIN(3,('3a Raw'!F142-$H3)/$H4)))</f>
        <v/>
      </c>
      <c r="I142" s="3">
        <f>IF(H142="","",(H142-AVERAGE(H6:H1198))/(STDEV(H6:H1198)+1E-12))</f>
        <v/>
      </c>
      <c r="J142" s="3">
        <f>IF('3a Raw'!G142="","",MAX(-3,MIN(3,('3a Raw'!G142-$J3)/$J4)))</f>
        <v/>
      </c>
      <c r="K142" s="3">
        <f>IF(J142="","",(J142-AVERAGE(J6:J1198))/(STDEV(J6:J1198)+1E-12))</f>
        <v/>
      </c>
      <c r="L142" s="3">
        <f>IF('3a Raw'!H142="","",MAX(-3,MIN(3,('3a Raw'!H142-$L3)/$L4)))</f>
        <v/>
      </c>
      <c r="M142" s="3">
        <f>IF(L142="","",(L142-AVERAGE(L6:L1198))/(STDEV(L6:L1198)+1E-12))</f>
        <v/>
      </c>
      <c r="N142" s="3">
        <f>IF('3a Raw'!I142="","",MAX(-3,MIN(3,('3a Raw'!I142-$N3)/$N4)))</f>
        <v/>
      </c>
      <c r="O142" s="3">
        <f>IF(N142="","",(N142-AVERAGE(N6:N1198))/(STDEV(N6:N1198)+1E-12))</f>
        <v/>
      </c>
      <c r="P142" s="3">
        <f>IF('3a Raw'!J142="","",MAX(-3,MIN(3,('3a Raw'!J142-$P3)/$P4)))</f>
        <v/>
      </c>
      <c r="Q142" s="3">
        <f>IF(P142="","",(P142-AVERAGE(P6:P1198))/(STDEV(P6:P1198)+1E-12))</f>
        <v/>
      </c>
      <c r="R142" s="3">
        <f>IF('3a Raw'!K142="","",MAX(-3,MIN(3,('3a Raw'!K142-$R3)/$R4)))</f>
        <v/>
      </c>
      <c r="S142" s="3">
        <f>IF(R142="","",(R142-AVERAGE(R6:R1198))/(STDEV(R6:R1198)+1E-12))</f>
        <v/>
      </c>
      <c r="T142" s="3">
        <f>IF('3a Raw'!L142="","",MAX(-3,MIN(3,('3a Raw'!L142-$T3)/$T4)))</f>
        <v/>
      </c>
      <c r="U142" s="3">
        <f>IF(T142="","",(T142-AVERAGE(T6:T1198))/(STDEV(T6:T1198)+1E-12))</f>
        <v/>
      </c>
      <c r="X142" s="3">
        <f>IF(U142="","",U142-($V$3*G142+$W$3))</f>
        <v/>
      </c>
      <c r="Y142" s="3">
        <f>IF(X142="","",MAX(-3,MIN(3,(X142-$X3)/$X4)))</f>
        <v/>
      </c>
      <c r="Z142" s="3">
        <f>IF(Y142="","",(Y142-AVERAGE(Y6:Y1198))/(STDEV(Y6:Y1198)+1E-12))</f>
        <v/>
      </c>
    </row>
    <row r="143">
      <c r="A143" t="inlineStr">
        <is>
          <t>BBG000QXWHD1</t>
        </is>
      </c>
      <c r="B143" s="3">
        <f>IF('3a Raw'!C143="","",MAX(-3,MIN(3,('3a Raw'!C143-$B3)/$B4)))</f>
        <v/>
      </c>
      <c r="C143" s="3">
        <f>IF(B143="","",(B143-AVERAGE(B6:B1198))/(STDEV(B6:B1198)+1E-12))</f>
        <v/>
      </c>
      <c r="D143" s="3">
        <f>IF('3a Raw'!D143="","",MAX(-3,MIN(3,('3a Raw'!D143-$D3)/$D4)))</f>
        <v/>
      </c>
      <c r="E143" s="3">
        <f>IF(D143="","",(D143-AVERAGE(D6:D1198))/(STDEV(D6:D1198)+1E-12))</f>
        <v/>
      </c>
      <c r="F143" s="3">
        <f>IF('3a Raw'!E143="","",MAX(-3,MIN(3,('3a Raw'!E143-$F3)/$F4)))</f>
        <v/>
      </c>
      <c r="G143" s="3">
        <f>IF(F143="","",(F143-AVERAGE(F6:F1198))/(STDEV(F6:F1198)+1E-12))</f>
        <v/>
      </c>
      <c r="H143" s="3">
        <f>IF('3a Raw'!F143="","",MAX(-3,MIN(3,('3a Raw'!F143-$H3)/$H4)))</f>
        <v/>
      </c>
      <c r="I143" s="3">
        <f>IF(H143="","",(H143-AVERAGE(H6:H1198))/(STDEV(H6:H1198)+1E-12))</f>
        <v/>
      </c>
      <c r="J143" s="3">
        <f>IF('3a Raw'!G143="","",MAX(-3,MIN(3,('3a Raw'!G143-$J3)/$J4)))</f>
        <v/>
      </c>
      <c r="K143" s="3">
        <f>IF(J143="","",(J143-AVERAGE(J6:J1198))/(STDEV(J6:J1198)+1E-12))</f>
        <v/>
      </c>
      <c r="L143" s="3">
        <f>IF('3a Raw'!H143="","",MAX(-3,MIN(3,('3a Raw'!H143-$L3)/$L4)))</f>
        <v/>
      </c>
      <c r="M143" s="3">
        <f>IF(L143="","",(L143-AVERAGE(L6:L1198))/(STDEV(L6:L1198)+1E-12))</f>
        <v/>
      </c>
      <c r="N143" s="3">
        <f>IF('3a Raw'!I143="","",MAX(-3,MIN(3,('3a Raw'!I143-$N3)/$N4)))</f>
        <v/>
      </c>
      <c r="O143" s="3">
        <f>IF(N143="","",(N143-AVERAGE(N6:N1198))/(STDEV(N6:N1198)+1E-12))</f>
        <v/>
      </c>
      <c r="P143" s="3">
        <f>IF('3a Raw'!J143="","",MAX(-3,MIN(3,('3a Raw'!J143-$P3)/$P4)))</f>
        <v/>
      </c>
      <c r="Q143" s="3">
        <f>IF(P143="","",(P143-AVERAGE(P6:P1198))/(STDEV(P6:P1198)+1E-12))</f>
        <v/>
      </c>
      <c r="R143" s="3">
        <f>IF('3a Raw'!K143="","",MAX(-3,MIN(3,('3a Raw'!K143-$R3)/$R4)))</f>
        <v/>
      </c>
      <c r="S143" s="3">
        <f>IF(R143="","",(R143-AVERAGE(R6:R1198))/(STDEV(R6:R1198)+1E-12))</f>
        <v/>
      </c>
      <c r="T143" s="3">
        <f>IF('3a Raw'!L143="","",MAX(-3,MIN(3,('3a Raw'!L143-$T3)/$T4)))</f>
        <v/>
      </c>
      <c r="U143" s="3">
        <f>IF(T143="","",(T143-AVERAGE(T6:T1198))/(STDEV(T6:T1198)+1E-12))</f>
        <v/>
      </c>
      <c r="X143" s="3">
        <f>IF(U143="","",U143-($V$3*G143+$W$3))</f>
        <v/>
      </c>
      <c r="Y143" s="3">
        <f>IF(X143="","",MAX(-3,MIN(3,(X143-$X3)/$X4)))</f>
        <v/>
      </c>
      <c r="Z143" s="3">
        <f>IF(Y143="","",(Y143-AVERAGE(Y6:Y1198))/(STDEV(Y6:Y1198)+1E-12))</f>
        <v/>
      </c>
    </row>
    <row r="144">
      <c r="A144" t="inlineStr">
        <is>
          <t>BBG000C17X76</t>
        </is>
      </c>
      <c r="B144" s="3">
        <f>IF('3a Raw'!C144="","",MAX(-3,MIN(3,('3a Raw'!C144-$B3)/$B4)))</f>
        <v/>
      </c>
      <c r="C144" s="3">
        <f>IF(B144="","",(B144-AVERAGE(B6:B1198))/(STDEV(B6:B1198)+1E-12))</f>
        <v/>
      </c>
      <c r="D144" s="3">
        <f>IF('3a Raw'!D144="","",MAX(-3,MIN(3,('3a Raw'!D144-$D3)/$D4)))</f>
        <v/>
      </c>
      <c r="E144" s="3">
        <f>IF(D144="","",(D144-AVERAGE(D6:D1198))/(STDEV(D6:D1198)+1E-12))</f>
        <v/>
      </c>
      <c r="F144" s="3">
        <f>IF('3a Raw'!E144="","",MAX(-3,MIN(3,('3a Raw'!E144-$F3)/$F4)))</f>
        <v/>
      </c>
      <c r="G144" s="3">
        <f>IF(F144="","",(F144-AVERAGE(F6:F1198))/(STDEV(F6:F1198)+1E-12))</f>
        <v/>
      </c>
      <c r="H144" s="3">
        <f>IF('3a Raw'!F144="","",MAX(-3,MIN(3,('3a Raw'!F144-$H3)/$H4)))</f>
        <v/>
      </c>
      <c r="I144" s="3">
        <f>IF(H144="","",(H144-AVERAGE(H6:H1198))/(STDEV(H6:H1198)+1E-12))</f>
        <v/>
      </c>
      <c r="J144" s="3">
        <f>IF('3a Raw'!G144="","",MAX(-3,MIN(3,('3a Raw'!G144-$J3)/$J4)))</f>
        <v/>
      </c>
      <c r="K144" s="3">
        <f>IF(J144="","",(J144-AVERAGE(J6:J1198))/(STDEV(J6:J1198)+1E-12))</f>
        <v/>
      </c>
      <c r="L144" s="3">
        <f>IF('3a Raw'!H144="","",MAX(-3,MIN(3,('3a Raw'!H144-$L3)/$L4)))</f>
        <v/>
      </c>
      <c r="M144" s="3">
        <f>IF(L144="","",(L144-AVERAGE(L6:L1198))/(STDEV(L6:L1198)+1E-12))</f>
        <v/>
      </c>
      <c r="N144" s="3">
        <f>IF('3a Raw'!I144="","",MAX(-3,MIN(3,('3a Raw'!I144-$N3)/$N4)))</f>
        <v/>
      </c>
      <c r="O144" s="3">
        <f>IF(N144="","",(N144-AVERAGE(N6:N1198))/(STDEV(N6:N1198)+1E-12))</f>
        <v/>
      </c>
      <c r="P144" s="3">
        <f>IF('3a Raw'!J144="","",MAX(-3,MIN(3,('3a Raw'!J144-$P3)/$P4)))</f>
        <v/>
      </c>
      <c r="Q144" s="3">
        <f>IF(P144="","",(P144-AVERAGE(P6:P1198))/(STDEV(P6:P1198)+1E-12))</f>
        <v/>
      </c>
      <c r="R144" s="3">
        <f>IF('3a Raw'!K144="","",MAX(-3,MIN(3,('3a Raw'!K144-$R3)/$R4)))</f>
        <v/>
      </c>
      <c r="S144" s="3">
        <f>IF(R144="","",(R144-AVERAGE(R6:R1198))/(STDEV(R6:R1198)+1E-12))</f>
        <v/>
      </c>
      <c r="T144" s="3">
        <f>IF('3a Raw'!L144="","",MAX(-3,MIN(3,('3a Raw'!L144-$T3)/$T4)))</f>
        <v/>
      </c>
      <c r="U144" s="3">
        <f>IF(T144="","",(T144-AVERAGE(T6:T1198))/(STDEV(T6:T1198)+1E-12))</f>
        <v/>
      </c>
      <c r="X144" s="3">
        <f>IF(U144="","",U144-($V$3*G144+$W$3))</f>
        <v/>
      </c>
      <c r="Y144" s="3">
        <f>IF(X144="","",MAX(-3,MIN(3,(X144-$X3)/$X4)))</f>
        <v/>
      </c>
      <c r="Z144" s="3">
        <f>IF(Y144="","",(Y144-AVERAGE(Y6:Y1198))/(STDEV(Y6:Y1198)+1E-12))</f>
        <v/>
      </c>
    </row>
    <row r="145">
      <c r="A145" t="inlineStr">
        <is>
          <t>BBG00K7T3037</t>
        </is>
      </c>
      <c r="B145" s="3">
        <f>IF('3a Raw'!C145="","",MAX(-3,MIN(3,('3a Raw'!C145-$B3)/$B4)))</f>
        <v/>
      </c>
      <c r="C145" s="3">
        <f>IF(B145="","",(B145-AVERAGE(B6:B1198))/(STDEV(B6:B1198)+1E-12))</f>
        <v/>
      </c>
      <c r="D145" s="3">
        <f>IF('3a Raw'!D145="","",MAX(-3,MIN(3,('3a Raw'!D145-$D3)/$D4)))</f>
        <v/>
      </c>
      <c r="E145" s="3">
        <f>IF(D145="","",(D145-AVERAGE(D6:D1198))/(STDEV(D6:D1198)+1E-12))</f>
        <v/>
      </c>
      <c r="F145" s="3">
        <f>IF('3a Raw'!E145="","",MAX(-3,MIN(3,('3a Raw'!E145-$F3)/$F4)))</f>
        <v/>
      </c>
      <c r="G145" s="3">
        <f>IF(F145="","",(F145-AVERAGE(F6:F1198))/(STDEV(F6:F1198)+1E-12))</f>
        <v/>
      </c>
      <c r="H145" s="3">
        <f>IF('3a Raw'!F145="","",MAX(-3,MIN(3,('3a Raw'!F145-$H3)/$H4)))</f>
        <v/>
      </c>
      <c r="I145" s="3">
        <f>IF(H145="","",(H145-AVERAGE(H6:H1198))/(STDEV(H6:H1198)+1E-12))</f>
        <v/>
      </c>
      <c r="J145" s="3">
        <f>IF('3a Raw'!G145="","",MAX(-3,MIN(3,('3a Raw'!G145-$J3)/$J4)))</f>
        <v/>
      </c>
      <c r="K145" s="3">
        <f>IF(J145="","",(J145-AVERAGE(J6:J1198))/(STDEV(J6:J1198)+1E-12))</f>
        <v/>
      </c>
      <c r="L145" s="3">
        <f>IF('3a Raw'!H145="","",MAX(-3,MIN(3,('3a Raw'!H145-$L3)/$L4)))</f>
        <v/>
      </c>
      <c r="M145" s="3">
        <f>IF(L145="","",(L145-AVERAGE(L6:L1198))/(STDEV(L6:L1198)+1E-12))</f>
        <v/>
      </c>
      <c r="N145" s="3">
        <f>IF('3a Raw'!I145="","",MAX(-3,MIN(3,('3a Raw'!I145-$N3)/$N4)))</f>
        <v/>
      </c>
      <c r="O145" s="3">
        <f>IF(N145="","",(N145-AVERAGE(N6:N1198))/(STDEV(N6:N1198)+1E-12))</f>
        <v/>
      </c>
      <c r="P145" s="3">
        <f>IF('3a Raw'!J145="","",MAX(-3,MIN(3,('3a Raw'!J145-$P3)/$P4)))</f>
        <v/>
      </c>
      <c r="Q145" s="3">
        <f>IF(P145="","",(P145-AVERAGE(P6:P1198))/(STDEV(P6:P1198)+1E-12))</f>
        <v/>
      </c>
      <c r="R145" s="3">
        <f>IF('3a Raw'!K145="","",MAX(-3,MIN(3,('3a Raw'!K145-$R3)/$R4)))</f>
        <v/>
      </c>
      <c r="S145" s="3">
        <f>IF(R145="","",(R145-AVERAGE(R6:R1198))/(STDEV(R6:R1198)+1E-12))</f>
        <v/>
      </c>
      <c r="T145" s="3">
        <f>IF('3a Raw'!L145="","",MAX(-3,MIN(3,('3a Raw'!L145-$T3)/$T4)))</f>
        <v/>
      </c>
      <c r="U145" s="3">
        <f>IF(T145="","",(T145-AVERAGE(T6:T1198))/(STDEV(T6:T1198)+1E-12))</f>
        <v/>
      </c>
      <c r="X145" s="3">
        <f>IF(U145="","",U145-($V$3*G145+$W$3))</f>
        <v/>
      </c>
      <c r="Y145" s="3">
        <f>IF(X145="","",MAX(-3,MIN(3,(X145-$X3)/$X4)))</f>
        <v/>
      </c>
      <c r="Z145" s="3">
        <f>IF(Y145="","",(Y145-AVERAGE(Y6:Y1198))/(STDEV(Y6:Y1198)+1E-12))</f>
        <v/>
      </c>
    </row>
    <row r="146">
      <c r="A146" t="inlineStr">
        <is>
          <t>BBG00QVJV6V4</t>
        </is>
      </c>
      <c r="B146" s="3">
        <f>IF('3a Raw'!C146="","",MAX(-3,MIN(3,('3a Raw'!C146-$B3)/$B4)))</f>
        <v/>
      </c>
      <c r="C146" s="3">
        <f>IF(B146="","",(B146-AVERAGE(B6:B1198))/(STDEV(B6:B1198)+1E-12))</f>
        <v/>
      </c>
      <c r="D146" s="3">
        <f>IF('3a Raw'!D146="","",MAX(-3,MIN(3,('3a Raw'!D146-$D3)/$D4)))</f>
        <v/>
      </c>
      <c r="E146" s="3">
        <f>IF(D146="","",(D146-AVERAGE(D6:D1198))/(STDEV(D6:D1198)+1E-12))</f>
        <v/>
      </c>
      <c r="F146" s="3">
        <f>IF('3a Raw'!E146="","",MAX(-3,MIN(3,('3a Raw'!E146-$F3)/$F4)))</f>
        <v/>
      </c>
      <c r="G146" s="3">
        <f>IF(F146="","",(F146-AVERAGE(F6:F1198))/(STDEV(F6:F1198)+1E-12))</f>
        <v/>
      </c>
      <c r="H146" s="3">
        <f>IF('3a Raw'!F146="","",MAX(-3,MIN(3,('3a Raw'!F146-$H3)/$H4)))</f>
        <v/>
      </c>
      <c r="I146" s="3">
        <f>IF(H146="","",(H146-AVERAGE(H6:H1198))/(STDEV(H6:H1198)+1E-12))</f>
        <v/>
      </c>
      <c r="J146" s="3">
        <f>IF('3a Raw'!G146="","",MAX(-3,MIN(3,('3a Raw'!G146-$J3)/$J4)))</f>
        <v/>
      </c>
      <c r="K146" s="3">
        <f>IF(J146="","",(J146-AVERAGE(J6:J1198))/(STDEV(J6:J1198)+1E-12))</f>
        <v/>
      </c>
      <c r="L146" s="3">
        <f>IF('3a Raw'!H146="","",MAX(-3,MIN(3,('3a Raw'!H146-$L3)/$L4)))</f>
        <v/>
      </c>
      <c r="M146" s="3">
        <f>IF(L146="","",(L146-AVERAGE(L6:L1198))/(STDEV(L6:L1198)+1E-12))</f>
        <v/>
      </c>
      <c r="N146" s="3">
        <f>IF('3a Raw'!I146="","",MAX(-3,MIN(3,('3a Raw'!I146-$N3)/$N4)))</f>
        <v/>
      </c>
      <c r="O146" s="3">
        <f>IF(N146="","",(N146-AVERAGE(N6:N1198))/(STDEV(N6:N1198)+1E-12))</f>
        <v/>
      </c>
      <c r="P146" s="3">
        <f>IF('3a Raw'!J146="","",MAX(-3,MIN(3,('3a Raw'!J146-$P3)/$P4)))</f>
        <v/>
      </c>
      <c r="Q146" s="3">
        <f>IF(P146="","",(P146-AVERAGE(P6:P1198))/(STDEV(P6:P1198)+1E-12))</f>
        <v/>
      </c>
      <c r="R146" s="3">
        <f>IF('3a Raw'!K146="","",MAX(-3,MIN(3,('3a Raw'!K146-$R3)/$R4)))</f>
        <v/>
      </c>
      <c r="S146" s="3">
        <f>IF(R146="","",(R146-AVERAGE(R6:R1198))/(STDEV(R6:R1198)+1E-12))</f>
        <v/>
      </c>
      <c r="T146" s="3">
        <f>IF('3a Raw'!L146="","",MAX(-3,MIN(3,('3a Raw'!L146-$T3)/$T4)))</f>
        <v/>
      </c>
      <c r="U146" s="3">
        <f>IF(T146="","",(T146-AVERAGE(T6:T1198))/(STDEV(T6:T1198)+1E-12))</f>
        <v/>
      </c>
      <c r="X146" s="3">
        <f>IF(U146="","",U146-($V$3*G146+$W$3))</f>
        <v/>
      </c>
      <c r="Y146" s="3">
        <f>IF(X146="","",MAX(-3,MIN(3,(X146-$X3)/$X4)))</f>
        <v/>
      </c>
      <c r="Z146" s="3">
        <f>IF(Y146="","",(Y146-AVERAGE(Y6:Y1198))/(STDEV(Y6:Y1198)+1E-12))</f>
        <v/>
      </c>
    </row>
    <row r="147">
      <c r="A147" t="inlineStr">
        <is>
          <t>BBG000DY28W5</t>
        </is>
      </c>
      <c r="B147" s="3">
        <f>IF('3a Raw'!C147="","",MAX(-3,MIN(3,('3a Raw'!C147-$B3)/$B4)))</f>
        <v/>
      </c>
      <c r="C147" s="3">
        <f>IF(B147="","",(B147-AVERAGE(B6:B1198))/(STDEV(B6:B1198)+1E-12))</f>
        <v/>
      </c>
      <c r="D147" s="3">
        <f>IF('3a Raw'!D147="","",MAX(-3,MIN(3,('3a Raw'!D147-$D3)/$D4)))</f>
        <v/>
      </c>
      <c r="E147" s="3">
        <f>IF(D147="","",(D147-AVERAGE(D6:D1198))/(STDEV(D6:D1198)+1E-12))</f>
        <v/>
      </c>
      <c r="F147" s="3">
        <f>IF('3a Raw'!E147="","",MAX(-3,MIN(3,('3a Raw'!E147-$F3)/$F4)))</f>
        <v/>
      </c>
      <c r="G147" s="3">
        <f>IF(F147="","",(F147-AVERAGE(F6:F1198))/(STDEV(F6:F1198)+1E-12))</f>
        <v/>
      </c>
      <c r="H147" s="3">
        <f>IF('3a Raw'!F147="","",MAX(-3,MIN(3,('3a Raw'!F147-$H3)/$H4)))</f>
        <v/>
      </c>
      <c r="I147" s="3">
        <f>IF(H147="","",(H147-AVERAGE(H6:H1198))/(STDEV(H6:H1198)+1E-12))</f>
        <v/>
      </c>
      <c r="J147" s="3">
        <f>IF('3a Raw'!G147="","",MAX(-3,MIN(3,('3a Raw'!G147-$J3)/$J4)))</f>
        <v/>
      </c>
      <c r="K147" s="3">
        <f>IF(J147="","",(J147-AVERAGE(J6:J1198))/(STDEV(J6:J1198)+1E-12))</f>
        <v/>
      </c>
      <c r="L147" s="3">
        <f>IF('3a Raw'!H147="","",MAX(-3,MIN(3,('3a Raw'!H147-$L3)/$L4)))</f>
        <v/>
      </c>
      <c r="M147" s="3">
        <f>IF(L147="","",(L147-AVERAGE(L6:L1198))/(STDEV(L6:L1198)+1E-12))</f>
        <v/>
      </c>
      <c r="N147" s="3">
        <f>IF('3a Raw'!I147="","",MAX(-3,MIN(3,('3a Raw'!I147-$N3)/$N4)))</f>
        <v/>
      </c>
      <c r="O147" s="3">
        <f>IF(N147="","",(N147-AVERAGE(N6:N1198))/(STDEV(N6:N1198)+1E-12))</f>
        <v/>
      </c>
      <c r="P147" s="3">
        <f>IF('3a Raw'!J147="","",MAX(-3,MIN(3,('3a Raw'!J147-$P3)/$P4)))</f>
        <v/>
      </c>
      <c r="Q147" s="3">
        <f>IF(P147="","",(P147-AVERAGE(P6:P1198))/(STDEV(P6:P1198)+1E-12))</f>
        <v/>
      </c>
      <c r="R147" s="3">
        <f>IF('3a Raw'!K147="","",MAX(-3,MIN(3,('3a Raw'!K147-$R3)/$R4)))</f>
        <v/>
      </c>
      <c r="S147" s="3">
        <f>IF(R147="","",(R147-AVERAGE(R6:R1198))/(STDEV(R6:R1198)+1E-12))</f>
        <v/>
      </c>
      <c r="T147" s="3">
        <f>IF('3a Raw'!L147="","",MAX(-3,MIN(3,('3a Raw'!L147-$T3)/$T4)))</f>
        <v/>
      </c>
      <c r="U147" s="3">
        <f>IF(T147="","",(T147-AVERAGE(T6:T1198))/(STDEV(T6:T1198)+1E-12))</f>
        <v/>
      </c>
      <c r="X147" s="3">
        <f>IF(U147="","",U147-($V$3*G147+$W$3))</f>
        <v/>
      </c>
      <c r="Y147" s="3">
        <f>IF(X147="","",MAX(-3,MIN(3,(X147-$X3)/$X4)))</f>
        <v/>
      </c>
      <c r="Z147" s="3">
        <f>IF(Y147="","",(Y147-AVERAGE(Y6:Y1198))/(STDEV(Y6:Y1198)+1E-12))</f>
        <v/>
      </c>
    </row>
    <row r="148">
      <c r="A148" t="inlineStr">
        <is>
          <t>BBG00HBTB0M9</t>
        </is>
      </c>
      <c r="B148" s="3">
        <f>IF('3a Raw'!C148="","",MAX(-3,MIN(3,('3a Raw'!C148-$B3)/$B4)))</f>
        <v/>
      </c>
      <c r="C148" s="3">
        <f>IF(B148="","",(B148-AVERAGE(B6:B1198))/(STDEV(B6:B1198)+1E-12))</f>
        <v/>
      </c>
      <c r="D148" s="3">
        <f>IF('3a Raw'!D148="","",MAX(-3,MIN(3,('3a Raw'!D148-$D3)/$D4)))</f>
        <v/>
      </c>
      <c r="E148" s="3">
        <f>IF(D148="","",(D148-AVERAGE(D6:D1198))/(STDEV(D6:D1198)+1E-12))</f>
        <v/>
      </c>
      <c r="F148" s="3">
        <f>IF('3a Raw'!E148="","",MAX(-3,MIN(3,('3a Raw'!E148-$F3)/$F4)))</f>
        <v/>
      </c>
      <c r="G148" s="3">
        <f>IF(F148="","",(F148-AVERAGE(F6:F1198))/(STDEV(F6:F1198)+1E-12))</f>
        <v/>
      </c>
      <c r="H148" s="3">
        <f>IF('3a Raw'!F148="","",MAX(-3,MIN(3,('3a Raw'!F148-$H3)/$H4)))</f>
        <v/>
      </c>
      <c r="I148" s="3">
        <f>IF(H148="","",(H148-AVERAGE(H6:H1198))/(STDEV(H6:H1198)+1E-12))</f>
        <v/>
      </c>
      <c r="J148" s="3">
        <f>IF('3a Raw'!G148="","",MAX(-3,MIN(3,('3a Raw'!G148-$J3)/$J4)))</f>
        <v/>
      </c>
      <c r="K148" s="3">
        <f>IF(J148="","",(J148-AVERAGE(J6:J1198))/(STDEV(J6:J1198)+1E-12))</f>
        <v/>
      </c>
      <c r="L148" s="3">
        <f>IF('3a Raw'!H148="","",MAX(-3,MIN(3,('3a Raw'!H148-$L3)/$L4)))</f>
        <v/>
      </c>
      <c r="M148" s="3">
        <f>IF(L148="","",(L148-AVERAGE(L6:L1198))/(STDEV(L6:L1198)+1E-12))</f>
        <v/>
      </c>
      <c r="N148" s="3">
        <f>IF('3a Raw'!I148="","",MAX(-3,MIN(3,('3a Raw'!I148-$N3)/$N4)))</f>
        <v/>
      </c>
      <c r="O148" s="3">
        <f>IF(N148="","",(N148-AVERAGE(N6:N1198))/(STDEV(N6:N1198)+1E-12))</f>
        <v/>
      </c>
      <c r="P148" s="3">
        <f>IF('3a Raw'!J148="","",MAX(-3,MIN(3,('3a Raw'!J148-$P3)/$P4)))</f>
        <v/>
      </c>
      <c r="Q148" s="3">
        <f>IF(P148="","",(P148-AVERAGE(P6:P1198))/(STDEV(P6:P1198)+1E-12))</f>
        <v/>
      </c>
      <c r="R148" s="3">
        <f>IF('3a Raw'!K148="","",MAX(-3,MIN(3,('3a Raw'!K148-$R3)/$R4)))</f>
        <v/>
      </c>
      <c r="S148" s="3">
        <f>IF(R148="","",(R148-AVERAGE(R6:R1198))/(STDEV(R6:R1198)+1E-12))</f>
        <v/>
      </c>
      <c r="T148" s="3">
        <f>IF('3a Raw'!L148="","",MAX(-3,MIN(3,('3a Raw'!L148-$T3)/$T4)))</f>
        <v/>
      </c>
      <c r="U148" s="3">
        <f>IF(T148="","",(T148-AVERAGE(T6:T1198))/(STDEV(T6:T1198)+1E-12))</f>
        <v/>
      </c>
      <c r="X148" s="3">
        <f>IF(U148="","",U148-($V$3*G148+$W$3))</f>
        <v/>
      </c>
      <c r="Y148" s="3">
        <f>IF(X148="","",MAX(-3,MIN(3,(X148-$X3)/$X4)))</f>
        <v/>
      </c>
      <c r="Z148" s="3">
        <f>IF(Y148="","",(Y148-AVERAGE(Y6:Y1198))/(STDEV(Y6:Y1198)+1E-12))</f>
        <v/>
      </c>
    </row>
    <row r="149">
      <c r="A149" t="inlineStr">
        <is>
          <t>BBG00FQ8T4G3</t>
        </is>
      </c>
      <c r="B149" s="3">
        <f>IF('3a Raw'!C149="","",MAX(-3,MIN(3,('3a Raw'!C149-$B3)/$B4)))</f>
        <v/>
      </c>
      <c r="C149" s="3">
        <f>IF(B149="","",(B149-AVERAGE(B6:B1198))/(STDEV(B6:B1198)+1E-12))</f>
        <v/>
      </c>
      <c r="D149" s="3">
        <f>IF('3a Raw'!D149="","",MAX(-3,MIN(3,('3a Raw'!D149-$D3)/$D4)))</f>
        <v/>
      </c>
      <c r="E149" s="3">
        <f>IF(D149="","",(D149-AVERAGE(D6:D1198))/(STDEV(D6:D1198)+1E-12))</f>
        <v/>
      </c>
      <c r="F149" s="3">
        <f>IF('3a Raw'!E149="","",MAX(-3,MIN(3,('3a Raw'!E149-$F3)/$F4)))</f>
        <v/>
      </c>
      <c r="G149" s="3">
        <f>IF(F149="","",(F149-AVERAGE(F6:F1198))/(STDEV(F6:F1198)+1E-12))</f>
        <v/>
      </c>
      <c r="H149" s="3">
        <f>IF('3a Raw'!F149="","",MAX(-3,MIN(3,('3a Raw'!F149-$H3)/$H4)))</f>
        <v/>
      </c>
      <c r="I149" s="3">
        <f>IF(H149="","",(H149-AVERAGE(H6:H1198))/(STDEV(H6:H1198)+1E-12))</f>
        <v/>
      </c>
      <c r="J149" s="3">
        <f>IF('3a Raw'!G149="","",MAX(-3,MIN(3,('3a Raw'!G149-$J3)/$J4)))</f>
        <v/>
      </c>
      <c r="K149" s="3">
        <f>IF(J149="","",(J149-AVERAGE(J6:J1198))/(STDEV(J6:J1198)+1E-12))</f>
        <v/>
      </c>
      <c r="L149" s="3">
        <f>IF('3a Raw'!H149="","",MAX(-3,MIN(3,('3a Raw'!H149-$L3)/$L4)))</f>
        <v/>
      </c>
      <c r="M149" s="3">
        <f>IF(L149="","",(L149-AVERAGE(L6:L1198))/(STDEV(L6:L1198)+1E-12))</f>
        <v/>
      </c>
      <c r="N149" s="3">
        <f>IF('3a Raw'!I149="","",MAX(-3,MIN(3,('3a Raw'!I149-$N3)/$N4)))</f>
        <v/>
      </c>
      <c r="O149" s="3">
        <f>IF(N149="","",(N149-AVERAGE(N6:N1198))/(STDEV(N6:N1198)+1E-12))</f>
        <v/>
      </c>
      <c r="P149" s="3">
        <f>IF('3a Raw'!J149="","",MAX(-3,MIN(3,('3a Raw'!J149-$P3)/$P4)))</f>
        <v/>
      </c>
      <c r="Q149" s="3">
        <f>IF(P149="","",(P149-AVERAGE(P6:P1198))/(STDEV(P6:P1198)+1E-12))</f>
        <v/>
      </c>
      <c r="R149" s="3">
        <f>IF('3a Raw'!K149="","",MAX(-3,MIN(3,('3a Raw'!K149-$R3)/$R4)))</f>
        <v/>
      </c>
      <c r="S149" s="3">
        <f>IF(R149="","",(R149-AVERAGE(R6:R1198))/(STDEV(R6:R1198)+1E-12))</f>
        <v/>
      </c>
      <c r="T149" s="3">
        <f>IF('3a Raw'!L149="","",MAX(-3,MIN(3,('3a Raw'!L149-$T3)/$T4)))</f>
        <v/>
      </c>
      <c r="U149" s="3">
        <f>IF(T149="","",(T149-AVERAGE(T6:T1198))/(STDEV(T6:T1198)+1E-12))</f>
        <v/>
      </c>
      <c r="X149" s="3">
        <f>IF(U149="","",U149-($V$3*G149+$W$3))</f>
        <v/>
      </c>
      <c r="Y149" s="3">
        <f>IF(X149="","",MAX(-3,MIN(3,(X149-$X3)/$X4)))</f>
        <v/>
      </c>
      <c r="Z149" s="3">
        <f>IF(Y149="","",(Y149-AVERAGE(Y6:Y1198))/(STDEV(Y6:Y1198)+1E-12))</f>
        <v/>
      </c>
    </row>
    <row r="150">
      <c r="A150" t="inlineStr">
        <is>
          <t>BBG000J4L211</t>
        </is>
      </c>
      <c r="B150" s="3">
        <f>IF('3a Raw'!C150="","",MAX(-3,MIN(3,('3a Raw'!C150-$B3)/$B4)))</f>
        <v/>
      </c>
      <c r="C150" s="3">
        <f>IF(B150="","",(B150-AVERAGE(B6:B1198))/(STDEV(B6:B1198)+1E-12))</f>
        <v/>
      </c>
      <c r="D150" s="3">
        <f>IF('3a Raw'!D150="","",MAX(-3,MIN(3,('3a Raw'!D150-$D3)/$D4)))</f>
        <v/>
      </c>
      <c r="E150" s="3">
        <f>IF(D150="","",(D150-AVERAGE(D6:D1198))/(STDEV(D6:D1198)+1E-12))</f>
        <v/>
      </c>
      <c r="F150" s="3">
        <f>IF('3a Raw'!E150="","",MAX(-3,MIN(3,('3a Raw'!E150-$F3)/$F4)))</f>
        <v/>
      </c>
      <c r="G150" s="3">
        <f>IF(F150="","",(F150-AVERAGE(F6:F1198))/(STDEV(F6:F1198)+1E-12))</f>
        <v/>
      </c>
      <c r="H150" s="3">
        <f>IF('3a Raw'!F150="","",MAX(-3,MIN(3,('3a Raw'!F150-$H3)/$H4)))</f>
        <v/>
      </c>
      <c r="I150" s="3">
        <f>IF(H150="","",(H150-AVERAGE(H6:H1198))/(STDEV(H6:H1198)+1E-12))</f>
        <v/>
      </c>
      <c r="J150" s="3">
        <f>IF('3a Raw'!G150="","",MAX(-3,MIN(3,('3a Raw'!G150-$J3)/$J4)))</f>
        <v/>
      </c>
      <c r="K150" s="3">
        <f>IF(J150="","",(J150-AVERAGE(J6:J1198))/(STDEV(J6:J1198)+1E-12))</f>
        <v/>
      </c>
      <c r="L150" s="3">
        <f>IF('3a Raw'!H150="","",MAX(-3,MIN(3,('3a Raw'!H150-$L3)/$L4)))</f>
        <v/>
      </c>
      <c r="M150" s="3">
        <f>IF(L150="","",(L150-AVERAGE(L6:L1198))/(STDEV(L6:L1198)+1E-12))</f>
        <v/>
      </c>
      <c r="N150" s="3">
        <f>IF('3a Raw'!I150="","",MAX(-3,MIN(3,('3a Raw'!I150-$N3)/$N4)))</f>
        <v/>
      </c>
      <c r="O150" s="3">
        <f>IF(N150="","",(N150-AVERAGE(N6:N1198))/(STDEV(N6:N1198)+1E-12))</f>
        <v/>
      </c>
      <c r="P150" s="3">
        <f>IF('3a Raw'!J150="","",MAX(-3,MIN(3,('3a Raw'!J150-$P3)/$P4)))</f>
        <v/>
      </c>
      <c r="Q150" s="3">
        <f>IF(P150="","",(P150-AVERAGE(P6:P1198))/(STDEV(P6:P1198)+1E-12))</f>
        <v/>
      </c>
      <c r="R150" s="3">
        <f>IF('3a Raw'!K150="","",MAX(-3,MIN(3,('3a Raw'!K150-$R3)/$R4)))</f>
        <v/>
      </c>
      <c r="S150" s="3">
        <f>IF(R150="","",(R150-AVERAGE(R6:R1198))/(STDEV(R6:R1198)+1E-12))</f>
        <v/>
      </c>
      <c r="T150" s="3">
        <f>IF('3a Raw'!L150="","",MAX(-3,MIN(3,('3a Raw'!L150-$T3)/$T4)))</f>
        <v/>
      </c>
      <c r="U150" s="3">
        <f>IF(T150="","",(T150-AVERAGE(T6:T1198))/(STDEV(T6:T1198)+1E-12))</f>
        <v/>
      </c>
      <c r="X150" s="3">
        <f>IF(U150="","",U150-($V$3*G150+$W$3))</f>
        <v/>
      </c>
      <c r="Y150" s="3">
        <f>IF(X150="","",MAX(-3,MIN(3,(X150-$X3)/$X4)))</f>
        <v/>
      </c>
      <c r="Z150" s="3">
        <f>IF(Y150="","",(Y150-AVERAGE(Y6:Y1198))/(STDEV(Y6:Y1198)+1E-12))</f>
        <v/>
      </c>
    </row>
    <row r="151">
      <c r="A151" t="inlineStr">
        <is>
          <t>BBG000BLBVN4</t>
        </is>
      </c>
      <c r="B151" s="3">
        <f>IF('3a Raw'!C151="","",MAX(-3,MIN(3,('3a Raw'!C151-$B3)/$B4)))</f>
        <v/>
      </c>
      <c r="C151" s="3">
        <f>IF(B151="","",(B151-AVERAGE(B6:B1198))/(STDEV(B6:B1198)+1E-12))</f>
        <v/>
      </c>
      <c r="D151" s="3">
        <f>IF('3a Raw'!D151="","",MAX(-3,MIN(3,('3a Raw'!D151-$D3)/$D4)))</f>
        <v/>
      </c>
      <c r="E151" s="3">
        <f>IF(D151="","",(D151-AVERAGE(D6:D1198))/(STDEV(D6:D1198)+1E-12))</f>
        <v/>
      </c>
      <c r="F151" s="3">
        <f>IF('3a Raw'!E151="","",MAX(-3,MIN(3,('3a Raw'!E151-$F3)/$F4)))</f>
        <v/>
      </c>
      <c r="G151" s="3">
        <f>IF(F151="","",(F151-AVERAGE(F6:F1198))/(STDEV(F6:F1198)+1E-12))</f>
        <v/>
      </c>
      <c r="H151" s="3">
        <f>IF('3a Raw'!F151="","",MAX(-3,MIN(3,('3a Raw'!F151-$H3)/$H4)))</f>
        <v/>
      </c>
      <c r="I151" s="3">
        <f>IF(H151="","",(H151-AVERAGE(H6:H1198))/(STDEV(H6:H1198)+1E-12))</f>
        <v/>
      </c>
      <c r="J151" s="3">
        <f>IF('3a Raw'!G151="","",MAX(-3,MIN(3,('3a Raw'!G151-$J3)/$J4)))</f>
        <v/>
      </c>
      <c r="K151" s="3">
        <f>IF(J151="","",(J151-AVERAGE(J6:J1198))/(STDEV(J6:J1198)+1E-12))</f>
        <v/>
      </c>
      <c r="L151" s="3">
        <f>IF('3a Raw'!H151="","",MAX(-3,MIN(3,('3a Raw'!H151-$L3)/$L4)))</f>
        <v/>
      </c>
      <c r="M151" s="3">
        <f>IF(L151="","",(L151-AVERAGE(L6:L1198))/(STDEV(L6:L1198)+1E-12))</f>
        <v/>
      </c>
      <c r="N151" s="3">
        <f>IF('3a Raw'!I151="","",MAX(-3,MIN(3,('3a Raw'!I151-$N3)/$N4)))</f>
        <v/>
      </c>
      <c r="O151" s="3">
        <f>IF(N151="","",(N151-AVERAGE(N6:N1198))/(STDEV(N6:N1198)+1E-12))</f>
        <v/>
      </c>
      <c r="P151" s="3">
        <f>IF('3a Raw'!J151="","",MAX(-3,MIN(3,('3a Raw'!J151-$P3)/$P4)))</f>
        <v/>
      </c>
      <c r="Q151" s="3">
        <f>IF(P151="","",(P151-AVERAGE(P6:P1198))/(STDEV(P6:P1198)+1E-12))</f>
        <v/>
      </c>
      <c r="R151" s="3">
        <f>IF('3a Raw'!K151="","",MAX(-3,MIN(3,('3a Raw'!K151-$R3)/$R4)))</f>
        <v/>
      </c>
      <c r="S151" s="3">
        <f>IF(R151="","",(R151-AVERAGE(R6:R1198))/(STDEV(R6:R1198)+1E-12))</f>
        <v/>
      </c>
      <c r="T151" s="3">
        <f>IF('3a Raw'!L151="","",MAX(-3,MIN(3,('3a Raw'!L151-$T3)/$T4)))</f>
        <v/>
      </c>
      <c r="U151" s="3">
        <f>IF(T151="","",(T151-AVERAGE(T6:T1198))/(STDEV(T6:T1198)+1E-12))</f>
        <v/>
      </c>
      <c r="X151" s="3">
        <f>IF(U151="","",U151-($V$3*G151+$W$3))</f>
        <v/>
      </c>
      <c r="Y151" s="3">
        <f>IF(X151="","",MAX(-3,MIN(3,(X151-$X3)/$X4)))</f>
        <v/>
      </c>
      <c r="Z151" s="3">
        <f>IF(Y151="","",(Y151-AVERAGE(Y6:Y1198))/(STDEV(Y6:Y1198)+1E-12))</f>
        <v/>
      </c>
    </row>
    <row r="152">
      <c r="A152" t="inlineStr">
        <is>
          <t>bkr</t>
        </is>
      </c>
      <c r="B152" s="3">
        <f>IF('3a Raw'!C152="","",MAX(-3,MIN(3,('3a Raw'!C152-$B3)/$B4)))</f>
        <v/>
      </c>
      <c r="C152" s="3">
        <f>IF(B152="","",(B152-AVERAGE(B6:B1198))/(STDEV(B6:B1198)+1E-12))</f>
        <v/>
      </c>
      <c r="D152" s="3">
        <f>IF('3a Raw'!D152="","",MAX(-3,MIN(3,('3a Raw'!D152-$D3)/$D4)))</f>
        <v/>
      </c>
      <c r="E152" s="3">
        <f>IF(D152="","",(D152-AVERAGE(D6:D1198))/(STDEV(D6:D1198)+1E-12))</f>
        <v/>
      </c>
      <c r="F152" s="3">
        <f>IF('3a Raw'!E152="","",MAX(-3,MIN(3,('3a Raw'!E152-$F3)/$F4)))</f>
        <v/>
      </c>
      <c r="G152" s="3">
        <f>IF(F152="","",(F152-AVERAGE(F6:F1198))/(STDEV(F6:F1198)+1E-12))</f>
        <v/>
      </c>
      <c r="H152" s="3">
        <f>IF('3a Raw'!F152="","",MAX(-3,MIN(3,('3a Raw'!F152-$H3)/$H4)))</f>
        <v/>
      </c>
      <c r="I152" s="3">
        <f>IF(H152="","",(H152-AVERAGE(H6:H1198))/(STDEV(H6:H1198)+1E-12))</f>
        <v/>
      </c>
      <c r="J152" s="3">
        <f>IF('3a Raw'!G152="","",MAX(-3,MIN(3,('3a Raw'!G152-$J3)/$J4)))</f>
        <v/>
      </c>
      <c r="K152" s="3">
        <f>IF(J152="","",(J152-AVERAGE(J6:J1198))/(STDEV(J6:J1198)+1E-12))</f>
        <v/>
      </c>
      <c r="L152" s="3">
        <f>IF('3a Raw'!H152="","",MAX(-3,MIN(3,('3a Raw'!H152-$L3)/$L4)))</f>
        <v/>
      </c>
      <c r="M152" s="3">
        <f>IF(L152="","",(L152-AVERAGE(L6:L1198))/(STDEV(L6:L1198)+1E-12))</f>
        <v/>
      </c>
      <c r="N152" s="3">
        <f>IF('3a Raw'!I152="","",MAX(-3,MIN(3,('3a Raw'!I152-$N3)/$N4)))</f>
        <v/>
      </c>
      <c r="O152" s="3">
        <f>IF(N152="","",(N152-AVERAGE(N6:N1198))/(STDEV(N6:N1198)+1E-12))</f>
        <v/>
      </c>
      <c r="P152" s="3">
        <f>IF('3a Raw'!J152="","",MAX(-3,MIN(3,('3a Raw'!J152-$P3)/$P4)))</f>
        <v/>
      </c>
      <c r="Q152" s="3">
        <f>IF(P152="","",(P152-AVERAGE(P6:P1198))/(STDEV(P6:P1198)+1E-12))</f>
        <v/>
      </c>
      <c r="R152" s="3">
        <f>IF('3a Raw'!K152="","",MAX(-3,MIN(3,('3a Raw'!K152-$R3)/$R4)))</f>
        <v/>
      </c>
      <c r="S152" s="3">
        <f>IF(R152="","",(R152-AVERAGE(R6:R1198))/(STDEV(R6:R1198)+1E-12))</f>
        <v/>
      </c>
      <c r="T152" s="3">
        <f>IF('3a Raw'!L152="","",MAX(-3,MIN(3,('3a Raw'!L152-$T3)/$T4)))</f>
        <v/>
      </c>
      <c r="U152" s="3">
        <f>IF(T152="","",(T152-AVERAGE(T6:T1198))/(STDEV(T6:T1198)+1E-12))</f>
        <v/>
      </c>
      <c r="X152" s="3">
        <f>IF(U152="","",U152-($V$3*G152+$W$3))</f>
        <v/>
      </c>
      <c r="Y152" s="3">
        <f>IF(X152="","",MAX(-3,MIN(3,(X152-$X3)/$X4)))</f>
        <v/>
      </c>
      <c r="Z152" s="3">
        <f>IF(Y152="","",(Y152-AVERAGE(Y6:Y1198))/(STDEV(Y6:Y1198)+1E-12))</f>
        <v/>
      </c>
    </row>
    <row r="153">
      <c r="A153" t="inlineStr">
        <is>
          <t>BBG000PQPCM6</t>
        </is>
      </c>
      <c r="B153" s="3">
        <f>IF('3a Raw'!C153="","",MAX(-3,MIN(3,('3a Raw'!C153-$B3)/$B4)))</f>
        <v/>
      </c>
      <c r="C153" s="3">
        <f>IF(B153="","",(B153-AVERAGE(B6:B1198))/(STDEV(B6:B1198)+1E-12))</f>
        <v/>
      </c>
      <c r="D153" s="3">
        <f>IF('3a Raw'!D153="","",MAX(-3,MIN(3,('3a Raw'!D153-$D3)/$D4)))</f>
        <v/>
      </c>
      <c r="E153" s="3">
        <f>IF(D153="","",(D153-AVERAGE(D6:D1198))/(STDEV(D6:D1198)+1E-12))</f>
        <v/>
      </c>
      <c r="F153" s="3">
        <f>IF('3a Raw'!E153="","",MAX(-3,MIN(3,('3a Raw'!E153-$F3)/$F4)))</f>
        <v/>
      </c>
      <c r="G153" s="3">
        <f>IF(F153="","",(F153-AVERAGE(F6:F1198))/(STDEV(F6:F1198)+1E-12))</f>
        <v/>
      </c>
      <c r="H153" s="3">
        <f>IF('3a Raw'!F153="","",MAX(-3,MIN(3,('3a Raw'!F153-$H3)/$H4)))</f>
        <v/>
      </c>
      <c r="I153" s="3">
        <f>IF(H153="","",(H153-AVERAGE(H6:H1198))/(STDEV(H6:H1198)+1E-12))</f>
        <v/>
      </c>
      <c r="J153" s="3">
        <f>IF('3a Raw'!G153="","",MAX(-3,MIN(3,('3a Raw'!G153-$J3)/$J4)))</f>
        <v/>
      </c>
      <c r="K153" s="3">
        <f>IF(J153="","",(J153-AVERAGE(J6:J1198))/(STDEV(J6:J1198)+1E-12))</f>
        <v/>
      </c>
      <c r="L153" s="3">
        <f>IF('3a Raw'!H153="","",MAX(-3,MIN(3,('3a Raw'!H153-$L3)/$L4)))</f>
        <v/>
      </c>
      <c r="M153" s="3">
        <f>IF(L153="","",(L153-AVERAGE(L6:L1198))/(STDEV(L6:L1198)+1E-12))</f>
        <v/>
      </c>
      <c r="N153" s="3">
        <f>IF('3a Raw'!I153="","",MAX(-3,MIN(3,('3a Raw'!I153-$N3)/$N4)))</f>
        <v/>
      </c>
      <c r="O153" s="3">
        <f>IF(N153="","",(N153-AVERAGE(N6:N1198))/(STDEV(N6:N1198)+1E-12))</f>
        <v/>
      </c>
      <c r="P153" s="3">
        <f>IF('3a Raw'!J153="","",MAX(-3,MIN(3,('3a Raw'!J153-$P3)/$P4)))</f>
        <v/>
      </c>
      <c r="Q153" s="3">
        <f>IF(P153="","",(P153-AVERAGE(P6:P1198))/(STDEV(P6:P1198)+1E-12))</f>
        <v/>
      </c>
      <c r="R153" s="3">
        <f>IF('3a Raw'!K153="","",MAX(-3,MIN(3,('3a Raw'!K153-$R3)/$R4)))</f>
        <v/>
      </c>
      <c r="S153" s="3">
        <f>IF(R153="","",(R153-AVERAGE(R6:R1198))/(STDEV(R6:R1198)+1E-12))</f>
        <v/>
      </c>
      <c r="T153" s="3">
        <f>IF('3a Raw'!L153="","",MAX(-3,MIN(3,('3a Raw'!L153-$T3)/$T4)))</f>
        <v/>
      </c>
      <c r="U153" s="3">
        <f>IF(T153="","",(T153-AVERAGE(T6:T1198))/(STDEV(T6:T1198)+1E-12))</f>
        <v/>
      </c>
      <c r="X153" s="3">
        <f>IF(U153="","",U153-($V$3*G153+$W$3))</f>
        <v/>
      </c>
      <c r="Y153" s="3">
        <f>IF(X153="","",MAX(-3,MIN(3,(X153-$X3)/$X4)))</f>
        <v/>
      </c>
      <c r="Z153" s="3">
        <f>IF(Y153="","",(Y153-AVERAGE(Y6:Y1198))/(STDEV(Y6:Y1198)+1E-12))</f>
        <v/>
      </c>
    </row>
    <row r="154">
      <c r="A154" t="inlineStr">
        <is>
          <t>BBG0029KJVB0</t>
        </is>
      </c>
      <c r="B154" s="3">
        <f>IF('3a Raw'!C154="","",MAX(-3,MIN(3,('3a Raw'!C154-$B3)/$B4)))</f>
        <v/>
      </c>
      <c r="C154" s="3">
        <f>IF(B154="","",(B154-AVERAGE(B6:B1198))/(STDEV(B6:B1198)+1E-12))</f>
        <v/>
      </c>
      <c r="D154" s="3">
        <f>IF('3a Raw'!D154="","",MAX(-3,MIN(3,('3a Raw'!D154-$D3)/$D4)))</f>
        <v/>
      </c>
      <c r="E154" s="3">
        <f>IF(D154="","",(D154-AVERAGE(D6:D1198))/(STDEV(D6:D1198)+1E-12))</f>
        <v/>
      </c>
      <c r="F154" s="3">
        <f>IF('3a Raw'!E154="","",MAX(-3,MIN(3,('3a Raw'!E154-$F3)/$F4)))</f>
        <v/>
      </c>
      <c r="G154" s="3">
        <f>IF(F154="","",(F154-AVERAGE(F6:F1198))/(STDEV(F6:F1198)+1E-12))</f>
        <v/>
      </c>
      <c r="H154" s="3">
        <f>IF('3a Raw'!F154="","",MAX(-3,MIN(3,('3a Raw'!F154-$H3)/$H4)))</f>
        <v/>
      </c>
      <c r="I154" s="3">
        <f>IF(H154="","",(H154-AVERAGE(H6:H1198))/(STDEV(H6:H1198)+1E-12))</f>
        <v/>
      </c>
      <c r="J154" s="3">
        <f>IF('3a Raw'!G154="","",MAX(-3,MIN(3,('3a Raw'!G154-$J3)/$J4)))</f>
        <v/>
      </c>
      <c r="K154" s="3">
        <f>IF(J154="","",(J154-AVERAGE(J6:J1198))/(STDEV(J6:J1198)+1E-12))</f>
        <v/>
      </c>
      <c r="L154" s="3">
        <f>IF('3a Raw'!H154="","",MAX(-3,MIN(3,('3a Raw'!H154-$L3)/$L4)))</f>
        <v/>
      </c>
      <c r="M154" s="3">
        <f>IF(L154="","",(L154-AVERAGE(L6:L1198))/(STDEV(L6:L1198)+1E-12))</f>
        <v/>
      </c>
      <c r="N154" s="3">
        <f>IF('3a Raw'!I154="","",MAX(-3,MIN(3,('3a Raw'!I154-$N3)/$N4)))</f>
        <v/>
      </c>
      <c r="O154" s="3">
        <f>IF(N154="","",(N154-AVERAGE(N6:N1198))/(STDEV(N6:N1198)+1E-12))</f>
        <v/>
      </c>
      <c r="P154" s="3">
        <f>IF('3a Raw'!J154="","",MAX(-3,MIN(3,('3a Raw'!J154-$P3)/$P4)))</f>
        <v/>
      </c>
      <c r="Q154" s="3">
        <f>IF(P154="","",(P154-AVERAGE(P6:P1198))/(STDEV(P6:P1198)+1E-12))</f>
        <v/>
      </c>
      <c r="R154" s="3">
        <f>IF('3a Raw'!K154="","",MAX(-3,MIN(3,('3a Raw'!K154-$R3)/$R4)))</f>
        <v/>
      </c>
      <c r="S154" s="3">
        <f>IF(R154="","",(R154-AVERAGE(R6:R1198))/(STDEV(R6:R1198)+1E-12))</f>
        <v/>
      </c>
      <c r="T154" s="3">
        <f>IF('3a Raw'!L154="","",MAX(-3,MIN(3,('3a Raw'!L154-$T3)/$T4)))</f>
        <v/>
      </c>
      <c r="U154" s="3">
        <f>IF(T154="","",(T154-AVERAGE(T6:T1198))/(STDEV(T6:T1198)+1E-12))</f>
        <v/>
      </c>
      <c r="X154" s="3">
        <f>IF(U154="","",U154-($V$3*G154+$W$3))</f>
        <v/>
      </c>
      <c r="Y154" s="3">
        <f>IF(X154="","",MAX(-3,MIN(3,(X154-$X3)/$X4)))</f>
        <v/>
      </c>
      <c r="Z154" s="3">
        <f>IF(Y154="","",(Y154-AVERAGE(Y6:Y1198))/(STDEV(Y6:Y1198)+1E-12))</f>
        <v/>
      </c>
    </row>
    <row r="155">
      <c r="A155" t="inlineStr">
        <is>
          <t>BBG000BKD3K9</t>
        </is>
      </c>
      <c r="B155" s="3">
        <f>IF('3a Raw'!C155="","",MAX(-3,MIN(3,('3a Raw'!C155-$B3)/$B4)))</f>
        <v/>
      </c>
      <c r="C155" s="3">
        <f>IF(B155="","",(B155-AVERAGE(B6:B1198))/(STDEV(B6:B1198)+1E-12))</f>
        <v/>
      </c>
      <c r="D155" s="3">
        <f>IF('3a Raw'!D155="","",MAX(-3,MIN(3,('3a Raw'!D155-$D3)/$D4)))</f>
        <v/>
      </c>
      <c r="E155" s="3">
        <f>IF(D155="","",(D155-AVERAGE(D6:D1198))/(STDEV(D6:D1198)+1E-12))</f>
        <v/>
      </c>
      <c r="F155" s="3">
        <f>IF('3a Raw'!E155="","",MAX(-3,MIN(3,('3a Raw'!E155-$F3)/$F4)))</f>
        <v/>
      </c>
      <c r="G155" s="3">
        <f>IF(F155="","",(F155-AVERAGE(F6:F1198))/(STDEV(F6:F1198)+1E-12))</f>
        <v/>
      </c>
      <c r="H155" s="3">
        <f>IF('3a Raw'!F155="","",MAX(-3,MIN(3,('3a Raw'!F155-$H3)/$H4)))</f>
        <v/>
      </c>
      <c r="I155" s="3">
        <f>IF(H155="","",(H155-AVERAGE(H6:H1198))/(STDEV(H6:H1198)+1E-12))</f>
        <v/>
      </c>
      <c r="J155" s="3">
        <f>IF('3a Raw'!G155="","",MAX(-3,MIN(3,('3a Raw'!G155-$J3)/$J4)))</f>
        <v/>
      </c>
      <c r="K155" s="3">
        <f>IF(J155="","",(J155-AVERAGE(J6:J1198))/(STDEV(J6:J1198)+1E-12))</f>
        <v/>
      </c>
      <c r="L155" s="3">
        <f>IF('3a Raw'!H155="","",MAX(-3,MIN(3,('3a Raw'!H155-$L3)/$L4)))</f>
        <v/>
      </c>
      <c r="M155" s="3">
        <f>IF(L155="","",(L155-AVERAGE(L6:L1198))/(STDEV(L6:L1198)+1E-12))</f>
        <v/>
      </c>
      <c r="N155" s="3">
        <f>IF('3a Raw'!I155="","",MAX(-3,MIN(3,('3a Raw'!I155-$N3)/$N4)))</f>
        <v/>
      </c>
      <c r="O155" s="3">
        <f>IF(N155="","",(N155-AVERAGE(N6:N1198))/(STDEV(N6:N1198)+1E-12))</f>
        <v/>
      </c>
      <c r="P155" s="3">
        <f>IF('3a Raw'!J155="","",MAX(-3,MIN(3,('3a Raw'!J155-$P3)/$P4)))</f>
        <v/>
      </c>
      <c r="Q155" s="3">
        <f>IF(P155="","",(P155-AVERAGE(P6:P1198))/(STDEV(P6:P1198)+1E-12))</f>
        <v/>
      </c>
      <c r="R155" s="3">
        <f>IF('3a Raw'!K155="","",MAX(-3,MIN(3,('3a Raw'!K155-$R3)/$R4)))</f>
        <v/>
      </c>
      <c r="S155" s="3">
        <f>IF(R155="","",(R155-AVERAGE(R6:R1198))/(STDEV(R6:R1198)+1E-12))</f>
        <v/>
      </c>
      <c r="T155" s="3">
        <f>IF('3a Raw'!L155="","",MAX(-3,MIN(3,('3a Raw'!L155-$T3)/$T4)))</f>
        <v/>
      </c>
      <c r="U155" s="3">
        <f>IF(T155="","",(T155-AVERAGE(T6:T1198))/(STDEV(T6:T1198)+1E-12))</f>
        <v/>
      </c>
      <c r="X155" s="3">
        <f>IF(U155="","",U155-($V$3*G155+$W$3))</f>
        <v/>
      </c>
      <c r="Y155" s="3">
        <f>IF(X155="","",MAX(-3,MIN(3,(X155-$X3)/$X4)))</f>
        <v/>
      </c>
      <c r="Z155" s="3">
        <f>IF(Y155="","",(Y155-AVERAGE(Y6:Y1198))/(STDEV(Y6:Y1198)+1E-12))</f>
        <v/>
      </c>
    </row>
    <row r="156">
      <c r="A156" t="inlineStr">
        <is>
          <t>blk</t>
        </is>
      </c>
      <c r="B156" s="3">
        <f>IF('3a Raw'!C156="","",MAX(-3,MIN(3,('3a Raw'!C156-$B3)/$B4)))</f>
        <v/>
      </c>
      <c r="C156" s="3">
        <f>IF(B156="","",(B156-AVERAGE(B6:B1198))/(STDEV(B6:B1198)+1E-12))</f>
        <v/>
      </c>
      <c r="D156" s="3">
        <f>IF('3a Raw'!D156="","",MAX(-3,MIN(3,('3a Raw'!D156-$D3)/$D4)))</f>
        <v/>
      </c>
      <c r="E156" s="3">
        <f>IF(D156="","",(D156-AVERAGE(D6:D1198))/(STDEV(D6:D1198)+1E-12))</f>
        <v/>
      </c>
      <c r="F156" s="3">
        <f>IF('3a Raw'!E156="","",MAX(-3,MIN(3,('3a Raw'!E156-$F3)/$F4)))</f>
        <v/>
      </c>
      <c r="G156" s="3">
        <f>IF(F156="","",(F156-AVERAGE(F6:F1198))/(STDEV(F6:F1198)+1E-12))</f>
        <v/>
      </c>
      <c r="H156" s="3">
        <f>IF('3a Raw'!F156="","",MAX(-3,MIN(3,('3a Raw'!F156-$H3)/$H4)))</f>
        <v/>
      </c>
      <c r="I156" s="3">
        <f>IF(H156="","",(H156-AVERAGE(H6:H1198))/(STDEV(H6:H1198)+1E-12))</f>
        <v/>
      </c>
      <c r="J156" s="3">
        <f>IF('3a Raw'!G156="","",MAX(-3,MIN(3,('3a Raw'!G156-$J3)/$J4)))</f>
        <v/>
      </c>
      <c r="K156" s="3">
        <f>IF(J156="","",(J156-AVERAGE(J6:J1198))/(STDEV(J6:J1198)+1E-12))</f>
        <v/>
      </c>
      <c r="L156" s="3">
        <f>IF('3a Raw'!H156="","",MAX(-3,MIN(3,('3a Raw'!H156-$L3)/$L4)))</f>
        <v/>
      </c>
      <c r="M156" s="3">
        <f>IF(L156="","",(L156-AVERAGE(L6:L1198))/(STDEV(L6:L1198)+1E-12))</f>
        <v/>
      </c>
      <c r="N156" s="3">
        <f>IF('3a Raw'!I156="","",MAX(-3,MIN(3,('3a Raw'!I156-$N3)/$N4)))</f>
        <v/>
      </c>
      <c r="O156" s="3">
        <f>IF(N156="","",(N156-AVERAGE(N6:N1198))/(STDEV(N6:N1198)+1E-12))</f>
        <v/>
      </c>
      <c r="P156" s="3">
        <f>IF('3a Raw'!J156="","",MAX(-3,MIN(3,('3a Raw'!J156-$P3)/$P4)))</f>
        <v/>
      </c>
      <c r="Q156" s="3">
        <f>IF(P156="","",(P156-AVERAGE(P6:P1198))/(STDEV(P6:P1198)+1E-12))</f>
        <v/>
      </c>
      <c r="R156" s="3">
        <f>IF('3a Raw'!K156="","",MAX(-3,MIN(3,('3a Raw'!K156-$R3)/$R4)))</f>
        <v/>
      </c>
      <c r="S156" s="3">
        <f>IF(R156="","",(R156-AVERAGE(R6:R1198))/(STDEV(R6:R1198)+1E-12))</f>
        <v/>
      </c>
      <c r="T156" s="3">
        <f>IF('3a Raw'!L156="","",MAX(-3,MIN(3,('3a Raw'!L156-$T3)/$T4)))</f>
        <v/>
      </c>
      <c r="U156" s="3">
        <f>IF(T156="","",(T156-AVERAGE(T6:T1198))/(STDEV(T6:T1198)+1E-12))</f>
        <v/>
      </c>
      <c r="X156" s="3">
        <f>IF(U156="","",U156-($V$3*G156+$W$3))</f>
        <v/>
      </c>
      <c r="Y156" s="3">
        <f>IF(X156="","",MAX(-3,MIN(3,(X156-$X3)/$X4)))</f>
        <v/>
      </c>
      <c r="Z156" s="3">
        <f>IF(Y156="","",(Y156-AVERAGE(Y6:Y1198))/(STDEV(Y6:Y1198)+1E-12))</f>
        <v/>
      </c>
    </row>
    <row r="157">
      <c r="A157" t="inlineStr">
        <is>
          <t>BBG00NR7JXT0</t>
        </is>
      </c>
      <c r="B157" s="3">
        <f>IF('3a Raw'!C157="","",MAX(-3,MIN(3,('3a Raw'!C157-$B3)/$B4)))</f>
        <v/>
      </c>
      <c r="C157" s="3">
        <f>IF(B157="","",(B157-AVERAGE(B6:B1198))/(STDEV(B6:B1198)+1E-12))</f>
        <v/>
      </c>
      <c r="D157" s="3">
        <f>IF('3a Raw'!D157="","",MAX(-3,MIN(3,('3a Raw'!D157-$D3)/$D4)))</f>
        <v/>
      </c>
      <c r="E157" s="3">
        <f>IF(D157="","",(D157-AVERAGE(D6:D1198))/(STDEV(D6:D1198)+1E-12))</f>
        <v/>
      </c>
      <c r="F157" s="3">
        <f>IF('3a Raw'!E157="","",MAX(-3,MIN(3,('3a Raw'!E157-$F3)/$F4)))</f>
        <v/>
      </c>
      <c r="G157" s="3">
        <f>IF(F157="","",(F157-AVERAGE(F6:F1198))/(STDEV(F6:F1198)+1E-12))</f>
        <v/>
      </c>
      <c r="H157" s="3">
        <f>IF('3a Raw'!F157="","",MAX(-3,MIN(3,('3a Raw'!F157-$H3)/$H4)))</f>
        <v/>
      </c>
      <c r="I157" s="3">
        <f>IF(H157="","",(H157-AVERAGE(H6:H1198))/(STDEV(H6:H1198)+1E-12))</f>
        <v/>
      </c>
      <c r="J157" s="3">
        <f>IF('3a Raw'!G157="","",MAX(-3,MIN(3,('3a Raw'!G157-$J3)/$J4)))</f>
        <v/>
      </c>
      <c r="K157" s="3">
        <f>IF(J157="","",(J157-AVERAGE(J6:J1198))/(STDEV(J6:J1198)+1E-12))</f>
        <v/>
      </c>
      <c r="L157" s="3">
        <f>IF('3a Raw'!H157="","",MAX(-3,MIN(3,('3a Raw'!H157-$L3)/$L4)))</f>
        <v/>
      </c>
      <c r="M157" s="3">
        <f>IF(L157="","",(L157-AVERAGE(L6:L1198))/(STDEV(L6:L1198)+1E-12))</f>
        <v/>
      </c>
      <c r="N157" s="3">
        <f>IF('3a Raw'!I157="","",MAX(-3,MIN(3,('3a Raw'!I157-$N3)/$N4)))</f>
        <v/>
      </c>
      <c r="O157" s="3">
        <f>IF(N157="","",(N157-AVERAGE(N6:N1198))/(STDEV(N6:N1198)+1E-12))</f>
        <v/>
      </c>
      <c r="P157" s="3">
        <f>IF('3a Raw'!J157="","",MAX(-3,MIN(3,('3a Raw'!J157-$P3)/$P4)))</f>
        <v/>
      </c>
      <c r="Q157" s="3">
        <f>IF(P157="","",(P157-AVERAGE(P6:P1198))/(STDEV(P6:P1198)+1E-12))</f>
        <v/>
      </c>
      <c r="R157" s="3">
        <f>IF('3a Raw'!K157="","",MAX(-3,MIN(3,('3a Raw'!K157-$R3)/$R4)))</f>
        <v/>
      </c>
      <c r="S157" s="3">
        <f>IF(R157="","",(R157-AVERAGE(R6:R1198))/(STDEV(R6:R1198)+1E-12))</f>
        <v/>
      </c>
      <c r="T157" s="3">
        <f>IF('3a Raw'!L157="","",MAX(-3,MIN(3,('3a Raw'!L157-$T3)/$T4)))</f>
        <v/>
      </c>
      <c r="U157" s="3">
        <f>IF(T157="","",(T157-AVERAGE(T6:T1198))/(STDEV(T6:T1198)+1E-12))</f>
        <v/>
      </c>
      <c r="X157" s="3">
        <f>IF(U157="","",U157-($V$3*G157+$W$3))</f>
        <v/>
      </c>
      <c r="Y157" s="3">
        <f>IF(X157="","",MAX(-3,MIN(3,(X157-$X3)/$X4)))</f>
        <v/>
      </c>
      <c r="Z157" s="3">
        <f>IF(Y157="","",(Y157-AVERAGE(Y6:Y1198))/(STDEV(Y6:Y1198)+1E-12))</f>
        <v/>
      </c>
    </row>
    <row r="158">
      <c r="A158" t="inlineStr">
        <is>
          <t>BBG000Q44W43</t>
        </is>
      </c>
      <c r="B158" s="3">
        <f>IF('3a Raw'!C158="","",MAX(-3,MIN(3,('3a Raw'!C158-$B3)/$B4)))</f>
        <v/>
      </c>
      <c r="C158" s="3">
        <f>IF(B158="","",(B158-AVERAGE(B6:B1198))/(STDEV(B6:B1198)+1E-12))</f>
        <v/>
      </c>
      <c r="D158" s="3">
        <f>IF('3a Raw'!D158="","",MAX(-3,MIN(3,('3a Raw'!D158-$D3)/$D4)))</f>
        <v/>
      </c>
      <c r="E158" s="3">
        <f>IF(D158="","",(D158-AVERAGE(D6:D1198))/(STDEV(D6:D1198)+1E-12))</f>
        <v/>
      </c>
      <c r="F158" s="3">
        <f>IF('3a Raw'!E158="","",MAX(-3,MIN(3,('3a Raw'!E158-$F3)/$F4)))</f>
        <v/>
      </c>
      <c r="G158" s="3">
        <f>IF(F158="","",(F158-AVERAGE(F6:F1198))/(STDEV(F6:F1198)+1E-12))</f>
        <v/>
      </c>
      <c r="H158" s="3">
        <f>IF('3a Raw'!F158="","",MAX(-3,MIN(3,('3a Raw'!F158-$H3)/$H4)))</f>
        <v/>
      </c>
      <c r="I158" s="3">
        <f>IF(H158="","",(H158-AVERAGE(H6:H1198))/(STDEV(H6:H1198)+1E-12))</f>
        <v/>
      </c>
      <c r="J158" s="3">
        <f>IF('3a Raw'!G158="","",MAX(-3,MIN(3,('3a Raw'!G158-$J3)/$J4)))</f>
        <v/>
      </c>
      <c r="K158" s="3">
        <f>IF(J158="","",(J158-AVERAGE(J6:J1198))/(STDEV(J6:J1198)+1E-12))</f>
        <v/>
      </c>
      <c r="L158" s="3">
        <f>IF('3a Raw'!H158="","",MAX(-3,MIN(3,('3a Raw'!H158-$L3)/$L4)))</f>
        <v/>
      </c>
      <c r="M158" s="3">
        <f>IF(L158="","",(L158-AVERAGE(L6:L1198))/(STDEV(L6:L1198)+1E-12))</f>
        <v/>
      </c>
      <c r="N158" s="3">
        <f>IF('3a Raw'!I158="","",MAX(-3,MIN(3,('3a Raw'!I158-$N3)/$N4)))</f>
        <v/>
      </c>
      <c r="O158" s="3">
        <f>IF(N158="","",(N158-AVERAGE(N6:N1198))/(STDEV(N6:N1198)+1E-12))</f>
        <v/>
      </c>
      <c r="P158" s="3">
        <f>IF('3a Raw'!J158="","",MAX(-3,MIN(3,('3a Raw'!J158-$P3)/$P4)))</f>
        <v/>
      </c>
      <c r="Q158" s="3">
        <f>IF(P158="","",(P158-AVERAGE(P6:P1198))/(STDEV(P6:P1198)+1E-12))</f>
        <v/>
      </c>
      <c r="R158" s="3">
        <f>IF('3a Raw'!K158="","",MAX(-3,MIN(3,('3a Raw'!K158-$R3)/$R4)))</f>
        <v/>
      </c>
      <c r="S158" s="3">
        <f>IF(R158="","",(R158-AVERAGE(R6:R1198))/(STDEV(R6:R1198)+1E-12))</f>
        <v/>
      </c>
      <c r="T158" s="3">
        <f>IF('3a Raw'!L158="","",MAX(-3,MIN(3,('3a Raw'!L158-$T3)/$T4)))</f>
        <v/>
      </c>
      <c r="U158" s="3">
        <f>IF(T158="","",(T158-AVERAGE(T6:T1198))/(STDEV(T6:T1198)+1E-12))</f>
        <v/>
      </c>
      <c r="X158" s="3">
        <f>IF(U158="","",U158-($V$3*G158+$W$3))</f>
        <v/>
      </c>
      <c r="Y158" s="3">
        <f>IF(X158="","",MAX(-3,MIN(3,(X158-$X3)/$X4)))</f>
        <v/>
      </c>
      <c r="Z158" s="3">
        <f>IF(Y158="","",(Y158-AVERAGE(Y6:Y1198))/(STDEV(Y6:Y1198)+1E-12))</f>
        <v/>
      </c>
    </row>
    <row r="159">
      <c r="A159" t="inlineStr">
        <is>
          <t>BBG000CZWZ05</t>
        </is>
      </c>
      <c r="B159" s="3">
        <f>IF('3a Raw'!C159="","",MAX(-3,MIN(3,('3a Raw'!C159-$B3)/$B4)))</f>
        <v/>
      </c>
      <c r="C159" s="3">
        <f>IF(B159="","",(B159-AVERAGE(B6:B1198))/(STDEV(B6:B1198)+1E-12))</f>
        <v/>
      </c>
      <c r="D159" s="3">
        <f>IF('3a Raw'!D159="","",MAX(-3,MIN(3,('3a Raw'!D159-$D3)/$D4)))</f>
        <v/>
      </c>
      <c r="E159" s="3">
        <f>IF(D159="","",(D159-AVERAGE(D6:D1198))/(STDEV(D6:D1198)+1E-12))</f>
        <v/>
      </c>
      <c r="F159" s="3">
        <f>IF('3a Raw'!E159="","",MAX(-3,MIN(3,('3a Raw'!E159-$F3)/$F4)))</f>
        <v/>
      </c>
      <c r="G159" s="3">
        <f>IF(F159="","",(F159-AVERAGE(F6:F1198))/(STDEV(F6:F1198)+1E-12))</f>
        <v/>
      </c>
      <c r="H159" s="3">
        <f>IF('3a Raw'!F159="","",MAX(-3,MIN(3,('3a Raw'!F159-$H3)/$H4)))</f>
        <v/>
      </c>
      <c r="I159" s="3">
        <f>IF(H159="","",(H159-AVERAGE(H6:H1198))/(STDEV(H6:H1198)+1E-12))</f>
        <v/>
      </c>
      <c r="J159" s="3">
        <f>IF('3a Raw'!G159="","",MAX(-3,MIN(3,('3a Raw'!G159-$J3)/$J4)))</f>
        <v/>
      </c>
      <c r="K159" s="3">
        <f>IF(J159="","",(J159-AVERAGE(J6:J1198))/(STDEV(J6:J1198)+1E-12))</f>
        <v/>
      </c>
      <c r="L159" s="3">
        <f>IF('3a Raw'!H159="","",MAX(-3,MIN(3,('3a Raw'!H159-$L3)/$L4)))</f>
        <v/>
      </c>
      <c r="M159" s="3">
        <f>IF(L159="","",(L159-AVERAGE(L6:L1198))/(STDEV(L6:L1198)+1E-12))</f>
        <v/>
      </c>
      <c r="N159" s="3">
        <f>IF('3a Raw'!I159="","",MAX(-3,MIN(3,('3a Raw'!I159-$N3)/$N4)))</f>
        <v/>
      </c>
      <c r="O159" s="3">
        <f>IF(N159="","",(N159-AVERAGE(N6:N1198))/(STDEV(N6:N1198)+1E-12))</f>
        <v/>
      </c>
      <c r="P159" s="3">
        <f>IF('3a Raw'!J159="","",MAX(-3,MIN(3,('3a Raw'!J159-$P3)/$P4)))</f>
        <v/>
      </c>
      <c r="Q159" s="3">
        <f>IF(P159="","",(P159-AVERAGE(P6:P1198))/(STDEV(P6:P1198)+1E-12))</f>
        <v/>
      </c>
      <c r="R159" s="3">
        <f>IF('3a Raw'!K159="","",MAX(-3,MIN(3,('3a Raw'!K159-$R3)/$R4)))</f>
        <v/>
      </c>
      <c r="S159" s="3">
        <f>IF(R159="","",(R159-AVERAGE(R6:R1198))/(STDEV(R6:R1198)+1E-12))</f>
        <v/>
      </c>
      <c r="T159" s="3">
        <f>IF('3a Raw'!L159="","",MAX(-3,MIN(3,('3a Raw'!L159-$T3)/$T4)))</f>
        <v/>
      </c>
      <c r="U159" s="3">
        <f>IF(T159="","",(T159-AVERAGE(T6:T1198))/(STDEV(T6:T1198)+1E-12))</f>
        <v/>
      </c>
      <c r="X159" s="3">
        <f>IF(U159="","",U159-($V$3*G159+$W$3))</f>
        <v/>
      </c>
      <c r="Y159" s="3">
        <f>IF(X159="","",MAX(-3,MIN(3,(X159-$X3)/$X4)))</f>
        <v/>
      </c>
      <c r="Z159" s="3">
        <f>IF(Y159="","",(Y159-AVERAGE(Y6:Y1198))/(STDEV(Y6:Y1198)+1E-12))</f>
        <v/>
      </c>
    </row>
    <row r="160">
      <c r="A160" t="inlineStr">
        <is>
          <t>BBG000DQLV23</t>
        </is>
      </c>
      <c r="B160" s="3">
        <f>IF('3a Raw'!C160="","",MAX(-3,MIN(3,('3a Raw'!C160-$B3)/$B4)))</f>
        <v/>
      </c>
      <c r="C160" s="3">
        <f>IF(B160="","",(B160-AVERAGE(B6:B1198))/(STDEV(B6:B1198)+1E-12))</f>
        <v/>
      </c>
      <c r="D160" s="3">
        <f>IF('3a Raw'!D160="","",MAX(-3,MIN(3,('3a Raw'!D160-$D3)/$D4)))</f>
        <v/>
      </c>
      <c r="E160" s="3">
        <f>IF(D160="","",(D160-AVERAGE(D6:D1198))/(STDEV(D6:D1198)+1E-12))</f>
        <v/>
      </c>
      <c r="F160" s="3">
        <f>IF('3a Raw'!E160="","",MAX(-3,MIN(3,('3a Raw'!E160-$F3)/$F4)))</f>
        <v/>
      </c>
      <c r="G160" s="3">
        <f>IF(F160="","",(F160-AVERAGE(F6:F1198))/(STDEV(F6:F1198)+1E-12))</f>
        <v/>
      </c>
      <c r="H160" s="3">
        <f>IF('3a Raw'!F160="","",MAX(-3,MIN(3,('3a Raw'!F160-$H3)/$H4)))</f>
        <v/>
      </c>
      <c r="I160" s="3">
        <f>IF(H160="","",(H160-AVERAGE(H6:H1198))/(STDEV(H6:H1198)+1E-12))</f>
        <v/>
      </c>
      <c r="J160" s="3">
        <f>IF('3a Raw'!G160="","",MAX(-3,MIN(3,('3a Raw'!G160-$J3)/$J4)))</f>
        <v/>
      </c>
      <c r="K160" s="3">
        <f>IF(J160="","",(J160-AVERAGE(J6:J1198))/(STDEV(J6:J1198)+1E-12))</f>
        <v/>
      </c>
      <c r="L160" s="3">
        <f>IF('3a Raw'!H160="","",MAX(-3,MIN(3,('3a Raw'!H160-$L3)/$L4)))</f>
        <v/>
      </c>
      <c r="M160" s="3">
        <f>IF(L160="","",(L160-AVERAGE(L6:L1198))/(STDEV(L6:L1198)+1E-12))</f>
        <v/>
      </c>
      <c r="N160" s="3">
        <f>IF('3a Raw'!I160="","",MAX(-3,MIN(3,('3a Raw'!I160-$N3)/$N4)))</f>
        <v/>
      </c>
      <c r="O160" s="3">
        <f>IF(N160="","",(N160-AVERAGE(N6:N1198))/(STDEV(N6:N1198)+1E-12))</f>
        <v/>
      </c>
      <c r="P160" s="3">
        <f>IF('3a Raw'!J160="","",MAX(-3,MIN(3,('3a Raw'!J160-$P3)/$P4)))</f>
        <v/>
      </c>
      <c r="Q160" s="3">
        <f>IF(P160="","",(P160-AVERAGE(P6:P1198))/(STDEV(P6:P1198)+1E-12))</f>
        <v/>
      </c>
      <c r="R160" s="3">
        <f>IF('3a Raw'!K160="","",MAX(-3,MIN(3,('3a Raw'!K160-$R3)/$R4)))</f>
        <v/>
      </c>
      <c r="S160" s="3">
        <f>IF(R160="","",(R160-AVERAGE(R6:R1198))/(STDEV(R6:R1198)+1E-12))</f>
        <v/>
      </c>
      <c r="T160" s="3">
        <f>IF('3a Raw'!L160="","",MAX(-3,MIN(3,('3a Raw'!L160-$T3)/$T4)))</f>
        <v/>
      </c>
      <c r="U160" s="3">
        <f>IF(T160="","",(T160-AVERAGE(T6:T1198))/(STDEV(T6:T1198)+1E-12))</f>
        <v/>
      </c>
      <c r="X160" s="3">
        <f>IF(U160="","",U160-($V$3*G160+$W$3))</f>
        <v/>
      </c>
      <c r="Y160" s="3">
        <f>IF(X160="","",MAX(-3,MIN(3,(X160-$X3)/$X4)))</f>
        <v/>
      </c>
      <c r="Z160" s="3">
        <f>IF(Y160="","",(Y160-AVERAGE(Y6:Y1198))/(STDEV(Y6:Y1198)+1E-12))</f>
        <v/>
      </c>
    </row>
    <row r="161">
      <c r="A161" t="inlineStr">
        <is>
          <t>BBG000BD8PN9</t>
        </is>
      </c>
      <c r="B161" s="3">
        <f>IF('3a Raw'!C161="","",MAX(-3,MIN(3,('3a Raw'!C161-$B3)/$B4)))</f>
        <v/>
      </c>
      <c r="C161" s="3">
        <f>IF(B161="","",(B161-AVERAGE(B6:B1198))/(STDEV(B6:B1198)+1E-12))</f>
        <v/>
      </c>
      <c r="D161" s="3">
        <f>IF('3a Raw'!D161="","",MAX(-3,MIN(3,('3a Raw'!D161-$D3)/$D4)))</f>
        <v/>
      </c>
      <c r="E161" s="3">
        <f>IF(D161="","",(D161-AVERAGE(D6:D1198))/(STDEV(D6:D1198)+1E-12))</f>
        <v/>
      </c>
      <c r="F161" s="3">
        <f>IF('3a Raw'!E161="","",MAX(-3,MIN(3,('3a Raw'!E161-$F3)/$F4)))</f>
        <v/>
      </c>
      <c r="G161" s="3">
        <f>IF(F161="","",(F161-AVERAGE(F6:F1198))/(STDEV(F6:F1198)+1E-12))</f>
        <v/>
      </c>
      <c r="H161" s="3">
        <f>IF('3a Raw'!F161="","",MAX(-3,MIN(3,('3a Raw'!F161-$H3)/$H4)))</f>
        <v/>
      </c>
      <c r="I161" s="3">
        <f>IF(H161="","",(H161-AVERAGE(H6:H1198))/(STDEV(H6:H1198)+1E-12))</f>
        <v/>
      </c>
      <c r="J161" s="3">
        <f>IF('3a Raw'!G161="","",MAX(-3,MIN(3,('3a Raw'!G161-$J3)/$J4)))</f>
        <v/>
      </c>
      <c r="K161" s="3">
        <f>IF(J161="","",(J161-AVERAGE(J6:J1198))/(STDEV(J6:J1198)+1E-12))</f>
        <v/>
      </c>
      <c r="L161" s="3">
        <f>IF('3a Raw'!H161="","",MAX(-3,MIN(3,('3a Raw'!H161-$L3)/$L4)))</f>
        <v/>
      </c>
      <c r="M161" s="3">
        <f>IF(L161="","",(L161-AVERAGE(L6:L1198))/(STDEV(L6:L1198)+1E-12))</f>
        <v/>
      </c>
      <c r="N161" s="3">
        <f>IF('3a Raw'!I161="","",MAX(-3,MIN(3,('3a Raw'!I161-$N3)/$N4)))</f>
        <v/>
      </c>
      <c r="O161" s="3">
        <f>IF(N161="","",(N161-AVERAGE(N6:N1198))/(STDEV(N6:N1198)+1E-12))</f>
        <v/>
      </c>
      <c r="P161" s="3">
        <f>IF('3a Raw'!J161="","",MAX(-3,MIN(3,('3a Raw'!J161-$P3)/$P4)))</f>
        <v/>
      </c>
      <c r="Q161" s="3">
        <f>IF(P161="","",(P161-AVERAGE(P6:P1198))/(STDEV(P6:P1198)+1E-12))</f>
        <v/>
      </c>
      <c r="R161" s="3">
        <f>IF('3a Raw'!K161="","",MAX(-3,MIN(3,('3a Raw'!K161-$R3)/$R4)))</f>
        <v/>
      </c>
      <c r="S161" s="3">
        <f>IF(R161="","",(R161-AVERAGE(R6:R1198))/(STDEV(R6:R1198)+1E-12))</f>
        <v/>
      </c>
      <c r="T161" s="3">
        <f>IF('3a Raw'!L161="","",MAX(-3,MIN(3,('3a Raw'!L161-$T3)/$T4)))</f>
        <v/>
      </c>
      <c r="U161" s="3">
        <f>IF(T161="","",(T161-AVERAGE(T6:T1198))/(STDEV(T6:T1198)+1E-12))</f>
        <v/>
      </c>
      <c r="X161" s="3">
        <f>IF(U161="","",U161-($V$3*G161+$W$3))</f>
        <v/>
      </c>
      <c r="Y161" s="3">
        <f>IF(X161="","",MAX(-3,MIN(3,(X161-$X3)/$X4)))</f>
        <v/>
      </c>
      <c r="Z161" s="3">
        <f>IF(Y161="","",(Y161-AVERAGE(Y6:Y1198))/(STDEV(Y6:Y1198)+1E-12))</f>
        <v/>
      </c>
    </row>
    <row r="162">
      <c r="A162" t="inlineStr">
        <is>
          <t>BBG000BR4RL0</t>
        </is>
      </c>
      <c r="B162" s="3">
        <f>IF('3a Raw'!C162="","",MAX(-3,MIN(3,('3a Raw'!C162-$B3)/$B4)))</f>
        <v/>
      </c>
      <c r="C162" s="3">
        <f>IF(B162="","",(B162-AVERAGE(B6:B1198))/(STDEV(B6:B1198)+1E-12))</f>
        <v/>
      </c>
      <c r="D162" s="3">
        <f>IF('3a Raw'!D162="","",MAX(-3,MIN(3,('3a Raw'!D162-$D3)/$D4)))</f>
        <v/>
      </c>
      <c r="E162" s="3">
        <f>IF(D162="","",(D162-AVERAGE(D6:D1198))/(STDEV(D6:D1198)+1E-12))</f>
        <v/>
      </c>
      <c r="F162" s="3">
        <f>IF('3a Raw'!E162="","",MAX(-3,MIN(3,('3a Raw'!E162-$F3)/$F4)))</f>
        <v/>
      </c>
      <c r="G162" s="3">
        <f>IF(F162="","",(F162-AVERAGE(F6:F1198))/(STDEV(F6:F1198)+1E-12))</f>
        <v/>
      </c>
      <c r="H162" s="3">
        <f>IF('3a Raw'!F162="","",MAX(-3,MIN(3,('3a Raw'!F162-$H3)/$H4)))</f>
        <v/>
      </c>
      <c r="I162" s="3">
        <f>IF(H162="","",(H162-AVERAGE(H6:H1198))/(STDEV(H6:H1198)+1E-12))</f>
        <v/>
      </c>
      <c r="J162" s="3">
        <f>IF('3a Raw'!G162="","",MAX(-3,MIN(3,('3a Raw'!G162-$J3)/$J4)))</f>
        <v/>
      </c>
      <c r="K162" s="3">
        <f>IF(J162="","",(J162-AVERAGE(J6:J1198))/(STDEV(J6:J1198)+1E-12))</f>
        <v/>
      </c>
      <c r="L162" s="3">
        <f>IF('3a Raw'!H162="","",MAX(-3,MIN(3,('3a Raw'!H162-$L3)/$L4)))</f>
        <v/>
      </c>
      <c r="M162" s="3">
        <f>IF(L162="","",(L162-AVERAGE(L6:L1198))/(STDEV(L6:L1198)+1E-12))</f>
        <v/>
      </c>
      <c r="N162" s="3">
        <f>IF('3a Raw'!I162="","",MAX(-3,MIN(3,('3a Raw'!I162-$N3)/$N4)))</f>
        <v/>
      </c>
      <c r="O162" s="3">
        <f>IF(N162="","",(N162-AVERAGE(N6:N1198))/(STDEV(N6:N1198)+1E-12))</f>
        <v/>
      </c>
      <c r="P162" s="3">
        <f>IF('3a Raw'!J162="","",MAX(-3,MIN(3,('3a Raw'!J162-$P3)/$P4)))</f>
        <v/>
      </c>
      <c r="Q162" s="3">
        <f>IF(P162="","",(P162-AVERAGE(P6:P1198))/(STDEV(P6:P1198)+1E-12))</f>
        <v/>
      </c>
      <c r="R162" s="3">
        <f>IF('3a Raw'!K162="","",MAX(-3,MIN(3,('3a Raw'!K162-$R3)/$R4)))</f>
        <v/>
      </c>
      <c r="S162" s="3">
        <f>IF(R162="","",(R162-AVERAGE(R6:R1198))/(STDEV(R6:R1198)+1E-12))</f>
        <v/>
      </c>
      <c r="T162" s="3">
        <f>IF('3a Raw'!L162="","",MAX(-3,MIN(3,('3a Raw'!L162-$T3)/$T4)))</f>
        <v/>
      </c>
      <c r="U162" s="3">
        <f>IF(T162="","",(T162-AVERAGE(T6:T1198))/(STDEV(T6:T1198)+1E-12))</f>
        <v/>
      </c>
      <c r="X162" s="3">
        <f>IF(U162="","",U162-($V$3*G162+$W$3))</f>
        <v/>
      </c>
      <c r="Y162" s="3">
        <f>IF(X162="","",MAX(-3,MIN(3,(X162-$X3)/$X4)))</f>
        <v/>
      </c>
      <c r="Z162" s="3">
        <f>IF(Y162="","",(Y162-AVERAGE(Y6:Y1198))/(STDEV(Y6:Y1198)+1E-12))</f>
        <v/>
      </c>
    </row>
    <row r="163">
      <c r="A163" t="inlineStr">
        <is>
          <t>BBG00Q4W34T4</t>
        </is>
      </c>
      <c r="B163" s="3">
        <f>IF('3a Raw'!C163="","",MAX(-3,MIN(3,('3a Raw'!C163-$B3)/$B4)))</f>
        <v/>
      </c>
      <c r="C163" s="3">
        <f>IF(B163="","",(B163-AVERAGE(B6:B1198))/(STDEV(B6:B1198)+1E-12))</f>
        <v/>
      </c>
      <c r="D163" s="3">
        <f>IF('3a Raw'!D163="","",MAX(-3,MIN(3,('3a Raw'!D163-$D3)/$D4)))</f>
        <v/>
      </c>
      <c r="E163" s="3">
        <f>IF(D163="","",(D163-AVERAGE(D6:D1198))/(STDEV(D6:D1198)+1E-12))</f>
        <v/>
      </c>
      <c r="F163" s="3">
        <f>IF('3a Raw'!E163="","",MAX(-3,MIN(3,('3a Raw'!E163-$F3)/$F4)))</f>
        <v/>
      </c>
      <c r="G163" s="3">
        <f>IF(F163="","",(F163-AVERAGE(F6:F1198))/(STDEV(F6:F1198)+1E-12))</f>
        <v/>
      </c>
      <c r="H163" s="3">
        <f>IF('3a Raw'!F163="","",MAX(-3,MIN(3,('3a Raw'!F163-$H3)/$H4)))</f>
        <v/>
      </c>
      <c r="I163" s="3">
        <f>IF(H163="","",(H163-AVERAGE(H6:H1198))/(STDEV(H6:H1198)+1E-12))</f>
        <v/>
      </c>
      <c r="J163" s="3">
        <f>IF('3a Raw'!G163="","",MAX(-3,MIN(3,('3a Raw'!G163-$J3)/$J4)))</f>
        <v/>
      </c>
      <c r="K163" s="3">
        <f>IF(J163="","",(J163-AVERAGE(J6:J1198))/(STDEV(J6:J1198)+1E-12))</f>
        <v/>
      </c>
      <c r="L163" s="3">
        <f>IF('3a Raw'!H163="","",MAX(-3,MIN(3,('3a Raw'!H163-$L3)/$L4)))</f>
        <v/>
      </c>
      <c r="M163" s="3">
        <f>IF(L163="","",(L163-AVERAGE(L6:L1198))/(STDEV(L6:L1198)+1E-12))</f>
        <v/>
      </c>
      <c r="N163" s="3">
        <f>IF('3a Raw'!I163="","",MAX(-3,MIN(3,('3a Raw'!I163-$N3)/$N4)))</f>
        <v/>
      </c>
      <c r="O163" s="3">
        <f>IF(N163="","",(N163-AVERAGE(N6:N1198))/(STDEV(N6:N1198)+1E-12))</f>
        <v/>
      </c>
      <c r="P163" s="3">
        <f>IF('3a Raw'!J163="","",MAX(-3,MIN(3,('3a Raw'!J163-$P3)/$P4)))</f>
        <v/>
      </c>
      <c r="Q163" s="3">
        <f>IF(P163="","",(P163-AVERAGE(P6:P1198))/(STDEV(P6:P1198)+1E-12))</f>
        <v/>
      </c>
      <c r="R163" s="3">
        <f>IF('3a Raw'!K163="","",MAX(-3,MIN(3,('3a Raw'!K163-$R3)/$R4)))</f>
        <v/>
      </c>
      <c r="S163" s="3">
        <f>IF(R163="","",(R163-AVERAGE(R6:R1198))/(STDEV(R6:R1198)+1E-12))</f>
        <v/>
      </c>
      <c r="T163" s="3">
        <f>IF('3a Raw'!L163="","",MAX(-3,MIN(3,('3a Raw'!L163-$T3)/$T4)))</f>
        <v/>
      </c>
      <c r="U163" s="3">
        <f>IF(T163="","",(T163-AVERAGE(T6:T1198))/(STDEV(T6:T1198)+1E-12))</f>
        <v/>
      </c>
      <c r="X163" s="3">
        <f>IF(U163="","",U163-($V$3*G163+$W$3))</f>
        <v/>
      </c>
      <c r="Y163" s="3">
        <f>IF(X163="","",MAX(-3,MIN(3,(X163-$X3)/$X4)))</f>
        <v/>
      </c>
      <c r="Z163" s="3">
        <f>IF(Y163="","",(Y163-AVERAGE(Y6:Y1198))/(STDEV(Y6:Y1198)+1E-12))</f>
        <v/>
      </c>
    </row>
    <row r="164">
      <c r="A164" t="inlineStr">
        <is>
          <t>BBG01MF58GZ0</t>
        </is>
      </c>
      <c r="B164" s="3">
        <f>IF('3a Raw'!C164="","",MAX(-3,MIN(3,('3a Raw'!C164-$B3)/$B4)))</f>
        <v/>
      </c>
      <c r="C164" s="3">
        <f>IF(B164="","",(B164-AVERAGE(B6:B1198))/(STDEV(B6:B1198)+1E-12))</f>
        <v/>
      </c>
      <c r="D164" s="3">
        <f>IF('3a Raw'!D164="","",MAX(-3,MIN(3,('3a Raw'!D164-$D3)/$D4)))</f>
        <v/>
      </c>
      <c r="E164" s="3">
        <f>IF(D164="","",(D164-AVERAGE(D6:D1198))/(STDEV(D6:D1198)+1E-12))</f>
        <v/>
      </c>
      <c r="F164" s="3">
        <f>IF('3a Raw'!E164="","",MAX(-3,MIN(3,('3a Raw'!E164-$F3)/$F4)))</f>
        <v/>
      </c>
      <c r="G164" s="3">
        <f>IF(F164="","",(F164-AVERAGE(F6:F1198))/(STDEV(F6:F1198)+1E-12))</f>
        <v/>
      </c>
      <c r="H164" s="3">
        <f>IF('3a Raw'!F164="","",MAX(-3,MIN(3,('3a Raw'!F164-$H3)/$H4)))</f>
        <v/>
      </c>
      <c r="I164" s="3">
        <f>IF(H164="","",(H164-AVERAGE(H6:H1198))/(STDEV(H6:H1198)+1E-12))</f>
        <v/>
      </c>
      <c r="J164" s="3">
        <f>IF('3a Raw'!G164="","",MAX(-3,MIN(3,('3a Raw'!G164-$J3)/$J4)))</f>
        <v/>
      </c>
      <c r="K164" s="3">
        <f>IF(J164="","",(J164-AVERAGE(J6:J1198))/(STDEV(J6:J1198)+1E-12))</f>
        <v/>
      </c>
      <c r="L164" s="3">
        <f>IF('3a Raw'!H164="","",MAX(-3,MIN(3,('3a Raw'!H164-$L3)/$L4)))</f>
        <v/>
      </c>
      <c r="M164" s="3">
        <f>IF(L164="","",(L164-AVERAGE(L6:L1198))/(STDEV(L6:L1198)+1E-12))</f>
        <v/>
      </c>
      <c r="N164" s="3">
        <f>IF('3a Raw'!I164="","",MAX(-3,MIN(3,('3a Raw'!I164-$N3)/$N4)))</f>
        <v/>
      </c>
      <c r="O164" s="3">
        <f>IF(N164="","",(N164-AVERAGE(N6:N1198))/(STDEV(N6:N1198)+1E-12))</f>
        <v/>
      </c>
      <c r="P164" s="3">
        <f>IF('3a Raw'!J164="","",MAX(-3,MIN(3,('3a Raw'!J164-$P3)/$P4)))</f>
        <v/>
      </c>
      <c r="Q164" s="3">
        <f>IF(P164="","",(P164-AVERAGE(P6:P1198))/(STDEV(P6:P1198)+1E-12))</f>
        <v/>
      </c>
      <c r="R164" s="3">
        <f>IF('3a Raw'!K164="","",MAX(-3,MIN(3,('3a Raw'!K164-$R3)/$R4)))</f>
        <v/>
      </c>
      <c r="S164" s="3">
        <f>IF(R164="","",(R164-AVERAGE(R6:R1198))/(STDEV(R6:R1198)+1E-12))</f>
        <v/>
      </c>
      <c r="T164" s="3">
        <f>IF('3a Raw'!L164="","",MAX(-3,MIN(3,('3a Raw'!L164-$T3)/$T4)))</f>
        <v/>
      </c>
      <c r="U164" s="3">
        <f>IF(T164="","",(T164-AVERAGE(T6:T1198))/(STDEV(T6:T1198)+1E-12))</f>
        <v/>
      </c>
      <c r="X164" s="3">
        <f>IF(U164="","",U164-($V$3*G164+$W$3))</f>
        <v/>
      </c>
      <c r="Y164" s="3">
        <f>IF(X164="","",MAX(-3,MIN(3,(X164-$X3)/$X4)))</f>
        <v/>
      </c>
      <c r="Z164" s="3">
        <f>IF(Y164="","",(Y164-AVERAGE(Y6:Y1198))/(STDEV(Y6:Y1198)+1E-12))</f>
        <v/>
      </c>
    </row>
    <row r="165">
      <c r="A165" t="inlineStr">
        <is>
          <t>BBG000PMSK08</t>
        </is>
      </c>
      <c r="B165" s="3">
        <f>IF('3a Raw'!C165="","",MAX(-3,MIN(3,('3a Raw'!C165-$B3)/$B4)))</f>
        <v/>
      </c>
      <c r="C165" s="3">
        <f>IF(B165="","",(B165-AVERAGE(B6:B1198))/(STDEV(B6:B1198)+1E-12))</f>
        <v/>
      </c>
      <c r="D165" s="3">
        <f>IF('3a Raw'!D165="","",MAX(-3,MIN(3,('3a Raw'!D165-$D3)/$D4)))</f>
        <v/>
      </c>
      <c r="E165" s="3">
        <f>IF(D165="","",(D165-AVERAGE(D6:D1198))/(STDEV(D6:D1198)+1E-12))</f>
        <v/>
      </c>
      <c r="F165" s="3">
        <f>IF('3a Raw'!E165="","",MAX(-3,MIN(3,('3a Raw'!E165-$F3)/$F4)))</f>
        <v/>
      </c>
      <c r="G165" s="3">
        <f>IF(F165="","",(F165-AVERAGE(F6:F1198))/(STDEV(F6:F1198)+1E-12))</f>
        <v/>
      </c>
      <c r="H165" s="3">
        <f>IF('3a Raw'!F165="","",MAX(-3,MIN(3,('3a Raw'!F165-$H3)/$H4)))</f>
        <v/>
      </c>
      <c r="I165" s="3">
        <f>IF(H165="","",(H165-AVERAGE(H6:H1198))/(STDEV(H6:H1198)+1E-12))</f>
        <v/>
      </c>
      <c r="J165" s="3">
        <f>IF('3a Raw'!G165="","",MAX(-3,MIN(3,('3a Raw'!G165-$J3)/$J4)))</f>
        <v/>
      </c>
      <c r="K165" s="3">
        <f>IF(J165="","",(J165-AVERAGE(J6:J1198))/(STDEV(J6:J1198)+1E-12))</f>
        <v/>
      </c>
      <c r="L165" s="3">
        <f>IF('3a Raw'!H165="","",MAX(-3,MIN(3,('3a Raw'!H165-$L3)/$L4)))</f>
        <v/>
      </c>
      <c r="M165" s="3">
        <f>IF(L165="","",(L165-AVERAGE(L6:L1198))/(STDEV(L6:L1198)+1E-12))</f>
        <v/>
      </c>
      <c r="N165" s="3">
        <f>IF('3a Raw'!I165="","",MAX(-3,MIN(3,('3a Raw'!I165-$N3)/$N4)))</f>
        <v/>
      </c>
      <c r="O165" s="3">
        <f>IF(N165="","",(N165-AVERAGE(N6:N1198))/(STDEV(N6:N1198)+1E-12))</f>
        <v/>
      </c>
      <c r="P165" s="3">
        <f>IF('3a Raw'!J165="","",MAX(-3,MIN(3,('3a Raw'!J165-$P3)/$P4)))</f>
        <v/>
      </c>
      <c r="Q165" s="3">
        <f>IF(P165="","",(P165-AVERAGE(P6:P1198))/(STDEV(P6:P1198)+1E-12))</f>
        <v/>
      </c>
      <c r="R165" s="3">
        <f>IF('3a Raw'!K165="","",MAX(-3,MIN(3,('3a Raw'!K165-$R3)/$R4)))</f>
        <v/>
      </c>
      <c r="S165" s="3">
        <f>IF(R165="","",(R165-AVERAGE(R6:R1198))/(STDEV(R6:R1198)+1E-12))</f>
        <v/>
      </c>
      <c r="T165" s="3">
        <f>IF('3a Raw'!L165="","",MAX(-3,MIN(3,('3a Raw'!L165-$T3)/$T4)))</f>
        <v/>
      </c>
      <c r="U165" s="3">
        <f>IF(T165="","",(T165-AVERAGE(T6:T1198))/(STDEV(T6:T1198)+1E-12))</f>
        <v/>
      </c>
      <c r="X165" s="3">
        <f>IF(U165="","",U165-($V$3*G165+$W$3))</f>
        <v/>
      </c>
      <c r="Y165" s="3">
        <f>IF(X165="","",MAX(-3,MIN(3,(X165-$X3)/$X4)))</f>
        <v/>
      </c>
      <c r="Z165" s="3">
        <f>IF(Y165="","",(Y165-AVERAGE(Y6:Y1198))/(STDEV(Y6:Y1198)+1E-12))</f>
        <v/>
      </c>
    </row>
    <row r="166">
      <c r="A166" t="inlineStr">
        <is>
          <t>BBG000BT4FC2</t>
        </is>
      </c>
      <c r="B166" s="3">
        <f>IF('3a Raw'!C166="","",MAX(-3,MIN(3,('3a Raw'!C166-$B3)/$B4)))</f>
        <v/>
      </c>
      <c r="C166" s="3">
        <f>IF(B166="","",(B166-AVERAGE(B6:B1198))/(STDEV(B6:B1198)+1E-12))</f>
        <v/>
      </c>
      <c r="D166" s="3">
        <f>IF('3a Raw'!D166="","",MAX(-3,MIN(3,('3a Raw'!D166-$D3)/$D4)))</f>
        <v/>
      </c>
      <c r="E166" s="3">
        <f>IF(D166="","",(D166-AVERAGE(D6:D1198))/(STDEV(D6:D1198)+1E-12))</f>
        <v/>
      </c>
      <c r="F166" s="3">
        <f>IF('3a Raw'!E166="","",MAX(-3,MIN(3,('3a Raw'!E166-$F3)/$F4)))</f>
        <v/>
      </c>
      <c r="G166" s="3">
        <f>IF(F166="","",(F166-AVERAGE(F6:F1198))/(STDEV(F6:F1198)+1E-12))</f>
        <v/>
      </c>
      <c r="H166" s="3">
        <f>IF('3a Raw'!F166="","",MAX(-3,MIN(3,('3a Raw'!F166-$H3)/$H4)))</f>
        <v/>
      </c>
      <c r="I166" s="3">
        <f>IF(H166="","",(H166-AVERAGE(H6:H1198))/(STDEV(H6:H1198)+1E-12))</f>
        <v/>
      </c>
      <c r="J166" s="3">
        <f>IF('3a Raw'!G166="","",MAX(-3,MIN(3,('3a Raw'!G166-$J3)/$J4)))</f>
        <v/>
      </c>
      <c r="K166" s="3">
        <f>IF(J166="","",(J166-AVERAGE(J6:J1198))/(STDEV(J6:J1198)+1E-12))</f>
        <v/>
      </c>
      <c r="L166" s="3">
        <f>IF('3a Raw'!H166="","",MAX(-3,MIN(3,('3a Raw'!H166-$L3)/$L4)))</f>
        <v/>
      </c>
      <c r="M166" s="3">
        <f>IF(L166="","",(L166-AVERAGE(L6:L1198))/(STDEV(L6:L1198)+1E-12))</f>
        <v/>
      </c>
      <c r="N166" s="3">
        <f>IF('3a Raw'!I166="","",MAX(-3,MIN(3,('3a Raw'!I166-$N3)/$N4)))</f>
        <v/>
      </c>
      <c r="O166" s="3">
        <f>IF(N166="","",(N166-AVERAGE(N6:N1198))/(STDEV(N6:N1198)+1E-12))</f>
        <v/>
      </c>
      <c r="P166" s="3">
        <f>IF('3a Raw'!J166="","",MAX(-3,MIN(3,('3a Raw'!J166-$P3)/$P4)))</f>
        <v/>
      </c>
      <c r="Q166" s="3">
        <f>IF(P166="","",(P166-AVERAGE(P6:P1198))/(STDEV(P6:P1198)+1E-12))</f>
        <v/>
      </c>
      <c r="R166" s="3">
        <f>IF('3a Raw'!K166="","",MAX(-3,MIN(3,('3a Raw'!K166-$R3)/$R4)))</f>
        <v/>
      </c>
      <c r="S166" s="3">
        <f>IF(R166="","",(R166-AVERAGE(R6:R1198))/(STDEV(R6:R1198)+1E-12))</f>
        <v/>
      </c>
      <c r="T166" s="3">
        <f>IF('3a Raw'!L166="","",MAX(-3,MIN(3,('3a Raw'!L166-$T3)/$T4)))</f>
        <v/>
      </c>
      <c r="U166" s="3">
        <f>IF(T166="","",(T166-AVERAGE(T6:T1198))/(STDEV(T6:T1198)+1E-12))</f>
        <v/>
      </c>
      <c r="X166" s="3">
        <f>IF(U166="","",U166-($V$3*G166+$W$3))</f>
        <v/>
      </c>
      <c r="Y166" s="3">
        <f>IF(X166="","",MAX(-3,MIN(3,(X166-$X3)/$X4)))</f>
        <v/>
      </c>
      <c r="Z166" s="3">
        <f>IF(Y166="","",(Y166-AVERAGE(Y6:Y1198))/(STDEV(Y6:Y1198)+1E-12))</f>
        <v/>
      </c>
    </row>
    <row r="167">
      <c r="A167" t="inlineStr">
        <is>
          <t>BBG000BDNB35</t>
        </is>
      </c>
      <c r="B167" s="3">
        <f>IF('3a Raw'!C167="","",MAX(-3,MIN(3,('3a Raw'!C167-$B3)/$B4)))</f>
        <v/>
      </c>
      <c r="C167" s="3">
        <f>IF(B167="","",(B167-AVERAGE(B6:B1198))/(STDEV(B6:B1198)+1E-12))</f>
        <v/>
      </c>
      <c r="D167" s="3">
        <f>IF('3a Raw'!D167="","",MAX(-3,MIN(3,('3a Raw'!D167-$D3)/$D4)))</f>
        <v/>
      </c>
      <c r="E167" s="3">
        <f>IF(D167="","",(D167-AVERAGE(D6:D1198))/(STDEV(D6:D1198)+1E-12))</f>
        <v/>
      </c>
      <c r="F167" s="3">
        <f>IF('3a Raw'!E167="","",MAX(-3,MIN(3,('3a Raw'!E167-$F3)/$F4)))</f>
        <v/>
      </c>
      <c r="G167" s="3">
        <f>IF(F167="","",(F167-AVERAGE(F6:F1198))/(STDEV(F6:F1198)+1E-12))</f>
        <v/>
      </c>
      <c r="H167" s="3">
        <f>IF('3a Raw'!F167="","",MAX(-3,MIN(3,('3a Raw'!F167-$H3)/$H4)))</f>
        <v/>
      </c>
      <c r="I167" s="3">
        <f>IF(H167="","",(H167-AVERAGE(H6:H1198))/(STDEV(H6:H1198)+1E-12))</f>
        <v/>
      </c>
      <c r="J167" s="3">
        <f>IF('3a Raw'!G167="","",MAX(-3,MIN(3,('3a Raw'!G167-$J3)/$J4)))</f>
        <v/>
      </c>
      <c r="K167" s="3">
        <f>IF(J167="","",(J167-AVERAGE(J6:J1198))/(STDEV(J6:J1198)+1E-12))</f>
        <v/>
      </c>
      <c r="L167" s="3">
        <f>IF('3a Raw'!H167="","",MAX(-3,MIN(3,('3a Raw'!H167-$L3)/$L4)))</f>
        <v/>
      </c>
      <c r="M167" s="3">
        <f>IF(L167="","",(L167-AVERAGE(L6:L1198))/(STDEV(L6:L1198)+1E-12))</f>
        <v/>
      </c>
      <c r="N167" s="3">
        <f>IF('3a Raw'!I167="","",MAX(-3,MIN(3,('3a Raw'!I167-$N3)/$N4)))</f>
        <v/>
      </c>
      <c r="O167" s="3">
        <f>IF(N167="","",(N167-AVERAGE(N6:N1198))/(STDEV(N6:N1198)+1E-12))</f>
        <v/>
      </c>
      <c r="P167" s="3">
        <f>IF('3a Raw'!J167="","",MAX(-3,MIN(3,('3a Raw'!J167-$P3)/$P4)))</f>
        <v/>
      </c>
      <c r="Q167" s="3">
        <f>IF(P167="","",(P167-AVERAGE(P6:P1198))/(STDEV(P6:P1198)+1E-12))</f>
        <v/>
      </c>
      <c r="R167" s="3">
        <f>IF('3a Raw'!K167="","",MAX(-3,MIN(3,('3a Raw'!K167-$R3)/$R4)))</f>
        <v/>
      </c>
      <c r="S167" s="3">
        <f>IF(R167="","",(R167-AVERAGE(R6:R1198))/(STDEV(R6:R1198)+1E-12))</f>
        <v/>
      </c>
      <c r="T167" s="3">
        <f>IF('3a Raw'!L167="","",MAX(-3,MIN(3,('3a Raw'!L167-$T3)/$T4)))</f>
        <v/>
      </c>
      <c r="U167" s="3">
        <f>IF(T167="","",(T167-AVERAGE(T6:T1198))/(STDEV(T6:T1198)+1E-12))</f>
        <v/>
      </c>
      <c r="X167" s="3">
        <f>IF(U167="","",U167-($V$3*G167+$W$3))</f>
        <v/>
      </c>
      <c r="Y167" s="3">
        <f>IF(X167="","",MAX(-3,MIN(3,(X167-$X3)/$X4)))</f>
        <v/>
      </c>
      <c r="Z167" s="3">
        <f>IF(Y167="","",(Y167-AVERAGE(Y6:Y1198))/(STDEV(Y6:Y1198)+1E-12))</f>
        <v/>
      </c>
    </row>
    <row r="168">
      <c r="A168" t="inlineStr">
        <is>
          <t>br</t>
        </is>
      </c>
      <c r="B168" s="3">
        <f>IF('3a Raw'!C168="","",MAX(-3,MIN(3,('3a Raw'!C168-$B3)/$B4)))</f>
        <v/>
      </c>
      <c r="C168" s="3">
        <f>IF(B168="","",(B168-AVERAGE(B6:B1198))/(STDEV(B6:B1198)+1E-12))</f>
        <v/>
      </c>
      <c r="D168" s="3">
        <f>IF('3a Raw'!D168="","",MAX(-3,MIN(3,('3a Raw'!D168-$D3)/$D4)))</f>
        <v/>
      </c>
      <c r="E168" s="3">
        <f>IF(D168="","",(D168-AVERAGE(D6:D1198))/(STDEV(D6:D1198)+1E-12))</f>
        <v/>
      </c>
      <c r="F168" s="3">
        <f>IF('3a Raw'!E168="","",MAX(-3,MIN(3,('3a Raw'!E168-$F3)/$F4)))</f>
        <v/>
      </c>
      <c r="G168" s="3">
        <f>IF(F168="","",(F168-AVERAGE(F6:F1198))/(STDEV(F6:F1198)+1E-12))</f>
        <v/>
      </c>
      <c r="H168" s="3">
        <f>IF('3a Raw'!F168="","",MAX(-3,MIN(3,('3a Raw'!F168-$H3)/$H4)))</f>
        <v/>
      </c>
      <c r="I168" s="3">
        <f>IF(H168="","",(H168-AVERAGE(H6:H1198))/(STDEV(H6:H1198)+1E-12))</f>
        <v/>
      </c>
      <c r="J168" s="3">
        <f>IF('3a Raw'!G168="","",MAX(-3,MIN(3,('3a Raw'!G168-$J3)/$J4)))</f>
        <v/>
      </c>
      <c r="K168" s="3">
        <f>IF(J168="","",(J168-AVERAGE(J6:J1198))/(STDEV(J6:J1198)+1E-12))</f>
        <v/>
      </c>
      <c r="L168" s="3">
        <f>IF('3a Raw'!H168="","",MAX(-3,MIN(3,('3a Raw'!H168-$L3)/$L4)))</f>
        <v/>
      </c>
      <c r="M168" s="3">
        <f>IF(L168="","",(L168-AVERAGE(L6:L1198))/(STDEV(L6:L1198)+1E-12))</f>
        <v/>
      </c>
      <c r="N168" s="3">
        <f>IF('3a Raw'!I168="","",MAX(-3,MIN(3,('3a Raw'!I168-$N3)/$N4)))</f>
        <v/>
      </c>
      <c r="O168" s="3">
        <f>IF(N168="","",(N168-AVERAGE(N6:N1198))/(STDEV(N6:N1198)+1E-12))</f>
        <v/>
      </c>
      <c r="P168" s="3">
        <f>IF('3a Raw'!J168="","",MAX(-3,MIN(3,('3a Raw'!J168-$P3)/$P4)))</f>
        <v/>
      </c>
      <c r="Q168" s="3">
        <f>IF(P168="","",(P168-AVERAGE(P6:P1198))/(STDEV(P6:P1198)+1E-12))</f>
        <v/>
      </c>
      <c r="R168" s="3">
        <f>IF('3a Raw'!K168="","",MAX(-3,MIN(3,('3a Raw'!K168-$R3)/$R4)))</f>
        <v/>
      </c>
      <c r="S168" s="3">
        <f>IF(R168="","",(R168-AVERAGE(R6:R1198))/(STDEV(R6:R1198)+1E-12))</f>
        <v/>
      </c>
      <c r="T168" s="3">
        <f>IF('3a Raw'!L168="","",MAX(-3,MIN(3,('3a Raw'!L168-$T3)/$T4)))</f>
        <v/>
      </c>
      <c r="U168" s="3">
        <f>IF(T168="","",(T168-AVERAGE(T6:T1198))/(STDEV(T6:T1198)+1E-12))</f>
        <v/>
      </c>
      <c r="X168" s="3">
        <f>IF(U168="","",U168-($V$3*G168+$W$3))</f>
        <v/>
      </c>
      <c r="Y168" s="3">
        <f>IF(X168="","",MAX(-3,MIN(3,(X168-$X3)/$X4)))</f>
        <v/>
      </c>
      <c r="Z168" s="3">
        <f>IF(Y168="","",(Y168-AVERAGE(Y6:Y1198))/(STDEV(Y6:Y1198)+1E-12))</f>
        <v/>
      </c>
    </row>
    <row r="169">
      <c r="A169" t="inlineStr">
        <is>
          <t>BBG016NMK1H8</t>
        </is>
      </c>
      <c r="B169" s="3">
        <f>IF('3a Raw'!C169="","",MAX(-3,MIN(3,('3a Raw'!C169-$B3)/$B4)))</f>
        <v/>
      </c>
      <c r="C169" s="3">
        <f>IF(B169="","",(B169-AVERAGE(B6:B1198))/(STDEV(B6:B1198)+1E-12))</f>
        <v/>
      </c>
      <c r="D169" s="3">
        <f>IF('3a Raw'!D169="","",MAX(-3,MIN(3,('3a Raw'!D169-$D3)/$D4)))</f>
        <v/>
      </c>
      <c r="E169" s="3">
        <f>IF(D169="","",(D169-AVERAGE(D6:D1198))/(STDEV(D6:D1198)+1E-12))</f>
        <v/>
      </c>
      <c r="F169" s="3">
        <f>IF('3a Raw'!E169="","",MAX(-3,MIN(3,('3a Raw'!E169-$F3)/$F4)))</f>
        <v/>
      </c>
      <c r="G169" s="3">
        <f>IF(F169="","",(F169-AVERAGE(F6:F1198))/(STDEV(F6:F1198)+1E-12))</f>
        <v/>
      </c>
      <c r="H169" s="3">
        <f>IF('3a Raw'!F169="","",MAX(-3,MIN(3,('3a Raw'!F169-$H3)/$H4)))</f>
        <v/>
      </c>
      <c r="I169" s="3">
        <f>IF(H169="","",(H169-AVERAGE(H6:H1198))/(STDEV(H6:H1198)+1E-12))</f>
        <v/>
      </c>
      <c r="J169" s="3">
        <f>IF('3a Raw'!G169="","",MAX(-3,MIN(3,('3a Raw'!G169-$J3)/$J4)))</f>
        <v/>
      </c>
      <c r="K169" s="3">
        <f>IF(J169="","",(J169-AVERAGE(J6:J1198))/(STDEV(J6:J1198)+1E-12))</f>
        <v/>
      </c>
      <c r="L169" s="3">
        <f>IF('3a Raw'!H169="","",MAX(-3,MIN(3,('3a Raw'!H169-$L3)/$L4)))</f>
        <v/>
      </c>
      <c r="M169" s="3">
        <f>IF(L169="","",(L169-AVERAGE(L6:L1198))/(STDEV(L6:L1198)+1E-12))</f>
        <v/>
      </c>
      <c r="N169" s="3">
        <f>IF('3a Raw'!I169="","",MAX(-3,MIN(3,('3a Raw'!I169-$N3)/$N4)))</f>
        <v/>
      </c>
      <c r="O169" s="3">
        <f>IF(N169="","",(N169-AVERAGE(N6:N1198))/(STDEV(N6:N1198)+1E-12))</f>
        <v/>
      </c>
      <c r="P169" s="3">
        <f>IF('3a Raw'!J169="","",MAX(-3,MIN(3,('3a Raw'!J169-$P3)/$P4)))</f>
        <v/>
      </c>
      <c r="Q169" s="3">
        <f>IF(P169="","",(P169-AVERAGE(P6:P1198))/(STDEV(P6:P1198)+1E-12))</f>
        <v/>
      </c>
      <c r="R169" s="3">
        <f>IF('3a Raw'!K169="","",MAX(-3,MIN(3,('3a Raw'!K169-$R3)/$R4)))</f>
        <v/>
      </c>
      <c r="S169" s="3">
        <f>IF(R169="","",(R169-AVERAGE(R6:R1198))/(STDEV(R6:R1198)+1E-12))</f>
        <v/>
      </c>
      <c r="T169" s="3">
        <f>IF('3a Raw'!L169="","",MAX(-3,MIN(3,('3a Raw'!L169-$T3)/$T4)))</f>
        <v/>
      </c>
      <c r="U169" s="3">
        <f>IF(T169="","",(T169-AVERAGE(T6:T1198))/(STDEV(T6:T1198)+1E-12))</f>
        <v/>
      </c>
      <c r="X169" s="3">
        <f>IF(U169="","",U169-($V$3*G169+$W$3))</f>
        <v/>
      </c>
      <c r="Y169" s="3">
        <f>IF(X169="","",MAX(-3,MIN(3,(X169-$X3)/$X4)))</f>
        <v/>
      </c>
      <c r="Z169" s="3">
        <f>IF(Y169="","",(Y169-AVERAGE(Y6:Y1198))/(STDEV(Y6:Y1198)+1E-12))</f>
        <v/>
      </c>
    </row>
    <row r="170">
      <c r="A170" t="inlineStr">
        <is>
          <t>brk-b</t>
        </is>
      </c>
      <c r="B170" s="3">
        <f>IF('3a Raw'!C170="","",MAX(-3,MIN(3,('3a Raw'!C170-$B3)/$B4)))</f>
        <v/>
      </c>
      <c r="C170" s="3">
        <f>IF(B170="","",(B170-AVERAGE(B6:B1198))/(STDEV(B6:B1198)+1E-12))</f>
        <v/>
      </c>
      <c r="D170" s="3">
        <f>IF('3a Raw'!D170="","",MAX(-3,MIN(3,('3a Raw'!D170-$D3)/$D4)))</f>
        <v/>
      </c>
      <c r="E170" s="3">
        <f>IF(D170="","",(D170-AVERAGE(D6:D1198))/(STDEV(D6:D1198)+1E-12))</f>
        <v/>
      </c>
      <c r="F170" s="3">
        <f>IF('3a Raw'!E170="","",MAX(-3,MIN(3,('3a Raw'!E170-$F3)/$F4)))</f>
        <v/>
      </c>
      <c r="G170" s="3">
        <f>IF(F170="","",(F170-AVERAGE(F6:F1198))/(STDEV(F6:F1198)+1E-12))</f>
        <v/>
      </c>
      <c r="H170" s="3">
        <f>IF('3a Raw'!F170="","",MAX(-3,MIN(3,('3a Raw'!F170-$H3)/$H4)))</f>
        <v/>
      </c>
      <c r="I170" s="3">
        <f>IF(H170="","",(H170-AVERAGE(H6:H1198))/(STDEV(H6:H1198)+1E-12))</f>
        <v/>
      </c>
      <c r="J170" s="3">
        <f>IF('3a Raw'!G170="","",MAX(-3,MIN(3,('3a Raw'!G170-$J3)/$J4)))</f>
        <v/>
      </c>
      <c r="K170" s="3">
        <f>IF(J170="","",(J170-AVERAGE(J6:J1198))/(STDEV(J6:J1198)+1E-12))</f>
        <v/>
      </c>
      <c r="L170" s="3">
        <f>IF('3a Raw'!H170="","",MAX(-3,MIN(3,('3a Raw'!H170-$L3)/$L4)))</f>
        <v/>
      </c>
      <c r="M170" s="3">
        <f>IF(L170="","",(L170-AVERAGE(L6:L1198))/(STDEV(L6:L1198)+1E-12))</f>
        <v/>
      </c>
      <c r="N170" s="3">
        <f>IF('3a Raw'!I170="","",MAX(-3,MIN(3,('3a Raw'!I170-$N3)/$N4)))</f>
        <v/>
      </c>
      <c r="O170" s="3">
        <f>IF(N170="","",(N170-AVERAGE(N6:N1198))/(STDEV(N6:N1198)+1E-12))</f>
        <v/>
      </c>
      <c r="P170" s="3">
        <f>IF('3a Raw'!J170="","",MAX(-3,MIN(3,('3a Raw'!J170-$P3)/$P4)))</f>
        <v/>
      </c>
      <c r="Q170" s="3">
        <f>IF(P170="","",(P170-AVERAGE(P6:P1198))/(STDEV(P6:P1198)+1E-12))</f>
        <v/>
      </c>
      <c r="R170" s="3">
        <f>IF('3a Raw'!K170="","",MAX(-3,MIN(3,('3a Raw'!K170-$R3)/$R4)))</f>
        <v/>
      </c>
      <c r="S170" s="3">
        <f>IF(R170="","",(R170-AVERAGE(R6:R1198))/(STDEV(R6:R1198)+1E-12))</f>
        <v/>
      </c>
      <c r="T170" s="3">
        <f>IF('3a Raw'!L170="","",MAX(-3,MIN(3,('3a Raw'!L170-$T3)/$T4)))</f>
        <v/>
      </c>
      <c r="U170" s="3">
        <f>IF(T170="","",(T170-AVERAGE(T6:T1198))/(STDEV(T6:T1198)+1E-12))</f>
        <v/>
      </c>
      <c r="X170" s="3">
        <f>IF(U170="","",U170-($V$3*G170+$W$3))</f>
        <v/>
      </c>
      <c r="Y170" s="3">
        <f>IF(X170="","",MAX(-3,MIN(3,(X170-$X3)/$X4)))</f>
        <v/>
      </c>
      <c r="Z170" s="3">
        <f>IF(Y170="","",(Y170-AVERAGE(Y6:Y1198))/(STDEV(Y6:Y1198)+1E-12))</f>
        <v/>
      </c>
    </row>
    <row r="171">
      <c r="A171" t="inlineStr">
        <is>
          <t>BBG000CL1FG7</t>
        </is>
      </c>
      <c r="B171" s="3">
        <f>IF('3a Raw'!C171="","",MAX(-3,MIN(3,('3a Raw'!C171-$B3)/$B4)))</f>
        <v/>
      </c>
      <c r="C171" s="3">
        <f>IF(B171="","",(B171-AVERAGE(B6:B1198))/(STDEV(B6:B1198)+1E-12))</f>
        <v/>
      </c>
      <c r="D171" s="3">
        <f>IF('3a Raw'!D171="","",MAX(-3,MIN(3,('3a Raw'!D171-$D3)/$D4)))</f>
        <v/>
      </c>
      <c r="E171" s="3">
        <f>IF(D171="","",(D171-AVERAGE(D6:D1198))/(STDEV(D6:D1198)+1E-12))</f>
        <v/>
      </c>
      <c r="F171" s="3">
        <f>IF('3a Raw'!E171="","",MAX(-3,MIN(3,('3a Raw'!E171-$F3)/$F4)))</f>
        <v/>
      </c>
      <c r="G171" s="3">
        <f>IF(F171="","",(F171-AVERAGE(F6:F1198))/(STDEV(F6:F1198)+1E-12))</f>
        <v/>
      </c>
      <c r="H171" s="3">
        <f>IF('3a Raw'!F171="","",MAX(-3,MIN(3,('3a Raw'!F171-$H3)/$H4)))</f>
        <v/>
      </c>
      <c r="I171" s="3">
        <f>IF(H171="","",(H171-AVERAGE(H6:H1198))/(STDEV(H6:H1198)+1E-12))</f>
        <v/>
      </c>
      <c r="J171" s="3">
        <f>IF('3a Raw'!G171="","",MAX(-3,MIN(3,('3a Raw'!G171-$J3)/$J4)))</f>
        <v/>
      </c>
      <c r="K171" s="3">
        <f>IF(J171="","",(J171-AVERAGE(J6:J1198))/(STDEV(J6:J1198)+1E-12))</f>
        <v/>
      </c>
      <c r="L171" s="3">
        <f>IF('3a Raw'!H171="","",MAX(-3,MIN(3,('3a Raw'!H171-$L3)/$L4)))</f>
        <v/>
      </c>
      <c r="M171" s="3">
        <f>IF(L171="","",(L171-AVERAGE(L6:L1198))/(STDEV(L6:L1198)+1E-12))</f>
        <v/>
      </c>
      <c r="N171" s="3">
        <f>IF('3a Raw'!I171="","",MAX(-3,MIN(3,('3a Raw'!I171-$N3)/$N4)))</f>
        <v/>
      </c>
      <c r="O171" s="3">
        <f>IF(N171="","",(N171-AVERAGE(N6:N1198))/(STDEV(N6:N1198)+1E-12))</f>
        <v/>
      </c>
      <c r="P171" s="3">
        <f>IF('3a Raw'!J171="","",MAX(-3,MIN(3,('3a Raw'!J171-$P3)/$P4)))</f>
        <v/>
      </c>
      <c r="Q171" s="3">
        <f>IF(P171="","",(P171-AVERAGE(P6:P1198))/(STDEV(P6:P1198)+1E-12))</f>
        <v/>
      </c>
      <c r="R171" s="3">
        <f>IF('3a Raw'!K171="","",MAX(-3,MIN(3,('3a Raw'!K171-$R3)/$R4)))</f>
        <v/>
      </c>
      <c r="S171" s="3">
        <f>IF(R171="","",(R171-AVERAGE(R6:R1198))/(STDEV(R6:R1198)+1E-12))</f>
        <v/>
      </c>
      <c r="T171" s="3">
        <f>IF('3a Raw'!L171="","",MAX(-3,MIN(3,('3a Raw'!L171-$T3)/$T4)))</f>
        <v/>
      </c>
      <c r="U171" s="3">
        <f>IF(T171="","",(T171-AVERAGE(T6:T1198))/(STDEV(T6:T1198)+1E-12))</f>
        <v/>
      </c>
      <c r="X171" s="3">
        <f>IF(U171="","",U171-($V$3*G171+$W$3))</f>
        <v/>
      </c>
      <c r="Y171" s="3">
        <f>IF(X171="","",MAX(-3,MIN(3,(X171-$X3)/$X4)))</f>
        <v/>
      </c>
      <c r="Z171" s="3">
        <f>IF(Y171="","",(Y171-AVERAGE(Y6:Y1198))/(STDEV(Y6:Y1198)+1E-12))</f>
        <v/>
      </c>
    </row>
    <row r="172">
      <c r="A172" t="inlineStr">
        <is>
          <t>BBG000BWSGF4</t>
        </is>
      </c>
      <c r="B172" s="3">
        <f>IF('3a Raw'!C172="","",MAX(-3,MIN(3,('3a Raw'!C172-$B3)/$B4)))</f>
        <v/>
      </c>
      <c r="C172" s="3">
        <f>IF(B172="","",(B172-AVERAGE(B6:B1198))/(STDEV(B6:B1198)+1E-12))</f>
        <v/>
      </c>
      <c r="D172" s="3">
        <f>IF('3a Raw'!D172="","",MAX(-3,MIN(3,('3a Raw'!D172-$D3)/$D4)))</f>
        <v/>
      </c>
      <c r="E172" s="3">
        <f>IF(D172="","",(D172-AVERAGE(D6:D1198))/(STDEV(D6:D1198)+1E-12))</f>
        <v/>
      </c>
      <c r="F172" s="3">
        <f>IF('3a Raw'!E172="","",MAX(-3,MIN(3,('3a Raw'!E172-$F3)/$F4)))</f>
        <v/>
      </c>
      <c r="G172" s="3">
        <f>IF(F172="","",(F172-AVERAGE(F6:F1198))/(STDEV(F6:F1198)+1E-12))</f>
        <v/>
      </c>
      <c r="H172" s="3">
        <f>IF('3a Raw'!F172="","",MAX(-3,MIN(3,('3a Raw'!F172-$H3)/$H4)))</f>
        <v/>
      </c>
      <c r="I172" s="3">
        <f>IF(H172="","",(H172-AVERAGE(H6:H1198))/(STDEV(H6:H1198)+1E-12))</f>
        <v/>
      </c>
      <c r="J172" s="3">
        <f>IF('3a Raw'!G172="","",MAX(-3,MIN(3,('3a Raw'!G172-$J3)/$J4)))</f>
        <v/>
      </c>
      <c r="K172" s="3">
        <f>IF(J172="","",(J172-AVERAGE(J6:J1198))/(STDEV(J6:J1198)+1E-12))</f>
        <v/>
      </c>
      <c r="L172" s="3">
        <f>IF('3a Raw'!H172="","",MAX(-3,MIN(3,('3a Raw'!H172-$L3)/$L4)))</f>
        <v/>
      </c>
      <c r="M172" s="3">
        <f>IF(L172="","",(L172-AVERAGE(L6:L1198))/(STDEV(L6:L1198)+1E-12))</f>
        <v/>
      </c>
      <c r="N172" s="3">
        <f>IF('3a Raw'!I172="","",MAX(-3,MIN(3,('3a Raw'!I172-$N3)/$N4)))</f>
        <v/>
      </c>
      <c r="O172" s="3">
        <f>IF(N172="","",(N172-AVERAGE(N6:N1198))/(STDEV(N6:N1198)+1E-12))</f>
        <v/>
      </c>
      <c r="P172" s="3">
        <f>IF('3a Raw'!J172="","",MAX(-3,MIN(3,('3a Raw'!J172-$P3)/$P4)))</f>
        <v/>
      </c>
      <c r="Q172" s="3">
        <f>IF(P172="","",(P172-AVERAGE(P6:P1198))/(STDEV(P6:P1198)+1E-12))</f>
        <v/>
      </c>
      <c r="R172" s="3">
        <f>IF('3a Raw'!K172="","",MAX(-3,MIN(3,('3a Raw'!K172-$R3)/$R4)))</f>
        <v/>
      </c>
      <c r="S172" s="3">
        <f>IF(R172="","",(R172-AVERAGE(R6:R1198))/(STDEV(R6:R1198)+1E-12))</f>
        <v/>
      </c>
      <c r="T172" s="3">
        <f>IF('3a Raw'!L172="","",MAX(-3,MIN(3,('3a Raw'!L172-$T3)/$T4)))</f>
        <v/>
      </c>
      <c r="U172" s="3">
        <f>IF(T172="","",(T172-AVERAGE(T6:T1198))/(STDEV(T6:T1198)+1E-12))</f>
        <v/>
      </c>
      <c r="X172" s="3">
        <f>IF(U172="","",U172-($V$3*G172+$W$3))</f>
        <v/>
      </c>
      <c r="Y172" s="3">
        <f>IF(X172="","",MAX(-3,MIN(3,(X172-$X3)/$X4)))</f>
        <v/>
      </c>
      <c r="Z172" s="3">
        <f>IF(Y172="","",(Y172-AVERAGE(Y6:Y1198))/(STDEV(Y6:Y1198)+1E-12))</f>
        <v/>
      </c>
    </row>
    <row r="173">
      <c r="A173" t="inlineStr">
        <is>
          <t>BBG000C0LW92</t>
        </is>
      </c>
      <c r="B173" s="3">
        <f>IF('3a Raw'!C173="","",MAX(-3,MIN(3,('3a Raw'!C173-$B3)/$B4)))</f>
        <v/>
      </c>
      <c r="C173" s="3">
        <f>IF(B173="","",(B173-AVERAGE(B6:B1198))/(STDEV(B6:B1198)+1E-12))</f>
        <v/>
      </c>
      <c r="D173" s="3">
        <f>IF('3a Raw'!D173="","",MAX(-3,MIN(3,('3a Raw'!D173-$D3)/$D4)))</f>
        <v/>
      </c>
      <c r="E173" s="3">
        <f>IF(D173="","",(D173-AVERAGE(D6:D1198))/(STDEV(D6:D1198)+1E-12))</f>
        <v/>
      </c>
      <c r="F173" s="3">
        <f>IF('3a Raw'!E173="","",MAX(-3,MIN(3,('3a Raw'!E173-$F3)/$F4)))</f>
        <v/>
      </c>
      <c r="G173" s="3">
        <f>IF(F173="","",(F173-AVERAGE(F6:F1198))/(STDEV(F6:F1198)+1E-12))</f>
        <v/>
      </c>
      <c r="H173" s="3">
        <f>IF('3a Raw'!F173="","",MAX(-3,MIN(3,('3a Raw'!F173-$H3)/$H4)))</f>
        <v/>
      </c>
      <c r="I173" s="3">
        <f>IF(H173="","",(H173-AVERAGE(H6:H1198))/(STDEV(H6:H1198)+1E-12))</f>
        <v/>
      </c>
      <c r="J173" s="3">
        <f>IF('3a Raw'!G173="","",MAX(-3,MIN(3,('3a Raw'!G173-$J3)/$J4)))</f>
        <v/>
      </c>
      <c r="K173" s="3">
        <f>IF(J173="","",(J173-AVERAGE(J6:J1198))/(STDEV(J6:J1198)+1E-12))</f>
        <v/>
      </c>
      <c r="L173" s="3">
        <f>IF('3a Raw'!H173="","",MAX(-3,MIN(3,('3a Raw'!H173-$L3)/$L4)))</f>
        <v/>
      </c>
      <c r="M173" s="3">
        <f>IF(L173="","",(L173-AVERAGE(L6:L1198))/(STDEV(L6:L1198)+1E-12))</f>
        <v/>
      </c>
      <c r="N173" s="3">
        <f>IF('3a Raw'!I173="","",MAX(-3,MIN(3,('3a Raw'!I173-$N3)/$N4)))</f>
        <v/>
      </c>
      <c r="O173" s="3">
        <f>IF(N173="","",(N173-AVERAGE(N6:N1198))/(STDEV(N6:N1198)+1E-12))</f>
        <v/>
      </c>
      <c r="P173" s="3">
        <f>IF('3a Raw'!J173="","",MAX(-3,MIN(3,('3a Raw'!J173-$P3)/$P4)))</f>
        <v/>
      </c>
      <c r="Q173" s="3">
        <f>IF(P173="","",(P173-AVERAGE(P6:P1198))/(STDEV(P6:P1198)+1E-12))</f>
        <v/>
      </c>
      <c r="R173" s="3">
        <f>IF('3a Raw'!K173="","",MAX(-3,MIN(3,('3a Raw'!K173-$R3)/$R4)))</f>
        <v/>
      </c>
      <c r="S173" s="3">
        <f>IF(R173="","",(R173-AVERAGE(R6:R1198))/(STDEV(R6:R1198)+1E-12))</f>
        <v/>
      </c>
      <c r="T173" s="3">
        <f>IF('3a Raw'!L173="","",MAX(-3,MIN(3,('3a Raw'!L173-$T3)/$T4)))</f>
        <v/>
      </c>
      <c r="U173" s="3">
        <f>IF(T173="","",(T173-AVERAGE(T6:T1198))/(STDEV(T6:T1198)+1E-12))</f>
        <v/>
      </c>
      <c r="X173" s="3">
        <f>IF(U173="","",U173-($V$3*G173+$W$3))</f>
        <v/>
      </c>
      <c r="Y173" s="3">
        <f>IF(X173="","",MAX(-3,MIN(3,(X173-$X3)/$X4)))</f>
        <v/>
      </c>
      <c r="Z173" s="3">
        <f>IF(Y173="","",(Y173-AVERAGE(Y6:Y1198))/(STDEV(Y6:Y1198)+1E-12))</f>
        <v/>
      </c>
    </row>
    <row r="174">
      <c r="A174" t="inlineStr">
        <is>
          <t>BBG000BMSRR9</t>
        </is>
      </c>
      <c r="B174" s="3">
        <f>IF('3a Raw'!C174="","",MAX(-3,MIN(3,('3a Raw'!C174-$B3)/$B4)))</f>
        <v/>
      </c>
      <c r="C174" s="3">
        <f>IF(B174="","",(B174-AVERAGE(B6:B1198))/(STDEV(B6:B1198)+1E-12))</f>
        <v/>
      </c>
      <c r="D174" s="3">
        <f>IF('3a Raw'!D174="","",MAX(-3,MIN(3,('3a Raw'!D174-$D3)/$D4)))</f>
        <v/>
      </c>
      <c r="E174" s="3">
        <f>IF(D174="","",(D174-AVERAGE(D6:D1198))/(STDEV(D6:D1198)+1E-12))</f>
        <v/>
      </c>
      <c r="F174" s="3">
        <f>IF('3a Raw'!E174="","",MAX(-3,MIN(3,('3a Raw'!E174-$F3)/$F4)))</f>
        <v/>
      </c>
      <c r="G174" s="3">
        <f>IF(F174="","",(F174-AVERAGE(F6:F1198))/(STDEV(F6:F1198)+1E-12))</f>
        <v/>
      </c>
      <c r="H174" s="3">
        <f>IF('3a Raw'!F174="","",MAX(-3,MIN(3,('3a Raw'!F174-$H3)/$H4)))</f>
        <v/>
      </c>
      <c r="I174" s="3">
        <f>IF(H174="","",(H174-AVERAGE(H6:H1198))/(STDEV(H6:H1198)+1E-12))</f>
        <v/>
      </c>
      <c r="J174" s="3">
        <f>IF('3a Raw'!G174="","",MAX(-3,MIN(3,('3a Raw'!G174-$J3)/$J4)))</f>
        <v/>
      </c>
      <c r="K174" s="3">
        <f>IF(J174="","",(J174-AVERAGE(J6:J1198))/(STDEV(J6:J1198)+1E-12))</f>
        <v/>
      </c>
      <c r="L174" s="3">
        <f>IF('3a Raw'!H174="","",MAX(-3,MIN(3,('3a Raw'!H174-$L3)/$L4)))</f>
        <v/>
      </c>
      <c r="M174" s="3">
        <f>IF(L174="","",(L174-AVERAGE(L6:L1198))/(STDEV(L6:L1198)+1E-12))</f>
        <v/>
      </c>
      <c r="N174" s="3">
        <f>IF('3a Raw'!I174="","",MAX(-3,MIN(3,('3a Raw'!I174-$N3)/$N4)))</f>
        <v/>
      </c>
      <c r="O174" s="3">
        <f>IF(N174="","",(N174-AVERAGE(N6:N1198))/(STDEV(N6:N1198)+1E-12))</f>
        <v/>
      </c>
      <c r="P174" s="3">
        <f>IF('3a Raw'!J174="","",MAX(-3,MIN(3,('3a Raw'!J174-$P3)/$P4)))</f>
        <v/>
      </c>
      <c r="Q174" s="3">
        <f>IF(P174="","",(P174-AVERAGE(P6:P1198))/(STDEV(P6:P1198)+1E-12))</f>
        <v/>
      </c>
      <c r="R174" s="3">
        <f>IF('3a Raw'!K174="","",MAX(-3,MIN(3,('3a Raw'!K174-$R3)/$R4)))</f>
        <v/>
      </c>
      <c r="S174" s="3">
        <f>IF(R174="","",(R174-AVERAGE(R6:R1198))/(STDEV(R6:R1198)+1E-12))</f>
        <v/>
      </c>
      <c r="T174" s="3">
        <f>IF('3a Raw'!L174="","",MAX(-3,MIN(3,('3a Raw'!L174-$T3)/$T4)))</f>
        <v/>
      </c>
      <c r="U174" s="3">
        <f>IF(T174="","",(T174-AVERAGE(T6:T1198))/(STDEV(T6:T1198)+1E-12))</f>
        <v/>
      </c>
      <c r="X174" s="3">
        <f>IF(U174="","",U174-($V$3*G174+$W$3))</f>
        <v/>
      </c>
      <c r="Y174" s="3">
        <f>IF(X174="","",MAX(-3,MIN(3,(X174-$X3)/$X4)))</f>
        <v/>
      </c>
      <c r="Z174" s="3">
        <f>IF(Y174="","",(Y174-AVERAGE(Y6:Y1198))/(STDEV(Y6:Y1198)+1E-12))</f>
        <v/>
      </c>
    </row>
    <row r="175">
      <c r="A175" t="inlineStr">
        <is>
          <t>BBG0132WL1X7</t>
        </is>
      </c>
      <c r="B175" s="3">
        <f>IF('3a Raw'!C175="","",MAX(-3,MIN(3,('3a Raw'!C175-$B3)/$B4)))</f>
        <v/>
      </c>
      <c r="C175" s="3">
        <f>IF(B175="","",(B175-AVERAGE(B6:B1198))/(STDEV(B6:B1198)+1E-12))</f>
        <v/>
      </c>
      <c r="D175" s="3">
        <f>IF('3a Raw'!D175="","",MAX(-3,MIN(3,('3a Raw'!D175-$D3)/$D4)))</f>
        <v/>
      </c>
      <c r="E175" s="3">
        <f>IF(D175="","",(D175-AVERAGE(D6:D1198))/(STDEV(D6:D1198)+1E-12))</f>
        <v/>
      </c>
      <c r="F175" s="3">
        <f>IF('3a Raw'!E175="","",MAX(-3,MIN(3,('3a Raw'!E175-$F3)/$F4)))</f>
        <v/>
      </c>
      <c r="G175" s="3">
        <f>IF(F175="","",(F175-AVERAGE(F6:F1198))/(STDEV(F6:F1198)+1E-12))</f>
        <v/>
      </c>
      <c r="H175" s="3">
        <f>IF('3a Raw'!F175="","",MAX(-3,MIN(3,('3a Raw'!F175-$H3)/$H4)))</f>
        <v/>
      </c>
      <c r="I175" s="3">
        <f>IF(H175="","",(H175-AVERAGE(H6:H1198))/(STDEV(H6:H1198)+1E-12))</f>
        <v/>
      </c>
      <c r="J175" s="3">
        <f>IF('3a Raw'!G175="","",MAX(-3,MIN(3,('3a Raw'!G175-$J3)/$J4)))</f>
        <v/>
      </c>
      <c r="K175" s="3">
        <f>IF(J175="","",(J175-AVERAGE(J6:J1198))/(STDEV(J6:J1198)+1E-12))</f>
        <v/>
      </c>
      <c r="L175" s="3">
        <f>IF('3a Raw'!H175="","",MAX(-3,MIN(3,('3a Raw'!H175-$L3)/$L4)))</f>
        <v/>
      </c>
      <c r="M175" s="3">
        <f>IF(L175="","",(L175-AVERAGE(L6:L1198))/(STDEV(L6:L1198)+1E-12))</f>
        <v/>
      </c>
      <c r="N175" s="3">
        <f>IF('3a Raw'!I175="","",MAX(-3,MIN(3,('3a Raw'!I175-$N3)/$N4)))</f>
        <v/>
      </c>
      <c r="O175" s="3">
        <f>IF(N175="","",(N175-AVERAGE(N6:N1198))/(STDEV(N6:N1198)+1E-12))</f>
        <v/>
      </c>
      <c r="P175" s="3">
        <f>IF('3a Raw'!J175="","",MAX(-3,MIN(3,('3a Raw'!J175-$P3)/$P4)))</f>
        <v/>
      </c>
      <c r="Q175" s="3">
        <f>IF(P175="","",(P175-AVERAGE(P6:P1198))/(STDEV(P6:P1198)+1E-12))</f>
        <v/>
      </c>
      <c r="R175" s="3">
        <f>IF('3a Raw'!K175="","",MAX(-3,MIN(3,('3a Raw'!K175-$R3)/$R4)))</f>
        <v/>
      </c>
      <c r="S175" s="3">
        <f>IF(R175="","",(R175-AVERAGE(R6:R1198))/(STDEV(R6:R1198)+1E-12))</f>
        <v/>
      </c>
      <c r="T175" s="3">
        <f>IF('3a Raw'!L175="","",MAX(-3,MIN(3,('3a Raw'!L175-$T3)/$T4)))</f>
        <v/>
      </c>
      <c r="U175" s="3">
        <f>IF(T175="","",(T175-AVERAGE(T6:T1198))/(STDEV(T6:T1198)+1E-12))</f>
        <v/>
      </c>
      <c r="X175" s="3">
        <f>IF(U175="","",U175-($V$3*G175+$W$3))</f>
        <v/>
      </c>
      <c r="Y175" s="3">
        <f>IF(X175="","",MAX(-3,MIN(3,(X175-$X3)/$X4)))</f>
        <v/>
      </c>
      <c r="Z175" s="3">
        <f>IF(Y175="","",(Y175-AVERAGE(Y6:Y1198))/(STDEV(Y6:Y1198)+1E-12))</f>
        <v/>
      </c>
    </row>
    <row r="176">
      <c r="A176" t="inlineStr">
        <is>
          <t>BBG00GBV88T6</t>
        </is>
      </c>
      <c r="B176" s="3">
        <f>IF('3a Raw'!C176="","",MAX(-3,MIN(3,('3a Raw'!C176-$B3)/$B4)))</f>
        <v/>
      </c>
      <c r="C176" s="3">
        <f>IF(B176="","",(B176-AVERAGE(B6:B1198))/(STDEV(B6:B1198)+1E-12))</f>
        <v/>
      </c>
      <c r="D176" s="3">
        <f>IF('3a Raw'!D176="","",MAX(-3,MIN(3,('3a Raw'!D176-$D3)/$D4)))</f>
        <v/>
      </c>
      <c r="E176" s="3">
        <f>IF(D176="","",(D176-AVERAGE(D6:D1198))/(STDEV(D6:D1198)+1E-12))</f>
        <v/>
      </c>
      <c r="F176" s="3">
        <f>IF('3a Raw'!E176="","",MAX(-3,MIN(3,('3a Raw'!E176-$F3)/$F4)))</f>
        <v/>
      </c>
      <c r="G176" s="3">
        <f>IF(F176="","",(F176-AVERAGE(F6:F1198))/(STDEV(F6:F1198)+1E-12))</f>
        <v/>
      </c>
      <c r="H176" s="3">
        <f>IF('3a Raw'!F176="","",MAX(-3,MIN(3,('3a Raw'!F176-$H3)/$H4)))</f>
        <v/>
      </c>
      <c r="I176" s="3">
        <f>IF(H176="","",(H176-AVERAGE(H6:H1198))/(STDEV(H6:H1198)+1E-12))</f>
        <v/>
      </c>
      <c r="J176" s="3">
        <f>IF('3a Raw'!G176="","",MAX(-3,MIN(3,('3a Raw'!G176-$J3)/$J4)))</f>
        <v/>
      </c>
      <c r="K176" s="3">
        <f>IF(J176="","",(J176-AVERAGE(J6:J1198))/(STDEV(J6:J1198)+1E-12))</f>
        <v/>
      </c>
      <c r="L176" s="3">
        <f>IF('3a Raw'!H176="","",MAX(-3,MIN(3,('3a Raw'!H176-$L3)/$L4)))</f>
        <v/>
      </c>
      <c r="M176" s="3">
        <f>IF(L176="","",(L176-AVERAGE(L6:L1198))/(STDEV(L6:L1198)+1E-12))</f>
        <v/>
      </c>
      <c r="N176" s="3">
        <f>IF('3a Raw'!I176="","",MAX(-3,MIN(3,('3a Raw'!I176-$N3)/$N4)))</f>
        <v/>
      </c>
      <c r="O176" s="3">
        <f>IF(N176="","",(N176-AVERAGE(N6:N1198))/(STDEV(N6:N1198)+1E-12))</f>
        <v/>
      </c>
      <c r="P176" s="3">
        <f>IF('3a Raw'!J176="","",MAX(-3,MIN(3,('3a Raw'!J176-$P3)/$P4)))</f>
        <v/>
      </c>
      <c r="Q176" s="3">
        <f>IF(P176="","",(P176-AVERAGE(P6:P1198))/(STDEV(P6:P1198)+1E-12))</f>
        <v/>
      </c>
      <c r="R176" s="3">
        <f>IF('3a Raw'!K176="","",MAX(-3,MIN(3,('3a Raw'!K176-$R3)/$R4)))</f>
        <v/>
      </c>
      <c r="S176" s="3">
        <f>IF(R176="","",(R176-AVERAGE(R6:R1198))/(STDEV(R6:R1198)+1E-12))</f>
        <v/>
      </c>
      <c r="T176" s="3">
        <f>IF('3a Raw'!L176="","",MAX(-3,MIN(3,('3a Raw'!L176-$T3)/$T4)))</f>
        <v/>
      </c>
      <c r="U176" s="3">
        <f>IF(T176="","",(T176-AVERAGE(T6:T1198))/(STDEV(T6:T1198)+1E-12))</f>
        <v/>
      </c>
      <c r="X176" s="3">
        <f>IF(U176="","",U176-($V$3*G176+$W$3))</f>
        <v/>
      </c>
      <c r="Y176" s="3">
        <f>IF(X176="","",MAX(-3,MIN(3,(X176-$X3)/$X4)))</f>
        <v/>
      </c>
      <c r="Z176" s="3">
        <f>IF(Y176="","",(Y176-AVERAGE(Y6:Y1198))/(STDEV(Y6:Y1198)+1E-12))</f>
        <v/>
      </c>
    </row>
    <row r="177">
      <c r="A177" t="inlineStr">
        <is>
          <t>BBG000RYC984</t>
        </is>
      </c>
      <c r="B177" s="3">
        <f>IF('3a Raw'!C177="","",MAX(-3,MIN(3,('3a Raw'!C177-$B3)/$B4)))</f>
        <v/>
      </c>
      <c r="C177" s="3">
        <f>IF(B177="","",(B177-AVERAGE(B6:B1198))/(STDEV(B6:B1198)+1E-12))</f>
        <v/>
      </c>
      <c r="D177" s="3">
        <f>IF('3a Raw'!D177="","",MAX(-3,MIN(3,('3a Raw'!D177-$D3)/$D4)))</f>
        <v/>
      </c>
      <c r="E177" s="3">
        <f>IF(D177="","",(D177-AVERAGE(D6:D1198))/(STDEV(D6:D1198)+1E-12))</f>
        <v/>
      </c>
      <c r="F177" s="3">
        <f>IF('3a Raw'!E177="","",MAX(-3,MIN(3,('3a Raw'!E177-$F3)/$F4)))</f>
        <v/>
      </c>
      <c r="G177" s="3">
        <f>IF(F177="","",(F177-AVERAGE(F6:F1198))/(STDEV(F6:F1198)+1E-12))</f>
        <v/>
      </c>
      <c r="H177" s="3">
        <f>IF('3a Raw'!F177="","",MAX(-3,MIN(3,('3a Raw'!F177-$H3)/$H4)))</f>
        <v/>
      </c>
      <c r="I177" s="3">
        <f>IF(H177="","",(H177-AVERAGE(H6:H1198))/(STDEV(H6:H1198)+1E-12))</f>
        <v/>
      </c>
      <c r="J177" s="3">
        <f>IF('3a Raw'!G177="","",MAX(-3,MIN(3,('3a Raw'!G177-$J3)/$J4)))</f>
        <v/>
      </c>
      <c r="K177" s="3">
        <f>IF(J177="","",(J177-AVERAGE(J6:J1198))/(STDEV(J6:J1198)+1E-12))</f>
        <v/>
      </c>
      <c r="L177" s="3">
        <f>IF('3a Raw'!H177="","",MAX(-3,MIN(3,('3a Raw'!H177-$L3)/$L4)))</f>
        <v/>
      </c>
      <c r="M177" s="3">
        <f>IF(L177="","",(L177-AVERAGE(L6:L1198))/(STDEV(L6:L1198)+1E-12))</f>
        <v/>
      </c>
      <c r="N177" s="3">
        <f>IF('3a Raw'!I177="","",MAX(-3,MIN(3,('3a Raw'!I177-$N3)/$N4)))</f>
        <v/>
      </c>
      <c r="O177" s="3">
        <f>IF(N177="","",(N177-AVERAGE(N6:N1198))/(STDEV(N6:N1198)+1E-12))</f>
        <v/>
      </c>
      <c r="P177" s="3">
        <f>IF('3a Raw'!J177="","",MAX(-3,MIN(3,('3a Raw'!J177-$P3)/$P4)))</f>
        <v/>
      </c>
      <c r="Q177" s="3">
        <f>IF(P177="","",(P177-AVERAGE(P6:P1198))/(STDEV(P6:P1198)+1E-12))</f>
        <v/>
      </c>
      <c r="R177" s="3">
        <f>IF('3a Raw'!K177="","",MAX(-3,MIN(3,('3a Raw'!K177-$R3)/$R4)))</f>
        <v/>
      </c>
      <c r="S177" s="3">
        <f>IF(R177="","",(R177-AVERAGE(R6:R1198))/(STDEV(R6:R1198)+1E-12))</f>
        <v/>
      </c>
      <c r="T177" s="3">
        <f>IF('3a Raw'!L177="","",MAX(-3,MIN(3,('3a Raw'!L177-$T3)/$T4)))</f>
        <v/>
      </c>
      <c r="U177" s="3">
        <f>IF(T177="","",(T177-AVERAGE(T6:T1198))/(STDEV(T6:T1198)+1E-12))</f>
        <v/>
      </c>
      <c r="X177" s="3">
        <f>IF(U177="","",U177-($V$3*G177+$W$3))</f>
        <v/>
      </c>
      <c r="Y177" s="3">
        <f>IF(X177="","",MAX(-3,MIN(3,(X177-$X3)/$X4)))</f>
        <v/>
      </c>
      <c r="Z177" s="3">
        <f>IF(Y177="","",(Y177-AVERAGE(Y6:Y1198))/(STDEV(Y6:Y1198)+1E-12))</f>
        <v/>
      </c>
    </row>
    <row r="178">
      <c r="A178" t="inlineStr">
        <is>
          <t>BBG00L1LT6D6</t>
        </is>
      </c>
      <c r="B178" s="3">
        <f>IF('3a Raw'!C178="","",MAX(-3,MIN(3,('3a Raw'!C178-$B3)/$B4)))</f>
        <v/>
      </c>
      <c r="C178" s="3">
        <f>IF(B178="","",(B178-AVERAGE(B6:B1198))/(STDEV(B6:B1198)+1E-12))</f>
        <v/>
      </c>
      <c r="D178" s="3">
        <f>IF('3a Raw'!D178="","",MAX(-3,MIN(3,('3a Raw'!D178-$D3)/$D4)))</f>
        <v/>
      </c>
      <c r="E178" s="3">
        <f>IF(D178="","",(D178-AVERAGE(D6:D1198))/(STDEV(D6:D1198)+1E-12))</f>
        <v/>
      </c>
      <c r="F178" s="3">
        <f>IF('3a Raw'!E178="","",MAX(-3,MIN(3,('3a Raw'!E178-$F3)/$F4)))</f>
        <v/>
      </c>
      <c r="G178" s="3">
        <f>IF(F178="","",(F178-AVERAGE(F6:F1198))/(STDEV(F6:F1198)+1E-12))</f>
        <v/>
      </c>
      <c r="H178" s="3">
        <f>IF('3a Raw'!F178="","",MAX(-3,MIN(3,('3a Raw'!F178-$H3)/$H4)))</f>
        <v/>
      </c>
      <c r="I178" s="3">
        <f>IF(H178="","",(H178-AVERAGE(H6:H1198))/(STDEV(H6:H1198)+1E-12))</f>
        <v/>
      </c>
      <c r="J178" s="3">
        <f>IF('3a Raw'!G178="","",MAX(-3,MIN(3,('3a Raw'!G178-$J3)/$J4)))</f>
        <v/>
      </c>
      <c r="K178" s="3">
        <f>IF(J178="","",(J178-AVERAGE(J6:J1198))/(STDEV(J6:J1198)+1E-12))</f>
        <v/>
      </c>
      <c r="L178" s="3">
        <f>IF('3a Raw'!H178="","",MAX(-3,MIN(3,('3a Raw'!H178-$L3)/$L4)))</f>
        <v/>
      </c>
      <c r="M178" s="3">
        <f>IF(L178="","",(L178-AVERAGE(L6:L1198))/(STDEV(L6:L1198)+1E-12))</f>
        <v/>
      </c>
      <c r="N178" s="3">
        <f>IF('3a Raw'!I178="","",MAX(-3,MIN(3,('3a Raw'!I178-$N3)/$N4)))</f>
        <v/>
      </c>
      <c r="O178" s="3">
        <f>IF(N178="","",(N178-AVERAGE(N6:N1198))/(STDEV(N6:N1198)+1E-12))</f>
        <v/>
      </c>
      <c r="P178" s="3">
        <f>IF('3a Raw'!J178="","",MAX(-3,MIN(3,('3a Raw'!J178-$P3)/$P4)))</f>
        <v/>
      </c>
      <c r="Q178" s="3">
        <f>IF(P178="","",(P178-AVERAGE(P6:P1198))/(STDEV(P6:P1198)+1E-12))</f>
        <v/>
      </c>
      <c r="R178" s="3">
        <f>IF('3a Raw'!K178="","",MAX(-3,MIN(3,('3a Raw'!K178-$R3)/$R4)))</f>
        <v/>
      </c>
      <c r="S178" s="3">
        <f>IF(R178="","",(R178-AVERAGE(R6:R1198))/(STDEV(R6:R1198)+1E-12))</f>
        <v/>
      </c>
      <c r="T178" s="3">
        <f>IF('3a Raw'!L178="","",MAX(-3,MIN(3,('3a Raw'!L178-$T3)/$T4)))</f>
        <v/>
      </c>
      <c r="U178" s="3">
        <f>IF(T178="","",(T178-AVERAGE(T6:T1198))/(STDEV(T6:T1198)+1E-12))</f>
        <v/>
      </c>
      <c r="X178" s="3">
        <f>IF(U178="","",U178-($V$3*G178+$W$3))</f>
        <v/>
      </c>
      <c r="Y178" s="3">
        <f>IF(X178="","",MAX(-3,MIN(3,(X178-$X3)/$X4)))</f>
        <v/>
      </c>
      <c r="Z178" s="3">
        <f>IF(Y178="","",(Y178-AVERAGE(Y6:Y1198))/(STDEV(Y6:Y1198)+1E-12))</f>
        <v/>
      </c>
    </row>
    <row r="179">
      <c r="A179" t="inlineStr">
        <is>
          <t>BBG000BJ49H3</t>
        </is>
      </c>
      <c r="B179" s="3">
        <f>IF('3a Raw'!C179="","",MAX(-3,MIN(3,('3a Raw'!C179-$B3)/$B4)))</f>
        <v/>
      </c>
      <c r="C179" s="3">
        <f>IF(B179="","",(B179-AVERAGE(B6:B1198))/(STDEV(B6:B1198)+1E-12))</f>
        <v/>
      </c>
      <c r="D179" s="3">
        <f>IF('3a Raw'!D179="","",MAX(-3,MIN(3,('3a Raw'!D179-$D3)/$D4)))</f>
        <v/>
      </c>
      <c r="E179" s="3">
        <f>IF(D179="","",(D179-AVERAGE(D6:D1198))/(STDEV(D6:D1198)+1E-12))</f>
        <v/>
      </c>
      <c r="F179" s="3">
        <f>IF('3a Raw'!E179="","",MAX(-3,MIN(3,('3a Raw'!E179-$F3)/$F4)))</f>
        <v/>
      </c>
      <c r="G179" s="3">
        <f>IF(F179="","",(F179-AVERAGE(F6:F1198))/(STDEV(F6:F1198)+1E-12))</f>
        <v/>
      </c>
      <c r="H179" s="3">
        <f>IF('3a Raw'!F179="","",MAX(-3,MIN(3,('3a Raw'!F179-$H3)/$H4)))</f>
        <v/>
      </c>
      <c r="I179" s="3">
        <f>IF(H179="","",(H179-AVERAGE(H6:H1198))/(STDEV(H6:H1198)+1E-12))</f>
        <v/>
      </c>
      <c r="J179" s="3">
        <f>IF('3a Raw'!G179="","",MAX(-3,MIN(3,('3a Raw'!G179-$J3)/$J4)))</f>
        <v/>
      </c>
      <c r="K179" s="3">
        <f>IF(J179="","",(J179-AVERAGE(J6:J1198))/(STDEV(J6:J1198)+1E-12))</f>
        <v/>
      </c>
      <c r="L179" s="3">
        <f>IF('3a Raw'!H179="","",MAX(-3,MIN(3,('3a Raw'!H179-$L3)/$L4)))</f>
        <v/>
      </c>
      <c r="M179" s="3">
        <f>IF(L179="","",(L179-AVERAGE(L6:L1198))/(STDEV(L6:L1198)+1E-12))</f>
        <v/>
      </c>
      <c r="N179" s="3">
        <f>IF('3a Raw'!I179="","",MAX(-3,MIN(3,('3a Raw'!I179-$N3)/$N4)))</f>
        <v/>
      </c>
      <c r="O179" s="3">
        <f>IF(N179="","",(N179-AVERAGE(N6:N1198))/(STDEV(N6:N1198)+1E-12))</f>
        <v/>
      </c>
      <c r="P179" s="3">
        <f>IF('3a Raw'!J179="","",MAX(-3,MIN(3,('3a Raw'!J179-$P3)/$P4)))</f>
        <v/>
      </c>
      <c r="Q179" s="3">
        <f>IF(P179="","",(P179-AVERAGE(P6:P1198))/(STDEV(P6:P1198)+1E-12))</f>
        <v/>
      </c>
      <c r="R179" s="3">
        <f>IF('3a Raw'!K179="","",MAX(-3,MIN(3,('3a Raw'!K179-$R3)/$R4)))</f>
        <v/>
      </c>
      <c r="S179" s="3">
        <f>IF(R179="","",(R179-AVERAGE(R6:R1198))/(STDEV(R6:R1198)+1E-12))</f>
        <v/>
      </c>
      <c r="T179" s="3">
        <f>IF('3a Raw'!L179="","",MAX(-3,MIN(3,('3a Raw'!L179-$T3)/$T4)))</f>
        <v/>
      </c>
      <c r="U179" s="3">
        <f>IF(T179="","",(T179-AVERAGE(T6:T1198))/(STDEV(T6:T1198)+1E-12))</f>
        <v/>
      </c>
      <c r="X179" s="3">
        <f>IF(U179="","",U179-($V$3*G179+$W$3))</f>
        <v/>
      </c>
      <c r="Y179" s="3">
        <f>IF(X179="","",MAX(-3,MIN(3,(X179-$X3)/$X4)))</f>
        <v/>
      </c>
      <c r="Z179" s="3">
        <f>IF(Y179="","",(Y179-AVERAGE(Y6:Y1198))/(STDEV(Y6:Y1198)+1E-12))</f>
        <v/>
      </c>
    </row>
    <row r="180">
      <c r="A180" t="inlineStr">
        <is>
          <t>BBG000BH0106</t>
        </is>
      </c>
      <c r="B180" s="3">
        <f>IF('3a Raw'!C180="","",MAX(-3,MIN(3,('3a Raw'!C180-$B3)/$B4)))</f>
        <v/>
      </c>
      <c r="C180" s="3">
        <f>IF(B180="","",(B180-AVERAGE(B6:B1198))/(STDEV(B6:B1198)+1E-12))</f>
        <v/>
      </c>
      <c r="D180" s="3">
        <f>IF('3a Raw'!D180="","",MAX(-3,MIN(3,('3a Raw'!D180-$D3)/$D4)))</f>
        <v/>
      </c>
      <c r="E180" s="3">
        <f>IF(D180="","",(D180-AVERAGE(D6:D1198))/(STDEV(D6:D1198)+1E-12))</f>
        <v/>
      </c>
      <c r="F180" s="3">
        <f>IF('3a Raw'!E180="","",MAX(-3,MIN(3,('3a Raw'!E180-$F3)/$F4)))</f>
        <v/>
      </c>
      <c r="G180" s="3">
        <f>IF(F180="","",(F180-AVERAGE(F6:F1198))/(STDEV(F6:F1198)+1E-12))</f>
        <v/>
      </c>
      <c r="H180" s="3">
        <f>IF('3a Raw'!F180="","",MAX(-3,MIN(3,('3a Raw'!F180-$H3)/$H4)))</f>
        <v/>
      </c>
      <c r="I180" s="3">
        <f>IF(H180="","",(H180-AVERAGE(H6:H1198))/(STDEV(H6:H1198)+1E-12))</f>
        <v/>
      </c>
      <c r="J180" s="3">
        <f>IF('3a Raw'!G180="","",MAX(-3,MIN(3,('3a Raw'!G180-$J3)/$J4)))</f>
        <v/>
      </c>
      <c r="K180" s="3">
        <f>IF(J180="","",(J180-AVERAGE(J6:J1198))/(STDEV(J6:J1198)+1E-12))</f>
        <v/>
      </c>
      <c r="L180" s="3">
        <f>IF('3a Raw'!H180="","",MAX(-3,MIN(3,('3a Raw'!H180-$L3)/$L4)))</f>
        <v/>
      </c>
      <c r="M180" s="3">
        <f>IF(L180="","",(L180-AVERAGE(L6:L1198))/(STDEV(L6:L1198)+1E-12))</f>
        <v/>
      </c>
      <c r="N180" s="3">
        <f>IF('3a Raw'!I180="","",MAX(-3,MIN(3,('3a Raw'!I180-$N3)/$N4)))</f>
        <v/>
      </c>
      <c r="O180" s="3">
        <f>IF(N180="","",(N180-AVERAGE(N6:N1198))/(STDEV(N6:N1198)+1E-12))</f>
        <v/>
      </c>
      <c r="P180" s="3">
        <f>IF('3a Raw'!J180="","",MAX(-3,MIN(3,('3a Raw'!J180-$P3)/$P4)))</f>
        <v/>
      </c>
      <c r="Q180" s="3">
        <f>IF(P180="","",(P180-AVERAGE(P6:P1198))/(STDEV(P6:P1198)+1E-12))</f>
        <v/>
      </c>
      <c r="R180" s="3">
        <f>IF('3a Raw'!K180="","",MAX(-3,MIN(3,('3a Raw'!K180-$R3)/$R4)))</f>
        <v/>
      </c>
      <c r="S180" s="3">
        <f>IF(R180="","",(R180-AVERAGE(R6:R1198))/(STDEV(R6:R1198)+1E-12))</f>
        <v/>
      </c>
      <c r="T180" s="3">
        <f>IF('3a Raw'!L180="","",MAX(-3,MIN(3,('3a Raw'!L180-$T3)/$T4)))</f>
        <v/>
      </c>
      <c r="U180" s="3">
        <f>IF(T180="","",(T180-AVERAGE(T6:T1198))/(STDEV(T6:T1198)+1E-12))</f>
        <v/>
      </c>
      <c r="X180" s="3">
        <f>IF(U180="","",U180-($V$3*G180+$W$3))</f>
        <v/>
      </c>
      <c r="Y180" s="3">
        <f>IF(X180="","",MAX(-3,MIN(3,(X180-$X3)/$X4)))</f>
        <v/>
      </c>
      <c r="Z180" s="3">
        <f>IF(Y180="","",(Y180-AVERAGE(Y6:Y1198))/(STDEV(Y6:Y1198)+1E-12))</f>
        <v/>
      </c>
    </row>
    <row r="181">
      <c r="A181" t="inlineStr">
        <is>
          <t>BBG000BGKJ70</t>
        </is>
      </c>
      <c r="B181" s="3">
        <f>IF('3a Raw'!C181="","",MAX(-3,MIN(3,('3a Raw'!C181-$B3)/$B4)))</f>
        <v/>
      </c>
      <c r="C181" s="3">
        <f>IF(B181="","",(B181-AVERAGE(B6:B1198))/(STDEV(B6:B1198)+1E-12))</f>
        <v/>
      </c>
      <c r="D181" s="3">
        <f>IF('3a Raw'!D181="","",MAX(-3,MIN(3,('3a Raw'!D181-$D3)/$D4)))</f>
        <v/>
      </c>
      <c r="E181" s="3">
        <f>IF(D181="","",(D181-AVERAGE(D6:D1198))/(STDEV(D6:D1198)+1E-12))</f>
        <v/>
      </c>
      <c r="F181" s="3">
        <f>IF('3a Raw'!E181="","",MAX(-3,MIN(3,('3a Raw'!E181-$F3)/$F4)))</f>
        <v/>
      </c>
      <c r="G181" s="3">
        <f>IF(F181="","",(F181-AVERAGE(F6:F1198))/(STDEV(F6:F1198)+1E-12))</f>
        <v/>
      </c>
      <c r="H181" s="3">
        <f>IF('3a Raw'!F181="","",MAX(-3,MIN(3,('3a Raw'!F181-$H3)/$H4)))</f>
        <v/>
      </c>
      <c r="I181" s="3">
        <f>IF(H181="","",(H181-AVERAGE(H6:H1198))/(STDEV(H6:H1198)+1E-12))</f>
        <v/>
      </c>
      <c r="J181" s="3">
        <f>IF('3a Raw'!G181="","",MAX(-3,MIN(3,('3a Raw'!G181-$J3)/$J4)))</f>
        <v/>
      </c>
      <c r="K181" s="3">
        <f>IF(J181="","",(J181-AVERAGE(J6:J1198))/(STDEV(J6:J1198)+1E-12))</f>
        <v/>
      </c>
      <c r="L181" s="3">
        <f>IF('3a Raw'!H181="","",MAX(-3,MIN(3,('3a Raw'!H181-$L3)/$L4)))</f>
        <v/>
      </c>
      <c r="M181" s="3">
        <f>IF(L181="","",(L181-AVERAGE(L6:L1198))/(STDEV(L6:L1198)+1E-12))</f>
        <v/>
      </c>
      <c r="N181" s="3">
        <f>IF('3a Raw'!I181="","",MAX(-3,MIN(3,('3a Raw'!I181-$N3)/$N4)))</f>
        <v/>
      </c>
      <c r="O181" s="3">
        <f>IF(N181="","",(N181-AVERAGE(N6:N1198))/(STDEV(N6:N1198)+1E-12))</f>
        <v/>
      </c>
      <c r="P181" s="3">
        <f>IF('3a Raw'!J181="","",MAX(-3,MIN(3,('3a Raw'!J181-$P3)/$P4)))</f>
        <v/>
      </c>
      <c r="Q181" s="3">
        <f>IF(P181="","",(P181-AVERAGE(P6:P1198))/(STDEV(P6:P1198)+1E-12))</f>
        <v/>
      </c>
      <c r="R181" s="3">
        <f>IF('3a Raw'!K181="","",MAX(-3,MIN(3,('3a Raw'!K181-$R3)/$R4)))</f>
        <v/>
      </c>
      <c r="S181" s="3">
        <f>IF(R181="","",(R181-AVERAGE(R6:R1198))/(STDEV(R6:R1198)+1E-12))</f>
        <v/>
      </c>
      <c r="T181" s="3">
        <f>IF('3a Raw'!L181="","",MAX(-3,MIN(3,('3a Raw'!L181-$T3)/$T4)))</f>
        <v/>
      </c>
      <c r="U181" s="3">
        <f>IF(T181="","",(T181-AVERAGE(T6:T1198))/(STDEV(T6:T1198)+1E-12))</f>
        <v/>
      </c>
      <c r="X181" s="3">
        <f>IF(U181="","",U181-($V$3*G181+$W$3))</f>
        <v/>
      </c>
      <c r="Y181" s="3">
        <f>IF(X181="","",MAX(-3,MIN(3,(X181-$X3)/$X4)))</f>
        <v/>
      </c>
      <c r="Z181" s="3">
        <f>IF(Y181="","",(Y181-AVERAGE(Y6:Y1198))/(STDEV(Y6:Y1198)+1E-12))</f>
        <v/>
      </c>
    </row>
    <row r="182">
      <c r="A182" t="inlineStr">
        <is>
          <t>BBG000BS5CM9</t>
        </is>
      </c>
      <c r="B182" s="3">
        <f>IF('3a Raw'!C182="","",MAX(-3,MIN(3,('3a Raw'!C182-$B3)/$B4)))</f>
        <v/>
      </c>
      <c r="C182" s="3">
        <f>IF(B182="","",(B182-AVERAGE(B6:B1198))/(STDEV(B6:B1198)+1E-12))</f>
        <v/>
      </c>
      <c r="D182" s="3">
        <f>IF('3a Raw'!D182="","",MAX(-3,MIN(3,('3a Raw'!D182-$D3)/$D4)))</f>
        <v/>
      </c>
      <c r="E182" s="3">
        <f>IF(D182="","",(D182-AVERAGE(D6:D1198))/(STDEV(D6:D1198)+1E-12))</f>
        <v/>
      </c>
      <c r="F182" s="3">
        <f>IF('3a Raw'!E182="","",MAX(-3,MIN(3,('3a Raw'!E182-$F3)/$F4)))</f>
        <v/>
      </c>
      <c r="G182" s="3">
        <f>IF(F182="","",(F182-AVERAGE(F6:F1198))/(STDEV(F6:F1198)+1E-12))</f>
        <v/>
      </c>
      <c r="H182" s="3">
        <f>IF('3a Raw'!F182="","",MAX(-3,MIN(3,('3a Raw'!F182-$H3)/$H4)))</f>
        <v/>
      </c>
      <c r="I182" s="3">
        <f>IF(H182="","",(H182-AVERAGE(H6:H1198))/(STDEV(H6:H1198)+1E-12))</f>
        <v/>
      </c>
      <c r="J182" s="3">
        <f>IF('3a Raw'!G182="","",MAX(-3,MIN(3,('3a Raw'!G182-$J3)/$J4)))</f>
        <v/>
      </c>
      <c r="K182" s="3">
        <f>IF(J182="","",(J182-AVERAGE(J6:J1198))/(STDEV(J6:J1198)+1E-12))</f>
        <v/>
      </c>
      <c r="L182" s="3">
        <f>IF('3a Raw'!H182="","",MAX(-3,MIN(3,('3a Raw'!H182-$L3)/$L4)))</f>
        <v/>
      </c>
      <c r="M182" s="3">
        <f>IF(L182="","",(L182-AVERAGE(L6:L1198))/(STDEV(L6:L1198)+1E-12))</f>
        <v/>
      </c>
      <c r="N182" s="3">
        <f>IF('3a Raw'!I182="","",MAX(-3,MIN(3,('3a Raw'!I182-$N3)/$N4)))</f>
        <v/>
      </c>
      <c r="O182" s="3">
        <f>IF(N182="","",(N182-AVERAGE(N6:N1198))/(STDEV(N6:N1198)+1E-12))</f>
        <v/>
      </c>
      <c r="P182" s="3">
        <f>IF('3a Raw'!J182="","",MAX(-3,MIN(3,('3a Raw'!J182-$P3)/$P4)))</f>
        <v/>
      </c>
      <c r="Q182" s="3">
        <f>IF(P182="","",(P182-AVERAGE(P6:P1198))/(STDEV(P6:P1198)+1E-12))</f>
        <v/>
      </c>
      <c r="R182" s="3">
        <f>IF('3a Raw'!K182="","",MAX(-3,MIN(3,('3a Raw'!K182-$R3)/$R4)))</f>
        <v/>
      </c>
      <c r="S182" s="3">
        <f>IF(R182="","",(R182-AVERAGE(R6:R1198))/(STDEV(R6:R1198)+1E-12))</f>
        <v/>
      </c>
      <c r="T182" s="3">
        <f>IF('3a Raw'!L182="","",MAX(-3,MIN(3,('3a Raw'!L182-$T3)/$T4)))</f>
        <v/>
      </c>
      <c r="U182" s="3">
        <f>IF(T182="","",(T182-AVERAGE(T6:T1198))/(STDEV(T6:T1198)+1E-12))</f>
        <v/>
      </c>
      <c r="X182" s="3">
        <f>IF(U182="","",U182-($V$3*G182+$W$3))</f>
        <v/>
      </c>
      <c r="Y182" s="3">
        <f>IF(X182="","",MAX(-3,MIN(3,(X182-$X3)/$X4)))</f>
        <v/>
      </c>
      <c r="Z182" s="3">
        <f>IF(Y182="","",(Y182-AVERAGE(Y6:Y1198))/(STDEV(Y6:Y1198)+1E-12))</f>
        <v/>
      </c>
    </row>
    <row r="183">
      <c r="A183" t="inlineStr">
        <is>
          <t>BBG00MS80PM3</t>
        </is>
      </c>
      <c r="B183" s="3">
        <f>IF('3a Raw'!C183="","",MAX(-3,MIN(3,('3a Raw'!C183-$B3)/$B4)))</f>
        <v/>
      </c>
      <c r="C183" s="3">
        <f>IF(B183="","",(B183-AVERAGE(B6:B1198))/(STDEV(B6:B1198)+1E-12))</f>
        <v/>
      </c>
      <c r="D183" s="3">
        <f>IF('3a Raw'!D183="","",MAX(-3,MIN(3,('3a Raw'!D183-$D3)/$D4)))</f>
        <v/>
      </c>
      <c r="E183" s="3">
        <f>IF(D183="","",(D183-AVERAGE(D6:D1198))/(STDEV(D6:D1198)+1E-12))</f>
        <v/>
      </c>
      <c r="F183" s="3">
        <f>IF('3a Raw'!E183="","",MAX(-3,MIN(3,('3a Raw'!E183-$F3)/$F4)))</f>
        <v/>
      </c>
      <c r="G183" s="3">
        <f>IF(F183="","",(F183-AVERAGE(F6:F1198))/(STDEV(F6:F1198)+1E-12))</f>
        <v/>
      </c>
      <c r="H183" s="3">
        <f>IF('3a Raw'!F183="","",MAX(-3,MIN(3,('3a Raw'!F183-$H3)/$H4)))</f>
        <v/>
      </c>
      <c r="I183" s="3">
        <f>IF(H183="","",(H183-AVERAGE(H6:H1198))/(STDEV(H6:H1198)+1E-12))</f>
        <v/>
      </c>
      <c r="J183" s="3">
        <f>IF('3a Raw'!G183="","",MAX(-3,MIN(3,('3a Raw'!G183-$J3)/$J4)))</f>
        <v/>
      </c>
      <c r="K183" s="3">
        <f>IF(J183="","",(J183-AVERAGE(J6:J1198))/(STDEV(J6:J1198)+1E-12))</f>
        <v/>
      </c>
      <c r="L183" s="3">
        <f>IF('3a Raw'!H183="","",MAX(-3,MIN(3,('3a Raw'!H183-$L3)/$L4)))</f>
        <v/>
      </c>
      <c r="M183" s="3">
        <f>IF(L183="","",(L183-AVERAGE(L6:L1198))/(STDEV(L6:L1198)+1E-12))</f>
        <v/>
      </c>
      <c r="N183" s="3">
        <f>IF('3a Raw'!I183="","",MAX(-3,MIN(3,('3a Raw'!I183-$N3)/$N4)))</f>
        <v/>
      </c>
      <c r="O183" s="3">
        <f>IF(N183="","",(N183-AVERAGE(N6:N1198))/(STDEV(N6:N1198)+1E-12))</f>
        <v/>
      </c>
      <c r="P183" s="3">
        <f>IF('3a Raw'!J183="","",MAX(-3,MIN(3,('3a Raw'!J183-$P3)/$P4)))</f>
        <v/>
      </c>
      <c r="Q183" s="3">
        <f>IF(P183="","",(P183-AVERAGE(P6:P1198))/(STDEV(P6:P1198)+1E-12))</f>
        <v/>
      </c>
      <c r="R183" s="3">
        <f>IF('3a Raw'!K183="","",MAX(-3,MIN(3,('3a Raw'!K183-$R3)/$R4)))</f>
        <v/>
      </c>
      <c r="S183" s="3">
        <f>IF(R183="","",(R183-AVERAGE(R6:R1198))/(STDEV(R6:R1198)+1E-12))</f>
        <v/>
      </c>
      <c r="T183" s="3">
        <f>IF('3a Raw'!L183="","",MAX(-3,MIN(3,('3a Raw'!L183-$T3)/$T4)))</f>
        <v/>
      </c>
      <c r="U183" s="3">
        <f>IF(T183="","",(T183-AVERAGE(T6:T1198))/(STDEV(T6:T1198)+1E-12))</f>
        <v/>
      </c>
      <c r="X183" s="3">
        <f>IF(U183="","",U183-($V$3*G183+$W$3))</f>
        <v/>
      </c>
      <c r="Y183" s="3">
        <f>IF(X183="","",MAX(-3,MIN(3,(X183-$X3)/$X4)))</f>
        <v/>
      </c>
      <c r="Z183" s="3">
        <f>IF(Y183="","",(Y183-AVERAGE(Y6:Y1198))/(STDEV(Y6:Y1198)+1E-12))</f>
        <v/>
      </c>
    </row>
    <row r="184">
      <c r="A184" t="inlineStr">
        <is>
          <t>BBG000FY4S11</t>
        </is>
      </c>
      <c r="B184" s="3">
        <f>IF('3a Raw'!C184="","",MAX(-3,MIN(3,('3a Raw'!C184-$B3)/$B4)))</f>
        <v/>
      </c>
      <c r="C184" s="3">
        <f>IF(B184="","",(B184-AVERAGE(B6:B1198))/(STDEV(B6:B1198)+1E-12))</f>
        <v/>
      </c>
      <c r="D184" s="3">
        <f>IF('3a Raw'!D184="","",MAX(-3,MIN(3,('3a Raw'!D184-$D3)/$D4)))</f>
        <v/>
      </c>
      <c r="E184" s="3">
        <f>IF(D184="","",(D184-AVERAGE(D6:D1198))/(STDEV(D6:D1198)+1E-12))</f>
        <v/>
      </c>
      <c r="F184" s="3">
        <f>IF('3a Raw'!E184="","",MAX(-3,MIN(3,('3a Raw'!E184-$F3)/$F4)))</f>
        <v/>
      </c>
      <c r="G184" s="3">
        <f>IF(F184="","",(F184-AVERAGE(F6:F1198))/(STDEV(F6:F1198)+1E-12))</f>
        <v/>
      </c>
      <c r="H184" s="3">
        <f>IF('3a Raw'!F184="","",MAX(-3,MIN(3,('3a Raw'!F184-$H3)/$H4)))</f>
        <v/>
      </c>
      <c r="I184" s="3">
        <f>IF(H184="","",(H184-AVERAGE(H6:H1198))/(STDEV(H6:H1198)+1E-12))</f>
        <v/>
      </c>
      <c r="J184" s="3">
        <f>IF('3a Raw'!G184="","",MAX(-3,MIN(3,('3a Raw'!G184-$J3)/$J4)))</f>
        <v/>
      </c>
      <c r="K184" s="3">
        <f>IF(J184="","",(J184-AVERAGE(J6:J1198))/(STDEV(J6:J1198)+1E-12))</f>
        <v/>
      </c>
      <c r="L184" s="3">
        <f>IF('3a Raw'!H184="","",MAX(-3,MIN(3,('3a Raw'!H184-$L3)/$L4)))</f>
        <v/>
      </c>
      <c r="M184" s="3">
        <f>IF(L184="","",(L184-AVERAGE(L6:L1198))/(STDEV(L6:L1198)+1E-12))</f>
        <v/>
      </c>
      <c r="N184" s="3">
        <f>IF('3a Raw'!I184="","",MAX(-3,MIN(3,('3a Raw'!I184-$N3)/$N4)))</f>
        <v/>
      </c>
      <c r="O184" s="3">
        <f>IF(N184="","",(N184-AVERAGE(N6:N1198))/(STDEV(N6:N1198)+1E-12))</f>
        <v/>
      </c>
      <c r="P184" s="3">
        <f>IF('3a Raw'!J184="","",MAX(-3,MIN(3,('3a Raw'!J184-$P3)/$P4)))</f>
        <v/>
      </c>
      <c r="Q184" s="3">
        <f>IF(P184="","",(P184-AVERAGE(P6:P1198))/(STDEV(P6:P1198)+1E-12))</f>
        <v/>
      </c>
      <c r="R184" s="3">
        <f>IF('3a Raw'!K184="","",MAX(-3,MIN(3,('3a Raw'!K184-$R3)/$R4)))</f>
        <v/>
      </c>
      <c r="S184" s="3">
        <f>IF(R184="","",(R184-AVERAGE(R6:R1198))/(STDEV(R6:R1198)+1E-12))</f>
        <v/>
      </c>
      <c r="T184" s="3">
        <f>IF('3a Raw'!L184="","",MAX(-3,MIN(3,('3a Raw'!L184-$T3)/$T4)))</f>
        <v/>
      </c>
      <c r="U184" s="3">
        <f>IF(T184="","",(T184-AVERAGE(T6:T1198))/(STDEV(T6:T1198)+1E-12))</f>
        <v/>
      </c>
      <c r="X184" s="3">
        <f>IF(U184="","",U184-($V$3*G184+$W$3))</f>
        <v/>
      </c>
      <c r="Y184" s="3">
        <f>IF(X184="","",MAX(-3,MIN(3,(X184-$X3)/$X4)))</f>
        <v/>
      </c>
      <c r="Z184" s="3">
        <f>IF(Y184="","",(Y184-AVERAGE(Y6:Y1198))/(STDEV(Y6:Y1198)+1E-12))</f>
        <v/>
      </c>
    </row>
    <row r="185">
      <c r="A185" t="inlineStr">
        <is>
          <t>BBG000CS0D96</t>
        </is>
      </c>
      <c r="B185" s="3">
        <f>IF('3a Raw'!C185="","",MAX(-3,MIN(3,('3a Raw'!C185-$B3)/$B4)))</f>
        <v/>
      </c>
      <c r="C185" s="3">
        <f>IF(B185="","",(B185-AVERAGE(B6:B1198))/(STDEV(B6:B1198)+1E-12))</f>
        <v/>
      </c>
      <c r="D185" s="3">
        <f>IF('3a Raw'!D185="","",MAX(-3,MIN(3,('3a Raw'!D185-$D3)/$D4)))</f>
        <v/>
      </c>
      <c r="E185" s="3">
        <f>IF(D185="","",(D185-AVERAGE(D6:D1198))/(STDEV(D6:D1198)+1E-12))</f>
        <v/>
      </c>
      <c r="F185" s="3">
        <f>IF('3a Raw'!E185="","",MAX(-3,MIN(3,('3a Raw'!E185-$F3)/$F4)))</f>
        <v/>
      </c>
      <c r="G185" s="3">
        <f>IF(F185="","",(F185-AVERAGE(F6:F1198))/(STDEV(F6:F1198)+1E-12))</f>
        <v/>
      </c>
      <c r="H185" s="3">
        <f>IF('3a Raw'!F185="","",MAX(-3,MIN(3,('3a Raw'!F185-$H3)/$H4)))</f>
        <v/>
      </c>
      <c r="I185" s="3">
        <f>IF(H185="","",(H185-AVERAGE(H6:H1198))/(STDEV(H6:H1198)+1E-12))</f>
        <v/>
      </c>
      <c r="J185" s="3">
        <f>IF('3a Raw'!G185="","",MAX(-3,MIN(3,('3a Raw'!G185-$J3)/$J4)))</f>
        <v/>
      </c>
      <c r="K185" s="3">
        <f>IF(J185="","",(J185-AVERAGE(J6:J1198))/(STDEV(J6:J1198)+1E-12))</f>
        <v/>
      </c>
      <c r="L185" s="3">
        <f>IF('3a Raw'!H185="","",MAX(-3,MIN(3,('3a Raw'!H185-$L3)/$L4)))</f>
        <v/>
      </c>
      <c r="M185" s="3">
        <f>IF(L185="","",(L185-AVERAGE(L6:L1198))/(STDEV(L6:L1198)+1E-12))</f>
        <v/>
      </c>
      <c r="N185" s="3">
        <f>IF('3a Raw'!I185="","",MAX(-3,MIN(3,('3a Raw'!I185-$N3)/$N4)))</f>
        <v/>
      </c>
      <c r="O185" s="3">
        <f>IF(N185="","",(N185-AVERAGE(N6:N1198))/(STDEV(N6:N1198)+1E-12))</f>
        <v/>
      </c>
      <c r="P185" s="3">
        <f>IF('3a Raw'!J185="","",MAX(-3,MIN(3,('3a Raw'!J185-$P3)/$P4)))</f>
        <v/>
      </c>
      <c r="Q185" s="3">
        <f>IF(P185="","",(P185-AVERAGE(P6:P1198))/(STDEV(P6:P1198)+1E-12))</f>
        <v/>
      </c>
      <c r="R185" s="3">
        <f>IF('3a Raw'!K185="","",MAX(-3,MIN(3,('3a Raw'!K185-$R3)/$R4)))</f>
        <v/>
      </c>
      <c r="S185" s="3">
        <f>IF(R185="","",(R185-AVERAGE(R6:R1198))/(STDEV(R6:R1198)+1E-12))</f>
        <v/>
      </c>
      <c r="T185" s="3">
        <f>IF('3a Raw'!L185="","",MAX(-3,MIN(3,('3a Raw'!L185-$T3)/$T4)))</f>
        <v/>
      </c>
      <c r="U185" s="3">
        <f>IF(T185="","",(T185-AVERAGE(T6:T1198))/(STDEV(T6:T1198)+1E-12))</f>
        <v/>
      </c>
      <c r="X185" s="3">
        <f>IF(U185="","",U185-($V$3*G185+$W$3))</f>
        <v/>
      </c>
      <c r="Y185" s="3">
        <f>IF(X185="","",MAX(-3,MIN(3,(X185-$X3)/$X4)))</f>
        <v/>
      </c>
      <c r="Z185" s="3">
        <f>IF(Y185="","",(Y185-AVERAGE(Y6:Y1198))/(STDEV(Y6:Y1198)+1E-12))</f>
        <v/>
      </c>
    </row>
    <row r="186">
      <c r="A186" t="inlineStr">
        <is>
          <t>BBG000BDXGP9</t>
        </is>
      </c>
      <c r="B186" s="3">
        <f>IF('3a Raw'!C186="","",MAX(-3,MIN(3,('3a Raw'!C186-$B3)/$B4)))</f>
        <v/>
      </c>
      <c r="C186" s="3">
        <f>IF(B186="","",(B186-AVERAGE(B6:B1198))/(STDEV(B6:B1198)+1E-12))</f>
        <v/>
      </c>
      <c r="D186" s="3">
        <f>IF('3a Raw'!D186="","",MAX(-3,MIN(3,('3a Raw'!D186-$D3)/$D4)))</f>
        <v/>
      </c>
      <c r="E186" s="3">
        <f>IF(D186="","",(D186-AVERAGE(D6:D1198))/(STDEV(D6:D1198)+1E-12))</f>
        <v/>
      </c>
      <c r="F186" s="3">
        <f>IF('3a Raw'!E186="","",MAX(-3,MIN(3,('3a Raw'!E186-$F3)/$F4)))</f>
        <v/>
      </c>
      <c r="G186" s="3">
        <f>IF(F186="","",(F186-AVERAGE(F6:F1198))/(STDEV(F6:F1198)+1E-12))</f>
        <v/>
      </c>
      <c r="H186" s="3">
        <f>IF('3a Raw'!F186="","",MAX(-3,MIN(3,('3a Raw'!F186-$H3)/$H4)))</f>
        <v/>
      </c>
      <c r="I186" s="3">
        <f>IF(H186="","",(H186-AVERAGE(H6:H1198))/(STDEV(H6:H1198)+1E-12))</f>
        <v/>
      </c>
      <c r="J186" s="3">
        <f>IF('3a Raw'!G186="","",MAX(-3,MIN(3,('3a Raw'!G186-$J3)/$J4)))</f>
        <v/>
      </c>
      <c r="K186" s="3">
        <f>IF(J186="","",(J186-AVERAGE(J6:J1198))/(STDEV(J6:J1198)+1E-12))</f>
        <v/>
      </c>
      <c r="L186" s="3">
        <f>IF('3a Raw'!H186="","",MAX(-3,MIN(3,('3a Raw'!H186-$L3)/$L4)))</f>
        <v/>
      </c>
      <c r="M186" s="3">
        <f>IF(L186="","",(L186-AVERAGE(L6:L1198))/(STDEV(L6:L1198)+1E-12))</f>
        <v/>
      </c>
      <c r="N186" s="3">
        <f>IF('3a Raw'!I186="","",MAX(-3,MIN(3,('3a Raw'!I186-$N3)/$N4)))</f>
        <v/>
      </c>
      <c r="O186" s="3">
        <f>IF(N186="","",(N186-AVERAGE(N6:N1198))/(STDEV(N6:N1198)+1E-12))</f>
        <v/>
      </c>
      <c r="P186" s="3">
        <f>IF('3a Raw'!J186="","",MAX(-3,MIN(3,('3a Raw'!J186-$P3)/$P4)))</f>
        <v/>
      </c>
      <c r="Q186" s="3">
        <f>IF(P186="","",(P186-AVERAGE(P6:P1198))/(STDEV(P6:P1198)+1E-12))</f>
        <v/>
      </c>
      <c r="R186" s="3">
        <f>IF('3a Raw'!K186="","",MAX(-3,MIN(3,('3a Raw'!K186-$R3)/$R4)))</f>
        <v/>
      </c>
      <c r="S186" s="3">
        <f>IF(R186="","",(R186-AVERAGE(R6:R1198))/(STDEV(R6:R1198)+1E-12))</f>
        <v/>
      </c>
      <c r="T186" s="3">
        <f>IF('3a Raw'!L186="","",MAX(-3,MIN(3,('3a Raw'!L186-$T3)/$T4)))</f>
        <v/>
      </c>
      <c r="U186" s="3">
        <f>IF(T186="","",(T186-AVERAGE(T6:T1198))/(STDEV(T6:T1198)+1E-12))</f>
        <v/>
      </c>
      <c r="X186" s="3">
        <f>IF(U186="","",U186-($V$3*G186+$W$3))</f>
        <v/>
      </c>
      <c r="Y186" s="3">
        <f>IF(X186="","",MAX(-3,MIN(3,(X186-$X3)/$X4)))</f>
        <v/>
      </c>
      <c r="Z186" s="3">
        <f>IF(Y186="","",(Y186-AVERAGE(Y6:Y1198))/(STDEV(Y6:Y1198)+1E-12))</f>
        <v/>
      </c>
    </row>
    <row r="187">
      <c r="A187" t="inlineStr">
        <is>
          <t>cah</t>
        </is>
      </c>
      <c r="B187" s="3">
        <f>IF('3a Raw'!C187="","",MAX(-3,MIN(3,('3a Raw'!C187-$B3)/$B4)))</f>
        <v/>
      </c>
      <c r="C187" s="3">
        <f>IF(B187="","",(B187-AVERAGE(B6:B1198))/(STDEV(B6:B1198)+1E-12))</f>
        <v/>
      </c>
      <c r="D187" s="3">
        <f>IF('3a Raw'!D187="","",MAX(-3,MIN(3,('3a Raw'!D187-$D3)/$D4)))</f>
        <v/>
      </c>
      <c r="E187" s="3">
        <f>IF(D187="","",(D187-AVERAGE(D6:D1198))/(STDEV(D6:D1198)+1E-12))</f>
        <v/>
      </c>
      <c r="F187" s="3">
        <f>IF('3a Raw'!E187="","",MAX(-3,MIN(3,('3a Raw'!E187-$F3)/$F4)))</f>
        <v/>
      </c>
      <c r="G187" s="3">
        <f>IF(F187="","",(F187-AVERAGE(F6:F1198))/(STDEV(F6:F1198)+1E-12))</f>
        <v/>
      </c>
      <c r="H187" s="3">
        <f>IF('3a Raw'!F187="","",MAX(-3,MIN(3,('3a Raw'!F187-$H3)/$H4)))</f>
        <v/>
      </c>
      <c r="I187" s="3">
        <f>IF(H187="","",(H187-AVERAGE(H6:H1198))/(STDEV(H6:H1198)+1E-12))</f>
        <v/>
      </c>
      <c r="J187" s="3">
        <f>IF('3a Raw'!G187="","",MAX(-3,MIN(3,('3a Raw'!G187-$J3)/$J4)))</f>
        <v/>
      </c>
      <c r="K187" s="3">
        <f>IF(J187="","",(J187-AVERAGE(J6:J1198))/(STDEV(J6:J1198)+1E-12))</f>
        <v/>
      </c>
      <c r="L187" s="3">
        <f>IF('3a Raw'!H187="","",MAX(-3,MIN(3,('3a Raw'!H187-$L3)/$L4)))</f>
        <v/>
      </c>
      <c r="M187" s="3">
        <f>IF(L187="","",(L187-AVERAGE(L6:L1198))/(STDEV(L6:L1198)+1E-12))</f>
        <v/>
      </c>
      <c r="N187" s="3">
        <f>IF('3a Raw'!I187="","",MAX(-3,MIN(3,('3a Raw'!I187-$N3)/$N4)))</f>
        <v/>
      </c>
      <c r="O187" s="3">
        <f>IF(N187="","",(N187-AVERAGE(N6:N1198))/(STDEV(N6:N1198)+1E-12))</f>
        <v/>
      </c>
      <c r="P187" s="3">
        <f>IF('3a Raw'!J187="","",MAX(-3,MIN(3,('3a Raw'!J187-$P3)/$P4)))</f>
        <v/>
      </c>
      <c r="Q187" s="3">
        <f>IF(P187="","",(P187-AVERAGE(P6:P1198))/(STDEV(P6:P1198)+1E-12))</f>
        <v/>
      </c>
      <c r="R187" s="3">
        <f>IF('3a Raw'!K187="","",MAX(-3,MIN(3,('3a Raw'!K187-$R3)/$R4)))</f>
        <v/>
      </c>
      <c r="S187" s="3">
        <f>IF(R187="","",(R187-AVERAGE(R6:R1198))/(STDEV(R6:R1198)+1E-12))</f>
        <v/>
      </c>
      <c r="T187" s="3">
        <f>IF('3a Raw'!L187="","",MAX(-3,MIN(3,('3a Raw'!L187-$T3)/$T4)))</f>
        <v/>
      </c>
      <c r="U187" s="3">
        <f>IF(T187="","",(T187-AVERAGE(T6:T1198))/(STDEV(T6:T1198)+1E-12))</f>
        <v/>
      </c>
      <c r="X187" s="3">
        <f>IF(U187="","",U187-($V$3*G187+$W$3))</f>
        <v/>
      </c>
      <c r="Y187" s="3">
        <f>IF(X187="","",MAX(-3,MIN(3,(X187-$X3)/$X4)))</f>
        <v/>
      </c>
      <c r="Z187" s="3">
        <f>IF(Y187="","",(Y187-AVERAGE(Y6:Y1198))/(STDEV(Y6:Y1198)+1E-12))</f>
        <v/>
      </c>
    </row>
    <row r="188">
      <c r="A188" t="inlineStr">
        <is>
          <t>BBG00255V2N4</t>
        </is>
      </c>
      <c r="B188" s="3">
        <f>IF('3a Raw'!C188="","",MAX(-3,MIN(3,('3a Raw'!C188-$B3)/$B4)))</f>
        <v/>
      </c>
      <c r="C188" s="3">
        <f>IF(B188="","",(B188-AVERAGE(B6:B1198))/(STDEV(B6:B1198)+1E-12))</f>
        <v/>
      </c>
      <c r="D188" s="3">
        <f>IF('3a Raw'!D188="","",MAX(-3,MIN(3,('3a Raw'!D188-$D3)/$D4)))</f>
        <v/>
      </c>
      <c r="E188" s="3">
        <f>IF(D188="","",(D188-AVERAGE(D6:D1198))/(STDEV(D6:D1198)+1E-12))</f>
        <v/>
      </c>
      <c r="F188" s="3">
        <f>IF('3a Raw'!E188="","",MAX(-3,MIN(3,('3a Raw'!E188-$F3)/$F4)))</f>
        <v/>
      </c>
      <c r="G188" s="3">
        <f>IF(F188="","",(F188-AVERAGE(F6:F1198))/(STDEV(F6:F1198)+1E-12))</f>
        <v/>
      </c>
      <c r="H188" s="3">
        <f>IF('3a Raw'!F188="","",MAX(-3,MIN(3,('3a Raw'!F188-$H3)/$H4)))</f>
        <v/>
      </c>
      <c r="I188" s="3">
        <f>IF(H188="","",(H188-AVERAGE(H6:H1198))/(STDEV(H6:H1198)+1E-12))</f>
        <v/>
      </c>
      <c r="J188" s="3">
        <f>IF('3a Raw'!G188="","",MAX(-3,MIN(3,('3a Raw'!G188-$J3)/$J4)))</f>
        <v/>
      </c>
      <c r="K188" s="3">
        <f>IF(J188="","",(J188-AVERAGE(J6:J1198))/(STDEV(J6:J1198)+1E-12))</f>
        <v/>
      </c>
      <c r="L188" s="3">
        <f>IF('3a Raw'!H188="","",MAX(-3,MIN(3,('3a Raw'!H188-$L3)/$L4)))</f>
        <v/>
      </c>
      <c r="M188" s="3">
        <f>IF(L188="","",(L188-AVERAGE(L6:L1198))/(STDEV(L6:L1198)+1E-12))</f>
        <v/>
      </c>
      <c r="N188" s="3">
        <f>IF('3a Raw'!I188="","",MAX(-3,MIN(3,('3a Raw'!I188-$N3)/$N4)))</f>
        <v/>
      </c>
      <c r="O188" s="3">
        <f>IF(N188="","",(N188-AVERAGE(N6:N1198))/(STDEV(N6:N1198)+1E-12))</f>
        <v/>
      </c>
      <c r="P188" s="3">
        <f>IF('3a Raw'!J188="","",MAX(-3,MIN(3,('3a Raw'!J188-$P3)/$P4)))</f>
        <v/>
      </c>
      <c r="Q188" s="3">
        <f>IF(P188="","",(P188-AVERAGE(P6:P1198))/(STDEV(P6:P1198)+1E-12))</f>
        <v/>
      </c>
      <c r="R188" s="3">
        <f>IF('3a Raw'!K188="","",MAX(-3,MIN(3,('3a Raw'!K188-$R3)/$R4)))</f>
        <v/>
      </c>
      <c r="S188" s="3">
        <f>IF(R188="","",(R188-AVERAGE(R6:R1198))/(STDEV(R6:R1198)+1E-12))</f>
        <v/>
      </c>
      <c r="T188" s="3">
        <f>IF('3a Raw'!L188="","",MAX(-3,MIN(3,('3a Raw'!L188-$T3)/$T4)))</f>
        <v/>
      </c>
      <c r="U188" s="3">
        <f>IF(T188="","",(T188-AVERAGE(T6:T1198))/(STDEV(T6:T1198)+1E-12))</f>
        <v/>
      </c>
      <c r="X188" s="3">
        <f>IF(U188="","",U188-($V$3*G188+$W$3))</f>
        <v/>
      </c>
      <c r="Y188" s="3">
        <f>IF(X188="","",MAX(-3,MIN(3,(X188-$X3)/$X4)))</f>
        <v/>
      </c>
      <c r="Z188" s="3">
        <f>IF(Y188="","",(Y188-AVERAGE(Y6:Y1198))/(STDEV(Y6:Y1198)+1E-12))</f>
        <v/>
      </c>
    </row>
    <row r="189">
      <c r="A189" t="inlineStr">
        <is>
          <t>BBG000PXJB68</t>
        </is>
      </c>
      <c r="B189" s="3">
        <f>IF('3a Raw'!C189="","",MAX(-3,MIN(3,('3a Raw'!C189-$B3)/$B4)))</f>
        <v/>
      </c>
      <c r="C189" s="3">
        <f>IF(B189="","",(B189-AVERAGE(B6:B1198))/(STDEV(B6:B1198)+1E-12))</f>
        <v/>
      </c>
      <c r="D189" s="3">
        <f>IF('3a Raw'!D189="","",MAX(-3,MIN(3,('3a Raw'!D189-$D3)/$D4)))</f>
        <v/>
      </c>
      <c r="E189" s="3">
        <f>IF(D189="","",(D189-AVERAGE(D6:D1198))/(STDEV(D6:D1198)+1E-12))</f>
        <v/>
      </c>
      <c r="F189" s="3">
        <f>IF('3a Raw'!E189="","",MAX(-3,MIN(3,('3a Raw'!E189-$F3)/$F4)))</f>
        <v/>
      </c>
      <c r="G189" s="3">
        <f>IF(F189="","",(F189-AVERAGE(F6:F1198))/(STDEV(F6:F1198)+1E-12))</f>
        <v/>
      </c>
      <c r="H189" s="3">
        <f>IF('3a Raw'!F189="","",MAX(-3,MIN(3,('3a Raw'!F189-$H3)/$H4)))</f>
        <v/>
      </c>
      <c r="I189" s="3">
        <f>IF(H189="","",(H189-AVERAGE(H6:H1198))/(STDEV(H6:H1198)+1E-12))</f>
        <v/>
      </c>
      <c r="J189" s="3">
        <f>IF('3a Raw'!G189="","",MAX(-3,MIN(3,('3a Raw'!G189-$J3)/$J4)))</f>
        <v/>
      </c>
      <c r="K189" s="3">
        <f>IF(J189="","",(J189-AVERAGE(J6:J1198))/(STDEV(J6:J1198)+1E-12))</f>
        <v/>
      </c>
      <c r="L189" s="3">
        <f>IF('3a Raw'!H189="","",MAX(-3,MIN(3,('3a Raw'!H189-$L3)/$L4)))</f>
        <v/>
      </c>
      <c r="M189" s="3">
        <f>IF(L189="","",(L189-AVERAGE(L6:L1198))/(STDEV(L6:L1198)+1E-12))</f>
        <v/>
      </c>
      <c r="N189" s="3">
        <f>IF('3a Raw'!I189="","",MAX(-3,MIN(3,('3a Raw'!I189-$N3)/$N4)))</f>
        <v/>
      </c>
      <c r="O189" s="3">
        <f>IF(N189="","",(N189-AVERAGE(N6:N1198))/(STDEV(N6:N1198)+1E-12))</f>
        <v/>
      </c>
      <c r="P189" s="3">
        <f>IF('3a Raw'!J189="","",MAX(-3,MIN(3,('3a Raw'!J189-$P3)/$P4)))</f>
        <v/>
      </c>
      <c r="Q189" s="3">
        <f>IF(P189="","",(P189-AVERAGE(P6:P1198))/(STDEV(P6:P1198)+1E-12))</f>
        <v/>
      </c>
      <c r="R189" s="3">
        <f>IF('3a Raw'!K189="","",MAX(-3,MIN(3,('3a Raw'!K189-$R3)/$R4)))</f>
        <v/>
      </c>
      <c r="S189" s="3">
        <f>IF(R189="","",(R189-AVERAGE(R6:R1198))/(STDEV(R6:R1198)+1E-12))</f>
        <v/>
      </c>
      <c r="T189" s="3">
        <f>IF('3a Raw'!L189="","",MAX(-3,MIN(3,('3a Raw'!L189-$T3)/$T4)))</f>
        <v/>
      </c>
      <c r="U189" s="3">
        <f>IF(T189="","",(T189-AVERAGE(T6:T1198))/(STDEV(T6:T1198)+1E-12))</f>
        <v/>
      </c>
      <c r="X189" s="3">
        <f>IF(U189="","",U189-($V$3*G189+$W$3))</f>
        <v/>
      </c>
      <c r="Y189" s="3">
        <f>IF(X189="","",MAX(-3,MIN(3,(X189-$X3)/$X4)))</f>
        <v/>
      </c>
      <c r="Z189" s="3">
        <f>IF(Y189="","",(Y189-AVERAGE(Y6:Y1198))/(STDEV(Y6:Y1198)+1E-12))</f>
        <v/>
      </c>
    </row>
    <row r="190">
      <c r="A190" t="inlineStr">
        <is>
          <t>BBG000FLPRH1</t>
        </is>
      </c>
      <c r="B190" s="3">
        <f>IF('3a Raw'!C190="","",MAX(-3,MIN(3,('3a Raw'!C190-$B3)/$B4)))</f>
        <v/>
      </c>
      <c r="C190" s="3">
        <f>IF(B190="","",(B190-AVERAGE(B6:B1198))/(STDEV(B6:B1198)+1E-12))</f>
        <v/>
      </c>
      <c r="D190" s="3">
        <f>IF('3a Raw'!D190="","",MAX(-3,MIN(3,('3a Raw'!D190-$D3)/$D4)))</f>
        <v/>
      </c>
      <c r="E190" s="3">
        <f>IF(D190="","",(D190-AVERAGE(D6:D1198))/(STDEV(D6:D1198)+1E-12))</f>
        <v/>
      </c>
      <c r="F190" s="3">
        <f>IF('3a Raw'!E190="","",MAX(-3,MIN(3,('3a Raw'!E190-$F3)/$F4)))</f>
        <v/>
      </c>
      <c r="G190" s="3">
        <f>IF(F190="","",(F190-AVERAGE(F6:F1198))/(STDEV(F6:F1198)+1E-12))</f>
        <v/>
      </c>
      <c r="H190" s="3">
        <f>IF('3a Raw'!F190="","",MAX(-3,MIN(3,('3a Raw'!F190-$H3)/$H4)))</f>
        <v/>
      </c>
      <c r="I190" s="3">
        <f>IF(H190="","",(H190-AVERAGE(H6:H1198))/(STDEV(H6:H1198)+1E-12))</f>
        <v/>
      </c>
      <c r="J190" s="3">
        <f>IF('3a Raw'!G190="","",MAX(-3,MIN(3,('3a Raw'!G190-$J3)/$J4)))</f>
        <v/>
      </c>
      <c r="K190" s="3">
        <f>IF(J190="","",(J190-AVERAGE(J6:J1198))/(STDEV(J6:J1198)+1E-12))</f>
        <v/>
      </c>
      <c r="L190" s="3">
        <f>IF('3a Raw'!H190="","",MAX(-3,MIN(3,('3a Raw'!H190-$L3)/$L4)))</f>
        <v/>
      </c>
      <c r="M190" s="3">
        <f>IF(L190="","",(L190-AVERAGE(L6:L1198))/(STDEV(L6:L1198)+1E-12))</f>
        <v/>
      </c>
      <c r="N190" s="3">
        <f>IF('3a Raw'!I190="","",MAX(-3,MIN(3,('3a Raw'!I190-$N3)/$N4)))</f>
        <v/>
      </c>
      <c r="O190" s="3">
        <f>IF(N190="","",(N190-AVERAGE(N6:N1198))/(STDEV(N6:N1198)+1E-12))</f>
        <v/>
      </c>
      <c r="P190" s="3">
        <f>IF('3a Raw'!J190="","",MAX(-3,MIN(3,('3a Raw'!J190-$P3)/$P4)))</f>
        <v/>
      </c>
      <c r="Q190" s="3">
        <f>IF(P190="","",(P190-AVERAGE(P6:P1198))/(STDEV(P6:P1198)+1E-12))</f>
        <v/>
      </c>
      <c r="R190" s="3">
        <f>IF('3a Raw'!K190="","",MAX(-3,MIN(3,('3a Raw'!K190-$R3)/$R4)))</f>
        <v/>
      </c>
      <c r="S190" s="3">
        <f>IF(R190="","",(R190-AVERAGE(R6:R1198))/(STDEV(R6:R1198)+1E-12))</f>
        <v/>
      </c>
      <c r="T190" s="3">
        <f>IF('3a Raw'!L190="","",MAX(-3,MIN(3,('3a Raw'!L190-$T3)/$T4)))</f>
        <v/>
      </c>
      <c r="U190" s="3">
        <f>IF(T190="","",(T190-AVERAGE(T6:T1198))/(STDEV(T6:T1198)+1E-12))</f>
        <v/>
      </c>
      <c r="X190" s="3">
        <f>IF(U190="","",U190-($V$3*G190+$W$3))</f>
        <v/>
      </c>
      <c r="Y190" s="3">
        <f>IF(X190="","",MAX(-3,MIN(3,(X190-$X3)/$X4)))</f>
        <v/>
      </c>
      <c r="Z190" s="3">
        <f>IF(Y190="","",(Y190-AVERAGE(Y6:Y1198))/(STDEV(Y6:Y1198)+1E-12))</f>
        <v/>
      </c>
    </row>
    <row r="191">
      <c r="A191" t="inlineStr">
        <is>
          <t>BBG00RP5HYS8</t>
        </is>
      </c>
      <c r="B191" s="3">
        <f>IF('3a Raw'!C191="","",MAX(-3,MIN(3,('3a Raw'!C191-$B3)/$B4)))</f>
        <v/>
      </c>
      <c r="C191" s="3">
        <f>IF(B191="","",(B191-AVERAGE(B6:B1198))/(STDEV(B6:B1198)+1E-12))</f>
        <v/>
      </c>
      <c r="D191" s="3">
        <f>IF('3a Raw'!D191="","",MAX(-3,MIN(3,('3a Raw'!D191-$D3)/$D4)))</f>
        <v/>
      </c>
      <c r="E191" s="3">
        <f>IF(D191="","",(D191-AVERAGE(D6:D1198))/(STDEV(D6:D1198)+1E-12))</f>
        <v/>
      </c>
      <c r="F191" s="3">
        <f>IF('3a Raw'!E191="","",MAX(-3,MIN(3,('3a Raw'!E191-$F3)/$F4)))</f>
        <v/>
      </c>
      <c r="G191" s="3">
        <f>IF(F191="","",(F191-AVERAGE(F6:F1198))/(STDEV(F6:F1198)+1E-12))</f>
        <v/>
      </c>
      <c r="H191" s="3">
        <f>IF('3a Raw'!F191="","",MAX(-3,MIN(3,('3a Raw'!F191-$H3)/$H4)))</f>
        <v/>
      </c>
      <c r="I191" s="3">
        <f>IF(H191="","",(H191-AVERAGE(H6:H1198))/(STDEV(H6:H1198)+1E-12))</f>
        <v/>
      </c>
      <c r="J191" s="3">
        <f>IF('3a Raw'!G191="","",MAX(-3,MIN(3,('3a Raw'!G191-$J3)/$J4)))</f>
        <v/>
      </c>
      <c r="K191" s="3">
        <f>IF(J191="","",(J191-AVERAGE(J6:J1198))/(STDEV(J6:J1198)+1E-12))</f>
        <v/>
      </c>
      <c r="L191" s="3">
        <f>IF('3a Raw'!H191="","",MAX(-3,MIN(3,('3a Raw'!H191-$L3)/$L4)))</f>
        <v/>
      </c>
      <c r="M191" s="3">
        <f>IF(L191="","",(L191-AVERAGE(L6:L1198))/(STDEV(L6:L1198)+1E-12))</f>
        <v/>
      </c>
      <c r="N191" s="3">
        <f>IF('3a Raw'!I191="","",MAX(-3,MIN(3,('3a Raw'!I191-$N3)/$N4)))</f>
        <v/>
      </c>
      <c r="O191" s="3">
        <f>IF(N191="","",(N191-AVERAGE(N6:N1198))/(STDEV(N6:N1198)+1E-12))</f>
        <v/>
      </c>
      <c r="P191" s="3">
        <f>IF('3a Raw'!J191="","",MAX(-3,MIN(3,('3a Raw'!J191-$P3)/$P4)))</f>
        <v/>
      </c>
      <c r="Q191" s="3">
        <f>IF(P191="","",(P191-AVERAGE(P6:P1198))/(STDEV(P6:P1198)+1E-12))</f>
        <v/>
      </c>
      <c r="R191" s="3">
        <f>IF('3a Raw'!K191="","",MAX(-3,MIN(3,('3a Raw'!K191-$R3)/$R4)))</f>
        <v/>
      </c>
      <c r="S191" s="3">
        <f>IF(R191="","",(R191-AVERAGE(R6:R1198))/(STDEV(R6:R1198)+1E-12))</f>
        <v/>
      </c>
      <c r="T191" s="3">
        <f>IF('3a Raw'!L191="","",MAX(-3,MIN(3,('3a Raw'!L191-$T3)/$T4)))</f>
        <v/>
      </c>
      <c r="U191" s="3">
        <f>IF(T191="","",(T191-AVERAGE(T6:T1198))/(STDEV(T6:T1198)+1E-12))</f>
        <v/>
      </c>
      <c r="X191" s="3">
        <f>IF(U191="","",U191-($V$3*G191+$W$3))</f>
        <v/>
      </c>
      <c r="Y191" s="3">
        <f>IF(X191="","",MAX(-3,MIN(3,(X191-$X3)/$X4)))</f>
        <v/>
      </c>
      <c r="Z191" s="3">
        <f>IF(Y191="","",(Y191-AVERAGE(Y6:Y1198))/(STDEV(Y6:Y1198)+1E-12))</f>
        <v/>
      </c>
    </row>
    <row r="192">
      <c r="A192" t="inlineStr">
        <is>
          <t>BBG000HGTH33</t>
        </is>
      </c>
      <c r="B192" s="3">
        <f>IF('3a Raw'!C192="","",MAX(-3,MIN(3,('3a Raw'!C192-$B3)/$B4)))</f>
        <v/>
      </c>
      <c r="C192" s="3">
        <f>IF(B192="","",(B192-AVERAGE(B6:B1198))/(STDEV(B6:B1198)+1E-12))</f>
        <v/>
      </c>
      <c r="D192" s="3">
        <f>IF('3a Raw'!D192="","",MAX(-3,MIN(3,('3a Raw'!D192-$D3)/$D4)))</f>
        <v/>
      </c>
      <c r="E192" s="3">
        <f>IF(D192="","",(D192-AVERAGE(D6:D1198))/(STDEV(D6:D1198)+1E-12))</f>
        <v/>
      </c>
      <c r="F192" s="3">
        <f>IF('3a Raw'!E192="","",MAX(-3,MIN(3,('3a Raw'!E192-$F3)/$F4)))</f>
        <v/>
      </c>
      <c r="G192" s="3">
        <f>IF(F192="","",(F192-AVERAGE(F6:F1198))/(STDEV(F6:F1198)+1E-12))</f>
        <v/>
      </c>
      <c r="H192" s="3">
        <f>IF('3a Raw'!F192="","",MAX(-3,MIN(3,('3a Raw'!F192-$H3)/$H4)))</f>
        <v/>
      </c>
      <c r="I192" s="3">
        <f>IF(H192="","",(H192-AVERAGE(H6:H1198))/(STDEV(H6:H1198)+1E-12))</f>
        <v/>
      </c>
      <c r="J192" s="3">
        <f>IF('3a Raw'!G192="","",MAX(-3,MIN(3,('3a Raw'!G192-$J3)/$J4)))</f>
        <v/>
      </c>
      <c r="K192" s="3">
        <f>IF(J192="","",(J192-AVERAGE(J6:J1198))/(STDEV(J6:J1198)+1E-12))</f>
        <v/>
      </c>
      <c r="L192" s="3">
        <f>IF('3a Raw'!H192="","",MAX(-3,MIN(3,('3a Raw'!H192-$L3)/$L4)))</f>
        <v/>
      </c>
      <c r="M192" s="3">
        <f>IF(L192="","",(L192-AVERAGE(L6:L1198))/(STDEV(L6:L1198)+1E-12))</f>
        <v/>
      </c>
      <c r="N192" s="3">
        <f>IF('3a Raw'!I192="","",MAX(-3,MIN(3,('3a Raw'!I192-$N3)/$N4)))</f>
        <v/>
      </c>
      <c r="O192" s="3">
        <f>IF(N192="","",(N192-AVERAGE(N6:N1198))/(STDEV(N6:N1198)+1E-12))</f>
        <v/>
      </c>
      <c r="P192" s="3">
        <f>IF('3a Raw'!J192="","",MAX(-3,MIN(3,('3a Raw'!J192-$P3)/$P4)))</f>
        <v/>
      </c>
      <c r="Q192" s="3">
        <f>IF(P192="","",(P192-AVERAGE(P6:P1198))/(STDEV(P6:P1198)+1E-12))</f>
        <v/>
      </c>
      <c r="R192" s="3">
        <f>IF('3a Raw'!K192="","",MAX(-3,MIN(3,('3a Raw'!K192-$R3)/$R4)))</f>
        <v/>
      </c>
      <c r="S192" s="3">
        <f>IF(R192="","",(R192-AVERAGE(R6:R1198))/(STDEV(R6:R1198)+1E-12))</f>
        <v/>
      </c>
      <c r="T192" s="3">
        <f>IF('3a Raw'!L192="","",MAX(-3,MIN(3,('3a Raw'!L192-$T3)/$T4)))</f>
        <v/>
      </c>
      <c r="U192" s="3">
        <f>IF(T192="","",(T192-AVERAGE(T6:T1198))/(STDEV(T6:T1198)+1E-12))</f>
        <v/>
      </c>
      <c r="X192" s="3">
        <f>IF(U192="","",U192-($V$3*G192+$W$3))</f>
        <v/>
      </c>
      <c r="Y192" s="3">
        <f>IF(X192="","",MAX(-3,MIN(3,(X192-$X3)/$X4)))</f>
        <v/>
      </c>
      <c r="Z192" s="3">
        <f>IF(Y192="","",(Y192-AVERAGE(Y6:Y1198))/(STDEV(Y6:Y1198)+1E-12))</f>
        <v/>
      </c>
    </row>
    <row r="193">
      <c r="A193" t="inlineStr">
        <is>
          <t>BBG00KG5VJF4</t>
        </is>
      </c>
      <c r="B193" s="3">
        <f>IF('3a Raw'!C193="","",MAX(-3,MIN(3,('3a Raw'!C193-$B3)/$B4)))</f>
        <v/>
      </c>
      <c r="C193" s="3">
        <f>IF(B193="","",(B193-AVERAGE(B6:B1198))/(STDEV(B6:B1198)+1E-12))</f>
        <v/>
      </c>
      <c r="D193" s="3">
        <f>IF('3a Raw'!D193="","",MAX(-3,MIN(3,('3a Raw'!D193-$D3)/$D4)))</f>
        <v/>
      </c>
      <c r="E193" s="3">
        <f>IF(D193="","",(D193-AVERAGE(D6:D1198))/(STDEV(D6:D1198)+1E-12))</f>
        <v/>
      </c>
      <c r="F193" s="3">
        <f>IF('3a Raw'!E193="","",MAX(-3,MIN(3,('3a Raw'!E193-$F3)/$F4)))</f>
        <v/>
      </c>
      <c r="G193" s="3">
        <f>IF(F193="","",(F193-AVERAGE(F6:F1198))/(STDEV(F6:F1198)+1E-12))</f>
        <v/>
      </c>
      <c r="H193" s="3">
        <f>IF('3a Raw'!F193="","",MAX(-3,MIN(3,('3a Raw'!F193-$H3)/$H4)))</f>
        <v/>
      </c>
      <c r="I193" s="3">
        <f>IF(H193="","",(H193-AVERAGE(H6:H1198))/(STDEV(H6:H1198)+1E-12))</f>
        <v/>
      </c>
      <c r="J193" s="3">
        <f>IF('3a Raw'!G193="","",MAX(-3,MIN(3,('3a Raw'!G193-$J3)/$J4)))</f>
        <v/>
      </c>
      <c r="K193" s="3">
        <f>IF(J193="","",(J193-AVERAGE(J6:J1198))/(STDEV(J6:J1198)+1E-12))</f>
        <v/>
      </c>
      <c r="L193" s="3">
        <f>IF('3a Raw'!H193="","",MAX(-3,MIN(3,('3a Raw'!H193-$L3)/$L4)))</f>
        <v/>
      </c>
      <c r="M193" s="3">
        <f>IF(L193="","",(L193-AVERAGE(L6:L1198))/(STDEV(L6:L1198)+1E-12))</f>
        <v/>
      </c>
      <c r="N193" s="3">
        <f>IF('3a Raw'!I193="","",MAX(-3,MIN(3,('3a Raw'!I193-$N3)/$N4)))</f>
        <v/>
      </c>
      <c r="O193" s="3">
        <f>IF(N193="","",(N193-AVERAGE(N6:N1198))/(STDEV(N6:N1198)+1E-12))</f>
        <v/>
      </c>
      <c r="P193" s="3">
        <f>IF('3a Raw'!J193="","",MAX(-3,MIN(3,('3a Raw'!J193-$P3)/$P4)))</f>
        <v/>
      </c>
      <c r="Q193" s="3">
        <f>IF(P193="","",(P193-AVERAGE(P6:P1198))/(STDEV(P6:P1198)+1E-12))</f>
        <v/>
      </c>
      <c r="R193" s="3">
        <f>IF('3a Raw'!K193="","",MAX(-3,MIN(3,('3a Raw'!K193-$R3)/$R4)))</f>
        <v/>
      </c>
      <c r="S193" s="3">
        <f>IF(R193="","",(R193-AVERAGE(R6:R1198))/(STDEV(R6:R1198)+1E-12))</f>
        <v/>
      </c>
      <c r="T193" s="3">
        <f>IF('3a Raw'!L193="","",MAX(-3,MIN(3,('3a Raw'!L193-$T3)/$T4)))</f>
        <v/>
      </c>
      <c r="U193" s="3">
        <f>IF(T193="","",(T193-AVERAGE(T6:T1198))/(STDEV(T6:T1198)+1E-12))</f>
        <v/>
      </c>
      <c r="X193" s="3">
        <f>IF(U193="","",U193-($V$3*G193+$W$3))</f>
        <v/>
      </c>
      <c r="Y193" s="3">
        <f>IF(X193="","",MAX(-3,MIN(3,(X193-$X3)/$X4)))</f>
        <v/>
      </c>
      <c r="Z193" s="3">
        <f>IF(Y193="","",(Y193-AVERAGE(Y6:Y1198))/(STDEV(Y6:Y1198)+1E-12))</f>
        <v/>
      </c>
    </row>
    <row r="194">
      <c r="A194" t="inlineStr">
        <is>
          <t>BBG000BF0672</t>
        </is>
      </c>
      <c r="B194" s="3">
        <f>IF('3a Raw'!C194="","",MAX(-3,MIN(3,('3a Raw'!C194-$B3)/$B4)))</f>
        <v/>
      </c>
      <c r="C194" s="3">
        <f>IF(B194="","",(B194-AVERAGE(B6:B1198))/(STDEV(B6:B1198)+1E-12))</f>
        <v/>
      </c>
      <c r="D194" s="3">
        <f>IF('3a Raw'!D194="","",MAX(-3,MIN(3,('3a Raw'!D194-$D3)/$D4)))</f>
        <v/>
      </c>
      <c r="E194" s="3">
        <f>IF(D194="","",(D194-AVERAGE(D6:D1198))/(STDEV(D6:D1198)+1E-12))</f>
        <v/>
      </c>
      <c r="F194" s="3">
        <f>IF('3a Raw'!E194="","",MAX(-3,MIN(3,('3a Raw'!E194-$F3)/$F4)))</f>
        <v/>
      </c>
      <c r="G194" s="3">
        <f>IF(F194="","",(F194-AVERAGE(F6:F1198))/(STDEV(F6:F1198)+1E-12))</f>
        <v/>
      </c>
      <c r="H194" s="3">
        <f>IF('3a Raw'!F194="","",MAX(-3,MIN(3,('3a Raw'!F194-$H3)/$H4)))</f>
        <v/>
      </c>
      <c r="I194" s="3">
        <f>IF(H194="","",(H194-AVERAGE(H6:H1198))/(STDEV(H6:H1198)+1E-12))</f>
        <v/>
      </c>
      <c r="J194" s="3">
        <f>IF('3a Raw'!G194="","",MAX(-3,MIN(3,('3a Raw'!G194-$J3)/$J4)))</f>
        <v/>
      </c>
      <c r="K194" s="3">
        <f>IF(J194="","",(J194-AVERAGE(J6:J1198))/(STDEV(J6:J1198)+1E-12))</f>
        <v/>
      </c>
      <c r="L194" s="3">
        <f>IF('3a Raw'!H194="","",MAX(-3,MIN(3,('3a Raw'!H194-$L3)/$L4)))</f>
        <v/>
      </c>
      <c r="M194" s="3">
        <f>IF(L194="","",(L194-AVERAGE(L6:L1198))/(STDEV(L6:L1198)+1E-12))</f>
        <v/>
      </c>
      <c r="N194" s="3">
        <f>IF('3a Raw'!I194="","",MAX(-3,MIN(3,('3a Raw'!I194-$N3)/$N4)))</f>
        <v/>
      </c>
      <c r="O194" s="3">
        <f>IF(N194="","",(N194-AVERAGE(N6:N1198))/(STDEV(N6:N1198)+1E-12))</f>
        <v/>
      </c>
      <c r="P194" s="3">
        <f>IF('3a Raw'!J194="","",MAX(-3,MIN(3,('3a Raw'!J194-$P3)/$P4)))</f>
        <v/>
      </c>
      <c r="Q194" s="3">
        <f>IF(P194="","",(P194-AVERAGE(P6:P1198))/(STDEV(P6:P1198)+1E-12))</f>
        <v/>
      </c>
      <c r="R194" s="3">
        <f>IF('3a Raw'!K194="","",MAX(-3,MIN(3,('3a Raw'!K194-$R3)/$R4)))</f>
        <v/>
      </c>
      <c r="S194" s="3">
        <f>IF(R194="","",(R194-AVERAGE(R6:R1198))/(STDEV(R6:R1198)+1E-12))</f>
        <v/>
      </c>
      <c r="T194" s="3">
        <f>IF('3a Raw'!L194="","",MAX(-3,MIN(3,('3a Raw'!L194-$T3)/$T4)))</f>
        <v/>
      </c>
      <c r="U194" s="3">
        <f>IF(T194="","",(T194-AVERAGE(T6:T1198))/(STDEV(T6:T1198)+1E-12))</f>
        <v/>
      </c>
      <c r="X194" s="3">
        <f>IF(U194="","",U194-($V$3*G194+$W$3))</f>
        <v/>
      </c>
      <c r="Y194" s="3">
        <f>IF(X194="","",MAX(-3,MIN(3,(X194-$X3)/$X4)))</f>
        <v/>
      </c>
      <c r="Z194" s="3">
        <f>IF(Y194="","",(Y194-AVERAGE(Y6:Y1198))/(STDEV(Y6:Y1198)+1E-12))</f>
        <v/>
      </c>
    </row>
    <row r="195">
      <c r="A195" t="inlineStr">
        <is>
          <t>cat</t>
        </is>
      </c>
      <c r="B195" s="3">
        <f>IF('3a Raw'!C195="","",MAX(-3,MIN(3,('3a Raw'!C195-$B3)/$B4)))</f>
        <v/>
      </c>
      <c r="C195" s="3">
        <f>IF(B195="","",(B195-AVERAGE(B6:B1198))/(STDEV(B6:B1198)+1E-12))</f>
        <v/>
      </c>
      <c r="D195" s="3">
        <f>IF('3a Raw'!D195="","",MAX(-3,MIN(3,('3a Raw'!D195-$D3)/$D4)))</f>
        <v/>
      </c>
      <c r="E195" s="3">
        <f>IF(D195="","",(D195-AVERAGE(D6:D1198))/(STDEV(D6:D1198)+1E-12))</f>
        <v/>
      </c>
      <c r="F195" s="3">
        <f>IF('3a Raw'!E195="","",MAX(-3,MIN(3,('3a Raw'!E195-$F3)/$F4)))</f>
        <v/>
      </c>
      <c r="G195" s="3">
        <f>IF(F195="","",(F195-AVERAGE(F6:F1198))/(STDEV(F6:F1198)+1E-12))</f>
        <v/>
      </c>
      <c r="H195" s="3">
        <f>IF('3a Raw'!F195="","",MAX(-3,MIN(3,('3a Raw'!F195-$H3)/$H4)))</f>
        <v/>
      </c>
      <c r="I195" s="3">
        <f>IF(H195="","",(H195-AVERAGE(H6:H1198))/(STDEV(H6:H1198)+1E-12))</f>
        <v/>
      </c>
      <c r="J195" s="3">
        <f>IF('3a Raw'!G195="","",MAX(-3,MIN(3,('3a Raw'!G195-$J3)/$J4)))</f>
        <v/>
      </c>
      <c r="K195" s="3">
        <f>IF(J195="","",(J195-AVERAGE(J6:J1198))/(STDEV(J6:J1198)+1E-12))</f>
        <v/>
      </c>
      <c r="L195" s="3">
        <f>IF('3a Raw'!H195="","",MAX(-3,MIN(3,('3a Raw'!H195-$L3)/$L4)))</f>
        <v/>
      </c>
      <c r="M195" s="3">
        <f>IF(L195="","",(L195-AVERAGE(L6:L1198))/(STDEV(L6:L1198)+1E-12))</f>
        <v/>
      </c>
      <c r="N195" s="3">
        <f>IF('3a Raw'!I195="","",MAX(-3,MIN(3,('3a Raw'!I195-$N3)/$N4)))</f>
        <v/>
      </c>
      <c r="O195" s="3">
        <f>IF(N195="","",(N195-AVERAGE(N6:N1198))/(STDEV(N6:N1198)+1E-12))</f>
        <v/>
      </c>
      <c r="P195" s="3">
        <f>IF('3a Raw'!J195="","",MAX(-3,MIN(3,('3a Raw'!J195-$P3)/$P4)))</f>
        <v/>
      </c>
      <c r="Q195" s="3">
        <f>IF(P195="","",(P195-AVERAGE(P6:P1198))/(STDEV(P6:P1198)+1E-12))</f>
        <v/>
      </c>
      <c r="R195" s="3">
        <f>IF('3a Raw'!K195="","",MAX(-3,MIN(3,('3a Raw'!K195-$R3)/$R4)))</f>
        <v/>
      </c>
      <c r="S195" s="3">
        <f>IF(R195="","",(R195-AVERAGE(R6:R1198))/(STDEV(R6:R1198)+1E-12))</f>
        <v/>
      </c>
      <c r="T195" s="3">
        <f>IF('3a Raw'!L195="","",MAX(-3,MIN(3,('3a Raw'!L195-$T3)/$T4)))</f>
        <v/>
      </c>
      <c r="U195" s="3">
        <f>IF(T195="","",(T195-AVERAGE(T6:T1198))/(STDEV(T6:T1198)+1E-12))</f>
        <v/>
      </c>
      <c r="X195" s="3">
        <f>IF(U195="","",U195-($V$3*G195+$W$3))</f>
        <v/>
      </c>
      <c r="Y195" s="3">
        <f>IF(X195="","",MAX(-3,MIN(3,(X195-$X3)/$X4)))</f>
        <v/>
      </c>
      <c r="Z195" s="3">
        <f>IF(Y195="","",(Y195-AVERAGE(Y6:Y1198))/(STDEV(Y6:Y1198)+1E-12))</f>
        <v/>
      </c>
    </row>
    <row r="196">
      <c r="A196" t="inlineStr">
        <is>
          <t>cb</t>
        </is>
      </c>
      <c r="B196" s="3">
        <f>IF('3a Raw'!C196="","",MAX(-3,MIN(3,('3a Raw'!C196-$B3)/$B4)))</f>
        <v/>
      </c>
      <c r="C196" s="3">
        <f>IF(B196="","",(B196-AVERAGE(B6:B1198))/(STDEV(B6:B1198)+1E-12))</f>
        <v/>
      </c>
      <c r="D196" s="3">
        <f>IF('3a Raw'!D196="","",MAX(-3,MIN(3,('3a Raw'!D196-$D3)/$D4)))</f>
        <v/>
      </c>
      <c r="E196" s="3">
        <f>IF(D196="","",(D196-AVERAGE(D6:D1198))/(STDEV(D6:D1198)+1E-12))</f>
        <v/>
      </c>
      <c r="F196" s="3">
        <f>IF('3a Raw'!E196="","",MAX(-3,MIN(3,('3a Raw'!E196-$F3)/$F4)))</f>
        <v/>
      </c>
      <c r="G196" s="3">
        <f>IF(F196="","",(F196-AVERAGE(F6:F1198))/(STDEV(F6:F1198)+1E-12))</f>
        <v/>
      </c>
      <c r="H196" s="3">
        <f>IF('3a Raw'!F196="","",MAX(-3,MIN(3,('3a Raw'!F196-$H3)/$H4)))</f>
        <v/>
      </c>
      <c r="I196" s="3">
        <f>IF(H196="","",(H196-AVERAGE(H6:H1198))/(STDEV(H6:H1198)+1E-12))</f>
        <v/>
      </c>
      <c r="J196" s="3">
        <f>IF('3a Raw'!G196="","",MAX(-3,MIN(3,('3a Raw'!G196-$J3)/$J4)))</f>
        <v/>
      </c>
      <c r="K196" s="3">
        <f>IF(J196="","",(J196-AVERAGE(J6:J1198))/(STDEV(J6:J1198)+1E-12))</f>
        <v/>
      </c>
      <c r="L196" s="3">
        <f>IF('3a Raw'!H196="","",MAX(-3,MIN(3,('3a Raw'!H196-$L3)/$L4)))</f>
        <v/>
      </c>
      <c r="M196" s="3">
        <f>IF(L196="","",(L196-AVERAGE(L6:L1198))/(STDEV(L6:L1198)+1E-12))</f>
        <v/>
      </c>
      <c r="N196" s="3">
        <f>IF('3a Raw'!I196="","",MAX(-3,MIN(3,('3a Raw'!I196-$N3)/$N4)))</f>
        <v/>
      </c>
      <c r="O196" s="3">
        <f>IF(N196="","",(N196-AVERAGE(N6:N1198))/(STDEV(N6:N1198)+1E-12))</f>
        <v/>
      </c>
      <c r="P196" s="3">
        <f>IF('3a Raw'!J196="","",MAX(-3,MIN(3,('3a Raw'!J196-$P3)/$P4)))</f>
        <v/>
      </c>
      <c r="Q196" s="3">
        <f>IF(P196="","",(P196-AVERAGE(P6:P1198))/(STDEV(P6:P1198)+1E-12))</f>
        <v/>
      </c>
      <c r="R196" s="3">
        <f>IF('3a Raw'!K196="","",MAX(-3,MIN(3,('3a Raw'!K196-$R3)/$R4)))</f>
        <v/>
      </c>
      <c r="S196" s="3">
        <f>IF(R196="","",(R196-AVERAGE(R6:R1198))/(STDEV(R6:R1198)+1E-12))</f>
        <v/>
      </c>
      <c r="T196" s="3">
        <f>IF('3a Raw'!L196="","",MAX(-3,MIN(3,('3a Raw'!L196-$T3)/$T4)))</f>
        <v/>
      </c>
      <c r="U196" s="3">
        <f>IF(T196="","",(T196-AVERAGE(T6:T1198))/(STDEV(T6:T1198)+1E-12))</f>
        <v/>
      </c>
      <c r="X196" s="3">
        <f>IF(U196="","",U196-($V$3*G196+$W$3))</f>
        <v/>
      </c>
      <c r="Y196" s="3">
        <f>IF(X196="","",MAX(-3,MIN(3,(X196-$X3)/$X4)))</f>
        <v/>
      </c>
      <c r="Z196" s="3">
        <f>IF(Y196="","",(Y196-AVERAGE(Y6:Y1198))/(STDEV(Y6:Y1198)+1E-12))</f>
        <v/>
      </c>
    </row>
    <row r="197">
      <c r="A197" t="inlineStr">
        <is>
          <t>BBG000CQ0CD7</t>
        </is>
      </c>
      <c r="B197" s="3">
        <f>IF('3a Raw'!C197="","",MAX(-3,MIN(3,('3a Raw'!C197-$B3)/$B4)))</f>
        <v/>
      </c>
      <c r="C197" s="3">
        <f>IF(B197="","",(B197-AVERAGE(B6:B1198))/(STDEV(B6:B1198)+1E-12))</f>
        <v/>
      </c>
      <c r="D197" s="3">
        <f>IF('3a Raw'!D197="","",MAX(-3,MIN(3,('3a Raw'!D197-$D3)/$D4)))</f>
        <v/>
      </c>
      <c r="E197" s="3">
        <f>IF(D197="","",(D197-AVERAGE(D6:D1198))/(STDEV(D6:D1198)+1E-12))</f>
        <v/>
      </c>
      <c r="F197" s="3">
        <f>IF('3a Raw'!E197="","",MAX(-3,MIN(3,('3a Raw'!E197-$F3)/$F4)))</f>
        <v/>
      </c>
      <c r="G197" s="3">
        <f>IF(F197="","",(F197-AVERAGE(F6:F1198))/(STDEV(F6:F1198)+1E-12))</f>
        <v/>
      </c>
      <c r="H197" s="3">
        <f>IF('3a Raw'!F197="","",MAX(-3,MIN(3,('3a Raw'!F197-$H3)/$H4)))</f>
        <v/>
      </c>
      <c r="I197" s="3">
        <f>IF(H197="","",(H197-AVERAGE(H6:H1198))/(STDEV(H6:H1198)+1E-12))</f>
        <v/>
      </c>
      <c r="J197" s="3">
        <f>IF('3a Raw'!G197="","",MAX(-3,MIN(3,('3a Raw'!G197-$J3)/$J4)))</f>
        <v/>
      </c>
      <c r="K197" s="3">
        <f>IF(J197="","",(J197-AVERAGE(J6:J1198))/(STDEV(J6:J1198)+1E-12))</f>
        <v/>
      </c>
      <c r="L197" s="3">
        <f>IF('3a Raw'!H197="","",MAX(-3,MIN(3,('3a Raw'!H197-$L3)/$L4)))</f>
        <v/>
      </c>
      <c r="M197" s="3">
        <f>IF(L197="","",(L197-AVERAGE(L6:L1198))/(STDEV(L6:L1198)+1E-12))</f>
        <v/>
      </c>
      <c r="N197" s="3">
        <f>IF('3a Raw'!I197="","",MAX(-3,MIN(3,('3a Raw'!I197-$N3)/$N4)))</f>
        <v/>
      </c>
      <c r="O197" s="3">
        <f>IF(N197="","",(N197-AVERAGE(N6:N1198))/(STDEV(N6:N1198)+1E-12))</f>
        <v/>
      </c>
      <c r="P197" s="3">
        <f>IF('3a Raw'!J197="","",MAX(-3,MIN(3,('3a Raw'!J197-$P3)/$P4)))</f>
        <v/>
      </c>
      <c r="Q197" s="3">
        <f>IF(P197="","",(P197-AVERAGE(P6:P1198))/(STDEV(P6:P1198)+1E-12))</f>
        <v/>
      </c>
      <c r="R197" s="3">
        <f>IF('3a Raw'!K197="","",MAX(-3,MIN(3,('3a Raw'!K197-$R3)/$R4)))</f>
        <v/>
      </c>
      <c r="S197" s="3">
        <f>IF(R197="","",(R197-AVERAGE(R6:R1198))/(STDEV(R6:R1198)+1E-12))</f>
        <v/>
      </c>
      <c r="T197" s="3">
        <f>IF('3a Raw'!L197="","",MAX(-3,MIN(3,('3a Raw'!L197-$T3)/$T4)))</f>
        <v/>
      </c>
      <c r="U197" s="3">
        <f>IF(T197="","",(T197-AVERAGE(T6:T1198))/(STDEV(T6:T1198)+1E-12))</f>
        <v/>
      </c>
      <c r="X197" s="3">
        <f>IF(U197="","",U197-($V$3*G197+$W$3))</f>
        <v/>
      </c>
      <c r="Y197" s="3">
        <f>IF(X197="","",MAX(-3,MIN(3,(X197-$X3)/$X4)))</f>
        <v/>
      </c>
      <c r="Z197" s="3">
        <f>IF(Y197="","",(Y197-AVERAGE(Y6:Y1198))/(STDEV(Y6:Y1198)+1E-12))</f>
        <v/>
      </c>
    </row>
    <row r="198">
      <c r="A198" t="inlineStr">
        <is>
          <t>BBG00KMSVGN4</t>
        </is>
      </c>
      <c r="B198" s="3">
        <f>IF('3a Raw'!C198="","",MAX(-3,MIN(3,('3a Raw'!C198-$B3)/$B4)))</f>
        <v/>
      </c>
      <c r="C198" s="3">
        <f>IF(B198="","",(B198-AVERAGE(B6:B1198))/(STDEV(B6:B1198)+1E-12))</f>
        <v/>
      </c>
      <c r="D198" s="3">
        <f>IF('3a Raw'!D198="","",MAX(-3,MIN(3,('3a Raw'!D198-$D3)/$D4)))</f>
        <v/>
      </c>
      <c r="E198" s="3">
        <f>IF(D198="","",(D198-AVERAGE(D6:D1198))/(STDEV(D6:D1198)+1E-12))</f>
        <v/>
      </c>
      <c r="F198" s="3">
        <f>IF('3a Raw'!E198="","",MAX(-3,MIN(3,('3a Raw'!E198-$F3)/$F4)))</f>
        <v/>
      </c>
      <c r="G198" s="3">
        <f>IF(F198="","",(F198-AVERAGE(F6:F1198))/(STDEV(F6:F1198)+1E-12))</f>
        <v/>
      </c>
      <c r="H198" s="3">
        <f>IF('3a Raw'!F198="","",MAX(-3,MIN(3,('3a Raw'!F198-$H3)/$H4)))</f>
        <v/>
      </c>
      <c r="I198" s="3">
        <f>IF(H198="","",(H198-AVERAGE(H6:H1198))/(STDEV(H6:H1198)+1E-12))</f>
        <v/>
      </c>
      <c r="J198" s="3">
        <f>IF('3a Raw'!G198="","",MAX(-3,MIN(3,('3a Raw'!G198-$J3)/$J4)))</f>
        <v/>
      </c>
      <c r="K198" s="3">
        <f>IF(J198="","",(J198-AVERAGE(J6:J1198))/(STDEV(J6:J1198)+1E-12))</f>
        <v/>
      </c>
      <c r="L198" s="3">
        <f>IF('3a Raw'!H198="","",MAX(-3,MIN(3,('3a Raw'!H198-$L3)/$L4)))</f>
        <v/>
      </c>
      <c r="M198" s="3">
        <f>IF(L198="","",(L198-AVERAGE(L6:L1198))/(STDEV(L6:L1198)+1E-12))</f>
        <v/>
      </c>
      <c r="N198" s="3">
        <f>IF('3a Raw'!I198="","",MAX(-3,MIN(3,('3a Raw'!I198-$N3)/$N4)))</f>
        <v/>
      </c>
      <c r="O198" s="3">
        <f>IF(N198="","",(N198-AVERAGE(N6:N1198))/(STDEV(N6:N1198)+1E-12))</f>
        <v/>
      </c>
      <c r="P198" s="3">
        <f>IF('3a Raw'!J198="","",MAX(-3,MIN(3,('3a Raw'!J198-$P3)/$P4)))</f>
        <v/>
      </c>
      <c r="Q198" s="3">
        <f>IF(P198="","",(P198-AVERAGE(P6:P1198))/(STDEV(P6:P1198)+1E-12))</f>
        <v/>
      </c>
      <c r="R198" s="3">
        <f>IF('3a Raw'!K198="","",MAX(-3,MIN(3,('3a Raw'!K198-$R3)/$R4)))</f>
        <v/>
      </c>
      <c r="S198" s="3">
        <f>IF(R198="","",(R198-AVERAGE(R6:R1198))/(STDEV(R6:R1198)+1E-12))</f>
        <v/>
      </c>
      <c r="T198" s="3">
        <f>IF('3a Raw'!L198="","",MAX(-3,MIN(3,('3a Raw'!L198-$T3)/$T4)))</f>
        <v/>
      </c>
      <c r="U198" s="3">
        <f>IF(T198="","",(T198-AVERAGE(T6:T1198))/(STDEV(T6:T1198)+1E-12))</f>
        <v/>
      </c>
      <c r="X198" s="3">
        <f>IF(U198="","",U198-($V$3*G198+$W$3))</f>
        <v/>
      </c>
      <c r="Y198" s="3">
        <f>IF(X198="","",MAX(-3,MIN(3,(X198-$X3)/$X4)))</f>
        <v/>
      </c>
      <c r="Z198" s="3">
        <f>IF(Y198="","",(Y198-AVERAGE(Y6:Y1198))/(STDEV(Y6:Y1198)+1E-12))</f>
        <v/>
      </c>
    </row>
    <row r="199">
      <c r="A199" t="inlineStr">
        <is>
          <t>BBG000QH56C1</t>
        </is>
      </c>
      <c r="B199" s="3">
        <f>IF('3a Raw'!C199="","",MAX(-3,MIN(3,('3a Raw'!C199-$B3)/$B4)))</f>
        <v/>
      </c>
      <c r="C199" s="3">
        <f>IF(B199="","",(B199-AVERAGE(B6:B1198))/(STDEV(B6:B1198)+1E-12))</f>
        <v/>
      </c>
      <c r="D199" s="3">
        <f>IF('3a Raw'!D199="","",MAX(-3,MIN(3,('3a Raw'!D199-$D3)/$D4)))</f>
        <v/>
      </c>
      <c r="E199" s="3">
        <f>IF(D199="","",(D199-AVERAGE(D6:D1198))/(STDEV(D6:D1198)+1E-12))</f>
        <v/>
      </c>
      <c r="F199" s="3">
        <f>IF('3a Raw'!E199="","",MAX(-3,MIN(3,('3a Raw'!E199-$F3)/$F4)))</f>
        <v/>
      </c>
      <c r="G199" s="3">
        <f>IF(F199="","",(F199-AVERAGE(F6:F1198))/(STDEV(F6:F1198)+1E-12))</f>
        <v/>
      </c>
      <c r="H199" s="3">
        <f>IF('3a Raw'!F199="","",MAX(-3,MIN(3,('3a Raw'!F199-$H3)/$H4)))</f>
        <v/>
      </c>
      <c r="I199" s="3">
        <f>IF(H199="","",(H199-AVERAGE(H6:H1198))/(STDEV(H6:H1198)+1E-12))</f>
        <v/>
      </c>
      <c r="J199" s="3">
        <f>IF('3a Raw'!G199="","",MAX(-3,MIN(3,('3a Raw'!G199-$J3)/$J4)))</f>
        <v/>
      </c>
      <c r="K199" s="3">
        <f>IF(J199="","",(J199-AVERAGE(J6:J1198))/(STDEV(J6:J1198)+1E-12))</f>
        <v/>
      </c>
      <c r="L199" s="3">
        <f>IF('3a Raw'!H199="","",MAX(-3,MIN(3,('3a Raw'!H199-$L3)/$L4)))</f>
        <v/>
      </c>
      <c r="M199" s="3">
        <f>IF(L199="","",(L199-AVERAGE(L6:L1198))/(STDEV(L6:L1198)+1E-12))</f>
        <v/>
      </c>
      <c r="N199" s="3">
        <f>IF('3a Raw'!I199="","",MAX(-3,MIN(3,('3a Raw'!I199-$N3)/$N4)))</f>
        <v/>
      </c>
      <c r="O199" s="3">
        <f>IF(N199="","",(N199-AVERAGE(N6:N1198))/(STDEV(N6:N1198)+1E-12))</f>
        <v/>
      </c>
      <c r="P199" s="3">
        <f>IF('3a Raw'!J199="","",MAX(-3,MIN(3,('3a Raw'!J199-$P3)/$P4)))</f>
        <v/>
      </c>
      <c r="Q199" s="3">
        <f>IF(P199="","",(P199-AVERAGE(P6:P1198))/(STDEV(P6:P1198)+1E-12))</f>
        <v/>
      </c>
      <c r="R199" s="3">
        <f>IF('3a Raw'!K199="","",MAX(-3,MIN(3,('3a Raw'!K199-$R3)/$R4)))</f>
        <v/>
      </c>
      <c r="S199" s="3">
        <f>IF(R199="","",(R199-AVERAGE(R6:R1198))/(STDEV(R6:R1198)+1E-12))</f>
        <v/>
      </c>
      <c r="T199" s="3">
        <f>IF('3a Raw'!L199="","",MAX(-3,MIN(3,('3a Raw'!L199-$T3)/$T4)))</f>
        <v/>
      </c>
      <c r="U199" s="3">
        <f>IF(T199="","",(T199-AVERAGE(T6:T1198))/(STDEV(T6:T1198)+1E-12))</f>
        <v/>
      </c>
      <c r="X199" s="3">
        <f>IF(U199="","",U199-($V$3*G199+$W$3))</f>
        <v/>
      </c>
      <c r="Y199" s="3">
        <f>IF(X199="","",MAX(-3,MIN(3,(X199-$X3)/$X4)))</f>
        <v/>
      </c>
      <c r="Z199" s="3">
        <f>IF(Y199="","",(Y199-AVERAGE(Y6:Y1198))/(STDEV(Y6:Y1198)+1E-12))</f>
        <v/>
      </c>
    </row>
    <row r="200">
      <c r="A200" t="inlineStr">
        <is>
          <t>BBG000C04224</t>
        </is>
      </c>
      <c r="B200" s="3">
        <f>IF('3a Raw'!C200="","",MAX(-3,MIN(3,('3a Raw'!C200-$B3)/$B4)))</f>
        <v/>
      </c>
      <c r="C200" s="3">
        <f>IF(B200="","",(B200-AVERAGE(B6:B1198))/(STDEV(B6:B1198)+1E-12))</f>
        <v/>
      </c>
      <c r="D200" s="3">
        <f>IF('3a Raw'!D200="","",MAX(-3,MIN(3,('3a Raw'!D200-$D3)/$D4)))</f>
        <v/>
      </c>
      <c r="E200" s="3">
        <f>IF(D200="","",(D200-AVERAGE(D6:D1198))/(STDEV(D6:D1198)+1E-12))</f>
        <v/>
      </c>
      <c r="F200" s="3">
        <f>IF('3a Raw'!E200="","",MAX(-3,MIN(3,('3a Raw'!E200-$F3)/$F4)))</f>
        <v/>
      </c>
      <c r="G200" s="3">
        <f>IF(F200="","",(F200-AVERAGE(F6:F1198))/(STDEV(F6:F1198)+1E-12))</f>
        <v/>
      </c>
      <c r="H200" s="3">
        <f>IF('3a Raw'!F200="","",MAX(-3,MIN(3,('3a Raw'!F200-$H3)/$H4)))</f>
        <v/>
      </c>
      <c r="I200" s="3">
        <f>IF(H200="","",(H200-AVERAGE(H6:H1198))/(STDEV(H6:H1198)+1E-12))</f>
        <v/>
      </c>
      <c r="J200" s="3">
        <f>IF('3a Raw'!G200="","",MAX(-3,MIN(3,('3a Raw'!G200-$J3)/$J4)))</f>
        <v/>
      </c>
      <c r="K200" s="3">
        <f>IF(J200="","",(J200-AVERAGE(J6:J1198))/(STDEV(J6:J1198)+1E-12))</f>
        <v/>
      </c>
      <c r="L200" s="3">
        <f>IF('3a Raw'!H200="","",MAX(-3,MIN(3,('3a Raw'!H200-$L3)/$L4)))</f>
        <v/>
      </c>
      <c r="M200" s="3">
        <f>IF(L200="","",(L200-AVERAGE(L6:L1198))/(STDEV(L6:L1198)+1E-12))</f>
        <v/>
      </c>
      <c r="N200" s="3">
        <f>IF('3a Raw'!I200="","",MAX(-3,MIN(3,('3a Raw'!I200-$N3)/$N4)))</f>
        <v/>
      </c>
      <c r="O200" s="3">
        <f>IF(N200="","",(N200-AVERAGE(N6:N1198))/(STDEV(N6:N1198)+1E-12))</f>
        <v/>
      </c>
      <c r="P200" s="3">
        <f>IF('3a Raw'!J200="","",MAX(-3,MIN(3,('3a Raw'!J200-$P3)/$P4)))</f>
        <v/>
      </c>
      <c r="Q200" s="3">
        <f>IF(P200="","",(P200-AVERAGE(P6:P1198))/(STDEV(P6:P1198)+1E-12))</f>
        <v/>
      </c>
      <c r="R200" s="3">
        <f>IF('3a Raw'!K200="","",MAX(-3,MIN(3,('3a Raw'!K200-$R3)/$R4)))</f>
        <v/>
      </c>
      <c r="S200" s="3">
        <f>IF(R200="","",(R200-AVERAGE(R6:R1198))/(STDEV(R6:R1198)+1E-12))</f>
        <v/>
      </c>
      <c r="T200" s="3">
        <f>IF('3a Raw'!L200="","",MAX(-3,MIN(3,('3a Raw'!L200-$T3)/$T4)))</f>
        <v/>
      </c>
      <c r="U200" s="3">
        <f>IF(T200="","",(T200-AVERAGE(T6:T1198))/(STDEV(T6:T1198)+1E-12))</f>
        <v/>
      </c>
      <c r="X200" s="3">
        <f>IF(U200="","",U200-($V$3*G200+$W$3))</f>
        <v/>
      </c>
      <c r="Y200" s="3">
        <f>IF(X200="","",MAX(-3,MIN(3,(X200-$X3)/$X4)))</f>
        <v/>
      </c>
      <c r="Z200" s="3">
        <f>IF(Y200="","",(Y200-AVERAGE(Y6:Y1198))/(STDEV(Y6:Y1198)+1E-12))</f>
        <v/>
      </c>
    </row>
    <row r="201">
      <c r="A201" t="inlineStr">
        <is>
          <t>BBG000BF33K1</t>
        </is>
      </c>
      <c r="B201" s="3">
        <f>IF('3a Raw'!C201="","",MAX(-3,MIN(3,('3a Raw'!C201-$B3)/$B4)))</f>
        <v/>
      </c>
      <c r="C201" s="3">
        <f>IF(B201="","",(B201-AVERAGE(B6:B1198))/(STDEV(B6:B1198)+1E-12))</f>
        <v/>
      </c>
      <c r="D201" s="3">
        <f>IF('3a Raw'!D201="","",MAX(-3,MIN(3,('3a Raw'!D201-$D3)/$D4)))</f>
        <v/>
      </c>
      <c r="E201" s="3">
        <f>IF(D201="","",(D201-AVERAGE(D6:D1198))/(STDEV(D6:D1198)+1E-12))</f>
        <v/>
      </c>
      <c r="F201" s="3">
        <f>IF('3a Raw'!E201="","",MAX(-3,MIN(3,('3a Raw'!E201-$F3)/$F4)))</f>
        <v/>
      </c>
      <c r="G201" s="3">
        <f>IF(F201="","",(F201-AVERAGE(F6:F1198))/(STDEV(F6:F1198)+1E-12))</f>
        <v/>
      </c>
      <c r="H201" s="3">
        <f>IF('3a Raw'!F201="","",MAX(-3,MIN(3,('3a Raw'!F201-$H3)/$H4)))</f>
        <v/>
      </c>
      <c r="I201" s="3">
        <f>IF(H201="","",(H201-AVERAGE(H6:H1198))/(STDEV(H6:H1198)+1E-12))</f>
        <v/>
      </c>
      <c r="J201" s="3">
        <f>IF('3a Raw'!G201="","",MAX(-3,MIN(3,('3a Raw'!G201-$J3)/$J4)))</f>
        <v/>
      </c>
      <c r="K201" s="3">
        <f>IF(J201="","",(J201-AVERAGE(J6:J1198))/(STDEV(J6:J1198)+1E-12))</f>
        <v/>
      </c>
      <c r="L201" s="3">
        <f>IF('3a Raw'!H201="","",MAX(-3,MIN(3,('3a Raw'!H201-$L3)/$L4)))</f>
        <v/>
      </c>
      <c r="M201" s="3">
        <f>IF(L201="","",(L201-AVERAGE(L6:L1198))/(STDEV(L6:L1198)+1E-12))</f>
        <v/>
      </c>
      <c r="N201" s="3">
        <f>IF('3a Raw'!I201="","",MAX(-3,MIN(3,('3a Raw'!I201-$N3)/$N4)))</f>
        <v/>
      </c>
      <c r="O201" s="3">
        <f>IF(N201="","",(N201-AVERAGE(N6:N1198))/(STDEV(N6:N1198)+1E-12))</f>
        <v/>
      </c>
      <c r="P201" s="3">
        <f>IF('3a Raw'!J201="","",MAX(-3,MIN(3,('3a Raw'!J201-$P3)/$P4)))</f>
        <v/>
      </c>
      <c r="Q201" s="3">
        <f>IF(P201="","",(P201-AVERAGE(P6:P1198))/(STDEV(P6:P1198)+1E-12))</f>
        <v/>
      </c>
      <c r="R201" s="3">
        <f>IF('3a Raw'!K201="","",MAX(-3,MIN(3,('3a Raw'!K201-$R3)/$R4)))</f>
        <v/>
      </c>
      <c r="S201" s="3">
        <f>IF(R201="","",(R201-AVERAGE(R6:R1198))/(STDEV(R6:R1198)+1E-12))</f>
        <v/>
      </c>
      <c r="T201" s="3">
        <f>IF('3a Raw'!L201="","",MAX(-3,MIN(3,('3a Raw'!L201-$T3)/$T4)))</f>
        <v/>
      </c>
      <c r="U201" s="3">
        <f>IF(T201="","",(T201-AVERAGE(T6:T1198))/(STDEV(T6:T1198)+1E-12))</f>
        <v/>
      </c>
      <c r="X201" s="3">
        <f>IF(U201="","",U201-($V$3*G201+$W$3))</f>
        <v/>
      </c>
      <c r="Y201" s="3">
        <f>IF(X201="","",MAX(-3,MIN(3,(X201-$X3)/$X4)))</f>
        <v/>
      </c>
      <c r="Z201" s="3">
        <f>IF(Y201="","",(Y201-AVERAGE(Y6:Y1198))/(STDEV(Y6:Y1198)+1E-12))</f>
        <v/>
      </c>
    </row>
    <row r="202">
      <c r="A202" t="inlineStr">
        <is>
          <t>BBG005H82GB2</t>
        </is>
      </c>
      <c r="B202" s="3">
        <f>IF('3a Raw'!C202="","",MAX(-3,MIN(3,('3a Raw'!C202-$B3)/$B4)))</f>
        <v/>
      </c>
      <c r="C202" s="3">
        <f>IF(B202="","",(B202-AVERAGE(B6:B1198))/(STDEV(B6:B1198)+1E-12))</f>
        <v/>
      </c>
      <c r="D202" s="3">
        <f>IF('3a Raw'!D202="","",MAX(-3,MIN(3,('3a Raw'!D202-$D3)/$D4)))</f>
        <v/>
      </c>
      <c r="E202" s="3">
        <f>IF(D202="","",(D202-AVERAGE(D6:D1198))/(STDEV(D6:D1198)+1E-12))</f>
        <v/>
      </c>
      <c r="F202" s="3">
        <f>IF('3a Raw'!E202="","",MAX(-3,MIN(3,('3a Raw'!E202-$F3)/$F4)))</f>
        <v/>
      </c>
      <c r="G202" s="3">
        <f>IF(F202="","",(F202-AVERAGE(F6:F1198))/(STDEV(F6:F1198)+1E-12))</f>
        <v/>
      </c>
      <c r="H202" s="3">
        <f>IF('3a Raw'!F202="","",MAX(-3,MIN(3,('3a Raw'!F202-$H3)/$H4)))</f>
        <v/>
      </c>
      <c r="I202" s="3">
        <f>IF(H202="","",(H202-AVERAGE(H6:H1198))/(STDEV(H6:H1198)+1E-12))</f>
        <v/>
      </c>
      <c r="J202" s="3">
        <f>IF('3a Raw'!G202="","",MAX(-3,MIN(3,('3a Raw'!G202-$J3)/$J4)))</f>
        <v/>
      </c>
      <c r="K202" s="3">
        <f>IF(J202="","",(J202-AVERAGE(J6:J1198))/(STDEV(J6:J1198)+1E-12))</f>
        <v/>
      </c>
      <c r="L202" s="3">
        <f>IF('3a Raw'!H202="","",MAX(-3,MIN(3,('3a Raw'!H202-$L3)/$L4)))</f>
        <v/>
      </c>
      <c r="M202" s="3">
        <f>IF(L202="","",(L202-AVERAGE(L6:L1198))/(STDEV(L6:L1198)+1E-12))</f>
        <v/>
      </c>
      <c r="N202" s="3">
        <f>IF('3a Raw'!I202="","",MAX(-3,MIN(3,('3a Raw'!I202-$N3)/$N4)))</f>
        <v/>
      </c>
      <c r="O202" s="3">
        <f>IF(N202="","",(N202-AVERAGE(N6:N1198))/(STDEV(N6:N1198)+1E-12))</f>
        <v/>
      </c>
      <c r="P202" s="3">
        <f>IF('3a Raw'!J202="","",MAX(-3,MIN(3,('3a Raw'!J202-$P3)/$P4)))</f>
        <v/>
      </c>
      <c r="Q202" s="3">
        <f>IF(P202="","",(P202-AVERAGE(P6:P1198))/(STDEV(P6:P1198)+1E-12))</f>
        <v/>
      </c>
      <c r="R202" s="3">
        <f>IF('3a Raw'!K202="","",MAX(-3,MIN(3,('3a Raw'!K202-$R3)/$R4)))</f>
        <v/>
      </c>
      <c r="S202" s="3">
        <f>IF(R202="","",(R202-AVERAGE(R6:R1198))/(STDEV(R6:R1198)+1E-12))</f>
        <v/>
      </c>
      <c r="T202" s="3">
        <f>IF('3a Raw'!L202="","",MAX(-3,MIN(3,('3a Raw'!L202-$T3)/$T4)))</f>
        <v/>
      </c>
      <c r="U202" s="3">
        <f>IF(T202="","",(T202-AVERAGE(T6:T1198))/(STDEV(T6:T1198)+1E-12))</f>
        <v/>
      </c>
      <c r="X202" s="3">
        <f>IF(U202="","",U202-($V$3*G202+$W$3))</f>
        <v/>
      </c>
      <c r="Y202" s="3">
        <f>IF(X202="","",MAX(-3,MIN(3,(X202-$X3)/$X4)))</f>
        <v/>
      </c>
      <c r="Z202" s="3">
        <f>IF(Y202="","",(Y202-AVERAGE(Y6:Y1198))/(STDEV(Y6:Y1198)+1E-12))</f>
        <v/>
      </c>
    </row>
    <row r="203">
      <c r="A203" t="inlineStr">
        <is>
          <t>BBG00WNSJM49</t>
        </is>
      </c>
      <c r="B203" s="3">
        <f>IF('3a Raw'!C203="","",MAX(-3,MIN(3,('3a Raw'!C203-$B3)/$B4)))</f>
        <v/>
      </c>
      <c r="C203" s="3">
        <f>IF(B203="","",(B203-AVERAGE(B6:B1198))/(STDEV(B6:B1198)+1E-12))</f>
        <v/>
      </c>
      <c r="D203" s="3">
        <f>IF('3a Raw'!D203="","",MAX(-3,MIN(3,('3a Raw'!D203-$D3)/$D4)))</f>
        <v/>
      </c>
      <c r="E203" s="3">
        <f>IF(D203="","",(D203-AVERAGE(D6:D1198))/(STDEV(D6:D1198)+1E-12))</f>
        <v/>
      </c>
      <c r="F203" s="3">
        <f>IF('3a Raw'!E203="","",MAX(-3,MIN(3,('3a Raw'!E203-$F3)/$F4)))</f>
        <v/>
      </c>
      <c r="G203" s="3">
        <f>IF(F203="","",(F203-AVERAGE(F6:F1198))/(STDEV(F6:F1198)+1E-12))</f>
        <v/>
      </c>
      <c r="H203" s="3">
        <f>IF('3a Raw'!F203="","",MAX(-3,MIN(3,('3a Raw'!F203-$H3)/$H4)))</f>
        <v/>
      </c>
      <c r="I203" s="3">
        <f>IF(H203="","",(H203-AVERAGE(H6:H1198))/(STDEV(H6:H1198)+1E-12))</f>
        <v/>
      </c>
      <c r="J203" s="3">
        <f>IF('3a Raw'!G203="","",MAX(-3,MIN(3,('3a Raw'!G203-$J3)/$J4)))</f>
        <v/>
      </c>
      <c r="K203" s="3">
        <f>IF(J203="","",(J203-AVERAGE(J6:J1198))/(STDEV(J6:J1198)+1E-12))</f>
        <v/>
      </c>
      <c r="L203" s="3">
        <f>IF('3a Raw'!H203="","",MAX(-3,MIN(3,('3a Raw'!H203-$L3)/$L4)))</f>
        <v/>
      </c>
      <c r="M203" s="3">
        <f>IF(L203="","",(L203-AVERAGE(L6:L1198))/(STDEV(L6:L1198)+1E-12))</f>
        <v/>
      </c>
      <c r="N203" s="3">
        <f>IF('3a Raw'!I203="","",MAX(-3,MIN(3,('3a Raw'!I203-$N3)/$N4)))</f>
        <v/>
      </c>
      <c r="O203" s="3">
        <f>IF(N203="","",(N203-AVERAGE(N6:N1198))/(STDEV(N6:N1198)+1E-12))</f>
        <v/>
      </c>
      <c r="P203" s="3">
        <f>IF('3a Raw'!J203="","",MAX(-3,MIN(3,('3a Raw'!J203-$P3)/$P4)))</f>
        <v/>
      </c>
      <c r="Q203" s="3">
        <f>IF(P203="","",(P203-AVERAGE(P6:P1198))/(STDEV(P6:P1198)+1E-12))</f>
        <v/>
      </c>
      <c r="R203" s="3">
        <f>IF('3a Raw'!K203="","",MAX(-3,MIN(3,('3a Raw'!K203-$R3)/$R4)))</f>
        <v/>
      </c>
      <c r="S203" s="3">
        <f>IF(R203="","",(R203-AVERAGE(R6:R1198))/(STDEV(R6:R1198)+1E-12))</f>
        <v/>
      </c>
      <c r="T203" s="3">
        <f>IF('3a Raw'!L203="","",MAX(-3,MIN(3,('3a Raw'!L203-$T3)/$T4)))</f>
        <v/>
      </c>
      <c r="U203" s="3">
        <f>IF(T203="","",(T203-AVERAGE(T6:T1198))/(STDEV(T6:T1198)+1E-12))</f>
        <v/>
      </c>
      <c r="X203" s="3">
        <f>IF(U203="","",U203-($V$3*G203+$W$3))</f>
        <v/>
      </c>
      <c r="Y203" s="3">
        <f>IF(X203="","",MAX(-3,MIN(3,(X203-$X3)/$X4)))</f>
        <v/>
      </c>
      <c r="Z203" s="3">
        <f>IF(Y203="","",(Y203-AVERAGE(Y6:Y1198))/(STDEV(Y6:Y1198)+1E-12))</f>
        <v/>
      </c>
    </row>
    <row r="204">
      <c r="A204" t="inlineStr">
        <is>
          <t>BBG000FV1Z23</t>
        </is>
      </c>
      <c r="B204" s="3">
        <f>IF('3a Raw'!C204="","",MAX(-3,MIN(3,('3a Raw'!C204-$B3)/$B4)))</f>
        <v/>
      </c>
      <c r="C204" s="3">
        <f>IF(B204="","",(B204-AVERAGE(B6:B1198))/(STDEV(B6:B1198)+1E-12))</f>
        <v/>
      </c>
      <c r="D204" s="3">
        <f>IF('3a Raw'!D204="","",MAX(-3,MIN(3,('3a Raw'!D204-$D3)/$D4)))</f>
        <v/>
      </c>
      <c r="E204" s="3">
        <f>IF(D204="","",(D204-AVERAGE(D6:D1198))/(STDEV(D6:D1198)+1E-12))</f>
        <v/>
      </c>
      <c r="F204" s="3">
        <f>IF('3a Raw'!E204="","",MAX(-3,MIN(3,('3a Raw'!E204-$F3)/$F4)))</f>
        <v/>
      </c>
      <c r="G204" s="3">
        <f>IF(F204="","",(F204-AVERAGE(F6:F1198))/(STDEV(F6:F1198)+1E-12))</f>
        <v/>
      </c>
      <c r="H204" s="3">
        <f>IF('3a Raw'!F204="","",MAX(-3,MIN(3,('3a Raw'!F204-$H3)/$H4)))</f>
        <v/>
      </c>
      <c r="I204" s="3">
        <f>IF(H204="","",(H204-AVERAGE(H6:H1198))/(STDEV(H6:H1198)+1E-12))</f>
        <v/>
      </c>
      <c r="J204" s="3">
        <f>IF('3a Raw'!G204="","",MAX(-3,MIN(3,('3a Raw'!G204-$J3)/$J4)))</f>
        <v/>
      </c>
      <c r="K204" s="3">
        <f>IF(J204="","",(J204-AVERAGE(J6:J1198))/(STDEV(J6:J1198)+1E-12))</f>
        <v/>
      </c>
      <c r="L204" s="3">
        <f>IF('3a Raw'!H204="","",MAX(-3,MIN(3,('3a Raw'!H204-$L3)/$L4)))</f>
        <v/>
      </c>
      <c r="M204" s="3">
        <f>IF(L204="","",(L204-AVERAGE(L6:L1198))/(STDEV(L6:L1198)+1E-12))</f>
        <v/>
      </c>
      <c r="N204" s="3">
        <f>IF('3a Raw'!I204="","",MAX(-3,MIN(3,('3a Raw'!I204-$N3)/$N4)))</f>
        <v/>
      </c>
      <c r="O204" s="3">
        <f>IF(N204="","",(N204-AVERAGE(N6:N1198))/(STDEV(N6:N1198)+1E-12))</f>
        <v/>
      </c>
      <c r="P204" s="3">
        <f>IF('3a Raw'!J204="","",MAX(-3,MIN(3,('3a Raw'!J204-$P3)/$P4)))</f>
        <v/>
      </c>
      <c r="Q204" s="3">
        <f>IF(P204="","",(P204-AVERAGE(P6:P1198))/(STDEV(P6:P1198)+1E-12))</f>
        <v/>
      </c>
      <c r="R204" s="3">
        <f>IF('3a Raw'!K204="","",MAX(-3,MIN(3,('3a Raw'!K204-$R3)/$R4)))</f>
        <v/>
      </c>
      <c r="S204" s="3">
        <f>IF(R204="","",(R204-AVERAGE(R6:R1198))/(STDEV(R6:R1198)+1E-12))</f>
        <v/>
      </c>
      <c r="T204" s="3">
        <f>IF('3a Raw'!L204="","",MAX(-3,MIN(3,('3a Raw'!L204-$T3)/$T4)))</f>
        <v/>
      </c>
      <c r="U204" s="3">
        <f>IF(T204="","",(T204-AVERAGE(T6:T1198))/(STDEV(T6:T1198)+1E-12))</f>
        <v/>
      </c>
      <c r="X204" s="3">
        <f>IF(U204="","",U204-($V$3*G204+$W$3))</f>
        <v/>
      </c>
      <c r="Y204" s="3">
        <f>IF(X204="","",MAX(-3,MIN(3,(X204-$X3)/$X4)))</f>
        <v/>
      </c>
      <c r="Z204" s="3">
        <f>IF(Y204="","",(Y204-AVERAGE(Y6:Y1198))/(STDEV(Y6:Y1198)+1E-12))</f>
        <v/>
      </c>
    </row>
    <row r="205">
      <c r="A205" t="inlineStr">
        <is>
          <t>BBG000DSZTN6</t>
        </is>
      </c>
      <c r="B205" s="3">
        <f>IF('3a Raw'!C205="","",MAX(-3,MIN(3,('3a Raw'!C205-$B3)/$B4)))</f>
        <v/>
      </c>
      <c r="C205" s="3">
        <f>IF(B205="","",(B205-AVERAGE(B6:B1198))/(STDEV(B6:B1198)+1E-12))</f>
        <v/>
      </c>
      <c r="D205" s="3">
        <f>IF('3a Raw'!D205="","",MAX(-3,MIN(3,('3a Raw'!D205-$D3)/$D4)))</f>
        <v/>
      </c>
      <c r="E205" s="3">
        <f>IF(D205="","",(D205-AVERAGE(D6:D1198))/(STDEV(D6:D1198)+1E-12))</f>
        <v/>
      </c>
      <c r="F205" s="3">
        <f>IF('3a Raw'!E205="","",MAX(-3,MIN(3,('3a Raw'!E205-$F3)/$F4)))</f>
        <v/>
      </c>
      <c r="G205" s="3">
        <f>IF(F205="","",(F205-AVERAGE(F6:F1198))/(STDEV(F6:F1198)+1E-12))</f>
        <v/>
      </c>
      <c r="H205" s="3">
        <f>IF('3a Raw'!F205="","",MAX(-3,MIN(3,('3a Raw'!F205-$H3)/$H4)))</f>
        <v/>
      </c>
      <c r="I205" s="3">
        <f>IF(H205="","",(H205-AVERAGE(H6:H1198))/(STDEV(H6:H1198)+1E-12))</f>
        <v/>
      </c>
      <c r="J205" s="3">
        <f>IF('3a Raw'!G205="","",MAX(-3,MIN(3,('3a Raw'!G205-$J3)/$J4)))</f>
        <v/>
      </c>
      <c r="K205" s="3">
        <f>IF(J205="","",(J205-AVERAGE(J6:J1198))/(STDEV(J6:J1198)+1E-12))</f>
        <v/>
      </c>
      <c r="L205" s="3">
        <f>IF('3a Raw'!H205="","",MAX(-3,MIN(3,('3a Raw'!H205-$L3)/$L4)))</f>
        <v/>
      </c>
      <c r="M205" s="3">
        <f>IF(L205="","",(L205-AVERAGE(L6:L1198))/(STDEV(L6:L1198)+1E-12))</f>
        <v/>
      </c>
      <c r="N205" s="3">
        <f>IF('3a Raw'!I205="","",MAX(-3,MIN(3,('3a Raw'!I205-$N3)/$N4)))</f>
        <v/>
      </c>
      <c r="O205" s="3">
        <f>IF(N205="","",(N205-AVERAGE(N6:N1198))/(STDEV(N6:N1198)+1E-12))</f>
        <v/>
      </c>
      <c r="P205" s="3">
        <f>IF('3a Raw'!J205="","",MAX(-3,MIN(3,('3a Raw'!J205-$P3)/$P4)))</f>
        <v/>
      </c>
      <c r="Q205" s="3">
        <f>IF(P205="","",(P205-AVERAGE(P6:P1198))/(STDEV(P6:P1198)+1E-12))</f>
        <v/>
      </c>
      <c r="R205" s="3">
        <f>IF('3a Raw'!K205="","",MAX(-3,MIN(3,('3a Raw'!K205-$R3)/$R4)))</f>
        <v/>
      </c>
      <c r="S205" s="3">
        <f>IF(R205="","",(R205-AVERAGE(R6:R1198))/(STDEV(R6:R1198)+1E-12))</f>
        <v/>
      </c>
      <c r="T205" s="3">
        <f>IF('3a Raw'!L205="","",MAX(-3,MIN(3,('3a Raw'!L205-$T3)/$T4)))</f>
        <v/>
      </c>
      <c r="U205" s="3">
        <f>IF(T205="","",(T205-AVERAGE(T6:T1198))/(STDEV(T6:T1198)+1E-12))</f>
        <v/>
      </c>
      <c r="X205" s="3">
        <f>IF(U205="","",U205-($V$3*G205+$W$3))</f>
        <v/>
      </c>
      <c r="Y205" s="3">
        <f>IF(X205="","",MAX(-3,MIN(3,(X205-$X3)/$X4)))</f>
        <v/>
      </c>
      <c r="Z205" s="3">
        <f>IF(Y205="","",(Y205-AVERAGE(Y6:Y1198))/(STDEV(Y6:Y1198)+1E-12))</f>
        <v/>
      </c>
    </row>
    <row r="206">
      <c r="A206" t="inlineStr">
        <is>
          <t>ccl</t>
        </is>
      </c>
      <c r="B206" s="3">
        <f>IF('3a Raw'!C206="","",MAX(-3,MIN(3,('3a Raw'!C206-$B3)/$B4)))</f>
        <v/>
      </c>
      <c r="C206" s="3">
        <f>IF(B206="","",(B206-AVERAGE(B6:B1198))/(STDEV(B6:B1198)+1E-12))</f>
        <v/>
      </c>
      <c r="D206" s="3">
        <f>IF('3a Raw'!D206="","",MAX(-3,MIN(3,('3a Raw'!D206-$D3)/$D4)))</f>
        <v/>
      </c>
      <c r="E206" s="3">
        <f>IF(D206="","",(D206-AVERAGE(D6:D1198))/(STDEV(D6:D1198)+1E-12))</f>
        <v/>
      </c>
      <c r="F206" s="3">
        <f>IF('3a Raw'!E206="","",MAX(-3,MIN(3,('3a Raw'!E206-$F3)/$F4)))</f>
        <v/>
      </c>
      <c r="G206" s="3">
        <f>IF(F206="","",(F206-AVERAGE(F6:F1198))/(STDEV(F6:F1198)+1E-12))</f>
        <v/>
      </c>
      <c r="H206" s="3">
        <f>IF('3a Raw'!F206="","",MAX(-3,MIN(3,('3a Raw'!F206-$H3)/$H4)))</f>
        <v/>
      </c>
      <c r="I206" s="3">
        <f>IF(H206="","",(H206-AVERAGE(H6:H1198))/(STDEV(H6:H1198)+1E-12))</f>
        <v/>
      </c>
      <c r="J206" s="3">
        <f>IF('3a Raw'!G206="","",MAX(-3,MIN(3,('3a Raw'!G206-$J3)/$J4)))</f>
        <v/>
      </c>
      <c r="K206" s="3">
        <f>IF(J206="","",(J206-AVERAGE(J6:J1198))/(STDEV(J6:J1198)+1E-12))</f>
        <v/>
      </c>
      <c r="L206" s="3">
        <f>IF('3a Raw'!H206="","",MAX(-3,MIN(3,('3a Raw'!H206-$L3)/$L4)))</f>
        <v/>
      </c>
      <c r="M206" s="3">
        <f>IF(L206="","",(L206-AVERAGE(L6:L1198))/(STDEV(L6:L1198)+1E-12))</f>
        <v/>
      </c>
      <c r="N206" s="3">
        <f>IF('3a Raw'!I206="","",MAX(-3,MIN(3,('3a Raw'!I206-$N3)/$N4)))</f>
        <v/>
      </c>
      <c r="O206" s="3">
        <f>IF(N206="","",(N206-AVERAGE(N6:N1198))/(STDEV(N6:N1198)+1E-12))</f>
        <v/>
      </c>
      <c r="P206" s="3">
        <f>IF('3a Raw'!J206="","",MAX(-3,MIN(3,('3a Raw'!J206-$P3)/$P4)))</f>
        <v/>
      </c>
      <c r="Q206" s="3">
        <f>IF(P206="","",(P206-AVERAGE(P6:P1198))/(STDEV(P6:P1198)+1E-12))</f>
        <v/>
      </c>
      <c r="R206" s="3">
        <f>IF('3a Raw'!K206="","",MAX(-3,MIN(3,('3a Raw'!K206-$R3)/$R4)))</f>
        <v/>
      </c>
      <c r="S206" s="3">
        <f>IF(R206="","",(R206-AVERAGE(R6:R1198))/(STDEV(R6:R1198)+1E-12))</f>
        <v/>
      </c>
      <c r="T206" s="3">
        <f>IF('3a Raw'!L206="","",MAX(-3,MIN(3,('3a Raw'!L206-$T3)/$T4)))</f>
        <v/>
      </c>
      <c r="U206" s="3">
        <f>IF(T206="","",(T206-AVERAGE(T6:T1198))/(STDEV(T6:T1198)+1E-12))</f>
        <v/>
      </c>
      <c r="X206" s="3">
        <f>IF(U206="","",U206-($V$3*G206+$W$3))</f>
        <v/>
      </c>
      <c r="Y206" s="3">
        <f>IF(X206="","",MAX(-3,MIN(3,(X206-$X3)/$X4)))</f>
        <v/>
      </c>
      <c r="Z206" s="3">
        <f>IF(Y206="","",(Y206-AVERAGE(Y6:Y1198))/(STDEV(Y6:Y1198)+1E-12))</f>
        <v/>
      </c>
    </row>
    <row r="207">
      <c r="A207" t="inlineStr">
        <is>
          <t>BBG000SSC5C9</t>
        </is>
      </c>
      <c r="B207" s="3">
        <f>IF('3a Raw'!C207="","",MAX(-3,MIN(3,('3a Raw'!C207-$B3)/$B4)))</f>
        <v/>
      </c>
      <c r="C207" s="3">
        <f>IF(B207="","",(B207-AVERAGE(B6:B1198))/(STDEV(B6:B1198)+1E-12))</f>
        <v/>
      </c>
      <c r="D207" s="3">
        <f>IF('3a Raw'!D207="","",MAX(-3,MIN(3,('3a Raw'!D207-$D3)/$D4)))</f>
        <v/>
      </c>
      <c r="E207" s="3">
        <f>IF(D207="","",(D207-AVERAGE(D6:D1198))/(STDEV(D6:D1198)+1E-12))</f>
        <v/>
      </c>
      <c r="F207" s="3">
        <f>IF('3a Raw'!E207="","",MAX(-3,MIN(3,('3a Raw'!E207-$F3)/$F4)))</f>
        <v/>
      </c>
      <c r="G207" s="3">
        <f>IF(F207="","",(F207-AVERAGE(F6:F1198))/(STDEV(F6:F1198)+1E-12))</f>
        <v/>
      </c>
      <c r="H207" s="3">
        <f>IF('3a Raw'!F207="","",MAX(-3,MIN(3,('3a Raw'!F207-$H3)/$H4)))</f>
        <v/>
      </c>
      <c r="I207" s="3">
        <f>IF(H207="","",(H207-AVERAGE(H6:H1198))/(STDEV(H6:H1198)+1E-12))</f>
        <v/>
      </c>
      <c r="J207" s="3">
        <f>IF('3a Raw'!G207="","",MAX(-3,MIN(3,('3a Raw'!G207-$J3)/$J4)))</f>
        <v/>
      </c>
      <c r="K207" s="3">
        <f>IF(J207="","",(J207-AVERAGE(J6:J1198))/(STDEV(J6:J1198)+1E-12))</f>
        <v/>
      </c>
      <c r="L207" s="3">
        <f>IF('3a Raw'!H207="","",MAX(-3,MIN(3,('3a Raw'!H207-$L3)/$L4)))</f>
        <v/>
      </c>
      <c r="M207" s="3">
        <f>IF(L207="","",(L207-AVERAGE(L6:L1198))/(STDEV(L6:L1198)+1E-12))</f>
        <v/>
      </c>
      <c r="N207" s="3">
        <f>IF('3a Raw'!I207="","",MAX(-3,MIN(3,('3a Raw'!I207-$N3)/$N4)))</f>
        <v/>
      </c>
      <c r="O207" s="3">
        <f>IF(N207="","",(N207-AVERAGE(N6:N1198))/(STDEV(N6:N1198)+1E-12))</f>
        <v/>
      </c>
      <c r="P207" s="3">
        <f>IF('3a Raw'!J207="","",MAX(-3,MIN(3,('3a Raw'!J207-$P3)/$P4)))</f>
        <v/>
      </c>
      <c r="Q207" s="3">
        <f>IF(P207="","",(P207-AVERAGE(P6:P1198))/(STDEV(P6:P1198)+1E-12))</f>
        <v/>
      </c>
      <c r="R207" s="3">
        <f>IF('3a Raw'!K207="","",MAX(-3,MIN(3,('3a Raw'!K207-$R3)/$R4)))</f>
        <v/>
      </c>
      <c r="S207" s="3">
        <f>IF(R207="","",(R207-AVERAGE(R6:R1198))/(STDEV(R6:R1198)+1E-12))</f>
        <v/>
      </c>
      <c r="T207" s="3">
        <f>IF('3a Raw'!L207="","",MAX(-3,MIN(3,('3a Raw'!L207-$T3)/$T4)))</f>
        <v/>
      </c>
      <c r="U207" s="3">
        <f>IF(T207="","",(T207-AVERAGE(T6:T1198))/(STDEV(T6:T1198)+1E-12))</f>
        <v/>
      </c>
      <c r="X207" s="3">
        <f>IF(U207="","",U207-($V$3*G207+$W$3))</f>
        <v/>
      </c>
      <c r="Y207" s="3">
        <f>IF(X207="","",MAX(-3,MIN(3,(X207-$X3)/$X4)))</f>
        <v/>
      </c>
      <c r="Z207" s="3">
        <f>IF(Y207="","",(Y207-AVERAGE(Y6:Y1198))/(STDEV(Y6:Y1198)+1E-12))</f>
        <v/>
      </c>
    </row>
    <row r="208">
      <c r="A208" t="inlineStr">
        <is>
          <t>BBG000D0SMY8</t>
        </is>
      </c>
      <c r="B208" s="3">
        <f>IF('3a Raw'!C208="","",MAX(-3,MIN(3,('3a Raw'!C208-$B3)/$B4)))</f>
        <v/>
      </c>
      <c r="C208" s="3">
        <f>IF(B208="","",(B208-AVERAGE(B6:B1198))/(STDEV(B6:B1198)+1E-12))</f>
        <v/>
      </c>
      <c r="D208" s="3">
        <f>IF('3a Raw'!D208="","",MAX(-3,MIN(3,('3a Raw'!D208-$D3)/$D4)))</f>
        <v/>
      </c>
      <c r="E208" s="3">
        <f>IF(D208="","",(D208-AVERAGE(D6:D1198))/(STDEV(D6:D1198)+1E-12))</f>
        <v/>
      </c>
      <c r="F208" s="3">
        <f>IF('3a Raw'!E208="","",MAX(-3,MIN(3,('3a Raw'!E208-$F3)/$F4)))</f>
        <v/>
      </c>
      <c r="G208" s="3">
        <f>IF(F208="","",(F208-AVERAGE(F6:F1198))/(STDEV(F6:F1198)+1E-12))</f>
        <v/>
      </c>
      <c r="H208" s="3">
        <f>IF('3a Raw'!F208="","",MAX(-3,MIN(3,('3a Raw'!F208-$H3)/$H4)))</f>
        <v/>
      </c>
      <c r="I208" s="3">
        <f>IF(H208="","",(H208-AVERAGE(H6:H1198))/(STDEV(H6:H1198)+1E-12))</f>
        <v/>
      </c>
      <c r="J208" s="3">
        <f>IF('3a Raw'!G208="","",MAX(-3,MIN(3,('3a Raw'!G208-$J3)/$J4)))</f>
        <v/>
      </c>
      <c r="K208" s="3">
        <f>IF(J208="","",(J208-AVERAGE(J6:J1198))/(STDEV(J6:J1198)+1E-12))</f>
        <v/>
      </c>
      <c r="L208" s="3">
        <f>IF('3a Raw'!H208="","",MAX(-3,MIN(3,('3a Raw'!H208-$L3)/$L4)))</f>
        <v/>
      </c>
      <c r="M208" s="3">
        <f>IF(L208="","",(L208-AVERAGE(L6:L1198))/(STDEV(L6:L1198)+1E-12))</f>
        <v/>
      </c>
      <c r="N208" s="3">
        <f>IF('3a Raw'!I208="","",MAX(-3,MIN(3,('3a Raw'!I208-$N3)/$N4)))</f>
        <v/>
      </c>
      <c r="O208" s="3">
        <f>IF(N208="","",(N208-AVERAGE(N6:N1198))/(STDEV(N6:N1198)+1E-12))</f>
        <v/>
      </c>
      <c r="P208" s="3">
        <f>IF('3a Raw'!J208="","",MAX(-3,MIN(3,('3a Raw'!J208-$P3)/$P4)))</f>
        <v/>
      </c>
      <c r="Q208" s="3">
        <f>IF(P208="","",(P208-AVERAGE(P6:P1198))/(STDEV(P6:P1198)+1E-12))</f>
        <v/>
      </c>
      <c r="R208" s="3">
        <f>IF('3a Raw'!K208="","",MAX(-3,MIN(3,('3a Raw'!K208-$R3)/$R4)))</f>
        <v/>
      </c>
      <c r="S208" s="3">
        <f>IF(R208="","",(R208-AVERAGE(R6:R1198))/(STDEV(R6:R1198)+1E-12))</f>
        <v/>
      </c>
      <c r="T208" s="3">
        <f>IF('3a Raw'!L208="","",MAX(-3,MIN(3,('3a Raw'!L208-$T3)/$T4)))</f>
        <v/>
      </c>
      <c r="U208" s="3">
        <f>IF(T208="","",(T208-AVERAGE(T6:T1198))/(STDEV(T6:T1198)+1E-12))</f>
        <v/>
      </c>
      <c r="X208" s="3">
        <f>IF(U208="","",U208-($V$3*G208+$W$3))</f>
        <v/>
      </c>
      <c r="Y208" s="3">
        <f>IF(X208="","",MAX(-3,MIN(3,(X208-$X3)/$X4)))</f>
        <v/>
      </c>
      <c r="Z208" s="3">
        <f>IF(Y208="","",(Y208-AVERAGE(Y6:Y1198))/(STDEV(Y6:Y1198)+1E-12))</f>
        <v/>
      </c>
    </row>
    <row r="209">
      <c r="A209" t="inlineStr">
        <is>
          <t>BBG000C13CD9</t>
        </is>
      </c>
      <c r="B209" s="3">
        <f>IF('3a Raw'!C209="","",MAX(-3,MIN(3,('3a Raw'!C209-$B3)/$B4)))</f>
        <v/>
      </c>
      <c r="C209" s="3">
        <f>IF(B209="","",(B209-AVERAGE(B6:B1198))/(STDEV(B6:B1198)+1E-12))</f>
        <v/>
      </c>
      <c r="D209" s="3">
        <f>IF('3a Raw'!D209="","",MAX(-3,MIN(3,('3a Raw'!D209-$D3)/$D4)))</f>
        <v/>
      </c>
      <c r="E209" s="3">
        <f>IF(D209="","",(D209-AVERAGE(D6:D1198))/(STDEV(D6:D1198)+1E-12))</f>
        <v/>
      </c>
      <c r="F209" s="3">
        <f>IF('3a Raw'!E209="","",MAX(-3,MIN(3,('3a Raw'!E209-$F3)/$F4)))</f>
        <v/>
      </c>
      <c r="G209" s="3">
        <f>IF(F209="","",(F209-AVERAGE(F6:F1198))/(STDEV(F6:F1198)+1E-12))</f>
        <v/>
      </c>
      <c r="H209" s="3">
        <f>IF('3a Raw'!F209="","",MAX(-3,MIN(3,('3a Raw'!F209-$H3)/$H4)))</f>
        <v/>
      </c>
      <c r="I209" s="3">
        <f>IF(H209="","",(H209-AVERAGE(H6:H1198))/(STDEV(H6:H1198)+1E-12))</f>
        <v/>
      </c>
      <c r="J209" s="3">
        <f>IF('3a Raw'!G209="","",MAX(-3,MIN(3,('3a Raw'!G209-$J3)/$J4)))</f>
        <v/>
      </c>
      <c r="K209" s="3">
        <f>IF(J209="","",(J209-AVERAGE(J6:J1198))/(STDEV(J6:J1198)+1E-12))</f>
        <v/>
      </c>
      <c r="L209" s="3">
        <f>IF('3a Raw'!H209="","",MAX(-3,MIN(3,('3a Raw'!H209-$L3)/$L4)))</f>
        <v/>
      </c>
      <c r="M209" s="3">
        <f>IF(L209="","",(L209-AVERAGE(L6:L1198))/(STDEV(L6:L1198)+1E-12))</f>
        <v/>
      </c>
      <c r="N209" s="3">
        <f>IF('3a Raw'!I209="","",MAX(-3,MIN(3,('3a Raw'!I209-$N3)/$N4)))</f>
        <v/>
      </c>
      <c r="O209" s="3">
        <f>IF(N209="","",(N209-AVERAGE(N6:N1198))/(STDEV(N6:N1198)+1E-12))</f>
        <v/>
      </c>
      <c r="P209" s="3">
        <f>IF('3a Raw'!J209="","",MAX(-3,MIN(3,('3a Raw'!J209-$P3)/$P4)))</f>
        <v/>
      </c>
      <c r="Q209" s="3">
        <f>IF(P209="","",(P209-AVERAGE(P6:P1198))/(STDEV(P6:P1198)+1E-12))</f>
        <v/>
      </c>
      <c r="R209" s="3">
        <f>IF('3a Raw'!K209="","",MAX(-3,MIN(3,('3a Raw'!K209-$R3)/$R4)))</f>
        <v/>
      </c>
      <c r="S209" s="3">
        <f>IF(R209="","",(R209-AVERAGE(R6:R1198))/(STDEV(R6:R1198)+1E-12))</f>
        <v/>
      </c>
      <c r="T209" s="3">
        <f>IF('3a Raw'!L209="","",MAX(-3,MIN(3,('3a Raw'!L209-$T3)/$T4)))</f>
        <v/>
      </c>
      <c r="U209" s="3">
        <f>IF(T209="","",(T209-AVERAGE(T6:T1198))/(STDEV(T6:T1198)+1E-12))</f>
        <v/>
      </c>
      <c r="X209" s="3">
        <f>IF(U209="","",U209-($V$3*G209+$W$3))</f>
        <v/>
      </c>
      <c r="Y209" s="3">
        <f>IF(X209="","",MAX(-3,MIN(3,(X209-$X3)/$X4)))</f>
        <v/>
      </c>
      <c r="Z209" s="3">
        <f>IF(Y209="","",(Y209-AVERAGE(Y6:Y1198))/(STDEV(Y6:Y1198)+1E-12))</f>
        <v/>
      </c>
    </row>
    <row r="210">
      <c r="A210" t="inlineStr">
        <is>
          <t>cdw</t>
        </is>
      </c>
      <c r="B210" s="3">
        <f>IF('3a Raw'!C210="","",MAX(-3,MIN(3,('3a Raw'!C210-$B3)/$B4)))</f>
        <v/>
      </c>
      <c r="C210" s="3">
        <f>IF(B210="","",(B210-AVERAGE(B6:B1198))/(STDEV(B6:B1198)+1E-12))</f>
        <v/>
      </c>
      <c r="D210" s="3">
        <f>IF('3a Raw'!D210="","",MAX(-3,MIN(3,('3a Raw'!D210-$D3)/$D4)))</f>
        <v/>
      </c>
      <c r="E210" s="3">
        <f>IF(D210="","",(D210-AVERAGE(D6:D1198))/(STDEV(D6:D1198)+1E-12))</f>
        <v/>
      </c>
      <c r="F210" s="3">
        <f>IF('3a Raw'!E210="","",MAX(-3,MIN(3,('3a Raw'!E210-$F3)/$F4)))</f>
        <v/>
      </c>
      <c r="G210" s="3">
        <f>IF(F210="","",(F210-AVERAGE(F6:F1198))/(STDEV(F6:F1198)+1E-12))</f>
        <v/>
      </c>
      <c r="H210" s="3">
        <f>IF('3a Raw'!F210="","",MAX(-3,MIN(3,('3a Raw'!F210-$H3)/$H4)))</f>
        <v/>
      </c>
      <c r="I210" s="3">
        <f>IF(H210="","",(H210-AVERAGE(H6:H1198))/(STDEV(H6:H1198)+1E-12))</f>
        <v/>
      </c>
      <c r="J210" s="3">
        <f>IF('3a Raw'!G210="","",MAX(-3,MIN(3,('3a Raw'!G210-$J3)/$J4)))</f>
        <v/>
      </c>
      <c r="K210" s="3">
        <f>IF(J210="","",(J210-AVERAGE(J6:J1198))/(STDEV(J6:J1198)+1E-12))</f>
        <v/>
      </c>
      <c r="L210" s="3">
        <f>IF('3a Raw'!H210="","",MAX(-3,MIN(3,('3a Raw'!H210-$L3)/$L4)))</f>
        <v/>
      </c>
      <c r="M210" s="3">
        <f>IF(L210="","",(L210-AVERAGE(L6:L1198))/(STDEV(L6:L1198)+1E-12))</f>
        <v/>
      </c>
      <c r="N210" s="3">
        <f>IF('3a Raw'!I210="","",MAX(-3,MIN(3,('3a Raw'!I210-$N3)/$N4)))</f>
        <v/>
      </c>
      <c r="O210" s="3">
        <f>IF(N210="","",(N210-AVERAGE(N6:N1198))/(STDEV(N6:N1198)+1E-12))</f>
        <v/>
      </c>
      <c r="P210" s="3">
        <f>IF('3a Raw'!J210="","",MAX(-3,MIN(3,('3a Raw'!J210-$P3)/$P4)))</f>
        <v/>
      </c>
      <c r="Q210" s="3">
        <f>IF(P210="","",(P210-AVERAGE(P6:P1198))/(STDEV(P6:P1198)+1E-12))</f>
        <v/>
      </c>
      <c r="R210" s="3">
        <f>IF('3a Raw'!K210="","",MAX(-3,MIN(3,('3a Raw'!K210-$R3)/$R4)))</f>
        <v/>
      </c>
      <c r="S210" s="3">
        <f>IF(R210="","",(R210-AVERAGE(R6:R1198))/(STDEV(R6:R1198)+1E-12))</f>
        <v/>
      </c>
      <c r="T210" s="3">
        <f>IF('3a Raw'!L210="","",MAX(-3,MIN(3,('3a Raw'!L210-$T3)/$T4)))</f>
        <v/>
      </c>
      <c r="U210" s="3">
        <f>IF(T210="","",(T210-AVERAGE(T6:T1198))/(STDEV(T6:T1198)+1E-12))</f>
        <v/>
      </c>
      <c r="X210" s="3">
        <f>IF(U210="","",U210-($V$3*G210+$W$3))</f>
        <v/>
      </c>
      <c r="Y210" s="3">
        <f>IF(X210="","",MAX(-3,MIN(3,(X210-$X3)/$X4)))</f>
        <v/>
      </c>
      <c r="Z210" s="3">
        <f>IF(Y210="","",(Y210-AVERAGE(Y6:Y1198))/(STDEV(Y6:Y1198)+1E-12))</f>
        <v/>
      </c>
    </row>
    <row r="211">
      <c r="A211" t="inlineStr">
        <is>
          <t>BBG000CSMLT2</t>
        </is>
      </c>
      <c r="B211" s="3">
        <f>IF('3a Raw'!C211="","",MAX(-3,MIN(3,('3a Raw'!C211-$B3)/$B4)))</f>
        <v/>
      </c>
      <c r="C211" s="3">
        <f>IF(B211="","",(B211-AVERAGE(B6:B1198))/(STDEV(B6:B1198)+1E-12))</f>
        <v/>
      </c>
      <c r="D211" s="3">
        <f>IF('3a Raw'!D211="","",MAX(-3,MIN(3,('3a Raw'!D211-$D3)/$D4)))</f>
        <v/>
      </c>
      <c r="E211" s="3">
        <f>IF(D211="","",(D211-AVERAGE(D6:D1198))/(STDEV(D6:D1198)+1E-12))</f>
        <v/>
      </c>
      <c r="F211" s="3">
        <f>IF('3a Raw'!E211="","",MAX(-3,MIN(3,('3a Raw'!E211-$F3)/$F4)))</f>
        <v/>
      </c>
      <c r="G211" s="3">
        <f>IF(F211="","",(F211-AVERAGE(F6:F1198))/(STDEV(F6:F1198)+1E-12))</f>
        <v/>
      </c>
      <c r="H211" s="3">
        <f>IF('3a Raw'!F211="","",MAX(-3,MIN(3,('3a Raw'!F211-$H3)/$H4)))</f>
        <v/>
      </c>
      <c r="I211" s="3">
        <f>IF(H211="","",(H211-AVERAGE(H6:H1198))/(STDEV(H6:H1198)+1E-12))</f>
        <v/>
      </c>
      <c r="J211" s="3">
        <f>IF('3a Raw'!G211="","",MAX(-3,MIN(3,('3a Raw'!G211-$J3)/$J4)))</f>
        <v/>
      </c>
      <c r="K211" s="3">
        <f>IF(J211="","",(J211-AVERAGE(J6:J1198))/(STDEV(J6:J1198)+1E-12))</f>
        <v/>
      </c>
      <c r="L211" s="3">
        <f>IF('3a Raw'!H211="","",MAX(-3,MIN(3,('3a Raw'!H211-$L3)/$L4)))</f>
        <v/>
      </c>
      <c r="M211" s="3">
        <f>IF(L211="","",(L211-AVERAGE(L6:L1198))/(STDEV(L6:L1198)+1E-12))</f>
        <v/>
      </c>
      <c r="N211" s="3">
        <f>IF('3a Raw'!I211="","",MAX(-3,MIN(3,('3a Raw'!I211-$N3)/$N4)))</f>
        <v/>
      </c>
      <c r="O211" s="3">
        <f>IF(N211="","",(N211-AVERAGE(N6:N1198))/(STDEV(N6:N1198)+1E-12))</f>
        <v/>
      </c>
      <c r="P211" s="3">
        <f>IF('3a Raw'!J211="","",MAX(-3,MIN(3,('3a Raw'!J211-$P3)/$P4)))</f>
        <v/>
      </c>
      <c r="Q211" s="3">
        <f>IF(P211="","",(P211-AVERAGE(P6:P1198))/(STDEV(P6:P1198)+1E-12))</f>
        <v/>
      </c>
      <c r="R211" s="3">
        <f>IF('3a Raw'!K211="","",MAX(-3,MIN(3,('3a Raw'!K211-$R3)/$R4)))</f>
        <v/>
      </c>
      <c r="S211" s="3">
        <f>IF(R211="","",(R211-AVERAGE(R6:R1198))/(STDEV(R6:R1198)+1E-12))</f>
        <v/>
      </c>
      <c r="T211" s="3">
        <f>IF('3a Raw'!L211="","",MAX(-3,MIN(3,('3a Raw'!L211-$T3)/$T4)))</f>
        <v/>
      </c>
      <c r="U211" s="3">
        <f>IF(T211="","",(T211-AVERAGE(T6:T1198))/(STDEV(T6:T1198)+1E-12))</f>
        <v/>
      </c>
      <c r="X211" s="3">
        <f>IF(U211="","",U211-($V$3*G211+$W$3))</f>
        <v/>
      </c>
      <c r="Y211" s="3">
        <f>IF(X211="","",MAX(-3,MIN(3,(X211-$X3)/$X4)))</f>
        <v/>
      </c>
      <c r="Z211" s="3">
        <f>IF(Y211="","",(Y211-AVERAGE(Y6:Y1198))/(STDEV(Y6:Y1198)+1E-12))</f>
        <v/>
      </c>
    </row>
    <row r="212">
      <c r="A212" t="inlineStr">
        <is>
          <t>BBG000JYP7L8</t>
        </is>
      </c>
      <c r="B212" s="3">
        <f>IF('3a Raw'!C212="","",MAX(-3,MIN(3,('3a Raw'!C212-$B3)/$B4)))</f>
        <v/>
      </c>
      <c r="C212" s="3">
        <f>IF(B212="","",(B212-AVERAGE(B6:B1198))/(STDEV(B6:B1198)+1E-12))</f>
        <v/>
      </c>
      <c r="D212" s="3">
        <f>IF('3a Raw'!D212="","",MAX(-3,MIN(3,('3a Raw'!D212-$D3)/$D4)))</f>
        <v/>
      </c>
      <c r="E212" s="3">
        <f>IF(D212="","",(D212-AVERAGE(D6:D1198))/(STDEV(D6:D1198)+1E-12))</f>
        <v/>
      </c>
      <c r="F212" s="3">
        <f>IF('3a Raw'!E212="","",MAX(-3,MIN(3,('3a Raw'!E212-$F3)/$F4)))</f>
        <v/>
      </c>
      <c r="G212" s="3">
        <f>IF(F212="","",(F212-AVERAGE(F6:F1198))/(STDEV(F6:F1198)+1E-12))</f>
        <v/>
      </c>
      <c r="H212" s="3">
        <f>IF('3a Raw'!F212="","",MAX(-3,MIN(3,('3a Raw'!F212-$H3)/$H4)))</f>
        <v/>
      </c>
      <c r="I212" s="3">
        <f>IF(H212="","",(H212-AVERAGE(H6:H1198))/(STDEV(H6:H1198)+1E-12))</f>
        <v/>
      </c>
      <c r="J212" s="3">
        <f>IF('3a Raw'!G212="","",MAX(-3,MIN(3,('3a Raw'!G212-$J3)/$J4)))</f>
        <v/>
      </c>
      <c r="K212" s="3">
        <f>IF(J212="","",(J212-AVERAGE(J6:J1198))/(STDEV(J6:J1198)+1E-12))</f>
        <v/>
      </c>
      <c r="L212" s="3">
        <f>IF('3a Raw'!H212="","",MAX(-3,MIN(3,('3a Raw'!H212-$L3)/$L4)))</f>
        <v/>
      </c>
      <c r="M212" s="3">
        <f>IF(L212="","",(L212-AVERAGE(L6:L1198))/(STDEV(L6:L1198)+1E-12))</f>
        <v/>
      </c>
      <c r="N212" s="3">
        <f>IF('3a Raw'!I212="","",MAX(-3,MIN(3,('3a Raw'!I212-$N3)/$N4)))</f>
        <v/>
      </c>
      <c r="O212" s="3">
        <f>IF(N212="","",(N212-AVERAGE(N6:N1198))/(STDEV(N6:N1198)+1E-12))</f>
        <v/>
      </c>
      <c r="P212" s="3">
        <f>IF('3a Raw'!J212="","",MAX(-3,MIN(3,('3a Raw'!J212-$P3)/$P4)))</f>
        <v/>
      </c>
      <c r="Q212" s="3">
        <f>IF(P212="","",(P212-AVERAGE(P6:P1198))/(STDEV(P6:P1198)+1E-12))</f>
        <v/>
      </c>
      <c r="R212" s="3">
        <f>IF('3a Raw'!K212="","",MAX(-3,MIN(3,('3a Raw'!K212-$R3)/$R4)))</f>
        <v/>
      </c>
      <c r="S212" s="3">
        <f>IF(R212="","",(R212-AVERAGE(R6:R1198))/(STDEV(R6:R1198)+1E-12))</f>
        <v/>
      </c>
      <c r="T212" s="3">
        <f>IF('3a Raw'!L212="","",MAX(-3,MIN(3,('3a Raw'!L212-$T3)/$T4)))</f>
        <v/>
      </c>
      <c r="U212" s="3">
        <f>IF(T212="","",(T212-AVERAGE(T6:T1198))/(STDEV(T6:T1198)+1E-12))</f>
        <v/>
      </c>
      <c r="X212" s="3">
        <f>IF(U212="","",U212-($V$3*G212+$W$3))</f>
        <v/>
      </c>
      <c r="Y212" s="3">
        <f>IF(X212="","",MAX(-3,MIN(3,(X212-$X3)/$X4)))</f>
        <v/>
      </c>
      <c r="Z212" s="3">
        <f>IF(Y212="","",(Y212-AVERAGE(Y6:Y1198))/(STDEV(Y6:Y1198)+1E-12))</f>
        <v/>
      </c>
    </row>
    <row r="213">
      <c r="A213" t="inlineStr">
        <is>
          <t>ceg</t>
        </is>
      </c>
      <c r="B213" s="3">
        <f>IF('3a Raw'!C213="","",MAX(-3,MIN(3,('3a Raw'!C213-$B3)/$B4)))</f>
        <v/>
      </c>
      <c r="C213" s="3">
        <f>IF(B213="","",(B213-AVERAGE(B6:B1198))/(STDEV(B6:B1198)+1E-12))</f>
        <v/>
      </c>
      <c r="D213" s="3">
        <f>IF('3a Raw'!D213="","",MAX(-3,MIN(3,('3a Raw'!D213-$D3)/$D4)))</f>
        <v/>
      </c>
      <c r="E213" s="3">
        <f>IF(D213="","",(D213-AVERAGE(D6:D1198))/(STDEV(D6:D1198)+1E-12))</f>
        <v/>
      </c>
      <c r="F213" s="3">
        <f>IF('3a Raw'!E213="","",MAX(-3,MIN(3,('3a Raw'!E213-$F3)/$F4)))</f>
        <v/>
      </c>
      <c r="G213" s="3">
        <f>IF(F213="","",(F213-AVERAGE(F6:F1198))/(STDEV(F6:F1198)+1E-12))</f>
        <v/>
      </c>
      <c r="H213" s="3">
        <f>IF('3a Raw'!F213="","",MAX(-3,MIN(3,('3a Raw'!F213-$H3)/$H4)))</f>
        <v/>
      </c>
      <c r="I213" s="3">
        <f>IF(H213="","",(H213-AVERAGE(H6:H1198))/(STDEV(H6:H1198)+1E-12))</f>
        <v/>
      </c>
      <c r="J213" s="3">
        <f>IF('3a Raw'!G213="","",MAX(-3,MIN(3,('3a Raw'!G213-$J3)/$J4)))</f>
        <v/>
      </c>
      <c r="K213" s="3">
        <f>IF(J213="","",(J213-AVERAGE(J6:J1198))/(STDEV(J6:J1198)+1E-12))</f>
        <v/>
      </c>
      <c r="L213" s="3">
        <f>IF('3a Raw'!H213="","",MAX(-3,MIN(3,('3a Raw'!H213-$L3)/$L4)))</f>
        <v/>
      </c>
      <c r="M213" s="3">
        <f>IF(L213="","",(L213-AVERAGE(L6:L1198))/(STDEV(L6:L1198)+1E-12))</f>
        <v/>
      </c>
      <c r="N213" s="3">
        <f>IF('3a Raw'!I213="","",MAX(-3,MIN(3,('3a Raw'!I213-$N3)/$N4)))</f>
        <v/>
      </c>
      <c r="O213" s="3">
        <f>IF(N213="","",(N213-AVERAGE(N6:N1198))/(STDEV(N6:N1198)+1E-12))</f>
        <v/>
      </c>
      <c r="P213" s="3">
        <f>IF('3a Raw'!J213="","",MAX(-3,MIN(3,('3a Raw'!J213-$P3)/$P4)))</f>
        <v/>
      </c>
      <c r="Q213" s="3">
        <f>IF(P213="","",(P213-AVERAGE(P6:P1198))/(STDEV(P6:P1198)+1E-12))</f>
        <v/>
      </c>
      <c r="R213" s="3">
        <f>IF('3a Raw'!K213="","",MAX(-3,MIN(3,('3a Raw'!K213-$R3)/$R4)))</f>
        <v/>
      </c>
      <c r="S213" s="3">
        <f>IF(R213="","",(R213-AVERAGE(R6:R1198))/(STDEV(R6:R1198)+1E-12))</f>
        <v/>
      </c>
      <c r="T213" s="3">
        <f>IF('3a Raw'!L213="","",MAX(-3,MIN(3,('3a Raw'!L213-$T3)/$T4)))</f>
        <v/>
      </c>
      <c r="U213" s="3">
        <f>IF(T213="","",(T213-AVERAGE(T6:T1198))/(STDEV(T6:T1198)+1E-12))</f>
        <v/>
      </c>
      <c r="X213" s="3">
        <f>IF(U213="","",U213-($V$3*G213+$W$3))</f>
        <v/>
      </c>
      <c r="Y213" s="3">
        <f>IF(X213="","",MAX(-3,MIN(3,(X213-$X3)/$X4)))</f>
        <v/>
      </c>
      <c r="Z213" s="3">
        <f>IF(Y213="","",(Y213-AVERAGE(Y6:Y1198))/(STDEV(Y6:Y1198)+1E-12))</f>
        <v/>
      </c>
    </row>
    <row r="214">
      <c r="A214" t="inlineStr">
        <is>
          <t>BBG000BWJFZ4</t>
        </is>
      </c>
      <c r="B214" s="3">
        <f>IF('3a Raw'!C214="","",MAX(-3,MIN(3,('3a Raw'!C214-$B3)/$B4)))</f>
        <v/>
      </c>
      <c r="C214" s="3">
        <f>IF(B214="","",(B214-AVERAGE(B6:B1198))/(STDEV(B6:B1198)+1E-12))</f>
        <v/>
      </c>
      <c r="D214" s="3">
        <f>IF('3a Raw'!D214="","",MAX(-3,MIN(3,('3a Raw'!D214-$D3)/$D4)))</f>
        <v/>
      </c>
      <c r="E214" s="3">
        <f>IF(D214="","",(D214-AVERAGE(D6:D1198))/(STDEV(D6:D1198)+1E-12))</f>
        <v/>
      </c>
      <c r="F214" s="3">
        <f>IF('3a Raw'!E214="","",MAX(-3,MIN(3,('3a Raw'!E214-$F3)/$F4)))</f>
        <v/>
      </c>
      <c r="G214" s="3">
        <f>IF(F214="","",(F214-AVERAGE(F6:F1198))/(STDEV(F6:F1198)+1E-12))</f>
        <v/>
      </c>
      <c r="H214" s="3">
        <f>IF('3a Raw'!F214="","",MAX(-3,MIN(3,('3a Raw'!F214-$H3)/$H4)))</f>
        <v/>
      </c>
      <c r="I214" s="3">
        <f>IF(H214="","",(H214-AVERAGE(H6:H1198))/(STDEV(H6:H1198)+1E-12))</f>
        <v/>
      </c>
      <c r="J214" s="3">
        <f>IF('3a Raw'!G214="","",MAX(-3,MIN(3,('3a Raw'!G214-$J3)/$J4)))</f>
        <v/>
      </c>
      <c r="K214" s="3">
        <f>IF(J214="","",(J214-AVERAGE(J6:J1198))/(STDEV(J6:J1198)+1E-12))</f>
        <v/>
      </c>
      <c r="L214" s="3">
        <f>IF('3a Raw'!H214="","",MAX(-3,MIN(3,('3a Raw'!H214-$L3)/$L4)))</f>
        <v/>
      </c>
      <c r="M214" s="3">
        <f>IF(L214="","",(L214-AVERAGE(L6:L1198))/(STDEV(L6:L1198)+1E-12))</f>
        <v/>
      </c>
      <c r="N214" s="3">
        <f>IF('3a Raw'!I214="","",MAX(-3,MIN(3,('3a Raw'!I214-$N3)/$N4)))</f>
        <v/>
      </c>
      <c r="O214" s="3">
        <f>IF(N214="","",(N214-AVERAGE(N6:N1198))/(STDEV(N6:N1198)+1E-12))</f>
        <v/>
      </c>
      <c r="P214" s="3">
        <f>IF('3a Raw'!J214="","",MAX(-3,MIN(3,('3a Raw'!J214-$P3)/$P4)))</f>
        <v/>
      </c>
      <c r="Q214" s="3">
        <f>IF(P214="","",(P214-AVERAGE(P6:P1198))/(STDEV(P6:P1198)+1E-12))</f>
        <v/>
      </c>
      <c r="R214" s="3">
        <f>IF('3a Raw'!K214="","",MAX(-3,MIN(3,('3a Raw'!K214-$R3)/$R4)))</f>
        <v/>
      </c>
      <c r="S214" s="3">
        <f>IF(R214="","",(R214-AVERAGE(R6:R1198))/(STDEV(R6:R1198)+1E-12))</f>
        <v/>
      </c>
      <c r="T214" s="3">
        <f>IF('3a Raw'!L214="","",MAX(-3,MIN(3,('3a Raw'!L214-$T3)/$T4)))</f>
        <v/>
      </c>
      <c r="U214" s="3">
        <f>IF(T214="","",(T214-AVERAGE(T6:T1198))/(STDEV(T6:T1198)+1E-12))</f>
        <v/>
      </c>
      <c r="X214" s="3">
        <f>IF(U214="","",U214-($V$3*G214+$W$3))</f>
        <v/>
      </c>
      <c r="Y214" s="3">
        <f>IF(X214="","",MAX(-3,MIN(3,(X214-$X3)/$X4)))</f>
        <v/>
      </c>
      <c r="Z214" s="3">
        <f>IF(Y214="","",(Y214-AVERAGE(Y6:Y1198))/(STDEV(Y6:Y1198)+1E-12))</f>
        <v/>
      </c>
    </row>
    <row r="215">
      <c r="A215" t="inlineStr">
        <is>
          <t>BBG006Q0HY77</t>
        </is>
      </c>
      <c r="B215" s="3">
        <f>IF('3a Raw'!C215="","",MAX(-3,MIN(3,('3a Raw'!C215-$B3)/$B4)))</f>
        <v/>
      </c>
      <c r="C215" s="3">
        <f>IF(B215="","",(B215-AVERAGE(B6:B1198))/(STDEV(B6:B1198)+1E-12))</f>
        <v/>
      </c>
      <c r="D215" s="3">
        <f>IF('3a Raw'!D215="","",MAX(-3,MIN(3,('3a Raw'!D215-$D3)/$D4)))</f>
        <v/>
      </c>
      <c r="E215" s="3">
        <f>IF(D215="","",(D215-AVERAGE(D6:D1198))/(STDEV(D6:D1198)+1E-12))</f>
        <v/>
      </c>
      <c r="F215" s="3">
        <f>IF('3a Raw'!E215="","",MAX(-3,MIN(3,('3a Raw'!E215-$F3)/$F4)))</f>
        <v/>
      </c>
      <c r="G215" s="3">
        <f>IF(F215="","",(F215-AVERAGE(F6:F1198))/(STDEV(F6:F1198)+1E-12))</f>
        <v/>
      </c>
      <c r="H215" s="3">
        <f>IF('3a Raw'!F215="","",MAX(-3,MIN(3,('3a Raw'!F215-$H3)/$H4)))</f>
        <v/>
      </c>
      <c r="I215" s="3">
        <f>IF(H215="","",(H215-AVERAGE(H6:H1198))/(STDEV(H6:H1198)+1E-12))</f>
        <v/>
      </c>
      <c r="J215" s="3">
        <f>IF('3a Raw'!G215="","",MAX(-3,MIN(3,('3a Raw'!G215-$J3)/$J4)))</f>
        <v/>
      </c>
      <c r="K215" s="3">
        <f>IF(J215="","",(J215-AVERAGE(J6:J1198))/(STDEV(J6:J1198)+1E-12))</f>
        <v/>
      </c>
      <c r="L215" s="3">
        <f>IF('3a Raw'!H215="","",MAX(-3,MIN(3,('3a Raw'!H215-$L3)/$L4)))</f>
        <v/>
      </c>
      <c r="M215" s="3">
        <f>IF(L215="","",(L215-AVERAGE(L6:L1198))/(STDEV(L6:L1198)+1E-12))</f>
        <v/>
      </c>
      <c r="N215" s="3">
        <f>IF('3a Raw'!I215="","",MAX(-3,MIN(3,('3a Raw'!I215-$N3)/$N4)))</f>
        <v/>
      </c>
      <c r="O215" s="3">
        <f>IF(N215="","",(N215-AVERAGE(N6:N1198))/(STDEV(N6:N1198)+1E-12))</f>
        <v/>
      </c>
      <c r="P215" s="3">
        <f>IF('3a Raw'!J215="","",MAX(-3,MIN(3,('3a Raw'!J215-$P3)/$P4)))</f>
        <v/>
      </c>
      <c r="Q215" s="3">
        <f>IF(P215="","",(P215-AVERAGE(P6:P1198))/(STDEV(P6:P1198)+1E-12))</f>
        <v/>
      </c>
      <c r="R215" s="3">
        <f>IF('3a Raw'!K215="","",MAX(-3,MIN(3,('3a Raw'!K215-$R3)/$R4)))</f>
        <v/>
      </c>
      <c r="S215" s="3">
        <f>IF(R215="","",(R215-AVERAGE(R6:R1198))/(STDEV(R6:R1198)+1E-12))</f>
        <v/>
      </c>
      <c r="T215" s="3">
        <f>IF('3a Raw'!L215="","",MAX(-3,MIN(3,('3a Raw'!L215-$T3)/$T4)))</f>
        <v/>
      </c>
      <c r="U215" s="3">
        <f>IF(T215="","",(T215-AVERAGE(T6:T1198))/(STDEV(T6:T1198)+1E-12))</f>
        <v/>
      </c>
      <c r="X215" s="3">
        <f>IF(U215="","",U215-($V$3*G215+$W$3))</f>
        <v/>
      </c>
      <c r="Y215" s="3">
        <f>IF(X215="","",MAX(-3,MIN(3,(X215-$X3)/$X4)))</f>
        <v/>
      </c>
      <c r="Z215" s="3">
        <f>IF(Y215="","",(Y215-AVERAGE(Y6:Y1198))/(STDEV(Y6:Y1198)+1E-12))</f>
        <v/>
      </c>
    </row>
    <row r="216">
      <c r="A216" t="inlineStr">
        <is>
          <t>BBG000BH3F20</t>
        </is>
      </c>
      <c r="B216" s="3">
        <f>IF('3a Raw'!C216="","",MAX(-3,MIN(3,('3a Raw'!C216-$B3)/$B4)))</f>
        <v/>
      </c>
      <c r="C216" s="3">
        <f>IF(B216="","",(B216-AVERAGE(B6:B1198))/(STDEV(B6:B1198)+1E-12))</f>
        <v/>
      </c>
      <c r="D216" s="3">
        <f>IF('3a Raw'!D216="","",MAX(-3,MIN(3,('3a Raw'!D216-$D3)/$D4)))</f>
        <v/>
      </c>
      <c r="E216" s="3">
        <f>IF(D216="","",(D216-AVERAGE(D6:D1198))/(STDEV(D6:D1198)+1E-12))</f>
        <v/>
      </c>
      <c r="F216" s="3">
        <f>IF('3a Raw'!E216="","",MAX(-3,MIN(3,('3a Raw'!E216-$F3)/$F4)))</f>
        <v/>
      </c>
      <c r="G216" s="3">
        <f>IF(F216="","",(F216-AVERAGE(F6:F1198))/(STDEV(F6:F1198)+1E-12))</f>
        <v/>
      </c>
      <c r="H216" s="3">
        <f>IF('3a Raw'!F216="","",MAX(-3,MIN(3,('3a Raw'!F216-$H3)/$H4)))</f>
        <v/>
      </c>
      <c r="I216" s="3">
        <f>IF(H216="","",(H216-AVERAGE(H6:H1198))/(STDEV(H6:H1198)+1E-12))</f>
        <v/>
      </c>
      <c r="J216" s="3">
        <f>IF('3a Raw'!G216="","",MAX(-3,MIN(3,('3a Raw'!G216-$J3)/$J4)))</f>
        <v/>
      </c>
      <c r="K216" s="3">
        <f>IF(J216="","",(J216-AVERAGE(J6:J1198))/(STDEV(J6:J1198)+1E-12))</f>
        <v/>
      </c>
      <c r="L216" s="3">
        <f>IF('3a Raw'!H216="","",MAX(-3,MIN(3,('3a Raw'!H216-$L3)/$L4)))</f>
        <v/>
      </c>
      <c r="M216" s="3">
        <f>IF(L216="","",(L216-AVERAGE(L6:L1198))/(STDEV(L6:L1198)+1E-12))</f>
        <v/>
      </c>
      <c r="N216" s="3">
        <f>IF('3a Raw'!I216="","",MAX(-3,MIN(3,('3a Raw'!I216-$N3)/$N4)))</f>
        <v/>
      </c>
      <c r="O216" s="3">
        <f>IF(N216="","",(N216-AVERAGE(N6:N1198))/(STDEV(N6:N1198)+1E-12))</f>
        <v/>
      </c>
      <c r="P216" s="3">
        <f>IF('3a Raw'!J216="","",MAX(-3,MIN(3,('3a Raw'!J216-$P3)/$P4)))</f>
        <v/>
      </c>
      <c r="Q216" s="3">
        <f>IF(P216="","",(P216-AVERAGE(P6:P1198))/(STDEV(P6:P1198)+1E-12))</f>
        <v/>
      </c>
      <c r="R216" s="3">
        <f>IF('3a Raw'!K216="","",MAX(-3,MIN(3,('3a Raw'!K216-$R3)/$R4)))</f>
        <v/>
      </c>
      <c r="S216" s="3">
        <f>IF(R216="","",(R216-AVERAGE(R6:R1198))/(STDEV(R6:R1198)+1E-12))</f>
        <v/>
      </c>
      <c r="T216" s="3">
        <f>IF('3a Raw'!L216="","",MAX(-3,MIN(3,('3a Raw'!L216-$T3)/$T4)))</f>
        <v/>
      </c>
      <c r="U216" s="3">
        <f>IF(T216="","",(T216-AVERAGE(T6:T1198))/(STDEV(T6:T1198)+1E-12))</f>
        <v/>
      </c>
      <c r="X216" s="3">
        <f>IF(U216="","",U216-($V$3*G216+$W$3))</f>
        <v/>
      </c>
      <c r="Y216" s="3">
        <f>IF(X216="","",MAX(-3,MIN(3,(X216-$X3)/$X4)))</f>
        <v/>
      </c>
      <c r="Z216" s="3">
        <f>IF(Y216="","",(Y216-AVERAGE(Y6:Y1198))/(STDEV(Y6:Y1198)+1E-12))</f>
        <v/>
      </c>
    </row>
    <row r="217">
      <c r="A217" t="inlineStr">
        <is>
          <t>BBG000BFJT36</t>
        </is>
      </c>
      <c r="B217" s="3">
        <f>IF('3a Raw'!C217="","",MAX(-3,MIN(3,('3a Raw'!C217-$B3)/$B4)))</f>
        <v/>
      </c>
      <c r="C217" s="3">
        <f>IF(B217="","",(B217-AVERAGE(B6:B1198))/(STDEV(B6:B1198)+1E-12))</f>
        <v/>
      </c>
      <c r="D217" s="3">
        <f>IF('3a Raw'!D217="","",MAX(-3,MIN(3,('3a Raw'!D217-$D3)/$D4)))</f>
        <v/>
      </c>
      <c r="E217" s="3">
        <f>IF(D217="","",(D217-AVERAGE(D6:D1198))/(STDEV(D6:D1198)+1E-12))</f>
        <v/>
      </c>
      <c r="F217" s="3">
        <f>IF('3a Raw'!E217="","",MAX(-3,MIN(3,('3a Raw'!E217-$F3)/$F4)))</f>
        <v/>
      </c>
      <c r="G217" s="3">
        <f>IF(F217="","",(F217-AVERAGE(F6:F1198))/(STDEV(F6:F1198)+1E-12))</f>
        <v/>
      </c>
      <c r="H217" s="3">
        <f>IF('3a Raw'!F217="","",MAX(-3,MIN(3,('3a Raw'!F217-$H3)/$H4)))</f>
        <v/>
      </c>
      <c r="I217" s="3">
        <f>IF(H217="","",(H217-AVERAGE(H6:H1198))/(STDEV(H6:H1198)+1E-12))</f>
        <v/>
      </c>
      <c r="J217" s="3">
        <f>IF('3a Raw'!G217="","",MAX(-3,MIN(3,('3a Raw'!G217-$J3)/$J4)))</f>
        <v/>
      </c>
      <c r="K217" s="3">
        <f>IF(J217="","",(J217-AVERAGE(J6:J1198))/(STDEV(J6:J1198)+1E-12))</f>
        <v/>
      </c>
      <c r="L217" s="3">
        <f>IF('3a Raw'!H217="","",MAX(-3,MIN(3,('3a Raw'!H217-$L3)/$L4)))</f>
        <v/>
      </c>
      <c r="M217" s="3">
        <f>IF(L217="","",(L217-AVERAGE(L6:L1198))/(STDEV(L6:L1198)+1E-12))</f>
        <v/>
      </c>
      <c r="N217" s="3">
        <f>IF('3a Raw'!I217="","",MAX(-3,MIN(3,('3a Raw'!I217-$N3)/$N4)))</f>
        <v/>
      </c>
      <c r="O217" s="3">
        <f>IF(N217="","",(N217-AVERAGE(N6:N1198))/(STDEV(N6:N1198)+1E-12))</f>
        <v/>
      </c>
      <c r="P217" s="3">
        <f>IF('3a Raw'!J217="","",MAX(-3,MIN(3,('3a Raw'!J217-$P3)/$P4)))</f>
        <v/>
      </c>
      <c r="Q217" s="3">
        <f>IF(P217="","",(P217-AVERAGE(P6:P1198))/(STDEV(P6:P1198)+1E-12))</f>
        <v/>
      </c>
      <c r="R217" s="3">
        <f>IF('3a Raw'!K217="","",MAX(-3,MIN(3,('3a Raw'!K217-$R3)/$R4)))</f>
        <v/>
      </c>
      <c r="S217" s="3">
        <f>IF(R217="","",(R217-AVERAGE(R6:R1198))/(STDEV(R6:R1198)+1E-12))</f>
        <v/>
      </c>
      <c r="T217" s="3">
        <f>IF('3a Raw'!L217="","",MAX(-3,MIN(3,('3a Raw'!L217-$T3)/$T4)))</f>
        <v/>
      </c>
      <c r="U217" s="3">
        <f>IF(T217="","",(T217-AVERAGE(T6:T1198))/(STDEV(T6:T1198)+1E-12))</f>
        <v/>
      </c>
      <c r="X217" s="3">
        <f>IF(U217="","",U217-($V$3*G217+$W$3))</f>
        <v/>
      </c>
      <c r="Y217" s="3">
        <f>IF(X217="","",MAX(-3,MIN(3,(X217-$X3)/$X4)))</f>
        <v/>
      </c>
      <c r="Z217" s="3">
        <f>IF(Y217="","",(Y217-AVERAGE(Y6:Y1198))/(STDEV(Y6:Y1198)+1E-12))</f>
        <v/>
      </c>
    </row>
    <row r="218">
      <c r="A218" t="inlineStr">
        <is>
          <t>BBG000BGXMG9</t>
        </is>
      </c>
      <c r="B218" s="3">
        <f>IF('3a Raw'!C218="","",MAX(-3,MIN(3,('3a Raw'!C218-$B3)/$B4)))</f>
        <v/>
      </c>
      <c r="C218" s="3">
        <f>IF(B218="","",(B218-AVERAGE(B6:B1198))/(STDEV(B6:B1198)+1E-12))</f>
        <v/>
      </c>
      <c r="D218" s="3">
        <f>IF('3a Raw'!D218="","",MAX(-3,MIN(3,('3a Raw'!D218-$D3)/$D4)))</f>
        <v/>
      </c>
      <c r="E218" s="3">
        <f>IF(D218="","",(D218-AVERAGE(D6:D1198))/(STDEV(D6:D1198)+1E-12))</f>
        <v/>
      </c>
      <c r="F218" s="3">
        <f>IF('3a Raw'!E218="","",MAX(-3,MIN(3,('3a Raw'!E218-$F3)/$F4)))</f>
        <v/>
      </c>
      <c r="G218" s="3">
        <f>IF(F218="","",(F218-AVERAGE(F6:F1198))/(STDEV(F6:F1198)+1E-12))</f>
        <v/>
      </c>
      <c r="H218" s="3">
        <f>IF('3a Raw'!F218="","",MAX(-3,MIN(3,('3a Raw'!F218-$H3)/$H4)))</f>
        <v/>
      </c>
      <c r="I218" s="3">
        <f>IF(H218="","",(H218-AVERAGE(H6:H1198))/(STDEV(H6:H1198)+1E-12))</f>
        <v/>
      </c>
      <c r="J218" s="3">
        <f>IF('3a Raw'!G218="","",MAX(-3,MIN(3,('3a Raw'!G218-$J3)/$J4)))</f>
        <v/>
      </c>
      <c r="K218" s="3">
        <f>IF(J218="","",(J218-AVERAGE(J6:J1198))/(STDEV(J6:J1198)+1E-12))</f>
        <v/>
      </c>
      <c r="L218" s="3">
        <f>IF('3a Raw'!H218="","",MAX(-3,MIN(3,('3a Raw'!H218-$L3)/$L4)))</f>
        <v/>
      </c>
      <c r="M218" s="3">
        <f>IF(L218="","",(L218-AVERAGE(L6:L1198))/(STDEV(L6:L1198)+1E-12))</f>
        <v/>
      </c>
      <c r="N218" s="3">
        <f>IF('3a Raw'!I218="","",MAX(-3,MIN(3,('3a Raw'!I218-$N3)/$N4)))</f>
        <v/>
      </c>
      <c r="O218" s="3">
        <f>IF(N218="","",(N218-AVERAGE(N6:N1198))/(STDEV(N6:N1198)+1E-12))</f>
        <v/>
      </c>
      <c r="P218" s="3">
        <f>IF('3a Raw'!J218="","",MAX(-3,MIN(3,('3a Raw'!J218-$P3)/$P4)))</f>
        <v/>
      </c>
      <c r="Q218" s="3">
        <f>IF(P218="","",(P218-AVERAGE(P6:P1198))/(STDEV(P6:P1198)+1E-12))</f>
        <v/>
      </c>
      <c r="R218" s="3">
        <f>IF('3a Raw'!K218="","",MAX(-3,MIN(3,('3a Raw'!K218-$R3)/$R4)))</f>
        <v/>
      </c>
      <c r="S218" s="3">
        <f>IF(R218="","",(R218-AVERAGE(R6:R1198))/(STDEV(R6:R1198)+1E-12))</f>
        <v/>
      </c>
      <c r="T218" s="3">
        <f>IF('3a Raw'!L218="","",MAX(-3,MIN(3,('3a Raw'!L218-$T3)/$T4)))</f>
        <v/>
      </c>
      <c r="U218" s="3">
        <f>IF(T218="","",(T218-AVERAGE(T6:T1198))/(STDEV(T6:T1198)+1E-12))</f>
        <v/>
      </c>
      <c r="X218" s="3">
        <f>IF(U218="","",U218-($V$3*G218+$W$3))</f>
        <v/>
      </c>
      <c r="Y218" s="3">
        <f>IF(X218="","",MAX(-3,MIN(3,(X218-$X3)/$X4)))</f>
        <v/>
      </c>
      <c r="Z218" s="3">
        <f>IF(Y218="","",(Y218-AVERAGE(Y6:Y1198))/(STDEV(Y6:Y1198)+1E-12))</f>
        <v/>
      </c>
    </row>
    <row r="219">
      <c r="A219" t="inlineStr">
        <is>
          <t>BBG000BPBTL2</t>
        </is>
      </c>
      <c r="B219" s="3">
        <f>IF('3a Raw'!C219="","",MAX(-3,MIN(3,('3a Raw'!C219-$B3)/$B4)))</f>
        <v/>
      </c>
      <c r="C219" s="3">
        <f>IF(B219="","",(B219-AVERAGE(B6:B1198))/(STDEV(B6:B1198)+1E-12))</f>
        <v/>
      </c>
      <c r="D219" s="3">
        <f>IF('3a Raw'!D219="","",MAX(-3,MIN(3,('3a Raw'!D219-$D3)/$D4)))</f>
        <v/>
      </c>
      <c r="E219" s="3">
        <f>IF(D219="","",(D219-AVERAGE(D6:D1198))/(STDEV(D6:D1198)+1E-12))</f>
        <v/>
      </c>
      <c r="F219" s="3">
        <f>IF('3a Raw'!E219="","",MAX(-3,MIN(3,('3a Raw'!E219-$F3)/$F4)))</f>
        <v/>
      </c>
      <c r="G219" s="3">
        <f>IF(F219="","",(F219-AVERAGE(F6:F1198))/(STDEV(F6:F1198)+1E-12))</f>
        <v/>
      </c>
      <c r="H219" s="3">
        <f>IF('3a Raw'!F219="","",MAX(-3,MIN(3,('3a Raw'!F219-$H3)/$H4)))</f>
        <v/>
      </c>
      <c r="I219" s="3">
        <f>IF(H219="","",(H219-AVERAGE(H6:H1198))/(STDEV(H6:H1198)+1E-12))</f>
        <v/>
      </c>
      <c r="J219" s="3">
        <f>IF('3a Raw'!G219="","",MAX(-3,MIN(3,('3a Raw'!G219-$J3)/$J4)))</f>
        <v/>
      </c>
      <c r="K219" s="3">
        <f>IF(J219="","",(J219-AVERAGE(J6:J1198))/(STDEV(J6:J1198)+1E-12))</f>
        <v/>
      </c>
      <c r="L219" s="3">
        <f>IF('3a Raw'!H219="","",MAX(-3,MIN(3,('3a Raw'!H219-$L3)/$L4)))</f>
        <v/>
      </c>
      <c r="M219" s="3">
        <f>IF(L219="","",(L219-AVERAGE(L6:L1198))/(STDEV(L6:L1198)+1E-12))</f>
        <v/>
      </c>
      <c r="N219" s="3">
        <f>IF('3a Raw'!I219="","",MAX(-3,MIN(3,('3a Raw'!I219-$N3)/$N4)))</f>
        <v/>
      </c>
      <c r="O219" s="3">
        <f>IF(N219="","",(N219-AVERAGE(N6:N1198))/(STDEV(N6:N1198)+1E-12))</f>
        <v/>
      </c>
      <c r="P219" s="3">
        <f>IF('3a Raw'!J219="","",MAX(-3,MIN(3,('3a Raw'!J219-$P3)/$P4)))</f>
        <v/>
      </c>
      <c r="Q219" s="3">
        <f>IF(P219="","",(P219-AVERAGE(P6:P1198))/(STDEV(P6:P1198)+1E-12))</f>
        <v/>
      </c>
      <c r="R219" s="3">
        <f>IF('3a Raw'!K219="","",MAX(-3,MIN(3,('3a Raw'!K219-$R3)/$R4)))</f>
        <v/>
      </c>
      <c r="S219" s="3">
        <f>IF(R219="","",(R219-AVERAGE(R6:R1198))/(STDEV(R6:R1198)+1E-12))</f>
        <v/>
      </c>
      <c r="T219" s="3">
        <f>IF('3a Raw'!L219="","",MAX(-3,MIN(3,('3a Raw'!L219-$T3)/$T4)))</f>
        <v/>
      </c>
      <c r="U219" s="3">
        <f>IF(T219="","",(T219-AVERAGE(T6:T1198))/(STDEV(T6:T1198)+1E-12))</f>
        <v/>
      </c>
      <c r="X219" s="3">
        <f>IF(U219="","",U219-($V$3*G219+$W$3))</f>
        <v/>
      </c>
      <c r="Y219" s="3">
        <f>IF(X219="","",MAX(-3,MIN(3,(X219-$X3)/$X4)))</f>
        <v/>
      </c>
      <c r="Z219" s="3">
        <f>IF(Y219="","",(Y219-AVERAGE(Y6:Y1198))/(STDEV(Y6:Y1198)+1E-12))</f>
        <v/>
      </c>
    </row>
    <row r="220">
      <c r="A220" t="inlineStr">
        <is>
          <t>BBG0063N8V69</t>
        </is>
      </c>
      <c r="B220" s="3">
        <f>IF('3a Raw'!C220="","",MAX(-3,MIN(3,('3a Raw'!C220-$B3)/$B4)))</f>
        <v/>
      </c>
      <c r="C220" s="3">
        <f>IF(B220="","",(B220-AVERAGE(B6:B1198))/(STDEV(B6:B1198)+1E-12))</f>
        <v/>
      </c>
      <c r="D220" s="3">
        <f>IF('3a Raw'!D220="","",MAX(-3,MIN(3,('3a Raw'!D220-$D3)/$D4)))</f>
        <v/>
      </c>
      <c r="E220" s="3">
        <f>IF(D220="","",(D220-AVERAGE(D6:D1198))/(STDEV(D6:D1198)+1E-12))</f>
        <v/>
      </c>
      <c r="F220" s="3">
        <f>IF('3a Raw'!E220="","",MAX(-3,MIN(3,('3a Raw'!E220-$F3)/$F4)))</f>
        <v/>
      </c>
      <c r="G220" s="3">
        <f>IF(F220="","",(F220-AVERAGE(F6:F1198))/(STDEV(F6:F1198)+1E-12))</f>
        <v/>
      </c>
      <c r="H220" s="3">
        <f>IF('3a Raw'!F220="","",MAX(-3,MIN(3,('3a Raw'!F220-$H3)/$H4)))</f>
        <v/>
      </c>
      <c r="I220" s="3">
        <f>IF(H220="","",(H220-AVERAGE(H6:H1198))/(STDEV(H6:H1198)+1E-12))</f>
        <v/>
      </c>
      <c r="J220" s="3">
        <f>IF('3a Raw'!G220="","",MAX(-3,MIN(3,('3a Raw'!G220-$J3)/$J4)))</f>
        <v/>
      </c>
      <c r="K220" s="3">
        <f>IF(J220="","",(J220-AVERAGE(J6:J1198))/(STDEV(J6:J1198)+1E-12))</f>
        <v/>
      </c>
      <c r="L220" s="3">
        <f>IF('3a Raw'!H220="","",MAX(-3,MIN(3,('3a Raw'!H220-$L3)/$L4)))</f>
        <v/>
      </c>
      <c r="M220" s="3">
        <f>IF(L220="","",(L220-AVERAGE(L6:L1198))/(STDEV(L6:L1198)+1E-12))</f>
        <v/>
      </c>
      <c r="N220" s="3">
        <f>IF('3a Raw'!I220="","",MAX(-3,MIN(3,('3a Raw'!I220-$N3)/$N4)))</f>
        <v/>
      </c>
      <c r="O220" s="3">
        <f>IF(N220="","",(N220-AVERAGE(N6:N1198))/(STDEV(N6:N1198)+1E-12))</f>
        <v/>
      </c>
      <c r="P220" s="3">
        <f>IF('3a Raw'!J220="","",MAX(-3,MIN(3,('3a Raw'!J220-$P3)/$P4)))</f>
        <v/>
      </c>
      <c r="Q220" s="3">
        <f>IF(P220="","",(P220-AVERAGE(P6:P1198))/(STDEV(P6:P1198)+1E-12))</f>
        <v/>
      </c>
      <c r="R220" s="3">
        <f>IF('3a Raw'!K220="","",MAX(-3,MIN(3,('3a Raw'!K220-$R3)/$R4)))</f>
        <v/>
      </c>
      <c r="S220" s="3">
        <f>IF(R220="","",(R220-AVERAGE(R6:R1198))/(STDEV(R6:R1198)+1E-12))</f>
        <v/>
      </c>
      <c r="T220" s="3">
        <f>IF('3a Raw'!L220="","",MAX(-3,MIN(3,('3a Raw'!L220-$T3)/$T4)))</f>
        <v/>
      </c>
      <c r="U220" s="3">
        <f>IF(T220="","",(T220-AVERAGE(T6:T1198))/(STDEV(T6:T1198)+1E-12))</f>
        <v/>
      </c>
      <c r="X220" s="3">
        <f>IF(U220="","",U220-($V$3*G220+$W$3))</f>
        <v/>
      </c>
      <c r="Y220" s="3">
        <f>IF(X220="","",MAX(-3,MIN(3,(X220-$X3)/$X4)))</f>
        <v/>
      </c>
      <c r="Z220" s="3">
        <f>IF(Y220="","",(Y220-AVERAGE(Y6:Y1198))/(STDEV(Y6:Y1198)+1E-12))</f>
        <v/>
      </c>
    </row>
    <row r="221">
      <c r="A221" t="inlineStr">
        <is>
          <t>BBG000BTCH57</t>
        </is>
      </c>
      <c r="B221" s="3">
        <f>IF('3a Raw'!C221="","",MAX(-3,MIN(3,('3a Raw'!C221-$B3)/$B4)))</f>
        <v/>
      </c>
      <c r="C221" s="3">
        <f>IF(B221="","",(B221-AVERAGE(B6:B1198))/(STDEV(B6:B1198)+1E-12))</f>
        <v/>
      </c>
      <c r="D221" s="3">
        <f>IF('3a Raw'!D221="","",MAX(-3,MIN(3,('3a Raw'!D221-$D3)/$D4)))</f>
        <v/>
      </c>
      <c r="E221" s="3">
        <f>IF(D221="","",(D221-AVERAGE(D6:D1198))/(STDEV(D6:D1198)+1E-12))</f>
        <v/>
      </c>
      <c r="F221" s="3">
        <f>IF('3a Raw'!E221="","",MAX(-3,MIN(3,('3a Raw'!E221-$F3)/$F4)))</f>
        <v/>
      </c>
      <c r="G221" s="3">
        <f>IF(F221="","",(F221-AVERAGE(F6:F1198))/(STDEV(F6:F1198)+1E-12))</f>
        <v/>
      </c>
      <c r="H221" s="3">
        <f>IF('3a Raw'!F221="","",MAX(-3,MIN(3,('3a Raw'!F221-$H3)/$H4)))</f>
        <v/>
      </c>
      <c r="I221" s="3">
        <f>IF(H221="","",(H221-AVERAGE(H6:H1198))/(STDEV(H6:H1198)+1E-12))</f>
        <v/>
      </c>
      <c r="J221" s="3">
        <f>IF('3a Raw'!G221="","",MAX(-3,MIN(3,('3a Raw'!G221-$J3)/$J4)))</f>
        <v/>
      </c>
      <c r="K221" s="3">
        <f>IF(J221="","",(J221-AVERAGE(J6:J1198))/(STDEV(J6:J1198)+1E-12))</f>
        <v/>
      </c>
      <c r="L221" s="3">
        <f>IF('3a Raw'!H221="","",MAX(-3,MIN(3,('3a Raw'!H221-$L3)/$L4)))</f>
        <v/>
      </c>
      <c r="M221" s="3">
        <f>IF(L221="","",(L221-AVERAGE(L6:L1198))/(STDEV(L6:L1198)+1E-12))</f>
        <v/>
      </c>
      <c r="N221" s="3">
        <f>IF('3a Raw'!I221="","",MAX(-3,MIN(3,('3a Raw'!I221-$N3)/$N4)))</f>
        <v/>
      </c>
      <c r="O221" s="3">
        <f>IF(N221="","",(N221-AVERAGE(N6:N1198))/(STDEV(N6:N1198)+1E-12))</f>
        <v/>
      </c>
      <c r="P221" s="3">
        <f>IF('3a Raw'!J221="","",MAX(-3,MIN(3,('3a Raw'!J221-$P3)/$P4)))</f>
        <v/>
      </c>
      <c r="Q221" s="3">
        <f>IF(P221="","",(P221-AVERAGE(P6:P1198))/(STDEV(P6:P1198)+1E-12))</f>
        <v/>
      </c>
      <c r="R221" s="3">
        <f>IF('3a Raw'!K221="","",MAX(-3,MIN(3,('3a Raw'!K221-$R3)/$R4)))</f>
        <v/>
      </c>
      <c r="S221" s="3">
        <f>IF(R221="","",(R221-AVERAGE(R6:R1198))/(STDEV(R6:R1198)+1E-12))</f>
        <v/>
      </c>
      <c r="T221" s="3">
        <f>IF('3a Raw'!L221="","",MAX(-3,MIN(3,('3a Raw'!L221-$T3)/$T4)))</f>
        <v/>
      </c>
      <c r="U221" s="3">
        <f>IF(T221="","",(T221-AVERAGE(T6:T1198))/(STDEV(T6:T1198)+1E-12))</f>
        <v/>
      </c>
      <c r="X221" s="3">
        <f>IF(U221="","",U221-($V$3*G221+$W$3))</f>
        <v/>
      </c>
      <c r="Y221" s="3">
        <f>IF(X221="","",MAX(-3,MIN(3,(X221-$X3)/$X4)))</f>
        <v/>
      </c>
      <c r="Z221" s="3">
        <f>IF(Y221="","",(Y221-AVERAGE(Y6:Y1198))/(STDEV(Y6:Y1198)+1E-12))</f>
        <v/>
      </c>
    </row>
    <row r="222">
      <c r="A222" t="inlineStr">
        <is>
          <t>BBG000VPGNR2</t>
        </is>
      </c>
      <c r="B222" s="3">
        <f>IF('3a Raw'!C222="","",MAX(-3,MIN(3,('3a Raw'!C222-$B3)/$B4)))</f>
        <v/>
      </c>
      <c r="C222" s="3">
        <f>IF(B222="","",(B222-AVERAGE(B6:B1198))/(STDEV(B6:B1198)+1E-12))</f>
        <v/>
      </c>
      <c r="D222" s="3">
        <f>IF('3a Raw'!D222="","",MAX(-3,MIN(3,('3a Raw'!D222-$D3)/$D4)))</f>
        <v/>
      </c>
      <c r="E222" s="3">
        <f>IF(D222="","",(D222-AVERAGE(D6:D1198))/(STDEV(D6:D1198)+1E-12))</f>
        <v/>
      </c>
      <c r="F222" s="3">
        <f>IF('3a Raw'!E222="","",MAX(-3,MIN(3,('3a Raw'!E222-$F3)/$F4)))</f>
        <v/>
      </c>
      <c r="G222" s="3">
        <f>IF(F222="","",(F222-AVERAGE(F6:F1198))/(STDEV(F6:F1198)+1E-12))</f>
        <v/>
      </c>
      <c r="H222" s="3">
        <f>IF('3a Raw'!F222="","",MAX(-3,MIN(3,('3a Raw'!F222-$H3)/$H4)))</f>
        <v/>
      </c>
      <c r="I222" s="3">
        <f>IF(H222="","",(H222-AVERAGE(H6:H1198))/(STDEV(H6:H1198)+1E-12))</f>
        <v/>
      </c>
      <c r="J222" s="3">
        <f>IF('3a Raw'!G222="","",MAX(-3,MIN(3,('3a Raw'!G222-$J3)/$J4)))</f>
        <v/>
      </c>
      <c r="K222" s="3">
        <f>IF(J222="","",(J222-AVERAGE(J6:J1198))/(STDEV(J6:J1198)+1E-12))</f>
        <v/>
      </c>
      <c r="L222" s="3">
        <f>IF('3a Raw'!H222="","",MAX(-3,MIN(3,('3a Raw'!H222-$L3)/$L4)))</f>
        <v/>
      </c>
      <c r="M222" s="3">
        <f>IF(L222="","",(L222-AVERAGE(L6:L1198))/(STDEV(L6:L1198)+1E-12))</f>
        <v/>
      </c>
      <c r="N222" s="3">
        <f>IF('3a Raw'!I222="","",MAX(-3,MIN(3,('3a Raw'!I222-$N3)/$N4)))</f>
        <v/>
      </c>
      <c r="O222" s="3">
        <f>IF(N222="","",(N222-AVERAGE(N6:N1198))/(STDEV(N6:N1198)+1E-12))</f>
        <v/>
      </c>
      <c r="P222" s="3">
        <f>IF('3a Raw'!J222="","",MAX(-3,MIN(3,('3a Raw'!J222-$P3)/$P4)))</f>
        <v/>
      </c>
      <c r="Q222" s="3">
        <f>IF(P222="","",(P222-AVERAGE(P6:P1198))/(STDEV(P6:P1198)+1E-12))</f>
        <v/>
      </c>
      <c r="R222" s="3">
        <f>IF('3a Raw'!K222="","",MAX(-3,MIN(3,('3a Raw'!K222-$R3)/$R4)))</f>
        <v/>
      </c>
      <c r="S222" s="3">
        <f>IF(R222="","",(R222-AVERAGE(R6:R1198))/(STDEV(R6:R1198)+1E-12))</f>
        <v/>
      </c>
      <c r="T222" s="3">
        <f>IF('3a Raw'!L222="","",MAX(-3,MIN(3,('3a Raw'!L222-$T3)/$T4)))</f>
        <v/>
      </c>
      <c r="U222" s="3">
        <f>IF(T222="","",(T222-AVERAGE(T6:T1198))/(STDEV(T6:T1198)+1E-12))</f>
        <v/>
      </c>
      <c r="X222" s="3">
        <f>IF(U222="","",U222-($V$3*G222+$W$3))</f>
        <v/>
      </c>
      <c r="Y222" s="3">
        <f>IF(X222="","",MAX(-3,MIN(3,(X222-$X3)/$X4)))</f>
        <v/>
      </c>
      <c r="Z222" s="3">
        <f>IF(Y222="","",(Y222-AVERAGE(Y6:Y1198))/(STDEV(Y6:Y1198)+1E-12))</f>
        <v/>
      </c>
    </row>
    <row r="223">
      <c r="A223" t="inlineStr">
        <is>
          <t>BBG00P19DKZ6</t>
        </is>
      </c>
      <c r="B223" s="3">
        <f>IF('3a Raw'!C223="","",MAX(-3,MIN(3,('3a Raw'!C223-$B3)/$B4)))</f>
        <v/>
      </c>
      <c r="C223" s="3">
        <f>IF(B223="","",(B223-AVERAGE(B6:B1198))/(STDEV(B6:B1198)+1E-12))</f>
        <v/>
      </c>
      <c r="D223" s="3">
        <f>IF('3a Raw'!D223="","",MAX(-3,MIN(3,('3a Raw'!D223-$D3)/$D4)))</f>
        <v/>
      </c>
      <c r="E223" s="3">
        <f>IF(D223="","",(D223-AVERAGE(D6:D1198))/(STDEV(D6:D1198)+1E-12))</f>
        <v/>
      </c>
      <c r="F223" s="3">
        <f>IF('3a Raw'!E223="","",MAX(-3,MIN(3,('3a Raw'!E223-$F3)/$F4)))</f>
        <v/>
      </c>
      <c r="G223" s="3">
        <f>IF(F223="","",(F223-AVERAGE(F6:F1198))/(STDEV(F6:F1198)+1E-12))</f>
        <v/>
      </c>
      <c r="H223" s="3">
        <f>IF('3a Raw'!F223="","",MAX(-3,MIN(3,('3a Raw'!F223-$H3)/$H4)))</f>
        <v/>
      </c>
      <c r="I223" s="3">
        <f>IF(H223="","",(H223-AVERAGE(H6:H1198))/(STDEV(H6:H1198)+1E-12))</f>
        <v/>
      </c>
      <c r="J223" s="3">
        <f>IF('3a Raw'!G223="","",MAX(-3,MIN(3,('3a Raw'!G223-$J3)/$J4)))</f>
        <v/>
      </c>
      <c r="K223" s="3">
        <f>IF(J223="","",(J223-AVERAGE(J6:J1198))/(STDEV(J6:J1198)+1E-12))</f>
        <v/>
      </c>
      <c r="L223" s="3">
        <f>IF('3a Raw'!H223="","",MAX(-3,MIN(3,('3a Raw'!H223-$L3)/$L4)))</f>
        <v/>
      </c>
      <c r="M223" s="3">
        <f>IF(L223="","",(L223-AVERAGE(L6:L1198))/(STDEV(L6:L1198)+1E-12))</f>
        <v/>
      </c>
      <c r="N223" s="3">
        <f>IF('3a Raw'!I223="","",MAX(-3,MIN(3,('3a Raw'!I223-$N3)/$N4)))</f>
        <v/>
      </c>
      <c r="O223" s="3">
        <f>IF(N223="","",(N223-AVERAGE(N6:N1198))/(STDEV(N6:N1198)+1E-12))</f>
        <v/>
      </c>
      <c r="P223" s="3">
        <f>IF('3a Raw'!J223="","",MAX(-3,MIN(3,('3a Raw'!J223-$P3)/$P4)))</f>
        <v/>
      </c>
      <c r="Q223" s="3">
        <f>IF(P223="","",(P223-AVERAGE(P6:P1198))/(STDEV(P6:P1198)+1E-12))</f>
        <v/>
      </c>
      <c r="R223" s="3">
        <f>IF('3a Raw'!K223="","",MAX(-3,MIN(3,('3a Raw'!K223-$R3)/$R4)))</f>
        <v/>
      </c>
      <c r="S223" s="3">
        <f>IF(R223="","",(R223-AVERAGE(R6:R1198))/(STDEV(R6:R1198)+1E-12))</f>
        <v/>
      </c>
      <c r="T223" s="3">
        <f>IF('3a Raw'!L223="","",MAX(-3,MIN(3,('3a Raw'!L223-$T3)/$T4)))</f>
        <v/>
      </c>
      <c r="U223" s="3">
        <f>IF(T223="","",(T223-AVERAGE(T6:T1198))/(STDEV(T6:T1198)+1E-12))</f>
        <v/>
      </c>
      <c r="X223" s="3">
        <f>IF(U223="","",U223-($V$3*G223+$W$3))</f>
        <v/>
      </c>
      <c r="Y223" s="3">
        <f>IF(X223="","",MAX(-3,MIN(3,(X223-$X3)/$X4)))</f>
        <v/>
      </c>
      <c r="Z223" s="3">
        <f>IF(Y223="","",(Y223-AVERAGE(Y6:Y1198))/(STDEV(Y6:Y1198)+1E-12))</f>
        <v/>
      </c>
    </row>
    <row r="224">
      <c r="A224" t="inlineStr">
        <is>
          <t>BBG00QK4M9M3</t>
        </is>
      </c>
      <c r="B224" s="3">
        <f>IF('3a Raw'!C224="","",MAX(-3,MIN(3,('3a Raw'!C224-$B3)/$B4)))</f>
        <v/>
      </c>
      <c r="C224" s="3">
        <f>IF(B224="","",(B224-AVERAGE(B6:B1198))/(STDEV(B6:B1198)+1E-12))</f>
        <v/>
      </c>
      <c r="D224" s="3">
        <f>IF('3a Raw'!D224="","",MAX(-3,MIN(3,('3a Raw'!D224-$D3)/$D4)))</f>
        <v/>
      </c>
      <c r="E224" s="3">
        <f>IF(D224="","",(D224-AVERAGE(D6:D1198))/(STDEV(D6:D1198)+1E-12))</f>
        <v/>
      </c>
      <c r="F224" s="3">
        <f>IF('3a Raw'!E224="","",MAX(-3,MIN(3,('3a Raw'!E224-$F3)/$F4)))</f>
        <v/>
      </c>
      <c r="G224" s="3">
        <f>IF(F224="","",(F224-AVERAGE(F6:F1198))/(STDEV(F6:F1198)+1E-12))</f>
        <v/>
      </c>
      <c r="H224" s="3">
        <f>IF('3a Raw'!F224="","",MAX(-3,MIN(3,('3a Raw'!F224-$H3)/$H4)))</f>
        <v/>
      </c>
      <c r="I224" s="3">
        <f>IF(H224="","",(H224-AVERAGE(H6:H1198))/(STDEV(H6:H1198)+1E-12))</f>
        <v/>
      </c>
      <c r="J224" s="3">
        <f>IF('3a Raw'!G224="","",MAX(-3,MIN(3,('3a Raw'!G224-$J3)/$J4)))</f>
        <v/>
      </c>
      <c r="K224" s="3">
        <f>IF(J224="","",(J224-AVERAGE(J6:J1198))/(STDEV(J6:J1198)+1E-12))</f>
        <v/>
      </c>
      <c r="L224" s="3">
        <f>IF('3a Raw'!H224="","",MAX(-3,MIN(3,('3a Raw'!H224-$L3)/$L4)))</f>
        <v/>
      </c>
      <c r="M224" s="3">
        <f>IF(L224="","",(L224-AVERAGE(L6:L1198))/(STDEV(L6:L1198)+1E-12))</f>
        <v/>
      </c>
      <c r="N224" s="3">
        <f>IF('3a Raw'!I224="","",MAX(-3,MIN(3,('3a Raw'!I224-$N3)/$N4)))</f>
        <v/>
      </c>
      <c r="O224" s="3">
        <f>IF(N224="","",(N224-AVERAGE(N6:N1198))/(STDEV(N6:N1198)+1E-12))</f>
        <v/>
      </c>
      <c r="P224" s="3">
        <f>IF('3a Raw'!J224="","",MAX(-3,MIN(3,('3a Raw'!J224-$P3)/$P4)))</f>
        <v/>
      </c>
      <c r="Q224" s="3">
        <f>IF(P224="","",(P224-AVERAGE(P6:P1198))/(STDEV(P6:P1198)+1E-12))</f>
        <v/>
      </c>
      <c r="R224" s="3">
        <f>IF('3a Raw'!K224="","",MAX(-3,MIN(3,('3a Raw'!K224-$R3)/$R4)))</f>
        <v/>
      </c>
      <c r="S224" s="3">
        <f>IF(R224="","",(R224-AVERAGE(R6:R1198))/(STDEV(R6:R1198)+1E-12))</f>
        <v/>
      </c>
      <c r="T224" s="3">
        <f>IF('3a Raw'!L224="","",MAX(-3,MIN(3,('3a Raw'!L224-$T3)/$T4)))</f>
        <v/>
      </c>
      <c r="U224" s="3">
        <f>IF(T224="","",(T224-AVERAGE(T6:T1198))/(STDEV(T6:T1198)+1E-12))</f>
        <v/>
      </c>
      <c r="X224" s="3">
        <f>IF(U224="","",U224-($V$3*G224+$W$3))</f>
        <v/>
      </c>
      <c r="Y224" s="3">
        <f>IF(X224="","",MAX(-3,MIN(3,(X224-$X3)/$X4)))</f>
        <v/>
      </c>
      <c r="Z224" s="3">
        <f>IF(Y224="","",(Y224-AVERAGE(Y6:Y1198))/(STDEV(Y6:Y1198)+1E-12))</f>
        <v/>
      </c>
    </row>
    <row r="225">
      <c r="A225" t="inlineStr">
        <is>
          <t>BBG00KXRCDP0</t>
        </is>
      </c>
      <c r="B225" s="3">
        <f>IF('3a Raw'!C225="","",MAX(-3,MIN(3,('3a Raw'!C225-$B3)/$B4)))</f>
        <v/>
      </c>
      <c r="C225" s="3">
        <f>IF(B225="","",(B225-AVERAGE(B6:B1198))/(STDEV(B6:B1198)+1E-12))</f>
        <v/>
      </c>
      <c r="D225" s="3">
        <f>IF('3a Raw'!D225="","",MAX(-3,MIN(3,('3a Raw'!D225-$D3)/$D4)))</f>
        <v/>
      </c>
      <c r="E225" s="3">
        <f>IF(D225="","",(D225-AVERAGE(D6:D1198))/(STDEV(D6:D1198)+1E-12))</f>
        <v/>
      </c>
      <c r="F225" s="3">
        <f>IF('3a Raw'!E225="","",MAX(-3,MIN(3,('3a Raw'!E225-$F3)/$F4)))</f>
        <v/>
      </c>
      <c r="G225" s="3">
        <f>IF(F225="","",(F225-AVERAGE(F6:F1198))/(STDEV(F6:F1198)+1E-12))</f>
        <v/>
      </c>
      <c r="H225" s="3">
        <f>IF('3a Raw'!F225="","",MAX(-3,MIN(3,('3a Raw'!F225-$H3)/$H4)))</f>
        <v/>
      </c>
      <c r="I225" s="3">
        <f>IF(H225="","",(H225-AVERAGE(H6:H1198))/(STDEV(H6:H1198)+1E-12))</f>
        <v/>
      </c>
      <c r="J225" s="3">
        <f>IF('3a Raw'!G225="","",MAX(-3,MIN(3,('3a Raw'!G225-$J3)/$J4)))</f>
        <v/>
      </c>
      <c r="K225" s="3">
        <f>IF(J225="","",(J225-AVERAGE(J6:J1198))/(STDEV(J6:J1198)+1E-12))</f>
        <v/>
      </c>
      <c r="L225" s="3">
        <f>IF('3a Raw'!H225="","",MAX(-3,MIN(3,('3a Raw'!H225-$L3)/$L4)))</f>
        <v/>
      </c>
      <c r="M225" s="3">
        <f>IF(L225="","",(L225-AVERAGE(L6:L1198))/(STDEV(L6:L1198)+1E-12))</f>
        <v/>
      </c>
      <c r="N225" s="3">
        <f>IF('3a Raw'!I225="","",MAX(-3,MIN(3,('3a Raw'!I225-$N3)/$N4)))</f>
        <v/>
      </c>
      <c r="O225" s="3">
        <f>IF(N225="","",(N225-AVERAGE(N6:N1198))/(STDEV(N6:N1198)+1E-12))</f>
        <v/>
      </c>
      <c r="P225" s="3">
        <f>IF('3a Raw'!J225="","",MAX(-3,MIN(3,('3a Raw'!J225-$P3)/$P4)))</f>
        <v/>
      </c>
      <c r="Q225" s="3">
        <f>IF(P225="","",(P225-AVERAGE(P6:P1198))/(STDEV(P6:P1198)+1E-12))</f>
        <v/>
      </c>
      <c r="R225" s="3">
        <f>IF('3a Raw'!K225="","",MAX(-3,MIN(3,('3a Raw'!K225-$R3)/$R4)))</f>
        <v/>
      </c>
      <c r="S225" s="3">
        <f>IF(R225="","",(R225-AVERAGE(R6:R1198))/(STDEV(R6:R1198)+1E-12))</f>
        <v/>
      </c>
      <c r="T225" s="3">
        <f>IF('3a Raw'!L225="","",MAX(-3,MIN(3,('3a Raw'!L225-$T3)/$T4)))</f>
        <v/>
      </c>
      <c r="U225" s="3">
        <f>IF(T225="","",(T225-AVERAGE(T6:T1198))/(STDEV(T6:T1198)+1E-12))</f>
        <v/>
      </c>
      <c r="X225" s="3">
        <f>IF(U225="","",U225-($V$3*G225+$W$3))</f>
        <v/>
      </c>
      <c r="Y225" s="3">
        <f>IF(X225="","",MAX(-3,MIN(3,(X225-$X3)/$X4)))</f>
        <v/>
      </c>
      <c r="Z225" s="3">
        <f>IF(Y225="","",(Y225-AVERAGE(Y6:Y1198))/(STDEV(Y6:Y1198)+1E-12))</f>
        <v/>
      </c>
    </row>
    <row r="226">
      <c r="A226" t="inlineStr">
        <is>
          <t>BBG000BP1152</t>
        </is>
      </c>
      <c r="B226" s="3">
        <f>IF('3a Raw'!C226="","",MAX(-3,MIN(3,('3a Raw'!C226-$B3)/$B4)))</f>
        <v/>
      </c>
      <c r="C226" s="3">
        <f>IF(B226="","",(B226-AVERAGE(B6:B1198))/(STDEV(B6:B1198)+1E-12))</f>
        <v/>
      </c>
      <c r="D226" s="3">
        <f>IF('3a Raw'!D226="","",MAX(-3,MIN(3,('3a Raw'!D226-$D3)/$D4)))</f>
        <v/>
      </c>
      <c r="E226" s="3">
        <f>IF(D226="","",(D226-AVERAGE(D6:D1198))/(STDEV(D6:D1198)+1E-12))</f>
        <v/>
      </c>
      <c r="F226" s="3">
        <f>IF('3a Raw'!E226="","",MAX(-3,MIN(3,('3a Raw'!E226-$F3)/$F4)))</f>
        <v/>
      </c>
      <c r="G226" s="3">
        <f>IF(F226="","",(F226-AVERAGE(F6:F1198))/(STDEV(F6:F1198)+1E-12))</f>
        <v/>
      </c>
      <c r="H226" s="3">
        <f>IF('3a Raw'!F226="","",MAX(-3,MIN(3,('3a Raw'!F226-$H3)/$H4)))</f>
        <v/>
      </c>
      <c r="I226" s="3">
        <f>IF(H226="","",(H226-AVERAGE(H6:H1198))/(STDEV(H6:H1198)+1E-12))</f>
        <v/>
      </c>
      <c r="J226" s="3">
        <f>IF('3a Raw'!G226="","",MAX(-3,MIN(3,('3a Raw'!G226-$J3)/$J4)))</f>
        <v/>
      </c>
      <c r="K226" s="3">
        <f>IF(J226="","",(J226-AVERAGE(J6:J1198))/(STDEV(J6:J1198)+1E-12))</f>
        <v/>
      </c>
      <c r="L226" s="3">
        <f>IF('3a Raw'!H226="","",MAX(-3,MIN(3,('3a Raw'!H226-$L3)/$L4)))</f>
        <v/>
      </c>
      <c r="M226" s="3">
        <f>IF(L226="","",(L226-AVERAGE(L6:L1198))/(STDEV(L6:L1198)+1E-12))</f>
        <v/>
      </c>
      <c r="N226" s="3">
        <f>IF('3a Raw'!I226="","",MAX(-3,MIN(3,('3a Raw'!I226-$N3)/$N4)))</f>
        <v/>
      </c>
      <c r="O226" s="3">
        <f>IF(N226="","",(N226-AVERAGE(N6:N1198))/(STDEV(N6:N1198)+1E-12))</f>
        <v/>
      </c>
      <c r="P226" s="3">
        <f>IF('3a Raw'!J226="","",MAX(-3,MIN(3,('3a Raw'!J226-$P3)/$P4)))</f>
        <v/>
      </c>
      <c r="Q226" s="3">
        <f>IF(P226="","",(P226-AVERAGE(P6:P1198))/(STDEV(P6:P1198)+1E-12))</f>
        <v/>
      </c>
      <c r="R226" s="3">
        <f>IF('3a Raw'!K226="","",MAX(-3,MIN(3,('3a Raw'!K226-$R3)/$R4)))</f>
        <v/>
      </c>
      <c r="S226" s="3">
        <f>IF(R226="","",(R226-AVERAGE(R6:R1198))/(STDEV(R6:R1198)+1E-12))</f>
        <v/>
      </c>
      <c r="T226" s="3">
        <f>IF('3a Raw'!L226="","",MAX(-3,MIN(3,('3a Raw'!L226-$T3)/$T4)))</f>
        <v/>
      </c>
      <c r="U226" s="3">
        <f>IF(T226="","",(T226-AVERAGE(T6:T1198))/(STDEV(T6:T1198)+1E-12))</f>
        <v/>
      </c>
      <c r="X226" s="3">
        <f>IF(U226="","",U226-($V$3*G226+$W$3))</f>
        <v/>
      </c>
      <c r="Y226" s="3">
        <f>IF(X226="","",MAX(-3,MIN(3,(X226-$X3)/$X4)))</f>
        <v/>
      </c>
      <c r="Z226" s="3">
        <f>IF(Y226="","",(Y226-AVERAGE(Y6:Y1198))/(STDEV(Y6:Y1198)+1E-12))</f>
        <v/>
      </c>
    </row>
    <row r="227">
      <c r="A227" t="inlineStr">
        <is>
          <t>BBG00XYHY0K2</t>
        </is>
      </c>
      <c r="B227" s="3">
        <f>IF('3a Raw'!C227="","",MAX(-3,MIN(3,('3a Raw'!C227-$B3)/$B4)))</f>
        <v/>
      </c>
      <c r="C227" s="3">
        <f>IF(B227="","",(B227-AVERAGE(B6:B1198))/(STDEV(B6:B1198)+1E-12))</f>
        <v/>
      </c>
      <c r="D227" s="3">
        <f>IF('3a Raw'!D227="","",MAX(-3,MIN(3,('3a Raw'!D227-$D3)/$D4)))</f>
        <v/>
      </c>
      <c r="E227" s="3">
        <f>IF(D227="","",(D227-AVERAGE(D6:D1198))/(STDEV(D6:D1198)+1E-12))</f>
        <v/>
      </c>
      <c r="F227" s="3">
        <f>IF('3a Raw'!E227="","",MAX(-3,MIN(3,('3a Raw'!E227-$F3)/$F4)))</f>
        <v/>
      </c>
      <c r="G227" s="3">
        <f>IF(F227="","",(F227-AVERAGE(F6:F1198))/(STDEV(F6:F1198)+1E-12))</f>
        <v/>
      </c>
      <c r="H227" s="3">
        <f>IF('3a Raw'!F227="","",MAX(-3,MIN(3,('3a Raw'!F227-$H3)/$H4)))</f>
        <v/>
      </c>
      <c r="I227" s="3">
        <f>IF(H227="","",(H227-AVERAGE(H6:H1198))/(STDEV(H6:H1198)+1E-12))</f>
        <v/>
      </c>
      <c r="J227" s="3">
        <f>IF('3a Raw'!G227="","",MAX(-3,MIN(3,('3a Raw'!G227-$J3)/$J4)))</f>
        <v/>
      </c>
      <c r="K227" s="3">
        <f>IF(J227="","",(J227-AVERAGE(J6:J1198))/(STDEV(J6:J1198)+1E-12))</f>
        <v/>
      </c>
      <c r="L227" s="3">
        <f>IF('3a Raw'!H227="","",MAX(-3,MIN(3,('3a Raw'!H227-$L3)/$L4)))</f>
        <v/>
      </c>
      <c r="M227" s="3">
        <f>IF(L227="","",(L227-AVERAGE(L6:L1198))/(STDEV(L6:L1198)+1E-12))</f>
        <v/>
      </c>
      <c r="N227" s="3">
        <f>IF('3a Raw'!I227="","",MAX(-3,MIN(3,('3a Raw'!I227-$N3)/$N4)))</f>
        <v/>
      </c>
      <c r="O227" s="3">
        <f>IF(N227="","",(N227-AVERAGE(N6:N1198))/(STDEV(N6:N1198)+1E-12))</f>
        <v/>
      </c>
      <c r="P227" s="3">
        <f>IF('3a Raw'!J227="","",MAX(-3,MIN(3,('3a Raw'!J227-$P3)/$P4)))</f>
        <v/>
      </c>
      <c r="Q227" s="3">
        <f>IF(P227="","",(P227-AVERAGE(P6:P1198))/(STDEV(P6:P1198)+1E-12))</f>
        <v/>
      </c>
      <c r="R227" s="3">
        <f>IF('3a Raw'!K227="","",MAX(-3,MIN(3,('3a Raw'!K227-$R3)/$R4)))</f>
        <v/>
      </c>
      <c r="S227" s="3">
        <f>IF(R227="","",(R227-AVERAGE(R6:R1198))/(STDEV(R6:R1198)+1E-12))</f>
        <v/>
      </c>
      <c r="T227" s="3">
        <f>IF('3a Raw'!L227="","",MAX(-3,MIN(3,('3a Raw'!L227-$T3)/$T4)))</f>
        <v/>
      </c>
      <c r="U227" s="3">
        <f>IF(T227="","",(T227-AVERAGE(T6:T1198))/(STDEV(T6:T1198)+1E-12))</f>
        <v/>
      </c>
      <c r="X227" s="3">
        <f>IF(U227="","",U227-($V$3*G227+$W$3))</f>
        <v/>
      </c>
      <c r="Y227" s="3">
        <f>IF(X227="","",MAX(-3,MIN(3,(X227-$X3)/$X4)))</f>
        <v/>
      </c>
      <c r="Z227" s="3">
        <f>IF(Y227="","",(Y227-AVERAGE(Y6:Y1198))/(STDEV(Y6:Y1198)+1E-12))</f>
        <v/>
      </c>
    </row>
    <row r="228">
      <c r="A228" t="inlineStr">
        <is>
          <t>cinf</t>
        </is>
      </c>
      <c r="B228" s="3">
        <f>IF('3a Raw'!C228="","",MAX(-3,MIN(3,('3a Raw'!C228-$B3)/$B4)))</f>
        <v/>
      </c>
      <c r="C228" s="3">
        <f>IF(B228="","",(B228-AVERAGE(B6:B1198))/(STDEV(B6:B1198)+1E-12))</f>
        <v/>
      </c>
      <c r="D228" s="3">
        <f>IF('3a Raw'!D228="","",MAX(-3,MIN(3,('3a Raw'!D228-$D3)/$D4)))</f>
        <v/>
      </c>
      <c r="E228" s="3">
        <f>IF(D228="","",(D228-AVERAGE(D6:D1198))/(STDEV(D6:D1198)+1E-12))</f>
        <v/>
      </c>
      <c r="F228" s="3">
        <f>IF('3a Raw'!E228="","",MAX(-3,MIN(3,('3a Raw'!E228-$F3)/$F4)))</f>
        <v/>
      </c>
      <c r="G228" s="3">
        <f>IF(F228="","",(F228-AVERAGE(F6:F1198))/(STDEV(F6:F1198)+1E-12))</f>
        <v/>
      </c>
      <c r="H228" s="3">
        <f>IF('3a Raw'!F228="","",MAX(-3,MIN(3,('3a Raw'!F228-$H3)/$H4)))</f>
        <v/>
      </c>
      <c r="I228" s="3">
        <f>IF(H228="","",(H228-AVERAGE(H6:H1198))/(STDEV(H6:H1198)+1E-12))</f>
        <v/>
      </c>
      <c r="J228" s="3">
        <f>IF('3a Raw'!G228="","",MAX(-3,MIN(3,('3a Raw'!G228-$J3)/$J4)))</f>
        <v/>
      </c>
      <c r="K228" s="3">
        <f>IF(J228="","",(J228-AVERAGE(J6:J1198))/(STDEV(J6:J1198)+1E-12))</f>
        <v/>
      </c>
      <c r="L228" s="3">
        <f>IF('3a Raw'!H228="","",MAX(-3,MIN(3,('3a Raw'!H228-$L3)/$L4)))</f>
        <v/>
      </c>
      <c r="M228" s="3">
        <f>IF(L228="","",(L228-AVERAGE(L6:L1198))/(STDEV(L6:L1198)+1E-12))</f>
        <v/>
      </c>
      <c r="N228" s="3">
        <f>IF('3a Raw'!I228="","",MAX(-3,MIN(3,('3a Raw'!I228-$N3)/$N4)))</f>
        <v/>
      </c>
      <c r="O228" s="3">
        <f>IF(N228="","",(N228-AVERAGE(N6:N1198))/(STDEV(N6:N1198)+1E-12))</f>
        <v/>
      </c>
      <c r="P228" s="3">
        <f>IF('3a Raw'!J228="","",MAX(-3,MIN(3,('3a Raw'!J228-$P3)/$P4)))</f>
        <v/>
      </c>
      <c r="Q228" s="3">
        <f>IF(P228="","",(P228-AVERAGE(P6:P1198))/(STDEV(P6:P1198)+1E-12))</f>
        <v/>
      </c>
      <c r="R228" s="3">
        <f>IF('3a Raw'!K228="","",MAX(-3,MIN(3,('3a Raw'!K228-$R3)/$R4)))</f>
        <v/>
      </c>
      <c r="S228" s="3">
        <f>IF(R228="","",(R228-AVERAGE(R6:R1198))/(STDEV(R6:R1198)+1E-12))</f>
        <v/>
      </c>
      <c r="T228" s="3">
        <f>IF('3a Raw'!L228="","",MAX(-3,MIN(3,('3a Raw'!L228-$T3)/$T4)))</f>
        <v/>
      </c>
      <c r="U228" s="3">
        <f>IF(T228="","",(T228-AVERAGE(T6:T1198))/(STDEV(T6:T1198)+1E-12))</f>
        <v/>
      </c>
      <c r="X228" s="3">
        <f>IF(U228="","",U228-($V$3*G228+$W$3))</f>
        <v/>
      </c>
      <c r="Y228" s="3">
        <f>IF(X228="","",MAX(-3,MIN(3,(X228-$X3)/$X4)))</f>
        <v/>
      </c>
      <c r="Z228" s="3">
        <f>IF(Y228="","",(Y228-AVERAGE(Y6:Y1198))/(STDEV(Y6:Y1198)+1E-12))</f>
        <v/>
      </c>
    </row>
    <row r="229">
      <c r="A229" t="inlineStr">
        <is>
          <t>BBG000BFQYY3</t>
        </is>
      </c>
      <c r="B229" s="3">
        <f>IF('3a Raw'!C229="","",MAX(-3,MIN(3,('3a Raw'!C229-$B3)/$B4)))</f>
        <v/>
      </c>
      <c r="C229" s="3">
        <f>IF(B229="","",(B229-AVERAGE(B6:B1198))/(STDEV(B6:B1198)+1E-12))</f>
        <v/>
      </c>
      <c r="D229" s="3">
        <f>IF('3a Raw'!D229="","",MAX(-3,MIN(3,('3a Raw'!D229-$D3)/$D4)))</f>
        <v/>
      </c>
      <c r="E229" s="3">
        <f>IF(D229="","",(D229-AVERAGE(D6:D1198))/(STDEV(D6:D1198)+1E-12))</f>
        <v/>
      </c>
      <c r="F229" s="3">
        <f>IF('3a Raw'!E229="","",MAX(-3,MIN(3,('3a Raw'!E229-$F3)/$F4)))</f>
        <v/>
      </c>
      <c r="G229" s="3">
        <f>IF(F229="","",(F229-AVERAGE(F6:F1198))/(STDEV(F6:F1198)+1E-12))</f>
        <v/>
      </c>
      <c r="H229" s="3">
        <f>IF('3a Raw'!F229="","",MAX(-3,MIN(3,('3a Raw'!F229-$H3)/$H4)))</f>
        <v/>
      </c>
      <c r="I229" s="3">
        <f>IF(H229="","",(H229-AVERAGE(H6:H1198))/(STDEV(H6:H1198)+1E-12))</f>
        <v/>
      </c>
      <c r="J229" s="3">
        <f>IF('3a Raw'!G229="","",MAX(-3,MIN(3,('3a Raw'!G229-$J3)/$J4)))</f>
        <v/>
      </c>
      <c r="K229" s="3">
        <f>IF(J229="","",(J229-AVERAGE(J6:J1198))/(STDEV(J6:J1198)+1E-12))</f>
        <v/>
      </c>
      <c r="L229" s="3">
        <f>IF('3a Raw'!H229="","",MAX(-3,MIN(3,('3a Raw'!H229-$L3)/$L4)))</f>
        <v/>
      </c>
      <c r="M229" s="3">
        <f>IF(L229="","",(L229-AVERAGE(L6:L1198))/(STDEV(L6:L1198)+1E-12))</f>
        <v/>
      </c>
      <c r="N229" s="3">
        <f>IF('3a Raw'!I229="","",MAX(-3,MIN(3,('3a Raw'!I229-$N3)/$N4)))</f>
        <v/>
      </c>
      <c r="O229" s="3">
        <f>IF(N229="","",(N229-AVERAGE(N6:N1198))/(STDEV(N6:N1198)+1E-12))</f>
        <v/>
      </c>
      <c r="P229" s="3">
        <f>IF('3a Raw'!J229="","",MAX(-3,MIN(3,('3a Raw'!J229-$P3)/$P4)))</f>
        <v/>
      </c>
      <c r="Q229" s="3">
        <f>IF(P229="","",(P229-AVERAGE(P6:P1198))/(STDEV(P6:P1198)+1E-12))</f>
        <v/>
      </c>
      <c r="R229" s="3">
        <f>IF('3a Raw'!K229="","",MAX(-3,MIN(3,('3a Raw'!K229-$R3)/$R4)))</f>
        <v/>
      </c>
      <c r="S229" s="3">
        <f>IF(R229="","",(R229-AVERAGE(R6:R1198))/(STDEV(R6:R1198)+1E-12))</f>
        <v/>
      </c>
      <c r="T229" s="3">
        <f>IF('3a Raw'!L229="","",MAX(-3,MIN(3,('3a Raw'!L229-$T3)/$T4)))</f>
        <v/>
      </c>
      <c r="U229" s="3">
        <f>IF(T229="","",(T229-AVERAGE(T6:T1198))/(STDEV(T6:T1198)+1E-12))</f>
        <v/>
      </c>
      <c r="X229" s="3">
        <f>IF(U229="","",U229-($V$3*G229+$W$3))</f>
        <v/>
      </c>
      <c r="Y229" s="3">
        <f>IF(X229="","",MAX(-3,MIN(3,(X229-$X3)/$X4)))</f>
        <v/>
      </c>
      <c r="Z229" s="3">
        <f>IF(Y229="","",(Y229-AVERAGE(Y6:Y1198))/(STDEV(Y6:Y1198)+1E-12))</f>
        <v/>
      </c>
    </row>
    <row r="230">
      <c r="A230" t="inlineStr">
        <is>
          <t>BBG000PT6BR8</t>
        </is>
      </c>
      <c r="B230" s="3">
        <f>IF('3a Raw'!C230="","",MAX(-3,MIN(3,('3a Raw'!C230-$B3)/$B4)))</f>
        <v/>
      </c>
      <c r="C230" s="3">
        <f>IF(B230="","",(B230-AVERAGE(B6:B1198))/(STDEV(B6:B1198)+1E-12))</f>
        <v/>
      </c>
      <c r="D230" s="3">
        <f>IF('3a Raw'!D230="","",MAX(-3,MIN(3,('3a Raw'!D230-$D3)/$D4)))</f>
        <v/>
      </c>
      <c r="E230" s="3">
        <f>IF(D230="","",(D230-AVERAGE(D6:D1198))/(STDEV(D6:D1198)+1E-12))</f>
        <v/>
      </c>
      <c r="F230" s="3">
        <f>IF('3a Raw'!E230="","",MAX(-3,MIN(3,('3a Raw'!E230-$F3)/$F4)))</f>
        <v/>
      </c>
      <c r="G230" s="3">
        <f>IF(F230="","",(F230-AVERAGE(F6:F1198))/(STDEV(F6:F1198)+1E-12))</f>
        <v/>
      </c>
      <c r="H230" s="3">
        <f>IF('3a Raw'!F230="","",MAX(-3,MIN(3,('3a Raw'!F230-$H3)/$H4)))</f>
        <v/>
      </c>
      <c r="I230" s="3">
        <f>IF(H230="","",(H230-AVERAGE(H6:H1198))/(STDEV(H6:H1198)+1E-12))</f>
        <v/>
      </c>
      <c r="J230" s="3">
        <f>IF('3a Raw'!G230="","",MAX(-3,MIN(3,('3a Raw'!G230-$J3)/$J4)))</f>
        <v/>
      </c>
      <c r="K230" s="3">
        <f>IF(J230="","",(J230-AVERAGE(J6:J1198))/(STDEV(J6:J1198)+1E-12))</f>
        <v/>
      </c>
      <c r="L230" s="3">
        <f>IF('3a Raw'!H230="","",MAX(-3,MIN(3,('3a Raw'!H230-$L3)/$L4)))</f>
        <v/>
      </c>
      <c r="M230" s="3">
        <f>IF(L230="","",(L230-AVERAGE(L6:L1198))/(STDEV(L6:L1198)+1E-12))</f>
        <v/>
      </c>
      <c r="N230" s="3">
        <f>IF('3a Raw'!I230="","",MAX(-3,MIN(3,('3a Raw'!I230-$N3)/$N4)))</f>
        <v/>
      </c>
      <c r="O230" s="3">
        <f>IF(N230="","",(N230-AVERAGE(N6:N1198))/(STDEV(N6:N1198)+1E-12))</f>
        <v/>
      </c>
      <c r="P230" s="3">
        <f>IF('3a Raw'!J230="","",MAX(-3,MIN(3,('3a Raw'!J230-$P3)/$P4)))</f>
        <v/>
      </c>
      <c r="Q230" s="3">
        <f>IF(P230="","",(P230-AVERAGE(P6:P1198))/(STDEV(P6:P1198)+1E-12))</f>
        <v/>
      </c>
      <c r="R230" s="3">
        <f>IF('3a Raw'!K230="","",MAX(-3,MIN(3,('3a Raw'!K230-$R3)/$R4)))</f>
        <v/>
      </c>
      <c r="S230" s="3">
        <f>IF(R230="","",(R230-AVERAGE(R6:R1198))/(STDEV(R6:R1198)+1E-12))</f>
        <v/>
      </c>
      <c r="T230" s="3">
        <f>IF('3a Raw'!L230="","",MAX(-3,MIN(3,('3a Raw'!L230-$T3)/$T4)))</f>
        <v/>
      </c>
      <c r="U230" s="3">
        <f>IF(T230="","",(T230-AVERAGE(T6:T1198))/(STDEV(T6:T1198)+1E-12))</f>
        <v/>
      </c>
      <c r="X230" s="3">
        <f>IF(U230="","",U230-($V$3*G230+$W$3))</f>
        <v/>
      </c>
      <c r="Y230" s="3">
        <f>IF(X230="","",MAX(-3,MIN(3,(X230-$X3)/$X4)))</f>
        <v/>
      </c>
      <c r="Z230" s="3">
        <f>IF(Y230="","",(Y230-AVERAGE(Y6:Y1198))/(STDEV(Y6:Y1198)+1E-12))</f>
        <v/>
      </c>
    </row>
    <row r="231">
      <c r="A231" t="inlineStr">
        <is>
          <t>BBG000BC35R6</t>
        </is>
      </c>
      <c r="B231" s="3">
        <f>IF('3a Raw'!C231="","",MAX(-3,MIN(3,('3a Raw'!C231-$B3)/$B4)))</f>
        <v/>
      </c>
      <c r="C231" s="3">
        <f>IF(B231="","",(B231-AVERAGE(B6:B1198))/(STDEV(B6:B1198)+1E-12))</f>
        <v/>
      </c>
      <c r="D231" s="3">
        <f>IF('3a Raw'!D231="","",MAX(-3,MIN(3,('3a Raw'!D231-$D3)/$D4)))</f>
        <v/>
      </c>
      <c r="E231" s="3">
        <f>IF(D231="","",(D231-AVERAGE(D6:D1198))/(STDEV(D6:D1198)+1E-12))</f>
        <v/>
      </c>
      <c r="F231" s="3">
        <f>IF('3a Raw'!E231="","",MAX(-3,MIN(3,('3a Raw'!E231-$F3)/$F4)))</f>
        <v/>
      </c>
      <c r="G231" s="3">
        <f>IF(F231="","",(F231-AVERAGE(F6:F1198))/(STDEV(F6:F1198)+1E-12))</f>
        <v/>
      </c>
      <c r="H231" s="3">
        <f>IF('3a Raw'!F231="","",MAX(-3,MIN(3,('3a Raw'!F231-$H3)/$H4)))</f>
        <v/>
      </c>
      <c r="I231" s="3">
        <f>IF(H231="","",(H231-AVERAGE(H6:H1198))/(STDEV(H6:H1198)+1E-12))</f>
        <v/>
      </c>
      <c r="J231" s="3">
        <f>IF('3a Raw'!G231="","",MAX(-3,MIN(3,('3a Raw'!G231-$J3)/$J4)))</f>
        <v/>
      </c>
      <c r="K231" s="3">
        <f>IF(J231="","",(J231-AVERAGE(J6:J1198))/(STDEV(J6:J1198)+1E-12))</f>
        <v/>
      </c>
      <c r="L231" s="3">
        <f>IF('3a Raw'!H231="","",MAX(-3,MIN(3,('3a Raw'!H231-$L3)/$L4)))</f>
        <v/>
      </c>
      <c r="M231" s="3">
        <f>IF(L231="","",(L231-AVERAGE(L6:L1198))/(STDEV(L6:L1198)+1E-12))</f>
        <v/>
      </c>
      <c r="N231" s="3">
        <f>IF('3a Raw'!I231="","",MAX(-3,MIN(3,('3a Raw'!I231-$N3)/$N4)))</f>
        <v/>
      </c>
      <c r="O231" s="3">
        <f>IF(N231="","",(N231-AVERAGE(N6:N1198))/(STDEV(N6:N1198)+1E-12))</f>
        <v/>
      </c>
      <c r="P231" s="3">
        <f>IF('3a Raw'!J231="","",MAX(-3,MIN(3,('3a Raw'!J231-$P3)/$P4)))</f>
        <v/>
      </c>
      <c r="Q231" s="3">
        <f>IF(P231="","",(P231-AVERAGE(P6:P1198))/(STDEV(P6:P1198)+1E-12))</f>
        <v/>
      </c>
      <c r="R231" s="3">
        <f>IF('3a Raw'!K231="","",MAX(-3,MIN(3,('3a Raw'!K231-$R3)/$R4)))</f>
        <v/>
      </c>
      <c r="S231" s="3">
        <f>IF(R231="","",(R231-AVERAGE(R6:R1198))/(STDEV(R6:R1198)+1E-12))</f>
        <v/>
      </c>
      <c r="T231" s="3">
        <f>IF('3a Raw'!L231="","",MAX(-3,MIN(3,('3a Raw'!L231-$T3)/$T4)))</f>
        <v/>
      </c>
      <c r="U231" s="3">
        <f>IF(T231="","",(T231-AVERAGE(T6:T1198))/(STDEV(T6:T1198)+1E-12))</f>
        <v/>
      </c>
      <c r="X231" s="3">
        <f>IF(U231="","",U231-($V$3*G231+$W$3))</f>
        <v/>
      </c>
      <c r="Y231" s="3">
        <f>IF(X231="","",MAX(-3,MIN(3,(X231-$X3)/$X4)))</f>
        <v/>
      </c>
      <c r="Z231" s="3">
        <f>IF(Y231="","",(Y231-AVERAGE(Y6:Y1198))/(STDEV(Y6:Y1198)+1E-12))</f>
        <v/>
      </c>
    </row>
    <row r="232">
      <c r="A232" t="inlineStr">
        <is>
          <t>BBG000BFS7D3</t>
        </is>
      </c>
      <c r="B232" s="3">
        <f>IF('3a Raw'!C232="","",MAX(-3,MIN(3,('3a Raw'!C232-$B3)/$B4)))</f>
        <v/>
      </c>
      <c r="C232" s="3">
        <f>IF(B232="","",(B232-AVERAGE(B6:B1198))/(STDEV(B6:B1198)+1E-12))</f>
        <v/>
      </c>
      <c r="D232" s="3">
        <f>IF('3a Raw'!D232="","",MAX(-3,MIN(3,('3a Raw'!D232-$D3)/$D4)))</f>
        <v/>
      </c>
      <c r="E232" s="3">
        <f>IF(D232="","",(D232-AVERAGE(D6:D1198))/(STDEV(D6:D1198)+1E-12))</f>
        <v/>
      </c>
      <c r="F232" s="3">
        <f>IF('3a Raw'!E232="","",MAX(-3,MIN(3,('3a Raw'!E232-$F3)/$F4)))</f>
        <v/>
      </c>
      <c r="G232" s="3">
        <f>IF(F232="","",(F232-AVERAGE(F6:F1198))/(STDEV(F6:F1198)+1E-12))</f>
        <v/>
      </c>
      <c r="H232" s="3">
        <f>IF('3a Raw'!F232="","",MAX(-3,MIN(3,('3a Raw'!F232-$H3)/$H4)))</f>
        <v/>
      </c>
      <c r="I232" s="3">
        <f>IF(H232="","",(H232-AVERAGE(H6:H1198))/(STDEV(H6:H1198)+1E-12))</f>
        <v/>
      </c>
      <c r="J232" s="3">
        <f>IF('3a Raw'!G232="","",MAX(-3,MIN(3,('3a Raw'!G232-$J3)/$J4)))</f>
        <v/>
      </c>
      <c r="K232" s="3">
        <f>IF(J232="","",(J232-AVERAGE(J6:J1198))/(STDEV(J6:J1198)+1E-12))</f>
        <v/>
      </c>
      <c r="L232" s="3">
        <f>IF('3a Raw'!H232="","",MAX(-3,MIN(3,('3a Raw'!H232-$L3)/$L4)))</f>
        <v/>
      </c>
      <c r="M232" s="3">
        <f>IF(L232="","",(L232-AVERAGE(L6:L1198))/(STDEV(L6:L1198)+1E-12))</f>
        <v/>
      </c>
      <c r="N232" s="3">
        <f>IF('3a Raw'!I232="","",MAX(-3,MIN(3,('3a Raw'!I232-$N3)/$N4)))</f>
        <v/>
      </c>
      <c r="O232" s="3">
        <f>IF(N232="","",(N232-AVERAGE(N6:N1198))/(STDEV(N6:N1198)+1E-12))</f>
        <v/>
      </c>
      <c r="P232" s="3">
        <f>IF('3a Raw'!J232="","",MAX(-3,MIN(3,('3a Raw'!J232-$P3)/$P4)))</f>
        <v/>
      </c>
      <c r="Q232" s="3">
        <f>IF(P232="","",(P232-AVERAGE(P6:P1198))/(STDEV(P6:P1198)+1E-12))</f>
        <v/>
      </c>
      <c r="R232" s="3">
        <f>IF('3a Raw'!K232="","",MAX(-3,MIN(3,('3a Raw'!K232-$R3)/$R4)))</f>
        <v/>
      </c>
      <c r="S232" s="3">
        <f>IF(R232="","",(R232-AVERAGE(R6:R1198))/(STDEV(R6:R1198)+1E-12))</f>
        <v/>
      </c>
      <c r="T232" s="3">
        <f>IF('3a Raw'!L232="","",MAX(-3,MIN(3,('3a Raw'!L232-$T3)/$T4)))</f>
        <v/>
      </c>
      <c r="U232" s="3">
        <f>IF(T232="","",(T232-AVERAGE(T6:T1198))/(STDEV(T6:T1198)+1E-12))</f>
        <v/>
      </c>
      <c r="X232" s="3">
        <f>IF(U232="","",U232-($V$3*G232+$W$3))</f>
        <v/>
      </c>
      <c r="Y232" s="3">
        <f>IF(X232="","",MAX(-3,MIN(3,(X232-$X3)/$X4)))</f>
        <v/>
      </c>
      <c r="Z232" s="3">
        <f>IF(Y232="","",(Y232-AVERAGE(Y6:Y1198))/(STDEV(Y6:Y1198)+1E-12))</f>
        <v/>
      </c>
    </row>
    <row r="233">
      <c r="A233" t="inlineStr">
        <is>
          <t>BBG000BFT2L4</t>
        </is>
      </c>
      <c r="B233" s="3">
        <f>IF('3a Raw'!C233="","",MAX(-3,MIN(3,('3a Raw'!C233-$B3)/$B4)))</f>
        <v/>
      </c>
      <c r="C233" s="3">
        <f>IF(B233="","",(B233-AVERAGE(B6:B1198))/(STDEV(B6:B1198)+1E-12))</f>
        <v/>
      </c>
      <c r="D233" s="3">
        <f>IF('3a Raw'!D233="","",MAX(-3,MIN(3,('3a Raw'!D233-$D3)/$D4)))</f>
        <v/>
      </c>
      <c r="E233" s="3">
        <f>IF(D233="","",(D233-AVERAGE(D6:D1198))/(STDEV(D6:D1198)+1E-12))</f>
        <v/>
      </c>
      <c r="F233" s="3">
        <f>IF('3a Raw'!E233="","",MAX(-3,MIN(3,('3a Raw'!E233-$F3)/$F4)))</f>
        <v/>
      </c>
      <c r="G233" s="3">
        <f>IF(F233="","",(F233-AVERAGE(F6:F1198))/(STDEV(F6:F1198)+1E-12))</f>
        <v/>
      </c>
      <c r="H233" s="3">
        <f>IF('3a Raw'!F233="","",MAX(-3,MIN(3,('3a Raw'!F233-$H3)/$H4)))</f>
        <v/>
      </c>
      <c r="I233" s="3">
        <f>IF(H233="","",(H233-AVERAGE(H6:H1198))/(STDEV(H6:H1198)+1E-12))</f>
        <v/>
      </c>
      <c r="J233" s="3">
        <f>IF('3a Raw'!G233="","",MAX(-3,MIN(3,('3a Raw'!G233-$J3)/$J4)))</f>
        <v/>
      </c>
      <c r="K233" s="3">
        <f>IF(J233="","",(J233-AVERAGE(J6:J1198))/(STDEV(J6:J1198)+1E-12))</f>
        <v/>
      </c>
      <c r="L233" s="3">
        <f>IF('3a Raw'!H233="","",MAX(-3,MIN(3,('3a Raw'!H233-$L3)/$L4)))</f>
        <v/>
      </c>
      <c r="M233" s="3">
        <f>IF(L233="","",(L233-AVERAGE(L6:L1198))/(STDEV(L6:L1198)+1E-12))</f>
        <v/>
      </c>
      <c r="N233" s="3">
        <f>IF('3a Raw'!I233="","",MAX(-3,MIN(3,('3a Raw'!I233-$N3)/$N4)))</f>
        <v/>
      </c>
      <c r="O233" s="3">
        <f>IF(N233="","",(N233-AVERAGE(N6:N1198))/(STDEV(N6:N1198)+1E-12))</f>
        <v/>
      </c>
      <c r="P233" s="3">
        <f>IF('3a Raw'!J233="","",MAX(-3,MIN(3,('3a Raw'!J233-$P3)/$P4)))</f>
        <v/>
      </c>
      <c r="Q233" s="3">
        <f>IF(P233="","",(P233-AVERAGE(P6:P1198))/(STDEV(P6:P1198)+1E-12))</f>
        <v/>
      </c>
      <c r="R233" s="3">
        <f>IF('3a Raw'!K233="","",MAX(-3,MIN(3,('3a Raw'!K233-$R3)/$R4)))</f>
        <v/>
      </c>
      <c r="S233" s="3">
        <f>IF(R233="","",(R233-AVERAGE(R6:R1198))/(STDEV(R6:R1198)+1E-12))</f>
        <v/>
      </c>
      <c r="T233" s="3">
        <f>IF('3a Raw'!L233="","",MAX(-3,MIN(3,('3a Raw'!L233-$T3)/$T4)))</f>
        <v/>
      </c>
      <c r="U233" s="3">
        <f>IF(T233="","",(T233-AVERAGE(T6:T1198))/(STDEV(T6:T1198)+1E-12))</f>
        <v/>
      </c>
      <c r="X233" s="3">
        <f>IF(U233="","",U233-($V$3*G233+$W$3))</f>
        <v/>
      </c>
      <c r="Y233" s="3">
        <f>IF(X233="","",MAX(-3,MIN(3,(X233-$X3)/$X4)))</f>
        <v/>
      </c>
      <c r="Z233" s="3">
        <f>IF(Y233="","",(Y233-AVERAGE(Y6:Y1198))/(STDEV(Y6:Y1198)+1E-12))</f>
        <v/>
      </c>
    </row>
    <row r="234">
      <c r="A234" t="inlineStr">
        <is>
          <t>BBG000BHLYP4</t>
        </is>
      </c>
      <c r="B234" s="3">
        <f>IF('3a Raw'!C234="","",MAX(-3,MIN(3,('3a Raw'!C234-$B3)/$B4)))</f>
        <v/>
      </c>
      <c r="C234" s="3">
        <f>IF(B234="","",(B234-AVERAGE(B6:B1198))/(STDEV(B6:B1198)+1E-12))</f>
        <v/>
      </c>
      <c r="D234" s="3">
        <f>IF('3a Raw'!D234="","",MAX(-3,MIN(3,('3a Raw'!D234-$D3)/$D4)))</f>
        <v/>
      </c>
      <c r="E234" s="3">
        <f>IF(D234="","",(D234-AVERAGE(D6:D1198))/(STDEV(D6:D1198)+1E-12))</f>
        <v/>
      </c>
      <c r="F234" s="3">
        <f>IF('3a Raw'!E234="","",MAX(-3,MIN(3,('3a Raw'!E234-$F3)/$F4)))</f>
        <v/>
      </c>
      <c r="G234" s="3">
        <f>IF(F234="","",(F234-AVERAGE(F6:F1198))/(STDEV(F6:F1198)+1E-12))</f>
        <v/>
      </c>
      <c r="H234" s="3">
        <f>IF('3a Raw'!F234="","",MAX(-3,MIN(3,('3a Raw'!F234-$H3)/$H4)))</f>
        <v/>
      </c>
      <c r="I234" s="3">
        <f>IF(H234="","",(H234-AVERAGE(H6:H1198))/(STDEV(H6:H1198)+1E-12))</f>
        <v/>
      </c>
      <c r="J234" s="3">
        <f>IF('3a Raw'!G234="","",MAX(-3,MIN(3,('3a Raw'!G234-$J3)/$J4)))</f>
        <v/>
      </c>
      <c r="K234" s="3">
        <f>IF(J234="","",(J234-AVERAGE(J6:J1198))/(STDEV(J6:J1198)+1E-12))</f>
        <v/>
      </c>
      <c r="L234" s="3">
        <f>IF('3a Raw'!H234="","",MAX(-3,MIN(3,('3a Raw'!H234-$L3)/$L4)))</f>
        <v/>
      </c>
      <c r="M234" s="3">
        <f>IF(L234="","",(L234-AVERAGE(L6:L1198))/(STDEV(L6:L1198)+1E-12))</f>
        <v/>
      </c>
      <c r="N234" s="3">
        <f>IF('3a Raw'!I234="","",MAX(-3,MIN(3,('3a Raw'!I234-$N3)/$N4)))</f>
        <v/>
      </c>
      <c r="O234" s="3">
        <f>IF(N234="","",(N234-AVERAGE(N6:N1198))/(STDEV(N6:N1198)+1E-12))</f>
        <v/>
      </c>
      <c r="P234" s="3">
        <f>IF('3a Raw'!J234="","",MAX(-3,MIN(3,('3a Raw'!J234-$P3)/$P4)))</f>
        <v/>
      </c>
      <c r="Q234" s="3">
        <f>IF(P234="","",(P234-AVERAGE(P6:P1198))/(STDEV(P6:P1198)+1E-12))</f>
        <v/>
      </c>
      <c r="R234" s="3">
        <f>IF('3a Raw'!K234="","",MAX(-3,MIN(3,('3a Raw'!K234-$R3)/$R4)))</f>
        <v/>
      </c>
      <c r="S234" s="3">
        <f>IF(R234="","",(R234-AVERAGE(R6:R1198))/(STDEV(R6:R1198)+1E-12))</f>
        <v/>
      </c>
      <c r="T234" s="3">
        <f>IF('3a Raw'!L234="","",MAX(-3,MIN(3,('3a Raw'!L234-$T3)/$T4)))</f>
        <v/>
      </c>
      <c r="U234" s="3">
        <f>IF(T234="","",(T234-AVERAGE(T6:T1198))/(STDEV(T6:T1198)+1E-12))</f>
        <v/>
      </c>
      <c r="X234" s="3">
        <f>IF(U234="","",U234-($V$3*G234+$W$3))</f>
        <v/>
      </c>
      <c r="Y234" s="3">
        <f>IF(X234="","",MAX(-3,MIN(3,(X234-$X3)/$X4)))</f>
        <v/>
      </c>
      <c r="Z234" s="3">
        <f>IF(Y234="","",(Y234-AVERAGE(Y6:Y1198))/(STDEV(Y6:Y1198)+1E-12))</f>
        <v/>
      </c>
    </row>
    <row r="235">
      <c r="A235" t="inlineStr">
        <is>
          <t>BBG000QX74T1</t>
        </is>
      </c>
      <c r="B235" s="3">
        <f>IF('3a Raw'!C235="","",MAX(-3,MIN(3,('3a Raw'!C235-$B3)/$B4)))</f>
        <v/>
      </c>
      <c r="C235" s="3">
        <f>IF(B235="","",(B235-AVERAGE(B6:B1198))/(STDEV(B6:B1198)+1E-12))</f>
        <v/>
      </c>
      <c r="D235" s="3">
        <f>IF('3a Raw'!D235="","",MAX(-3,MIN(3,('3a Raw'!D235-$D3)/$D4)))</f>
        <v/>
      </c>
      <c r="E235" s="3">
        <f>IF(D235="","",(D235-AVERAGE(D6:D1198))/(STDEV(D6:D1198)+1E-12))</f>
        <v/>
      </c>
      <c r="F235" s="3">
        <f>IF('3a Raw'!E235="","",MAX(-3,MIN(3,('3a Raw'!E235-$F3)/$F4)))</f>
        <v/>
      </c>
      <c r="G235" s="3">
        <f>IF(F235="","",(F235-AVERAGE(F6:F1198))/(STDEV(F6:F1198)+1E-12))</f>
        <v/>
      </c>
      <c r="H235" s="3">
        <f>IF('3a Raw'!F235="","",MAX(-3,MIN(3,('3a Raw'!F235-$H3)/$H4)))</f>
        <v/>
      </c>
      <c r="I235" s="3">
        <f>IF(H235="","",(H235-AVERAGE(H6:H1198))/(STDEV(H6:H1198)+1E-12))</f>
        <v/>
      </c>
      <c r="J235" s="3">
        <f>IF('3a Raw'!G235="","",MAX(-3,MIN(3,('3a Raw'!G235-$J3)/$J4)))</f>
        <v/>
      </c>
      <c r="K235" s="3">
        <f>IF(J235="","",(J235-AVERAGE(J6:J1198))/(STDEV(J6:J1198)+1E-12))</f>
        <v/>
      </c>
      <c r="L235" s="3">
        <f>IF('3a Raw'!H235="","",MAX(-3,MIN(3,('3a Raw'!H235-$L3)/$L4)))</f>
        <v/>
      </c>
      <c r="M235" s="3">
        <f>IF(L235="","",(L235-AVERAGE(L6:L1198))/(STDEV(L6:L1198)+1E-12))</f>
        <v/>
      </c>
      <c r="N235" s="3">
        <f>IF('3a Raw'!I235="","",MAX(-3,MIN(3,('3a Raw'!I235-$N3)/$N4)))</f>
        <v/>
      </c>
      <c r="O235" s="3">
        <f>IF(N235="","",(N235-AVERAGE(N6:N1198))/(STDEV(N6:N1198)+1E-12))</f>
        <v/>
      </c>
      <c r="P235" s="3">
        <f>IF('3a Raw'!J235="","",MAX(-3,MIN(3,('3a Raw'!J235-$P3)/$P4)))</f>
        <v/>
      </c>
      <c r="Q235" s="3">
        <f>IF(P235="","",(P235-AVERAGE(P6:P1198))/(STDEV(P6:P1198)+1E-12))</f>
        <v/>
      </c>
      <c r="R235" s="3">
        <f>IF('3a Raw'!K235="","",MAX(-3,MIN(3,('3a Raw'!K235-$R3)/$R4)))</f>
        <v/>
      </c>
      <c r="S235" s="3">
        <f>IF(R235="","",(R235-AVERAGE(R6:R1198))/(STDEV(R6:R1198)+1E-12))</f>
        <v/>
      </c>
      <c r="T235" s="3">
        <f>IF('3a Raw'!L235="","",MAX(-3,MIN(3,('3a Raw'!L235-$T3)/$T4)))</f>
        <v/>
      </c>
      <c r="U235" s="3">
        <f>IF(T235="","",(T235-AVERAGE(T6:T1198))/(STDEV(T6:T1198)+1E-12))</f>
        <v/>
      </c>
      <c r="X235" s="3">
        <f>IF(U235="","",U235-($V$3*G235+$W$3))</f>
        <v/>
      </c>
      <c r="Y235" s="3">
        <f>IF(X235="","",MAX(-3,MIN(3,(X235-$X3)/$X4)))</f>
        <v/>
      </c>
      <c r="Z235" s="3">
        <f>IF(Y235="","",(Y235-AVERAGE(Y6:Y1198))/(STDEV(Y6:Y1198)+1E-12))</f>
        <v/>
      </c>
    </row>
    <row r="236">
      <c r="A236" t="inlineStr">
        <is>
          <t>cmi</t>
        </is>
      </c>
      <c r="B236" s="3">
        <f>IF('3a Raw'!C236="","",MAX(-3,MIN(3,('3a Raw'!C236-$B3)/$B4)))</f>
        <v/>
      </c>
      <c r="C236" s="3">
        <f>IF(B236="","",(B236-AVERAGE(B6:B1198))/(STDEV(B6:B1198)+1E-12))</f>
        <v/>
      </c>
      <c r="D236" s="3">
        <f>IF('3a Raw'!D236="","",MAX(-3,MIN(3,('3a Raw'!D236-$D3)/$D4)))</f>
        <v/>
      </c>
      <c r="E236" s="3">
        <f>IF(D236="","",(D236-AVERAGE(D6:D1198))/(STDEV(D6:D1198)+1E-12))</f>
        <v/>
      </c>
      <c r="F236" s="3">
        <f>IF('3a Raw'!E236="","",MAX(-3,MIN(3,('3a Raw'!E236-$F3)/$F4)))</f>
        <v/>
      </c>
      <c r="G236" s="3">
        <f>IF(F236="","",(F236-AVERAGE(F6:F1198))/(STDEV(F6:F1198)+1E-12))</f>
        <v/>
      </c>
      <c r="H236" s="3">
        <f>IF('3a Raw'!F236="","",MAX(-3,MIN(3,('3a Raw'!F236-$H3)/$H4)))</f>
        <v/>
      </c>
      <c r="I236" s="3">
        <f>IF(H236="","",(H236-AVERAGE(H6:H1198))/(STDEV(H6:H1198)+1E-12))</f>
        <v/>
      </c>
      <c r="J236" s="3">
        <f>IF('3a Raw'!G236="","",MAX(-3,MIN(3,('3a Raw'!G236-$J3)/$J4)))</f>
        <v/>
      </c>
      <c r="K236" s="3">
        <f>IF(J236="","",(J236-AVERAGE(J6:J1198))/(STDEV(J6:J1198)+1E-12))</f>
        <v/>
      </c>
      <c r="L236" s="3">
        <f>IF('3a Raw'!H236="","",MAX(-3,MIN(3,('3a Raw'!H236-$L3)/$L4)))</f>
        <v/>
      </c>
      <c r="M236" s="3">
        <f>IF(L236="","",(L236-AVERAGE(L6:L1198))/(STDEV(L6:L1198)+1E-12))</f>
        <v/>
      </c>
      <c r="N236" s="3">
        <f>IF('3a Raw'!I236="","",MAX(-3,MIN(3,('3a Raw'!I236-$N3)/$N4)))</f>
        <v/>
      </c>
      <c r="O236" s="3">
        <f>IF(N236="","",(N236-AVERAGE(N6:N1198))/(STDEV(N6:N1198)+1E-12))</f>
        <v/>
      </c>
      <c r="P236" s="3">
        <f>IF('3a Raw'!J236="","",MAX(-3,MIN(3,('3a Raw'!J236-$P3)/$P4)))</f>
        <v/>
      </c>
      <c r="Q236" s="3">
        <f>IF(P236="","",(P236-AVERAGE(P6:P1198))/(STDEV(P6:P1198)+1E-12))</f>
        <v/>
      </c>
      <c r="R236" s="3">
        <f>IF('3a Raw'!K236="","",MAX(-3,MIN(3,('3a Raw'!K236-$R3)/$R4)))</f>
        <v/>
      </c>
      <c r="S236" s="3">
        <f>IF(R236="","",(R236-AVERAGE(R6:R1198))/(STDEV(R6:R1198)+1E-12))</f>
        <v/>
      </c>
      <c r="T236" s="3">
        <f>IF('3a Raw'!L236="","",MAX(-3,MIN(3,('3a Raw'!L236-$T3)/$T4)))</f>
        <v/>
      </c>
      <c r="U236" s="3">
        <f>IF(T236="","",(T236-AVERAGE(T6:T1198))/(STDEV(T6:T1198)+1E-12))</f>
        <v/>
      </c>
      <c r="X236" s="3">
        <f>IF(U236="","",U236-($V$3*G236+$W$3))</f>
        <v/>
      </c>
      <c r="Y236" s="3">
        <f>IF(X236="","",MAX(-3,MIN(3,(X236-$X3)/$X4)))</f>
        <v/>
      </c>
      <c r="Z236" s="3">
        <f>IF(Y236="","",(Y236-AVERAGE(Y6:Y1198))/(STDEV(Y6:Y1198)+1E-12))</f>
        <v/>
      </c>
    </row>
    <row r="237">
      <c r="A237" t="inlineStr">
        <is>
          <t>BBG000BFVXX0</t>
        </is>
      </c>
      <c r="B237" s="3">
        <f>IF('3a Raw'!C237="","",MAX(-3,MIN(3,('3a Raw'!C237-$B3)/$B4)))</f>
        <v/>
      </c>
      <c r="C237" s="3">
        <f>IF(B237="","",(B237-AVERAGE(B6:B1198))/(STDEV(B6:B1198)+1E-12))</f>
        <v/>
      </c>
      <c r="D237" s="3">
        <f>IF('3a Raw'!D237="","",MAX(-3,MIN(3,('3a Raw'!D237-$D3)/$D4)))</f>
        <v/>
      </c>
      <c r="E237" s="3">
        <f>IF(D237="","",(D237-AVERAGE(D6:D1198))/(STDEV(D6:D1198)+1E-12))</f>
        <v/>
      </c>
      <c r="F237" s="3">
        <f>IF('3a Raw'!E237="","",MAX(-3,MIN(3,('3a Raw'!E237-$F3)/$F4)))</f>
        <v/>
      </c>
      <c r="G237" s="3">
        <f>IF(F237="","",(F237-AVERAGE(F6:F1198))/(STDEV(F6:F1198)+1E-12))</f>
        <v/>
      </c>
      <c r="H237" s="3">
        <f>IF('3a Raw'!F237="","",MAX(-3,MIN(3,('3a Raw'!F237-$H3)/$H4)))</f>
        <v/>
      </c>
      <c r="I237" s="3">
        <f>IF(H237="","",(H237-AVERAGE(H6:H1198))/(STDEV(H6:H1198)+1E-12))</f>
        <v/>
      </c>
      <c r="J237" s="3">
        <f>IF('3a Raw'!G237="","",MAX(-3,MIN(3,('3a Raw'!G237-$J3)/$J4)))</f>
        <v/>
      </c>
      <c r="K237" s="3">
        <f>IF(J237="","",(J237-AVERAGE(J6:J1198))/(STDEV(J6:J1198)+1E-12))</f>
        <v/>
      </c>
      <c r="L237" s="3">
        <f>IF('3a Raw'!H237="","",MAX(-3,MIN(3,('3a Raw'!H237-$L3)/$L4)))</f>
        <v/>
      </c>
      <c r="M237" s="3">
        <f>IF(L237="","",(L237-AVERAGE(L6:L1198))/(STDEV(L6:L1198)+1E-12))</f>
        <v/>
      </c>
      <c r="N237" s="3">
        <f>IF('3a Raw'!I237="","",MAX(-3,MIN(3,('3a Raw'!I237-$N3)/$N4)))</f>
        <v/>
      </c>
      <c r="O237" s="3">
        <f>IF(N237="","",(N237-AVERAGE(N6:N1198))/(STDEV(N6:N1198)+1E-12))</f>
        <v/>
      </c>
      <c r="P237" s="3">
        <f>IF('3a Raw'!J237="","",MAX(-3,MIN(3,('3a Raw'!J237-$P3)/$P4)))</f>
        <v/>
      </c>
      <c r="Q237" s="3">
        <f>IF(P237="","",(P237-AVERAGE(P6:P1198))/(STDEV(P6:P1198)+1E-12))</f>
        <v/>
      </c>
      <c r="R237" s="3">
        <f>IF('3a Raw'!K237="","",MAX(-3,MIN(3,('3a Raw'!K237-$R3)/$R4)))</f>
        <v/>
      </c>
      <c r="S237" s="3">
        <f>IF(R237="","",(R237-AVERAGE(R6:R1198))/(STDEV(R6:R1198)+1E-12))</f>
        <v/>
      </c>
      <c r="T237" s="3">
        <f>IF('3a Raw'!L237="","",MAX(-3,MIN(3,('3a Raw'!L237-$T3)/$T4)))</f>
        <v/>
      </c>
      <c r="U237" s="3">
        <f>IF(T237="","",(T237-AVERAGE(T6:T1198))/(STDEV(T6:T1198)+1E-12))</f>
        <v/>
      </c>
      <c r="X237" s="3">
        <f>IF(U237="","",U237-($V$3*G237+$W$3))</f>
        <v/>
      </c>
      <c r="Y237" s="3">
        <f>IF(X237="","",MAX(-3,MIN(3,(X237-$X3)/$X4)))</f>
        <v/>
      </c>
      <c r="Z237" s="3">
        <f>IF(Y237="","",(Y237-AVERAGE(Y6:Y1198))/(STDEV(Y6:Y1198)+1E-12))</f>
        <v/>
      </c>
    </row>
    <row r="238">
      <c r="A238" t="inlineStr">
        <is>
          <t>BBG000BDXCJ5</t>
        </is>
      </c>
      <c r="B238" s="3">
        <f>IF('3a Raw'!C238="","",MAX(-3,MIN(3,('3a Raw'!C238-$B3)/$B4)))</f>
        <v/>
      </c>
      <c r="C238" s="3">
        <f>IF(B238="","",(B238-AVERAGE(B6:B1198))/(STDEV(B6:B1198)+1E-12))</f>
        <v/>
      </c>
      <c r="D238" s="3">
        <f>IF('3a Raw'!D238="","",MAX(-3,MIN(3,('3a Raw'!D238-$D3)/$D4)))</f>
        <v/>
      </c>
      <c r="E238" s="3">
        <f>IF(D238="","",(D238-AVERAGE(D6:D1198))/(STDEV(D6:D1198)+1E-12))</f>
        <v/>
      </c>
      <c r="F238" s="3">
        <f>IF('3a Raw'!E238="","",MAX(-3,MIN(3,('3a Raw'!E238-$F3)/$F4)))</f>
        <v/>
      </c>
      <c r="G238" s="3">
        <f>IF(F238="","",(F238-AVERAGE(F6:F1198))/(STDEV(F6:F1198)+1E-12))</f>
        <v/>
      </c>
      <c r="H238" s="3">
        <f>IF('3a Raw'!F238="","",MAX(-3,MIN(3,('3a Raw'!F238-$H3)/$H4)))</f>
        <v/>
      </c>
      <c r="I238" s="3">
        <f>IF(H238="","",(H238-AVERAGE(H6:H1198))/(STDEV(H6:H1198)+1E-12))</f>
        <v/>
      </c>
      <c r="J238" s="3">
        <f>IF('3a Raw'!G238="","",MAX(-3,MIN(3,('3a Raw'!G238-$J3)/$J4)))</f>
        <v/>
      </c>
      <c r="K238" s="3">
        <f>IF(J238="","",(J238-AVERAGE(J6:J1198))/(STDEV(J6:J1198)+1E-12))</f>
        <v/>
      </c>
      <c r="L238" s="3">
        <f>IF('3a Raw'!H238="","",MAX(-3,MIN(3,('3a Raw'!H238-$L3)/$L4)))</f>
        <v/>
      </c>
      <c r="M238" s="3">
        <f>IF(L238="","",(L238-AVERAGE(L6:L1198))/(STDEV(L6:L1198)+1E-12))</f>
        <v/>
      </c>
      <c r="N238" s="3">
        <f>IF('3a Raw'!I238="","",MAX(-3,MIN(3,('3a Raw'!I238-$N3)/$N4)))</f>
        <v/>
      </c>
      <c r="O238" s="3">
        <f>IF(N238="","",(N238-AVERAGE(N6:N1198))/(STDEV(N6:N1198)+1E-12))</f>
        <v/>
      </c>
      <c r="P238" s="3">
        <f>IF('3a Raw'!J238="","",MAX(-3,MIN(3,('3a Raw'!J238-$P3)/$P4)))</f>
        <v/>
      </c>
      <c r="Q238" s="3">
        <f>IF(P238="","",(P238-AVERAGE(P6:P1198))/(STDEV(P6:P1198)+1E-12))</f>
        <v/>
      </c>
      <c r="R238" s="3">
        <f>IF('3a Raw'!K238="","",MAX(-3,MIN(3,('3a Raw'!K238-$R3)/$R4)))</f>
        <v/>
      </c>
      <c r="S238" s="3">
        <f>IF(R238="","",(R238-AVERAGE(R6:R1198))/(STDEV(R6:R1198)+1E-12))</f>
        <v/>
      </c>
      <c r="T238" s="3">
        <f>IF('3a Raw'!L238="","",MAX(-3,MIN(3,('3a Raw'!L238-$T3)/$T4)))</f>
        <v/>
      </c>
      <c r="U238" s="3">
        <f>IF(T238="","",(T238-AVERAGE(T6:T1198))/(STDEV(T6:T1198)+1E-12))</f>
        <v/>
      </c>
      <c r="X238" s="3">
        <f>IF(U238="","",U238-($V$3*G238+$W$3))</f>
        <v/>
      </c>
      <c r="Y238" s="3">
        <f>IF(X238="","",MAX(-3,MIN(3,(X238-$X3)/$X4)))</f>
        <v/>
      </c>
      <c r="Z238" s="3">
        <f>IF(Y238="","",(Y238-AVERAGE(Y6:Y1198))/(STDEV(Y6:Y1198)+1E-12))</f>
        <v/>
      </c>
    </row>
    <row r="239">
      <c r="A239" t="inlineStr">
        <is>
          <t>BBG00C1BZMT9</t>
        </is>
      </c>
      <c r="B239" s="3">
        <f>IF('3a Raw'!C239="","",MAX(-3,MIN(3,('3a Raw'!C239-$B3)/$B4)))</f>
        <v/>
      </c>
      <c r="C239" s="3">
        <f>IF(B239="","",(B239-AVERAGE(B6:B1198))/(STDEV(B6:B1198)+1E-12))</f>
        <v/>
      </c>
      <c r="D239" s="3">
        <f>IF('3a Raw'!D239="","",MAX(-3,MIN(3,('3a Raw'!D239-$D3)/$D4)))</f>
        <v/>
      </c>
      <c r="E239" s="3">
        <f>IF(D239="","",(D239-AVERAGE(D6:D1198))/(STDEV(D6:D1198)+1E-12))</f>
        <v/>
      </c>
      <c r="F239" s="3">
        <f>IF('3a Raw'!E239="","",MAX(-3,MIN(3,('3a Raw'!E239-$F3)/$F4)))</f>
        <v/>
      </c>
      <c r="G239" s="3">
        <f>IF(F239="","",(F239-AVERAGE(F6:F1198))/(STDEV(F6:F1198)+1E-12))</f>
        <v/>
      </c>
      <c r="H239" s="3">
        <f>IF('3a Raw'!F239="","",MAX(-3,MIN(3,('3a Raw'!F239-$H3)/$H4)))</f>
        <v/>
      </c>
      <c r="I239" s="3">
        <f>IF(H239="","",(H239-AVERAGE(H6:H1198))/(STDEV(H6:H1198)+1E-12))</f>
        <v/>
      </c>
      <c r="J239" s="3">
        <f>IF('3a Raw'!G239="","",MAX(-3,MIN(3,('3a Raw'!G239-$J3)/$J4)))</f>
        <v/>
      </c>
      <c r="K239" s="3">
        <f>IF(J239="","",(J239-AVERAGE(J6:J1198))/(STDEV(J6:J1198)+1E-12))</f>
        <v/>
      </c>
      <c r="L239" s="3">
        <f>IF('3a Raw'!H239="","",MAX(-3,MIN(3,('3a Raw'!H239-$L3)/$L4)))</f>
        <v/>
      </c>
      <c r="M239" s="3">
        <f>IF(L239="","",(L239-AVERAGE(L6:L1198))/(STDEV(L6:L1198)+1E-12))</f>
        <v/>
      </c>
      <c r="N239" s="3">
        <f>IF('3a Raw'!I239="","",MAX(-3,MIN(3,('3a Raw'!I239-$N3)/$N4)))</f>
        <v/>
      </c>
      <c r="O239" s="3">
        <f>IF(N239="","",(N239-AVERAGE(N6:N1198))/(STDEV(N6:N1198)+1E-12))</f>
        <v/>
      </c>
      <c r="P239" s="3">
        <f>IF('3a Raw'!J239="","",MAX(-3,MIN(3,('3a Raw'!J239-$P3)/$P4)))</f>
        <v/>
      </c>
      <c r="Q239" s="3">
        <f>IF(P239="","",(P239-AVERAGE(P6:P1198))/(STDEV(P6:P1198)+1E-12))</f>
        <v/>
      </c>
      <c r="R239" s="3">
        <f>IF('3a Raw'!K239="","",MAX(-3,MIN(3,('3a Raw'!K239-$R3)/$R4)))</f>
        <v/>
      </c>
      <c r="S239" s="3">
        <f>IF(R239="","",(R239-AVERAGE(R6:R1198))/(STDEV(R6:R1198)+1E-12))</f>
        <v/>
      </c>
      <c r="T239" s="3">
        <f>IF('3a Raw'!L239="","",MAX(-3,MIN(3,('3a Raw'!L239-$T3)/$T4)))</f>
        <v/>
      </c>
      <c r="U239" s="3">
        <f>IF(T239="","",(T239-AVERAGE(T6:T1198))/(STDEV(T6:T1198)+1E-12))</f>
        <v/>
      </c>
      <c r="X239" s="3">
        <f>IF(U239="","",U239-($V$3*G239+$W$3))</f>
        <v/>
      </c>
      <c r="Y239" s="3">
        <f>IF(X239="","",MAX(-3,MIN(3,(X239-$X3)/$X4)))</f>
        <v/>
      </c>
      <c r="Z239" s="3">
        <f>IF(Y239="","",(Y239-AVERAGE(Y6:Y1198))/(STDEV(Y6:Y1198)+1E-12))</f>
        <v/>
      </c>
    </row>
    <row r="240">
      <c r="A240" t="inlineStr">
        <is>
          <t>BBG000QDVR53</t>
        </is>
      </c>
      <c r="B240" s="3">
        <f>IF('3a Raw'!C240="","",MAX(-3,MIN(3,('3a Raw'!C240-$B3)/$B4)))</f>
        <v/>
      </c>
      <c r="C240" s="3">
        <f>IF(B240="","",(B240-AVERAGE(B6:B1198))/(STDEV(B6:B1198)+1E-12))</f>
        <v/>
      </c>
      <c r="D240" s="3">
        <f>IF('3a Raw'!D240="","",MAX(-3,MIN(3,('3a Raw'!D240-$D3)/$D4)))</f>
        <v/>
      </c>
      <c r="E240" s="3">
        <f>IF(D240="","",(D240-AVERAGE(D6:D1198))/(STDEV(D6:D1198)+1E-12))</f>
        <v/>
      </c>
      <c r="F240" s="3">
        <f>IF('3a Raw'!E240="","",MAX(-3,MIN(3,('3a Raw'!E240-$F3)/$F4)))</f>
        <v/>
      </c>
      <c r="G240" s="3">
        <f>IF(F240="","",(F240-AVERAGE(F6:F1198))/(STDEV(F6:F1198)+1E-12))</f>
        <v/>
      </c>
      <c r="H240" s="3">
        <f>IF('3a Raw'!F240="","",MAX(-3,MIN(3,('3a Raw'!F240-$H3)/$H4)))</f>
        <v/>
      </c>
      <c r="I240" s="3">
        <f>IF(H240="","",(H240-AVERAGE(H6:H1198))/(STDEV(H6:H1198)+1E-12))</f>
        <v/>
      </c>
      <c r="J240" s="3">
        <f>IF('3a Raw'!G240="","",MAX(-3,MIN(3,('3a Raw'!G240-$J3)/$J4)))</f>
        <v/>
      </c>
      <c r="K240" s="3">
        <f>IF(J240="","",(J240-AVERAGE(J6:J1198))/(STDEV(J6:J1198)+1E-12))</f>
        <v/>
      </c>
      <c r="L240" s="3">
        <f>IF('3a Raw'!H240="","",MAX(-3,MIN(3,('3a Raw'!H240-$L3)/$L4)))</f>
        <v/>
      </c>
      <c r="M240" s="3">
        <f>IF(L240="","",(L240-AVERAGE(L6:L1198))/(STDEV(L6:L1198)+1E-12))</f>
        <v/>
      </c>
      <c r="N240" s="3">
        <f>IF('3a Raw'!I240="","",MAX(-3,MIN(3,('3a Raw'!I240-$N3)/$N4)))</f>
        <v/>
      </c>
      <c r="O240" s="3">
        <f>IF(N240="","",(N240-AVERAGE(N6:N1198))/(STDEV(N6:N1198)+1E-12))</f>
        <v/>
      </c>
      <c r="P240" s="3">
        <f>IF('3a Raw'!J240="","",MAX(-3,MIN(3,('3a Raw'!J240-$P3)/$P4)))</f>
        <v/>
      </c>
      <c r="Q240" s="3">
        <f>IF(P240="","",(P240-AVERAGE(P6:P1198))/(STDEV(P6:P1198)+1E-12))</f>
        <v/>
      </c>
      <c r="R240" s="3">
        <f>IF('3a Raw'!K240="","",MAX(-3,MIN(3,('3a Raw'!K240-$R3)/$R4)))</f>
        <v/>
      </c>
      <c r="S240" s="3">
        <f>IF(R240="","",(R240-AVERAGE(R6:R1198))/(STDEV(R6:R1198)+1E-12))</f>
        <v/>
      </c>
      <c r="T240" s="3">
        <f>IF('3a Raw'!L240="","",MAX(-3,MIN(3,('3a Raw'!L240-$T3)/$T4)))</f>
        <v/>
      </c>
      <c r="U240" s="3">
        <f>IF(T240="","",(T240-AVERAGE(T6:T1198))/(STDEV(T6:T1198)+1E-12))</f>
        <v/>
      </c>
      <c r="X240" s="3">
        <f>IF(U240="","",U240-($V$3*G240+$W$3))</f>
        <v/>
      </c>
      <c r="Y240" s="3">
        <f>IF(X240="","",MAX(-3,MIN(3,(X240-$X3)/$X4)))</f>
        <v/>
      </c>
      <c r="Z240" s="3">
        <f>IF(Y240="","",(Y240-AVERAGE(Y6:Y1198))/(STDEV(Y6:Y1198)+1E-12))</f>
        <v/>
      </c>
    </row>
    <row r="241">
      <c r="A241" t="inlineStr">
        <is>
          <t>BBG01163K2X0</t>
        </is>
      </c>
      <c r="B241" s="3">
        <f>IF('3a Raw'!C241="","",MAX(-3,MIN(3,('3a Raw'!C241-$B3)/$B4)))</f>
        <v/>
      </c>
      <c r="C241" s="3">
        <f>IF(B241="","",(B241-AVERAGE(B6:B1198))/(STDEV(B6:B1198)+1E-12))</f>
        <v/>
      </c>
      <c r="D241" s="3">
        <f>IF('3a Raw'!D241="","",MAX(-3,MIN(3,('3a Raw'!D241-$D3)/$D4)))</f>
        <v/>
      </c>
      <c r="E241" s="3">
        <f>IF(D241="","",(D241-AVERAGE(D6:D1198))/(STDEV(D6:D1198)+1E-12))</f>
        <v/>
      </c>
      <c r="F241" s="3">
        <f>IF('3a Raw'!E241="","",MAX(-3,MIN(3,('3a Raw'!E241-$F3)/$F4)))</f>
        <v/>
      </c>
      <c r="G241" s="3">
        <f>IF(F241="","",(F241-AVERAGE(F6:F1198))/(STDEV(F6:F1198)+1E-12))</f>
        <v/>
      </c>
      <c r="H241" s="3">
        <f>IF('3a Raw'!F241="","",MAX(-3,MIN(3,('3a Raw'!F241-$H3)/$H4)))</f>
        <v/>
      </c>
      <c r="I241" s="3">
        <f>IF(H241="","",(H241-AVERAGE(H6:H1198))/(STDEV(H6:H1198)+1E-12))</f>
        <v/>
      </c>
      <c r="J241" s="3">
        <f>IF('3a Raw'!G241="","",MAX(-3,MIN(3,('3a Raw'!G241-$J3)/$J4)))</f>
        <v/>
      </c>
      <c r="K241" s="3">
        <f>IF(J241="","",(J241-AVERAGE(J6:J1198))/(STDEV(J6:J1198)+1E-12))</f>
        <v/>
      </c>
      <c r="L241" s="3">
        <f>IF('3a Raw'!H241="","",MAX(-3,MIN(3,('3a Raw'!H241-$L3)/$L4)))</f>
        <v/>
      </c>
      <c r="M241" s="3">
        <f>IF(L241="","",(L241-AVERAGE(L6:L1198))/(STDEV(L6:L1198)+1E-12))</f>
        <v/>
      </c>
      <c r="N241" s="3">
        <f>IF('3a Raw'!I241="","",MAX(-3,MIN(3,('3a Raw'!I241-$N3)/$N4)))</f>
        <v/>
      </c>
      <c r="O241" s="3">
        <f>IF(N241="","",(N241-AVERAGE(N6:N1198))/(STDEV(N6:N1198)+1E-12))</f>
        <v/>
      </c>
      <c r="P241" s="3">
        <f>IF('3a Raw'!J241="","",MAX(-3,MIN(3,('3a Raw'!J241-$P3)/$P4)))</f>
        <v/>
      </c>
      <c r="Q241" s="3">
        <f>IF(P241="","",(P241-AVERAGE(P6:P1198))/(STDEV(P6:P1198)+1E-12))</f>
        <v/>
      </c>
      <c r="R241" s="3">
        <f>IF('3a Raw'!K241="","",MAX(-3,MIN(3,('3a Raw'!K241-$R3)/$R4)))</f>
        <v/>
      </c>
      <c r="S241" s="3">
        <f>IF(R241="","",(R241-AVERAGE(R6:R1198))/(STDEV(R6:R1198)+1E-12))</f>
        <v/>
      </c>
      <c r="T241" s="3">
        <f>IF('3a Raw'!L241="","",MAX(-3,MIN(3,('3a Raw'!L241-$T3)/$T4)))</f>
        <v/>
      </c>
      <c r="U241" s="3">
        <f>IF(T241="","",(T241-AVERAGE(T6:T1198))/(STDEV(T6:T1198)+1E-12))</f>
        <v/>
      </c>
      <c r="X241" s="3">
        <f>IF(U241="","",U241-($V$3*G241+$W$3))</f>
        <v/>
      </c>
      <c r="Y241" s="3">
        <f>IF(X241="","",MAX(-3,MIN(3,(X241-$X3)/$X4)))</f>
        <v/>
      </c>
      <c r="Z241" s="3">
        <f>IF(Y241="","",(Y241-AVERAGE(Y6:Y1198))/(STDEV(Y6:Y1198)+1E-12))</f>
        <v/>
      </c>
    </row>
    <row r="242">
      <c r="A242" t="inlineStr">
        <is>
          <t>BBG000Q1GK24</t>
        </is>
      </c>
      <c r="B242" s="3">
        <f>IF('3a Raw'!C242="","",MAX(-3,MIN(3,('3a Raw'!C242-$B3)/$B4)))</f>
        <v/>
      </c>
      <c r="C242" s="3">
        <f>IF(B242="","",(B242-AVERAGE(B6:B1198))/(STDEV(B6:B1198)+1E-12))</f>
        <v/>
      </c>
      <c r="D242" s="3">
        <f>IF('3a Raw'!D242="","",MAX(-3,MIN(3,('3a Raw'!D242-$D3)/$D4)))</f>
        <v/>
      </c>
      <c r="E242" s="3">
        <f>IF(D242="","",(D242-AVERAGE(D6:D1198))/(STDEV(D6:D1198)+1E-12))</f>
        <v/>
      </c>
      <c r="F242" s="3">
        <f>IF('3a Raw'!E242="","",MAX(-3,MIN(3,('3a Raw'!E242-$F3)/$F4)))</f>
        <v/>
      </c>
      <c r="G242" s="3">
        <f>IF(F242="","",(F242-AVERAGE(F6:F1198))/(STDEV(F6:F1198)+1E-12))</f>
        <v/>
      </c>
      <c r="H242" s="3">
        <f>IF('3a Raw'!F242="","",MAX(-3,MIN(3,('3a Raw'!F242-$H3)/$H4)))</f>
        <v/>
      </c>
      <c r="I242" s="3">
        <f>IF(H242="","",(H242-AVERAGE(H6:H1198))/(STDEV(H6:H1198)+1E-12))</f>
        <v/>
      </c>
      <c r="J242" s="3">
        <f>IF('3a Raw'!G242="","",MAX(-3,MIN(3,('3a Raw'!G242-$J3)/$J4)))</f>
        <v/>
      </c>
      <c r="K242" s="3">
        <f>IF(J242="","",(J242-AVERAGE(J6:J1198))/(STDEV(J6:J1198)+1E-12))</f>
        <v/>
      </c>
      <c r="L242" s="3">
        <f>IF('3a Raw'!H242="","",MAX(-3,MIN(3,('3a Raw'!H242-$L3)/$L4)))</f>
        <v/>
      </c>
      <c r="M242" s="3">
        <f>IF(L242="","",(L242-AVERAGE(L6:L1198))/(STDEV(L6:L1198)+1E-12))</f>
        <v/>
      </c>
      <c r="N242" s="3">
        <f>IF('3a Raw'!I242="","",MAX(-3,MIN(3,('3a Raw'!I242-$N3)/$N4)))</f>
        <v/>
      </c>
      <c r="O242" s="3">
        <f>IF(N242="","",(N242-AVERAGE(N6:N1198))/(STDEV(N6:N1198)+1E-12))</f>
        <v/>
      </c>
      <c r="P242" s="3">
        <f>IF('3a Raw'!J242="","",MAX(-3,MIN(3,('3a Raw'!J242-$P3)/$P4)))</f>
        <v/>
      </c>
      <c r="Q242" s="3">
        <f>IF(P242="","",(P242-AVERAGE(P6:P1198))/(STDEV(P6:P1198)+1E-12))</f>
        <v/>
      </c>
      <c r="R242" s="3">
        <f>IF('3a Raw'!K242="","",MAX(-3,MIN(3,('3a Raw'!K242-$R3)/$R4)))</f>
        <v/>
      </c>
      <c r="S242" s="3">
        <f>IF(R242="","",(R242-AVERAGE(R6:R1198))/(STDEV(R6:R1198)+1E-12))</f>
        <v/>
      </c>
      <c r="T242" s="3">
        <f>IF('3a Raw'!L242="","",MAX(-3,MIN(3,('3a Raw'!L242-$T3)/$T4)))</f>
        <v/>
      </c>
      <c r="U242" s="3">
        <f>IF(T242="","",(T242-AVERAGE(T6:T1198))/(STDEV(T6:T1198)+1E-12))</f>
        <v/>
      </c>
      <c r="X242" s="3">
        <f>IF(U242="","",U242-($V$3*G242+$W$3))</f>
        <v/>
      </c>
      <c r="Y242" s="3">
        <f>IF(X242="","",MAX(-3,MIN(3,(X242-$X3)/$X4)))</f>
        <v/>
      </c>
      <c r="Z242" s="3">
        <f>IF(Y242="","",(Y242-AVERAGE(Y6:Y1198))/(STDEV(Y6:Y1198)+1E-12))</f>
        <v/>
      </c>
    </row>
    <row r="243">
      <c r="A243" t="inlineStr">
        <is>
          <t>BBG000FDBX90</t>
        </is>
      </c>
      <c r="B243" s="3">
        <f>IF('3a Raw'!C243="","",MAX(-3,MIN(3,('3a Raw'!C243-$B3)/$B4)))</f>
        <v/>
      </c>
      <c r="C243" s="3">
        <f>IF(B243="","",(B243-AVERAGE(B6:B1198))/(STDEV(B6:B1198)+1E-12))</f>
        <v/>
      </c>
      <c r="D243" s="3">
        <f>IF('3a Raw'!D243="","",MAX(-3,MIN(3,('3a Raw'!D243-$D3)/$D4)))</f>
        <v/>
      </c>
      <c r="E243" s="3">
        <f>IF(D243="","",(D243-AVERAGE(D6:D1198))/(STDEV(D6:D1198)+1E-12))</f>
        <v/>
      </c>
      <c r="F243" s="3">
        <f>IF('3a Raw'!E243="","",MAX(-3,MIN(3,('3a Raw'!E243-$F3)/$F4)))</f>
        <v/>
      </c>
      <c r="G243" s="3">
        <f>IF(F243="","",(F243-AVERAGE(F6:F1198))/(STDEV(F6:F1198)+1E-12))</f>
        <v/>
      </c>
      <c r="H243" s="3">
        <f>IF('3a Raw'!F243="","",MAX(-3,MIN(3,('3a Raw'!F243-$H3)/$H4)))</f>
        <v/>
      </c>
      <c r="I243" s="3">
        <f>IF(H243="","",(H243-AVERAGE(H6:H1198))/(STDEV(H6:H1198)+1E-12))</f>
        <v/>
      </c>
      <c r="J243" s="3">
        <f>IF('3a Raw'!G243="","",MAX(-3,MIN(3,('3a Raw'!G243-$J3)/$J4)))</f>
        <v/>
      </c>
      <c r="K243" s="3">
        <f>IF(J243="","",(J243-AVERAGE(J6:J1198))/(STDEV(J6:J1198)+1E-12))</f>
        <v/>
      </c>
      <c r="L243" s="3">
        <f>IF('3a Raw'!H243="","",MAX(-3,MIN(3,('3a Raw'!H243-$L3)/$L4)))</f>
        <v/>
      </c>
      <c r="M243" s="3">
        <f>IF(L243="","",(L243-AVERAGE(L6:L1198))/(STDEV(L6:L1198)+1E-12))</f>
        <v/>
      </c>
      <c r="N243" s="3">
        <f>IF('3a Raw'!I243="","",MAX(-3,MIN(3,('3a Raw'!I243-$N3)/$N4)))</f>
        <v/>
      </c>
      <c r="O243" s="3">
        <f>IF(N243="","",(N243-AVERAGE(N6:N1198))/(STDEV(N6:N1198)+1E-12))</f>
        <v/>
      </c>
      <c r="P243" s="3">
        <f>IF('3a Raw'!J243="","",MAX(-3,MIN(3,('3a Raw'!J243-$P3)/$P4)))</f>
        <v/>
      </c>
      <c r="Q243" s="3">
        <f>IF(P243="","",(P243-AVERAGE(P6:P1198))/(STDEV(P6:P1198)+1E-12))</f>
        <v/>
      </c>
      <c r="R243" s="3">
        <f>IF('3a Raw'!K243="","",MAX(-3,MIN(3,('3a Raw'!K243-$R3)/$R4)))</f>
        <v/>
      </c>
      <c r="S243" s="3">
        <f>IF(R243="","",(R243-AVERAGE(R6:R1198))/(STDEV(R6:R1198)+1E-12))</f>
        <v/>
      </c>
      <c r="T243" s="3">
        <f>IF('3a Raw'!L243="","",MAX(-3,MIN(3,('3a Raw'!L243-$T3)/$T4)))</f>
        <v/>
      </c>
      <c r="U243" s="3">
        <f>IF(T243="","",(T243-AVERAGE(T6:T1198))/(STDEV(T6:T1198)+1E-12))</f>
        <v/>
      </c>
      <c r="X243" s="3">
        <f>IF(U243="","",U243-($V$3*G243+$W$3))</f>
        <v/>
      </c>
      <c r="Y243" s="3">
        <f>IF(X243="","",MAX(-3,MIN(3,(X243-$X3)/$X4)))</f>
        <v/>
      </c>
      <c r="Z243" s="3">
        <f>IF(Y243="","",(Y243-AVERAGE(Y6:Y1198))/(STDEV(Y6:Y1198)+1E-12))</f>
        <v/>
      </c>
    </row>
    <row r="244">
      <c r="A244" t="inlineStr">
        <is>
          <t>BBG000HW5GX3</t>
        </is>
      </c>
      <c r="B244" s="3">
        <f>IF('3a Raw'!C244="","",MAX(-3,MIN(3,('3a Raw'!C244-$B3)/$B4)))</f>
        <v/>
      </c>
      <c r="C244" s="3">
        <f>IF(B244="","",(B244-AVERAGE(B6:B1198))/(STDEV(B6:B1198)+1E-12))</f>
        <v/>
      </c>
      <c r="D244" s="3">
        <f>IF('3a Raw'!D244="","",MAX(-3,MIN(3,('3a Raw'!D244-$D3)/$D4)))</f>
        <v/>
      </c>
      <c r="E244" s="3">
        <f>IF(D244="","",(D244-AVERAGE(D6:D1198))/(STDEV(D6:D1198)+1E-12))</f>
        <v/>
      </c>
      <c r="F244" s="3">
        <f>IF('3a Raw'!E244="","",MAX(-3,MIN(3,('3a Raw'!E244-$F3)/$F4)))</f>
        <v/>
      </c>
      <c r="G244" s="3">
        <f>IF(F244="","",(F244-AVERAGE(F6:F1198))/(STDEV(F6:F1198)+1E-12))</f>
        <v/>
      </c>
      <c r="H244" s="3">
        <f>IF('3a Raw'!F244="","",MAX(-3,MIN(3,('3a Raw'!F244-$H3)/$H4)))</f>
        <v/>
      </c>
      <c r="I244" s="3">
        <f>IF(H244="","",(H244-AVERAGE(H6:H1198))/(STDEV(H6:H1198)+1E-12))</f>
        <v/>
      </c>
      <c r="J244" s="3">
        <f>IF('3a Raw'!G244="","",MAX(-3,MIN(3,('3a Raw'!G244-$J3)/$J4)))</f>
        <v/>
      </c>
      <c r="K244" s="3">
        <f>IF(J244="","",(J244-AVERAGE(J6:J1198))/(STDEV(J6:J1198)+1E-12))</f>
        <v/>
      </c>
      <c r="L244" s="3">
        <f>IF('3a Raw'!H244="","",MAX(-3,MIN(3,('3a Raw'!H244-$L3)/$L4)))</f>
        <v/>
      </c>
      <c r="M244" s="3">
        <f>IF(L244="","",(L244-AVERAGE(L6:L1198))/(STDEV(L6:L1198)+1E-12))</f>
        <v/>
      </c>
      <c r="N244" s="3">
        <f>IF('3a Raw'!I244="","",MAX(-3,MIN(3,('3a Raw'!I244-$N3)/$N4)))</f>
        <v/>
      </c>
      <c r="O244" s="3">
        <f>IF(N244="","",(N244-AVERAGE(N6:N1198))/(STDEV(N6:N1198)+1E-12))</f>
        <v/>
      </c>
      <c r="P244" s="3">
        <f>IF('3a Raw'!J244="","",MAX(-3,MIN(3,('3a Raw'!J244-$P3)/$P4)))</f>
        <v/>
      </c>
      <c r="Q244" s="3">
        <f>IF(P244="","",(P244-AVERAGE(P6:P1198))/(STDEV(P6:P1198)+1E-12))</f>
        <v/>
      </c>
      <c r="R244" s="3">
        <f>IF('3a Raw'!K244="","",MAX(-3,MIN(3,('3a Raw'!K244-$R3)/$R4)))</f>
        <v/>
      </c>
      <c r="S244" s="3">
        <f>IF(R244="","",(R244-AVERAGE(R6:R1198))/(STDEV(R6:R1198)+1E-12))</f>
        <v/>
      </c>
      <c r="T244" s="3">
        <f>IF('3a Raw'!L244="","",MAX(-3,MIN(3,('3a Raw'!L244-$T3)/$T4)))</f>
        <v/>
      </c>
      <c r="U244" s="3">
        <f>IF(T244="","",(T244-AVERAGE(T6:T1198))/(STDEV(T6:T1198)+1E-12))</f>
        <v/>
      </c>
      <c r="X244" s="3">
        <f>IF(U244="","",U244-($V$3*G244+$W$3))</f>
        <v/>
      </c>
      <c r="Y244" s="3">
        <f>IF(X244="","",MAX(-3,MIN(3,(X244-$X3)/$X4)))</f>
        <v/>
      </c>
      <c r="Z244" s="3">
        <f>IF(Y244="","",(Y244-AVERAGE(Y6:Y1198))/(STDEV(Y6:Y1198)+1E-12))</f>
        <v/>
      </c>
    </row>
    <row r="245">
      <c r="A245" t="inlineStr">
        <is>
          <t>BBG000L35KD5</t>
        </is>
      </c>
      <c r="B245" s="3">
        <f>IF('3a Raw'!C245="","",MAX(-3,MIN(3,('3a Raw'!C245-$B3)/$B4)))</f>
        <v/>
      </c>
      <c r="C245" s="3">
        <f>IF(B245="","",(B245-AVERAGE(B6:B1198))/(STDEV(B6:B1198)+1E-12))</f>
        <v/>
      </c>
      <c r="D245" s="3">
        <f>IF('3a Raw'!D245="","",MAX(-3,MIN(3,('3a Raw'!D245-$D3)/$D4)))</f>
        <v/>
      </c>
      <c r="E245" s="3">
        <f>IF(D245="","",(D245-AVERAGE(D6:D1198))/(STDEV(D6:D1198)+1E-12))</f>
        <v/>
      </c>
      <c r="F245" s="3">
        <f>IF('3a Raw'!E245="","",MAX(-3,MIN(3,('3a Raw'!E245-$F3)/$F4)))</f>
        <v/>
      </c>
      <c r="G245" s="3">
        <f>IF(F245="","",(F245-AVERAGE(F6:F1198))/(STDEV(F6:F1198)+1E-12))</f>
        <v/>
      </c>
      <c r="H245" s="3">
        <f>IF('3a Raw'!F245="","",MAX(-3,MIN(3,('3a Raw'!F245-$H3)/$H4)))</f>
        <v/>
      </c>
      <c r="I245" s="3">
        <f>IF(H245="","",(H245-AVERAGE(H6:H1198))/(STDEV(H6:H1198)+1E-12))</f>
        <v/>
      </c>
      <c r="J245" s="3">
        <f>IF('3a Raw'!G245="","",MAX(-3,MIN(3,('3a Raw'!G245-$J3)/$J4)))</f>
        <v/>
      </c>
      <c r="K245" s="3">
        <f>IF(J245="","",(J245-AVERAGE(J6:J1198))/(STDEV(J6:J1198)+1E-12))</f>
        <v/>
      </c>
      <c r="L245" s="3">
        <f>IF('3a Raw'!H245="","",MAX(-3,MIN(3,('3a Raw'!H245-$L3)/$L4)))</f>
        <v/>
      </c>
      <c r="M245" s="3">
        <f>IF(L245="","",(L245-AVERAGE(L6:L1198))/(STDEV(L6:L1198)+1E-12))</f>
        <v/>
      </c>
      <c r="N245" s="3">
        <f>IF('3a Raw'!I245="","",MAX(-3,MIN(3,('3a Raw'!I245-$N3)/$N4)))</f>
        <v/>
      </c>
      <c r="O245" s="3">
        <f>IF(N245="","",(N245-AVERAGE(N6:N1198))/(STDEV(N6:N1198)+1E-12))</f>
        <v/>
      </c>
      <c r="P245" s="3">
        <f>IF('3a Raw'!J245="","",MAX(-3,MIN(3,('3a Raw'!J245-$P3)/$P4)))</f>
        <v/>
      </c>
      <c r="Q245" s="3">
        <f>IF(P245="","",(P245-AVERAGE(P6:P1198))/(STDEV(P6:P1198)+1E-12))</f>
        <v/>
      </c>
      <c r="R245" s="3">
        <f>IF('3a Raw'!K245="","",MAX(-3,MIN(3,('3a Raw'!K245-$R3)/$R4)))</f>
        <v/>
      </c>
      <c r="S245" s="3">
        <f>IF(R245="","",(R245-AVERAGE(R6:R1198))/(STDEV(R6:R1198)+1E-12))</f>
        <v/>
      </c>
      <c r="T245" s="3">
        <f>IF('3a Raw'!L245="","",MAX(-3,MIN(3,('3a Raw'!L245-$T3)/$T4)))</f>
        <v/>
      </c>
      <c r="U245" s="3">
        <f>IF(T245="","",(T245-AVERAGE(T6:T1198))/(STDEV(T6:T1198)+1E-12))</f>
        <v/>
      </c>
      <c r="X245" s="3">
        <f>IF(U245="","",U245-($V$3*G245+$W$3))</f>
        <v/>
      </c>
      <c r="Y245" s="3">
        <f>IF(X245="","",MAX(-3,MIN(3,(X245-$X3)/$X4)))</f>
        <v/>
      </c>
      <c r="Z245" s="3">
        <f>IF(Y245="","",(Y245-AVERAGE(Y6:Y1198))/(STDEV(Y6:Y1198)+1E-12))</f>
        <v/>
      </c>
    </row>
    <row r="246">
      <c r="A246" t="inlineStr">
        <is>
          <t>BBG000BGKTF9</t>
        </is>
      </c>
      <c r="B246" s="3">
        <f>IF('3a Raw'!C246="","",MAX(-3,MIN(3,('3a Raw'!C246-$B3)/$B4)))</f>
        <v/>
      </c>
      <c r="C246" s="3">
        <f>IF(B246="","",(B246-AVERAGE(B6:B1198))/(STDEV(B6:B1198)+1E-12))</f>
        <v/>
      </c>
      <c r="D246" s="3">
        <f>IF('3a Raw'!D246="","",MAX(-3,MIN(3,('3a Raw'!D246-$D3)/$D4)))</f>
        <v/>
      </c>
      <c r="E246" s="3">
        <f>IF(D246="","",(D246-AVERAGE(D6:D1198))/(STDEV(D6:D1198)+1E-12))</f>
        <v/>
      </c>
      <c r="F246" s="3">
        <f>IF('3a Raw'!E246="","",MAX(-3,MIN(3,('3a Raw'!E246-$F3)/$F4)))</f>
        <v/>
      </c>
      <c r="G246" s="3">
        <f>IF(F246="","",(F246-AVERAGE(F6:F1198))/(STDEV(F6:F1198)+1E-12))</f>
        <v/>
      </c>
      <c r="H246" s="3">
        <f>IF('3a Raw'!F246="","",MAX(-3,MIN(3,('3a Raw'!F246-$H3)/$H4)))</f>
        <v/>
      </c>
      <c r="I246" s="3">
        <f>IF(H246="","",(H246-AVERAGE(H6:H1198))/(STDEV(H6:H1198)+1E-12))</f>
        <v/>
      </c>
      <c r="J246" s="3">
        <f>IF('3a Raw'!G246="","",MAX(-3,MIN(3,('3a Raw'!G246-$J3)/$J4)))</f>
        <v/>
      </c>
      <c r="K246" s="3">
        <f>IF(J246="","",(J246-AVERAGE(J6:J1198))/(STDEV(J6:J1198)+1E-12))</f>
        <v/>
      </c>
      <c r="L246" s="3">
        <f>IF('3a Raw'!H246="","",MAX(-3,MIN(3,('3a Raw'!H246-$L3)/$L4)))</f>
        <v/>
      </c>
      <c r="M246" s="3">
        <f>IF(L246="","",(L246-AVERAGE(L6:L1198))/(STDEV(L6:L1198)+1E-12))</f>
        <v/>
      </c>
      <c r="N246" s="3">
        <f>IF('3a Raw'!I246="","",MAX(-3,MIN(3,('3a Raw'!I246-$N3)/$N4)))</f>
        <v/>
      </c>
      <c r="O246" s="3">
        <f>IF(N246="","",(N246-AVERAGE(N6:N1198))/(STDEV(N6:N1198)+1E-12))</f>
        <v/>
      </c>
      <c r="P246" s="3">
        <f>IF('3a Raw'!J246="","",MAX(-3,MIN(3,('3a Raw'!J246-$P3)/$P4)))</f>
        <v/>
      </c>
      <c r="Q246" s="3">
        <f>IF(P246="","",(P246-AVERAGE(P6:P1198))/(STDEV(P6:P1198)+1E-12))</f>
        <v/>
      </c>
      <c r="R246" s="3">
        <f>IF('3a Raw'!K246="","",MAX(-3,MIN(3,('3a Raw'!K246-$R3)/$R4)))</f>
        <v/>
      </c>
      <c r="S246" s="3">
        <f>IF(R246="","",(R246-AVERAGE(R6:R1198))/(STDEV(R6:R1198)+1E-12))</f>
        <v/>
      </c>
      <c r="T246" s="3">
        <f>IF('3a Raw'!L246="","",MAX(-3,MIN(3,('3a Raw'!L246-$T3)/$T4)))</f>
        <v/>
      </c>
      <c r="U246" s="3">
        <f>IF(T246="","",(T246-AVERAGE(T6:T1198))/(STDEV(T6:T1198)+1E-12))</f>
        <v/>
      </c>
      <c r="X246" s="3">
        <f>IF(U246="","",U246-($V$3*G246+$W$3))</f>
        <v/>
      </c>
      <c r="Y246" s="3">
        <f>IF(X246="","",MAX(-3,MIN(3,(X246-$X3)/$X4)))</f>
        <v/>
      </c>
      <c r="Z246" s="3">
        <f>IF(Y246="","",(Y246-AVERAGE(Y6:Y1198))/(STDEV(Y6:Y1198)+1E-12))</f>
        <v/>
      </c>
    </row>
    <row r="247">
      <c r="A247" t="inlineStr">
        <is>
          <t>cohr</t>
        </is>
      </c>
      <c r="B247" s="3">
        <f>IF('3a Raw'!C247="","",MAX(-3,MIN(3,('3a Raw'!C247-$B3)/$B4)))</f>
        <v/>
      </c>
      <c r="C247" s="3">
        <f>IF(B247="","",(B247-AVERAGE(B6:B1198))/(STDEV(B6:B1198)+1E-12))</f>
        <v/>
      </c>
      <c r="D247" s="3">
        <f>IF('3a Raw'!D247="","",MAX(-3,MIN(3,('3a Raw'!D247-$D3)/$D4)))</f>
        <v/>
      </c>
      <c r="E247" s="3">
        <f>IF(D247="","",(D247-AVERAGE(D6:D1198))/(STDEV(D6:D1198)+1E-12))</f>
        <v/>
      </c>
      <c r="F247" s="3">
        <f>IF('3a Raw'!E247="","",MAX(-3,MIN(3,('3a Raw'!E247-$F3)/$F4)))</f>
        <v/>
      </c>
      <c r="G247" s="3">
        <f>IF(F247="","",(F247-AVERAGE(F6:F1198))/(STDEV(F6:F1198)+1E-12))</f>
        <v/>
      </c>
      <c r="H247" s="3">
        <f>IF('3a Raw'!F247="","",MAX(-3,MIN(3,('3a Raw'!F247-$H3)/$H4)))</f>
        <v/>
      </c>
      <c r="I247" s="3">
        <f>IF(H247="","",(H247-AVERAGE(H6:H1198))/(STDEV(H6:H1198)+1E-12))</f>
        <v/>
      </c>
      <c r="J247" s="3">
        <f>IF('3a Raw'!G247="","",MAX(-3,MIN(3,('3a Raw'!G247-$J3)/$J4)))</f>
        <v/>
      </c>
      <c r="K247" s="3">
        <f>IF(J247="","",(J247-AVERAGE(J6:J1198))/(STDEV(J6:J1198)+1E-12))</f>
        <v/>
      </c>
      <c r="L247" s="3">
        <f>IF('3a Raw'!H247="","",MAX(-3,MIN(3,('3a Raw'!H247-$L3)/$L4)))</f>
        <v/>
      </c>
      <c r="M247" s="3">
        <f>IF(L247="","",(L247-AVERAGE(L6:L1198))/(STDEV(L6:L1198)+1E-12))</f>
        <v/>
      </c>
      <c r="N247" s="3">
        <f>IF('3a Raw'!I247="","",MAX(-3,MIN(3,('3a Raw'!I247-$N3)/$N4)))</f>
        <v/>
      </c>
      <c r="O247" s="3">
        <f>IF(N247="","",(N247-AVERAGE(N6:N1198))/(STDEV(N6:N1198)+1E-12))</f>
        <v/>
      </c>
      <c r="P247" s="3">
        <f>IF('3a Raw'!J247="","",MAX(-3,MIN(3,('3a Raw'!J247-$P3)/$P4)))</f>
        <v/>
      </c>
      <c r="Q247" s="3">
        <f>IF(P247="","",(P247-AVERAGE(P6:P1198))/(STDEV(P6:P1198)+1E-12))</f>
        <v/>
      </c>
      <c r="R247" s="3">
        <f>IF('3a Raw'!K247="","",MAX(-3,MIN(3,('3a Raw'!K247-$R3)/$R4)))</f>
        <v/>
      </c>
      <c r="S247" s="3">
        <f>IF(R247="","",(R247-AVERAGE(R6:R1198))/(STDEV(R6:R1198)+1E-12))</f>
        <v/>
      </c>
      <c r="T247" s="3">
        <f>IF('3a Raw'!L247="","",MAX(-3,MIN(3,('3a Raw'!L247-$T3)/$T4)))</f>
        <v/>
      </c>
      <c r="U247" s="3">
        <f>IF(T247="","",(T247-AVERAGE(T6:T1198))/(STDEV(T6:T1198)+1E-12))</f>
        <v/>
      </c>
      <c r="X247" s="3">
        <f>IF(U247="","",U247-($V$3*G247+$W$3))</f>
        <v/>
      </c>
      <c r="Y247" s="3">
        <f>IF(X247="","",MAX(-3,MIN(3,(X247-$X3)/$X4)))</f>
        <v/>
      </c>
      <c r="Z247" s="3">
        <f>IF(Y247="","",(Y247-AVERAGE(Y6:Y1198))/(STDEV(Y6:Y1198)+1E-12))</f>
        <v/>
      </c>
    </row>
    <row r="248">
      <c r="A248" t="inlineStr">
        <is>
          <t>BBG00ZGF7771</t>
        </is>
      </c>
      <c r="B248" s="3">
        <f>IF('3a Raw'!C248="","",MAX(-3,MIN(3,('3a Raw'!C248-$B3)/$B4)))</f>
        <v/>
      </c>
      <c r="C248" s="3">
        <f>IF(B248="","",(B248-AVERAGE(B6:B1198))/(STDEV(B6:B1198)+1E-12))</f>
        <v/>
      </c>
      <c r="D248" s="3">
        <f>IF('3a Raw'!D248="","",MAX(-3,MIN(3,('3a Raw'!D248-$D3)/$D4)))</f>
        <v/>
      </c>
      <c r="E248" s="3">
        <f>IF(D248="","",(D248-AVERAGE(D6:D1198))/(STDEV(D6:D1198)+1E-12))</f>
        <v/>
      </c>
      <c r="F248" s="3">
        <f>IF('3a Raw'!E248="","",MAX(-3,MIN(3,('3a Raw'!E248-$F3)/$F4)))</f>
        <v/>
      </c>
      <c r="G248" s="3">
        <f>IF(F248="","",(F248-AVERAGE(F6:F1198))/(STDEV(F6:F1198)+1E-12))</f>
        <v/>
      </c>
      <c r="H248" s="3">
        <f>IF('3a Raw'!F248="","",MAX(-3,MIN(3,('3a Raw'!F248-$H3)/$H4)))</f>
        <v/>
      </c>
      <c r="I248" s="3">
        <f>IF(H248="","",(H248-AVERAGE(H6:H1198))/(STDEV(H6:H1198)+1E-12))</f>
        <v/>
      </c>
      <c r="J248" s="3">
        <f>IF('3a Raw'!G248="","",MAX(-3,MIN(3,('3a Raw'!G248-$J3)/$J4)))</f>
        <v/>
      </c>
      <c r="K248" s="3">
        <f>IF(J248="","",(J248-AVERAGE(J6:J1198))/(STDEV(J6:J1198)+1E-12))</f>
        <v/>
      </c>
      <c r="L248" s="3">
        <f>IF('3a Raw'!H248="","",MAX(-3,MIN(3,('3a Raw'!H248-$L3)/$L4)))</f>
        <v/>
      </c>
      <c r="M248" s="3">
        <f>IF(L248="","",(L248-AVERAGE(L6:L1198))/(STDEV(L6:L1198)+1E-12))</f>
        <v/>
      </c>
      <c r="N248" s="3">
        <f>IF('3a Raw'!I248="","",MAX(-3,MIN(3,('3a Raw'!I248-$N3)/$N4)))</f>
        <v/>
      </c>
      <c r="O248" s="3">
        <f>IF(N248="","",(N248-AVERAGE(N6:N1198))/(STDEV(N6:N1198)+1E-12))</f>
        <v/>
      </c>
      <c r="P248" s="3">
        <f>IF('3a Raw'!J248="","",MAX(-3,MIN(3,('3a Raw'!J248-$P3)/$P4)))</f>
        <v/>
      </c>
      <c r="Q248" s="3">
        <f>IF(P248="","",(P248-AVERAGE(P6:P1198))/(STDEV(P6:P1198)+1E-12))</f>
        <v/>
      </c>
      <c r="R248" s="3">
        <f>IF('3a Raw'!K248="","",MAX(-3,MIN(3,('3a Raw'!K248-$R3)/$R4)))</f>
        <v/>
      </c>
      <c r="S248" s="3">
        <f>IF(R248="","",(R248-AVERAGE(R6:R1198))/(STDEV(R6:R1198)+1E-12))</f>
        <v/>
      </c>
      <c r="T248" s="3">
        <f>IF('3a Raw'!L248="","",MAX(-3,MIN(3,('3a Raw'!L248-$T3)/$T4)))</f>
        <v/>
      </c>
      <c r="U248" s="3">
        <f>IF(T248="","",(T248-AVERAGE(T6:T1198))/(STDEV(T6:T1198)+1E-12))</f>
        <v/>
      </c>
      <c r="X248" s="3">
        <f>IF(U248="","",U248-($V$3*G248+$W$3))</f>
        <v/>
      </c>
      <c r="Y248" s="3">
        <f>IF(X248="","",MAX(-3,MIN(3,(X248-$X3)/$X4)))</f>
        <v/>
      </c>
      <c r="Z248" s="3">
        <f>IF(Y248="","",(Y248-AVERAGE(Y6:Y1198))/(STDEV(Y6:Y1198)+1E-12))</f>
        <v/>
      </c>
    </row>
    <row r="249">
      <c r="A249" t="inlineStr">
        <is>
          <t>BBG000CTGXS2</t>
        </is>
      </c>
      <c r="B249" s="3">
        <f>IF('3a Raw'!C249="","",MAX(-3,MIN(3,('3a Raw'!C249-$B3)/$B4)))</f>
        <v/>
      </c>
      <c r="C249" s="3">
        <f>IF(B249="","",(B249-AVERAGE(B6:B1198))/(STDEV(B6:B1198)+1E-12))</f>
        <v/>
      </c>
      <c r="D249" s="3">
        <f>IF('3a Raw'!D249="","",MAX(-3,MIN(3,('3a Raw'!D249-$D3)/$D4)))</f>
        <v/>
      </c>
      <c r="E249" s="3">
        <f>IF(D249="","",(D249-AVERAGE(D6:D1198))/(STDEV(D6:D1198)+1E-12))</f>
        <v/>
      </c>
      <c r="F249" s="3">
        <f>IF('3a Raw'!E249="","",MAX(-3,MIN(3,('3a Raw'!E249-$F3)/$F4)))</f>
        <v/>
      </c>
      <c r="G249" s="3">
        <f>IF(F249="","",(F249-AVERAGE(F6:F1198))/(STDEV(F6:F1198)+1E-12))</f>
        <v/>
      </c>
      <c r="H249" s="3">
        <f>IF('3a Raw'!F249="","",MAX(-3,MIN(3,('3a Raw'!F249-$H3)/$H4)))</f>
        <v/>
      </c>
      <c r="I249" s="3">
        <f>IF(H249="","",(H249-AVERAGE(H6:H1198))/(STDEV(H6:H1198)+1E-12))</f>
        <v/>
      </c>
      <c r="J249" s="3">
        <f>IF('3a Raw'!G249="","",MAX(-3,MIN(3,('3a Raw'!G249-$J3)/$J4)))</f>
        <v/>
      </c>
      <c r="K249" s="3">
        <f>IF(J249="","",(J249-AVERAGE(J6:J1198))/(STDEV(J6:J1198)+1E-12))</f>
        <v/>
      </c>
      <c r="L249" s="3">
        <f>IF('3a Raw'!H249="","",MAX(-3,MIN(3,('3a Raw'!H249-$L3)/$L4)))</f>
        <v/>
      </c>
      <c r="M249" s="3">
        <f>IF(L249="","",(L249-AVERAGE(L6:L1198))/(STDEV(L6:L1198)+1E-12))</f>
        <v/>
      </c>
      <c r="N249" s="3">
        <f>IF('3a Raw'!I249="","",MAX(-3,MIN(3,('3a Raw'!I249-$N3)/$N4)))</f>
        <v/>
      </c>
      <c r="O249" s="3">
        <f>IF(N249="","",(N249-AVERAGE(N6:N1198))/(STDEV(N6:N1198)+1E-12))</f>
        <v/>
      </c>
      <c r="P249" s="3">
        <f>IF('3a Raw'!J249="","",MAX(-3,MIN(3,('3a Raw'!J249-$P3)/$P4)))</f>
        <v/>
      </c>
      <c r="Q249" s="3">
        <f>IF(P249="","",(P249-AVERAGE(P6:P1198))/(STDEV(P6:P1198)+1E-12))</f>
        <v/>
      </c>
      <c r="R249" s="3">
        <f>IF('3a Raw'!K249="","",MAX(-3,MIN(3,('3a Raw'!K249-$R3)/$R4)))</f>
        <v/>
      </c>
      <c r="S249" s="3">
        <f>IF(R249="","",(R249-AVERAGE(R6:R1198))/(STDEV(R6:R1198)+1E-12))</f>
        <v/>
      </c>
      <c r="T249" s="3">
        <f>IF('3a Raw'!L249="","",MAX(-3,MIN(3,('3a Raw'!L249-$T3)/$T4)))</f>
        <v/>
      </c>
      <c r="U249" s="3">
        <f>IF(T249="","",(T249-AVERAGE(T6:T1198))/(STDEV(T6:T1198)+1E-12))</f>
        <v/>
      </c>
      <c r="X249" s="3">
        <f>IF(U249="","",U249-($V$3*G249+$W$3))</f>
        <v/>
      </c>
      <c r="Y249" s="3">
        <f>IF(X249="","",MAX(-3,MIN(3,(X249-$X3)/$X4)))</f>
        <v/>
      </c>
      <c r="Z249" s="3">
        <f>IF(Y249="","",(Y249-AVERAGE(Y6:Y1198))/(STDEV(Y6:Y1198)+1E-12))</f>
        <v/>
      </c>
    </row>
    <row r="250">
      <c r="A250" t="inlineStr">
        <is>
          <t>BBG000QF05R6</t>
        </is>
      </c>
      <c r="B250" s="3">
        <f>IF('3a Raw'!C250="","",MAX(-3,MIN(3,('3a Raw'!C250-$B3)/$B4)))</f>
        <v/>
      </c>
      <c r="C250" s="3">
        <f>IF(B250="","",(B250-AVERAGE(B6:B1198))/(STDEV(B6:B1198)+1E-12))</f>
        <v/>
      </c>
      <c r="D250" s="3">
        <f>IF('3a Raw'!D250="","",MAX(-3,MIN(3,('3a Raw'!D250-$D3)/$D4)))</f>
        <v/>
      </c>
      <c r="E250" s="3">
        <f>IF(D250="","",(D250-AVERAGE(D6:D1198))/(STDEV(D6:D1198)+1E-12))</f>
        <v/>
      </c>
      <c r="F250" s="3">
        <f>IF('3a Raw'!E250="","",MAX(-3,MIN(3,('3a Raw'!E250-$F3)/$F4)))</f>
        <v/>
      </c>
      <c r="G250" s="3">
        <f>IF(F250="","",(F250-AVERAGE(F6:F1198))/(STDEV(F6:F1198)+1E-12))</f>
        <v/>
      </c>
      <c r="H250" s="3">
        <f>IF('3a Raw'!F250="","",MAX(-3,MIN(3,('3a Raw'!F250-$H3)/$H4)))</f>
        <v/>
      </c>
      <c r="I250" s="3">
        <f>IF(H250="","",(H250-AVERAGE(H6:H1198))/(STDEV(H6:H1198)+1E-12))</f>
        <v/>
      </c>
      <c r="J250" s="3">
        <f>IF('3a Raw'!G250="","",MAX(-3,MIN(3,('3a Raw'!G250-$J3)/$J4)))</f>
        <v/>
      </c>
      <c r="K250" s="3">
        <f>IF(J250="","",(J250-AVERAGE(J6:J1198))/(STDEV(J6:J1198)+1E-12))</f>
        <v/>
      </c>
      <c r="L250" s="3">
        <f>IF('3a Raw'!H250="","",MAX(-3,MIN(3,('3a Raw'!H250-$L3)/$L4)))</f>
        <v/>
      </c>
      <c r="M250" s="3">
        <f>IF(L250="","",(L250-AVERAGE(L6:L1198))/(STDEV(L6:L1198)+1E-12))</f>
        <v/>
      </c>
      <c r="N250" s="3">
        <f>IF('3a Raw'!I250="","",MAX(-3,MIN(3,('3a Raw'!I250-$N3)/$N4)))</f>
        <v/>
      </c>
      <c r="O250" s="3">
        <f>IF(N250="","",(N250-AVERAGE(N6:N1198))/(STDEV(N6:N1198)+1E-12))</f>
        <v/>
      </c>
      <c r="P250" s="3">
        <f>IF('3a Raw'!J250="","",MAX(-3,MIN(3,('3a Raw'!J250-$P3)/$P4)))</f>
        <v/>
      </c>
      <c r="Q250" s="3">
        <f>IF(P250="","",(P250-AVERAGE(P6:P1198))/(STDEV(P6:P1198)+1E-12))</f>
        <v/>
      </c>
      <c r="R250" s="3">
        <f>IF('3a Raw'!K250="","",MAX(-3,MIN(3,('3a Raw'!K250-$R3)/$R4)))</f>
        <v/>
      </c>
      <c r="S250" s="3">
        <f>IF(R250="","",(R250-AVERAGE(R6:R1198))/(STDEV(R6:R1198)+1E-12))</f>
        <v/>
      </c>
      <c r="T250" s="3">
        <f>IF('3a Raw'!L250="","",MAX(-3,MIN(3,('3a Raw'!L250-$T3)/$T4)))</f>
        <v/>
      </c>
      <c r="U250" s="3">
        <f>IF(T250="","",(T250-AVERAGE(T6:T1198))/(STDEV(T6:T1198)+1E-12))</f>
        <v/>
      </c>
      <c r="X250" s="3">
        <f>IF(U250="","",U250-($V$3*G250+$W$3))</f>
        <v/>
      </c>
      <c r="Y250" s="3">
        <f>IF(X250="","",MAX(-3,MIN(3,(X250-$X3)/$X4)))</f>
        <v/>
      </c>
      <c r="Z250" s="3">
        <f>IF(Y250="","",(Y250-AVERAGE(Y6:Y1198))/(STDEV(Y6:Y1198)+1E-12))</f>
        <v/>
      </c>
    </row>
    <row r="251">
      <c r="A251" t="inlineStr">
        <is>
          <t>BBG00J5SXTH3</t>
        </is>
      </c>
      <c r="B251" s="3">
        <f>IF('3a Raw'!C251="","",MAX(-3,MIN(3,('3a Raw'!C251-$B3)/$B4)))</f>
        <v/>
      </c>
      <c r="C251" s="3">
        <f>IF(B251="","",(B251-AVERAGE(B6:B1198))/(STDEV(B6:B1198)+1E-12))</f>
        <v/>
      </c>
      <c r="D251" s="3">
        <f>IF('3a Raw'!D251="","",MAX(-3,MIN(3,('3a Raw'!D251-$D3)/$D4)))</f>
        <v/>
      </c>
      <c r="E251" s="3">
        <f>IF(D251="","",(D251-AVERAGE(D6:D1198))/(STDEV(D6:D1198)+1E-12))</f>
        <v/>
      </c>
      <c r="F251" s="3">
        <f>IF('3a Raw'!E251="","",MAX(-3,MIN(3,('3a Raw'!E251-$F3)/$F4)))</f>
        <v/>
      </c>
      <c r="G251" s="3">
        <f>IF(F251="","",(F251-AVERAGE(F6:F1198))/(STDEV(F6:F1198)+1E-12))</f>
        <v/>
      </c>
      <c r="H251" s="3">
        <f>IF('3a Raw'!F251="","",MAX(-3,MIN(3,('3a Raw'!F251-$H3)/$H4)))</f>
        <v/>
      </c>
      <c r="I251" s="3">
        <f>IF(H251="","",(H251-AVERAGE(H6:H1198))/(STDEV(H6:H1198)+1E-12))</f>
        <v/>
      </c>
      <c r="J251" s="3">
        <f>IF('3a Raw'!G251="","",MAX(-3,MIN(3,('3a Raw'!G251-$J3)/$J4)))</f>
        <v/>
      </c>
      <c r="K251" s="3">
        <f>IF(J251="","",(J251-AVERAGE(J6:J1198))/(STDEV(J6:J1198)+1E-12))</f>
        <v/>
      </c>
      <c r="L251" s="3">
        <f>IF('3a Raw'!H251="","",MAX(-3,MIN(3,('3a Raw'!H251-$L3)/$L4)))</f>
        <v/>
      </c>
      <c r="M251" s="3">
        <f>IF(L251="","",(L251-AVERAGE(L6:L1198))/(STDEV(L6:L1198)+1E-12))</f>
        <v/>
      </c>
      <c r="N251" s="3">
        <f>IF('3a Raw'!I251="","",MAX(-3,MIN(3,('3a Raw'!I251-$N3)/$N4)))</f>
        <v/>
      </c>
      <c r="O251" s="3">
        <f>IF(N251="","",(N251-AVERAGE(N6:N1198))/(STDEV(N6:N1198)+1E-12))</f>
        <v/>
      </c>
      <c r="P251" s="3">
        <f>IF('3a Raw'!J251="","",MAX(-3,MIN(3,('3a Raw'!J251-$P3)/$P4)))</f>
        <v/>
      </c>
      <c r="Q251" s="3">
        <f>IF(P251="","",(P251-AVERAGE(P6:P1198))/(STDEV(P6:P1198)+1E-12))</f>
        <v/>
      </c>
      <c r="R251" s="3">
        <f>IF('3a Raw'!K251="","",MAX(-3,MIN(3,('3a Raw'!K251-$R3)/$R4)))</f>
        <v/>
      </c>
      <c r="S251" s="3">
        <f>IF(R251="","",(R251-AVERAGE(R6:R1198))/(STDEV(R6:R1198)+1E-12))</f>
        <v/>
      </c>
      <c r="T251" s="3">
        <f>IF('3a Raw'!L251="","",MAX(-3,MIN(3,('3a Raw'!L251-$T3)/$T4)))</f>
        <v/>
      </c>
      <c r="U251" s="3">
        <f>IF(T251="","",(T251-AVERAGE(T6:T1198))/(STDEV(T6:T1198)+1E-12))</f>
        <v/>
      </c>
      <c r="X251" s="3">
        <f>IF(U251="","",U251-($V$3*G251+$W$3))</f>
        <v/>
      </c>
      <c r="Y251" s="3">
        <f>IF(X251="","",MAX(-3,MIN(3,(X251-$X3)/$X4)))</f>
        <v/>
      </c>
      <c r="Z251" s="3">
        <f>IF(Y251="","",(Y251-AVERAGE(Y6:Y1198))/(STDEV(Y6:Y1198)+1E-12))</f>
        <v/>
      </c>
    </row>
    <row r="252">
      <c r="A252" t="inlineStr">
        <is>
          <t>BBG01NBZ7QD9</t>
        </is>
      </c>
      <c r="B252" s="3">
        <f>IF('3a Raw'!C252="","",MAX(-3,MIN(3,('3a Raw'!C252-$B3)/$B4)))</f>
        <v/>
      </c>
      <c r="C252" s="3">
        <f>IF(B252="","",(B252-AVERAGE(B6:B1198))/(STDEV(B6:B1198)+1E-12))</f>
        <v/>
      </c>
      <c r="D252" s="3">
        <f>IF('3a Raw'!D252="","",MAX(-3,MIN(3,('3a Raw'!D252-$D3)/$D4)))</f>
        <v/>
      </c>
      <c r="E252" s="3">
        <f>IF(D252="","",(D252-AVERAGE(D6:D1198))/(STDEV(D6:D1198)+1E-12))</f>
        <v/>
      </c>
      <c r="F252" s="3">
        <f>IF('3a Raw'!E252="","",MAX(-3,MIN(3,('3a Raw'!E252-$F3)/$F4)))</f>
        <v/>
      </c>
      <c r="G252" s="3">
        <f>IF(F252="","",(F252-AVERAGE(F6:F1198))/(STDEV(F6:F1198)+1E-12))</f>
        <v/>
      </c>
      <c r="H252" s="3">
        <f>IF('3a Raw'!F252="","",MAX(-3,MIN(3,('3a Raw'!F252-$H3)/$H4)))</f>
        <v/>
      </c>
      <c r="I252" s="3">
        <f>IF(H252="","",(H252-AVERAGE(H6:H1198))/(STDEV(H6:H1198)+1E-12))</f>
        <v/>
      </c>
      <c r="J252" s="3">
        <f>IF('3a Raw'!G252="","",MAX(-3,MIN(3,('3a Raw'!G252-$J3)/$J4)))</f>
        <v/>
      </c>
      <c r="K252" s="3">
        <f>IF(J252="","",(J252-AVERAGE(J6:J1198))/(STDEV(J6:J1198)+1E-12))</f>
        <v/>
      </c>
      <c r="L252" s="3">
        <f>IF('3a Raw'!H252="","",MAX(-3,MIN(3,('3a Raw'!H252-$L3)/$L4)))</f>
        <v/>
      </c>
      <c r="M252" s="3">
        <f>IF(L252="","",(L252-AVERAGE(L6:L1198))/(STDEV(L6:L1198)+1E-12))</f>
        <v/>
      </c>
      <c r="N252" s="3">
        <f>IF('3a Raw'!I252="","",MAX(-3,MIN(3,('3a Raw'!I252-$N3)/$N4)))</f>
        <v/>
      </c>
      <c r="O252" s="3">
        <f>IF(N252="","",(N252-AVERAGE(N6:N1198))/(STDEV(N6:N1198)+1E-12))</f>
        <v/>
      </c>
      <c r="P252" s="3">
        <f>IF('3a Raw'!J252="","",MAX(-3,MIN(3,('3a Raw'!J252-$P3)/$P4)))</f>
        <v/>
      </c>
      <c r="Q252" s="3">
        <f>IF(P252="","",(P252-AVERAGE(P6:P1198))/(STDEV(P6:P1198)+1E-12))</f>
        <v/>
      </c>
      <c r="R252" s="3">
        <f>IF('3a Raw'!K252="","",MAX(-3,MIN(3,('3a Raw'!K252-$R3)/$R4)))</f>
        <v/>
      </c>
      <c r="S252" s="3">
        <f>IF(R252="","",(R252-AVERAGE(R6:R1198))/(STDEV(R6:R1198)+1E-12))</f>
        <v/>
      </c>
      <c r="T252" s="3">
        <f>IF('3a Raw'!L252="","",MAX(-3,MIN(3,('3a Raw'!L252-$T3)/$T4)))</f>
        <v/>
      </c>
      <c r="U252" s="3">
        <f>IF(T252="","",(T252-AVERAGE(T6:T1198))/(STDEV(T6:T1198)+1E-12))</f>
        <v/>
      </c>
      <c r="X252" s="3">
        <f>IF(U252="","",U252-($V$3*G252+$W$3))</f>
        <v/>
      </c>
      <c r="Y252" s="3">
        <f>IF(X252="","",MAX(-3,MIN(3,(X252-$X3)/$X4)))</f>
        <v/>
      </c>
      <c r="Z252" s="3">
        <f>IF(Y252="","",(Y252-AVERAGE(Y6:Y1198))/(STDEV(Y6:Y1198)+1E-12))</f>
        <v/>
      </c>
    </row>
    <row r="253">
      <c r="A253" t="inlineStr">
        <is>
          <t>BBG000BG3445</t>
        </is>
      </c>
      <c r="B253" s="3">
        <f>IF('3a Raw'!C253="","",MAX(-3,MIN(3,('3a Raw'!C253-$B3)/$B4)))</f>
        <v/>
      </c>
      <c r="C253" s="3">
        <f>IF(B253="","",(B253-AVERAGE(B6:B1198))/(STDEV(B6:B1198)+1E-12))</f>
        <v/>
      </c>
      <c r="D253" s="3">
        <f>IF('3a Raw'!D253="","",MAX(-3,MIN(3,('3a Raw'!D253-$D3)/$D4)))</f>
        <v/>
      </c>
      <c r="E253" s="3">
        <f>IF(D253="","",(D253-AVERAGE(D6:D1198))/(STDEV(D6:D1198)+1E-12))</f>
        <v/>
      </c>
      <c r="F253" s="3">
        <f>IF('3a Raw'!E253="","",MAX(-3,MIN(3,('3a Raw'!E253-$F3)/$F4)))</f>
        <v/>
      </c>
      <c r="G253" s="3">
        <f>IF(F253="","",(F253-AVERAGE(F6:F1198))/(STDEV(F6:F1198)+1E-12))</f>
        <v/>
      </c>
      <c r="H253" s="3">
        <f>IF('3a Raw'!F253="","",MAX(-3,MIN(3,('3a Raw'!F253-$H3)/$H4)))</f>
        <v/>
      </c>
      <c r="I253" s="3">
        <f>IF(H253="","",(H253-AVERAGE(H6:H1198))/(STDEV(H6:H1198)+1E-12))</f>
        <v/>
      </c>
      <c r="J253" s="3">
        <f>IF('3a Raw'!G253="","",MAX(-3,MIN(3,('3a Raw'!G253-$J3)/$J4)))</f>
        <v/>
      </c>
      <c r="K253" s="3">
        <f>IF(J253="","",(J253-AVERAGE(J6:J1198))/(STDEV(J6:J1198)+1E-12))</f>
        <v/>
      </c>
      <c r="L253" s="3">
        <f>IF('3a Raw'!H253="","",MAX(-3,MIN(3,('3a Raw'!H253-$L3)/$L4)))</f>
        <v/>
      </c>
      <c r="M253" s="3">
        <f>IF(L253="","",(L253-AVERAGE(L6:L1198))/(STDEV(L6:L1198)+1E-12))</f>
        <v/>
      </c>
      <c r="N253" s="3">
        <f>IF('3a Raw'!I253="","",MAX(-3,MIN(3,('3a Raw'!I253-$N3)/$N4)))</f>
        <v/>
      </c>
      <c r="O253" s="3">
        <f>IF(N253="","",(N253-AVERAGE(N6:N1198))/(STDEV(N6:N1198)+1E-12))</f>
        <v/>
      </c>
      <c r="P253" s="3">
        <f>IF('3a Raw'!J253="","",MAX(-3,MIN(3,('3a Raw'!J253-$P3)/$P4)))</f>
        <v/>
      </c>
      <c r="Q253" s="3">
        <f>IF(P253="","",(P253-AVERAGE(P6:P1198))/(STDEV(P6:P1198)+1E-12))</f>
        <v/>
      </c>
      <c r="R253" s="3">
        <f>IF('3a Raw'!K253="","",MAX(-3,MIN(3,('3a Raw'!K253-$R3)/$R4)))</f>
        <v/>
      </c>
      <c r="S253" s="3">
        <f>IF(R253="","",(R253-AVERAGE(R6:R1198))/(STDEV(R6:R1198)+1E-12))</f>
        <v/>
      </c>
      <c r="T253" s="3">
        <f>IF('3a Raw'!L253="","",MAX(-3,MIN(3,('3a Raw'!L253-$T3)/$T4)))</f>
        <v/>
      </c>
      <c r="U253" s="3">
        <f>IF(T253="","",(T253-AVERAGE(T6:T1198))/(STDEV(T6:T1198)+1E-12))</f>
        <v/>
      </c>
      <c r="X253" s="3">
        <f>IF(U253="","",U253-($V$3*G253+$W$3))</f>
        <v/>
      </c>
      <c r="Y253" s="3">
        <f>IF(X253="","",MAX(-3,MIN(3,(X253-$X3)/$X4)))</f>
        <v/>
      </c>
      <c r="Z253" s="3">
        <f>IF(Y253="","",(Y253-AVERAGE(Y6:Y1198))/(STDEV(Y6:Y1198)+1E-12))</f>
        <v/>
      </c>
    </row>
    <row r="254">
      <c r="A254" t="inlineStr">
        <is>
          <t>BBG000BQQH30</t>
        </is>
      </c>
      <c r="B254" s="3">
        <f>IF('3a Raw'!C254="","",MAX(-3,MIN(3,('3a Raw'!C254-$B3)/$B4)))</f>
        <v/>
      </c>
      <c r="C254" s="3">
        <f>IF(B254="","",(B254-AVERAGE(B6:B1198))/(STDEV(B6:B1198)+1E-12))</f>
        <v/>
      </c>
      <c r="D254" s="3">
        <f>IF('3a Raw'!D254="","",MAX(-3,MIN(3,('3a Raw'!D254-$D3)/$D4)))</f>
        <v/>
      </c>
      <c r="E254" s="3">
        <f>IF(D254="","",(D254-AVERAGE(D6:D1198))/(STDEV(D6:D1198)+1E-12))</f>
        <v/>
      </c>
      <c r="F254" s="3">
        <f>IF('3a Raw'!E254="","",MAX(-3,MIN(3,('3a Raw'!E254-$F3)/$F4)))</f>
        <v/>
      </c>
      <c r="G254" s="3">
        <f>IF(F254="","",(F254-AVERAGE(F6:F1198))/(STDEV(F6:F1198)+1E-12))</f>
        <v/>
      </c>
      <c r="H254" s="3">
        <f>IF('3a Raw'!F254="","",MAX(-3,MIN(3,('3a Raw'!F254-$H3)/$H4)))</f>
        <v/>
      </c>
      <c r="I254" s="3">
        <f>IF(H254="","",(H254-AVERAGE(H6:H1198))/(STDEV(H6:H1198)+1E-12))</f>
        <v/>
      </c>
      <c r="J254" s="3">
        <f>IF('3a Raw'!G254="","",MAX(-3,MIN(3,('3a Raw'!G254-$J3)/$J4)))</f>
        <v/>
      </c>
      <c r="K254" s="3">
        <f>IF(J254="","",(J254-AVERAGE(J6:J1198))/(STDEV(J6:J1198)+1E-12))</f>
        <v/>
      </c>
      <c r="L254" s="3">
        <f>IF('3a Raw'!H254="","",MAX(-3,MIN(3,('3a Raw'!H254-$L3)/$L4)))</f>
        <v/>
      </c>
      <c r="M254" s="3">
        <f>IF(L254="","",(L254-AVERAGE(L6:L1198))/(STDEV(L6:L1198)+1E-12))</f>
        <v/>
      </c>
      <c r="N254" s="3">
        <f>IF('3a Raw'!I254="","",MAX(-3,MIN(3,('3a Raw'!I254-$N3)/$N4)))</f>
        <v/>
      </c>
      <c r="O254" s="3">
        <f>IF(N254="","",(N254-AVERAGE(N6:N1198))/(STDEV(N6:N1198)+1E-12))</f>
        <v/>
      </c>
      <c r="P254" s="3">
        <f>IF('3a Raw'!J254="","",MAX(-3,MIN(3,('3a Raw'!J254-$P3)/$P4)))</f>
        <v/>
      </c>
      <c r="Q254" s="3">
        <f>IF(P254="","",(P254-AVERAGE(P6:P1198))/(STDEV(P6:P1198)+1E-12))</f>
        <v/>
      </c>
      <c r="R254" s="3">
        <f>IF('3a Raw'!K254="","",MAX(-3,MIN(3,('3a Raw'!K254-$R3)/$R4)))</f>
        <v/>
      </c>
      <c r="S254" s="3">
        <f>IF(R254="","",(R254-AVERAGE(R6:R1198))/(STDEV(R6:R1198)+1E-12))</f>
        <v/>
      </c>
      <c r="T254" s="3">
        <f>IF('3a Raw'!L254="","",MAX(-3,MIN(3,('3a Raw'!L254-$T3)/$T4)))</f>
        <v/>
      </c>
      <c r="U254" s="3">
        <f>IF(T254="","",(T254-AVERAGE(T6:T1198))/(STDEV(T6:T1198)+1E-12))</f>
        <v/>
      </c>
      <c r="X254" s="3">
        <f>IF(U254="","",U254-($V$3*G254+$W$3))</f>
        <v/>
      </c>
      <c r="Y254" s="3">
        <f>IF(X254="","",MAX(-3,MIN(3,(X254-$X3)/$X4)))</f>
        <v/>
      </c>
      <c r="Z254" s="3">
        <f>IF(Y254="","",(Y254-AVERAGE(Y6:Y1198))/(STDEV(Y6:Y1198)+1E-12))</f>
        <v/>
      </c>
    </row>
    <row r="255">
      <c r="A255" t="inlineStr">
        <is>
          <t>BBG000MDCQC2</t>
        </is>
      </c>
      <c r="B255" s="3">
        <f>IF('3a Raw'!C255="","",MAX(-3,MIN(3,('3a Raw'!C255-$B3)/$B4)))</f>
        <v/>
      </c>
      <c r="C255" s="3">
        <f>IF(B255="","",(B255-AVERAGE(B6:B1198))/(STDEV(B6:B1198)+1E-12))</f>
        <v/>
      </c>
      <c r="D255" s="3">
        <f>IF('3a Raw'!D255="","",MAX(-3,MIN(3,('3a Raw'!D255-$D3)/$D4)))</f>
        <v/>
      </c>
      <c r="E255" s="3">
        <f>IF(D255="","",(D255-AVERAGE(D6:D1198))/(STDEV(D6:D1198)+1E-12))</f>
        <v/>
      </c>
      <c r="F255" s="3">
        <f>IF('3a Raw'!E255="","",MAX(-3,MIN(3,('3a Raw'!E255-$F3)/$F4)))</f>
        <v/>
      </c>
      <c r="G255" s="3">
        <f>IF(F255="","",(F255-AVERAGE(F6:F1198))/(STDEV(F6:F1198)+1E-12))</f>
        <v/>
      </c>
      <c r="H255" s="3">
        <f>IF('3a Raw'!F255="","",MAX(-3,MIN(3,('3a Raw'!F255-$H3)/$H4)))</f>
        <v/>
      </c>
      <c r="I255" s="3">
        <f>IF(H255="","",(H255-AVERAGE(H6:H1198))/(STDEV(H6:H1198)+1E-12))</f>
        <v/>
      </c>
      <c r="J255" s="3">
        <f>IF('3a Raw'!G255="","",MAX(-3,MIN(3,('3a Raw'!G255-$J3)/$J4)))</f>
        <v/>
      </c>
      <c r="K255" s="3">
        <f>IF(J255="","",(J255-AVERAGE(J6:J1198))/(STDEV(J6:J1198)+1E-12))</f>
        <v/>
      </c>
      <c r="L255" s="3">
        <f>IF('3a Raw'!H255="","",MAX(-3,MIN(3,('3a Raw'!H255-$L3)/$L4)))</f>
        <v/>
      </c>
      <c r="M255" s="3">
        <f>IF(L255="","",(L255-AVERAGE(L6:L1198))/(STDEV(L6:L1198)+1E-12))</f>
        <v/>
      </c>
      <c r="N255" s="3">
        <f>IF('3a Raw'!I255="","",MAX(-3,MIN(3,('3a Raw'!I255-$N3)/$N4)))</f>
        <v/>
      </c>
      <c r="O255" s="3">
        <f>IF(N255="","",(N255-AVERAGE(N6:N1198))/(STDEV(N6:N1198)+1E-12))</f>
        <v/>
      </c>
      <c r="P255" s="3">
        <f>IF('3a Raw'!J255="","",MAX(-3,MIN(3,('3a Raw'!J255-$P3)/$P4)))</f>
        <v/>
      </c>
      <c r="Q255" s="3">
        <f>IF(P255="","",(P255-AVERAGE(P6:P1198))/(STDEV(P6:P1198)+1E-12))</f>
        <v/>
      </c>
      <c r="R255" s="3">
        <f>IF('3a Raw'!K255="","",MAX(-3,MIN(3,('3a Raw'!K255-$R3)/$R4)))</f>
        <v/>
      </c>
      <c r="S255" s="3">
        <f>IF(R255="","",(R255-AVERAGE(R6:R1198))/(STDEV(R6:R1198)+1E-12))</f>
        <v/>
      </c>
      <c r="T255" s="3">
        <f>IF('3a Raw'!L255="","",MAX(-3,MIN(3,('3a Raw'!L255-$T3)/$T4)))</f>
        <v/>
      </c>
      <c r="U255" s="3">
        <f>IF(T255="","",(T255-AVERAGE(T6:T1198))/(STDEV(T6:T1198)+1E-12))</f>
        <v/>
      </c>
      <c r="X255" s="3">
        <f>IF(U255="","",U255-($V$3*G255+$W$3))</f>
        <v/>
      </c>
      <c r="Y255" s="3">
        <f>IF(X255="","",MAX(-3,MIN(3,(X255-$X3)/$X4)))</f>
        <v/>
      </c>
      <c r="Z255" s="3">
        <f>IF(Y255="","",(Y255-AVERAGE(Y6:Y1198))/(STDEV(Y6:Y1198)+1E-12))</f>
        <v/>
      </c>
    </row>
    <row r="256">
      <c r="A256" t="inlineStr">
        <is>
          <t>BBG01L5GH011</t>
        </is>
      </c>
      <c r="B256" s="3">
        <f>IF('3a Raw'!C256="","",MAX(-3,MIN(3,('3a Raw'!C256-$B3)/$B4)))</f>
        <v/>
      </c>
      <c r="C256" s="3">
        <f>IF(B256="","",(B256-AVERAGE(B6:B1198))/(STDEV(B6:B1198)+1E-12))</f>
        <v/>
      </c>
      <c r="D256" s="3">
        <f>IF('3a Raw'!D256="","",MAX(-3,MIN(3,('3a Raw'!D256-$D3)/$D4)))</f>
        <v/>
      </c>
      <c r="E256" s="3">
        <f>IF(D256="","",(D256-AVERAGE(D6:D1198))/(STDEV(D6:D1198)+1E-12))</f>
        <v/>
      </c>
      <c r="F256" s="3">
        <f>IF('3a Raw'!E256="","",MAX(-3,MIN(3,('3a Raw'!E256-$F3)/$F4)))</f>
        <v/>
      </c>
      <c r="G256" s="3">
        <f>IF(F256="","",(F256-AVERAGE(F6:F1198))/(STDEV(F6:F1198)+1E-12))</f>
        <v/>
      </c>
      <c r="H256" s="3">
        <f>IF('3a Raw'!F256="","",MAX(-3,MIN(3,('3a Raw'!F256-$H3)/$H4)))</f>
        <v/>
      </c>
      <c r="I256" s="3">
        <f>IF(H256="","",(H256-AVERAGE(H6:H1198))/(STDEV(H6:H1198)+1E-12))</f>
        <v/>
      </c>
      <c r="J256" s="3">
        <f>IF('3a Raw'!G256="","",MAX(-3,MIN(3,('3a Raw'!G256-$J3)/$J4)))</f>
        <v/>
      </c>
      <c r="K256" s="3">
        <f>IF(J256="","",(J256-AVERAGE(J6:J1198))/(STDEV(J6:J1198)+1E-12))</f>
        <v/>
      </c>
      <c r="L256" s="3">
        <f>IF('3a Raw'!H256="","",MAX(-3,MIN(3,('3a Raw'!H256-$L3)/$L4)))</f>
        <v/>
      </c>
      <c r="M256" s="3">
        <f>IF(L256="","",(L256-AVERAGE(L6:L1198))/(STDEV(L6:L1198)+1E-12))</f>
        <v/>
      </c>
      <c r="N256" s="3">
        <f>IF('3a Raw'!I256="","",MAX(-3,MIN(3,('3a Raw'!I256-$N3)/$N4)))</f>
        <v/>
      </c>
      <c r="O256" s="3">
        <f>IF(N256="","",(N256-AVERAGE(N6:N1198))/(STDEV(N6:N1198)+1E-12))</f>
        <v/>
      </c>
      <c r="P256" s="3">
        <f>IF('3a Raw'!J256="","",MAX(-3,MIN(3,('3a Raw'!J256-$P3)/$P4)))</f>
        <v/>
      </c>
      <c r="Q256" s="3">
        <f>IF(P256="","",(P256-AVERAGE(P6:P1198))/(STDEV(P6:P1198)+1E-12))</f>
        <v/>
      </c>
      <c r="R256" s="3">
        <f>IF('3a Raw'!K256="","",MAX(-3,MIN(3,('3a Raw'!K256-$R3)/$R4)))</f>
        <v/>
      </c>
      <c r="S256" s="3">
        <f>IF(R256="","",(R256-AVERAGE(R6:R1198))/(STDEV(R6:R1198)+1E-12))</f>
        <v/>
      </c>
      <c r="T256" s="3">
        <f>IF('3a Raw'!L256="","",MAX(-3,MIN(3,('3a Raw'!L256-$T3)/$T4)))</f>
        <v/>
      </c>
      <c r="U256" s="3">
        <f>IF(T256="","",(T256-AVERAGE(T6:T1198))/(STDEV(T6:T1198)+1E-12))</f>
        <v/>
      </c>
      <c r="X256" s="3">
        <f>IF(U256="","",U256-($V$3*G256+$W$3))</f>
        <v/>
      </c>
      <c r="Y256" s="3">
        <f>IF(X256="","",MAX(-3,MIN(3,(X256-$X3)/$X4)))</f>
        <v/>
      </c>
      <c r="Z256" s="3">
        <f>IF(Y256="","",(Y256-AVERAGE(Y6:Y1198))/(STDEV(Y6:Y1198)+1E-12))</f>
        <v/>
      </c>
    </row>
    <row r="257">
      <c r="A257" t="inlineStr">
        <is>
          <t>BBG01L5JV947</t>
        </is>
      </c>
      <c r="B257" s="3">
        <f>IF('3a Raw'!C257="","",MAX(-3,MIN(3,('3a Raw'!C257-$B3)/$B4)))</f>
        <v/>
      </c>
      <c r="C257" s="3">
        <f>IF(B257="","",(B257-AVERAGE(B6:B1198))/(STDEV(B6:B1198)+1E-12))</f>
        <v/>
      </c>
      <c r="D257" s="3">
        <f>IF('3a Raw'!D257="","",MAX(-3,MIN(3,('3a Raw'!D257-$D3)/$D4)))</f>
        <v/>
      </c>
      <c r="E257" s="3">
        <f>IF(D257="","",(D257-AVERAGE(D6:D1198))/(STDEV(D6:D1198)+1E-12))</f>
        <v/>
      </c>
      <c r="F257" s="3">
        <f>IF('3a Raw'!E257="","",MAX(-3,MIN(3,('3a Raw'!E257-$F3)/$F4)))</f>
        <v/>
      </c>
      <c r="G257" s="3">
        <f>IF(F257="","",(F257-AVERAGE(F6:F1198))/(STDEV(F6:F1198)+1E-12))</f>
        <v/>
      </c>
      <c r="H257" s="3">
        <f>IF('3a Raw'!F257="","",MAX(-3,MIN(3,('3a Raw'!F257-$H3)/$H4)))</f>
        <v/>
      </c>
      <c r="I257" s="3">
        <f>IF(H257="","",(H257-AVERAGE(H6:H1198))/(STDEV(H6:H1198)+1E-12))</f>
        <v/>
      </c>
      <c r="J257" s="3">
        <f>IF('3a Raw'!G257="","",MAX(-3,MIN(3,('3a Raw'!G257-$J3)/$J4)))</f>
        <v/>
      </c>
      <c r="K257" s="3">
        <f>IF(J257="","",(J257-AVERAGE(J6:J1198))/(STDEV(J6:J1198)+1E-12))</f>
        <v/>
      </c>
      <c r="L257" s="3">
        <f>IF('3a Raw'!H257="","",MAX(-3,MIN(3,('3a Raw'!H257-$L3)/$L4)))</f>
        <v/>
      </c>
      <c r="M257" s="3">
        <f>IF(L257="","",(L257-AVERAGE(L6:L1198))/(STDEV(L6:L1198)+1E-12))</f>
        <v/>
      </c>
      <c r="N257" s="3">
        <f>IF('3a Raw'!I257="","",MAX(-3,MIN(3,('3a Raw'!I257-$N3)/$N4)))</f>
        <v/>
      </c>
      <c r="O257" s="3">
        <f>IF(N257="","",(N257-AVERAGE(N6:N1198))/(STDEV(N6:N1198)+1E-12))</f>
        <v/>
      </c>
      <c r="P257" s="3">
        <f>IF('3a Raw'!J257="","",MAX(-3,MIN(3,('3a Raw'!J257-$P3)/$P4)))</f>
        <v/>
      </c>
      <c r="Q257" s="3">
        <f>IF(P257="","",(P257-AVERAGE(P6:P1198))/(STDEV(P6:P1198)+1E-12))</f>
        <v/>
      </c>
      <c r="R257" s="3">
        <f>IF('3a Raw'!K257="","",MAX(-3,MIN(3,('3a Raw'!K257-$R3)/$R4)))</f>
        <v/>
      </c>
      <c r="S257" s="3">
        <f>IF(R257="","",(R257-AVERAGE(R6:R1198))/(STDEV(R6:R1198)+1E-12))</f>
        <v/>
      </c>
      <c r="T257" s="3">
        <f>IF('3a Raw'!L257="","",MAX(-3,MIN(3,('3a Raw'!L257-$T3)/$T4)))</f>
        <v/>
      </c>
      <c r="U257" s="3">
        <f>IF(T257="","",(T257-AVERAGE(T6:T1198))/(STDEV(T6:T1198)+1E-12))</f>
        <v/>
      </c>
      <c r="X257" s="3">
        <f>IF(U257="","",U257-($V$3*G257+$W$3))</f>
        <v/>
      </c>
      <c r="Y257" s="3">
        <f>IF(X257="","",MAX(-3,MIN(3,(X257-$X3)/$X4)))</f>
        <v/>
      </c>
      <c r="Z257" s="3">
        <f>IF(Y257="","",(Y257-AVERAGE(Y6:Y1198))/(STDEV(Y6:Y1198)+1E-12))</f>
        <v/>
      </c>
    </row>
    <row r="258">
      <c r="A258" t="inlineStr">
        <is>
          <t>cost</t>
        </is>
      </c>
      <c r="B258" s="3">
        <f>IF('3a Raw'!C258="","",MAX(-3,MIN(3,('3a Raw'!C258-$B3)/$B4)))</f>
        <v/>
      </c>
      <c r="C258" s="3">
        <f>IF(B258="","",(B258-AVERAGE(B6:B1198))/(STDEV(B6:B1198)+1E-12))</f>
        <v/>
      </c>
      <c r="D258" s="3">
        <f>IF('3a Raw'!D258="","",MAX(-3,MIN(3,('3a Raw'!D258-$D3)/$D4)))</f>
        <v/>
      </c>
      <c r="E258" s="3">
        <f>IF(D258="","",(D258-AVERAGE(D6:D1198))/(STDEV(D6:D1198)+1E-12))</f>
        <v/>
      </c>
      <c r="F258" s="3">
        <f>IF('3a Raw'!E258="","",MAX(-3,MIN(3,('3a Raw'!E258-$F3)/$F4)))</f>
        <v/>
      </c>
      <c r="G258" s="3">
        <f>IF(F258="","",(F258-AVERAGE(F6:F1198))/(STDEV(F6:F1198)+1E-12))</f>
        <v/>
      </c>
      <c r="H258" s="3">
        <f>IF('3a Raw'!F258="","",MAX(-3,MIN(3,('3a Raw'!F258-$H3)/$H4)))</f>
        <v/>
      </c>
      <c r="I258" s="3">
        <f>IF(H258="","",(H258-AVERAGE(H6:H1198))/(STDEV(H6:H1198)+1E-12))</f>
        <v/>
      </c>
      <c r="J258" s="3">
        <f>IF('3a Raw'!G258="","",MAX(-3,MIN(3,('3a Raw'!G258-$J3)/$J4)))</f>
        <v/>
      </c>
      <c r="K258" s="3">
        <f>IF(J258="","",(J258-AVERAGE(J6:J1198))/(STDEV(J6:J1198)+1E-12))</f>
        <v/>
      </c>
      <c r="L258" s="3">
        <f>IF('3a Raw'!H258="","",MAX(-3,MIN(3,('3a Raw'!H258-$L3)/$L4)))</f>
        <v/>
      </c>
      <c r="M258" s="3">
        <f>IF(L258="","",(L258-AVERAGE(L6:L1198))/(STDEV(L6:L1198)+1E-12))</f>
        <v/>
      </c>
      <c r="N258" s="3">
        <f>IF('3a Raw'!I258="","",MAX(-3,MIN(3,('3a Raw'!I258-$N3)/$N4)))</f>
        <v/>
      </c>
      <c r="O258" s="3">
        <f>IF(N258="","",(N258-AVERAGE(N6:N1198))/(STDEV(N6:N1198)+1E-12))</f>
        <v/>
      </c>
      <c r="P258" s="3">
        <f>IF('3a Raw'!J258="","",MAX(-3,MIN(3,('3a Raw'!J258-$P3)/$P4)))</f>
        <v/>
      </c>
      <c r="Q258" s="3">
        <f>IF(P258="","",(P258-AVERAGE(P6:P1198))/(STDEV(P6:P1198)+1E-12))</f>
        <v/>
      </c>
      <c r="R258" s="3">
        <f>IF('3a Raw'!K258="","",MAX(-3,MIN(3,('3a Raw'!K258-$R3)/$R4)))</f>
        <v/>
      </c>
      <c r="S258" s="3">
        <f>IF(R258="","",(R258-AVERAGE(R6:R1198))/(STDEV(R6:R1198)+1E-12))</f>
        <v/>
      </c>
      <c r="T258" s="3">
        <f>IF('3a Raw'!L258="","",MAX(-3,MIN(3,('3a Raw'!L258-$T3)/$T4)))</f>
        <v/>
      </c>
      <c r="U258" s="3">
        <f>IF(T258="","",(T258-AVERAGE(T6:T1198))/(STDEV(T6:T1198)+1E-12))</f>
        <v/>
      </c>
      <c r="X258" s="3">
        <f>IF(U258="","",U258-($V$3*G258+$W$3))</f>
        <v/>
      </c>
      <c r="Y258" s="3">
        <f>IF(X258="","",MAX(-3,MIN(3,(X258-$X3)/$X4)))</f>
        <v/>
      </c>
      <c r="Z258" s="3">
        <f>IF(Y258="","",(Y258-AVERAGE(Y6:Y1198))/(STDEV(Y6:Y1198)+1E-12))</f>
        <v/>
      </c>
    </row>
    <row r="259">
      <c r="A259" t="inlineStr">
        <is>
          <t>BBG000F395V1</t>
        </is>
      </c>
      <c r="B259" s="3">
        <f>IF('3a Raw'!C259="","",MAX(-3,MIN(3,('3a Raw'!C259-$B3)/$B4)))</f>
        <v/>
      </c>
      <c r="C259" s="3">
        <f>IF(B259="","",(B259-AVERAGE(B6:B1198))/(STDEV(B6:B1198)+1E-12))</f>
        <v/>
      </c>
      <c r="D259" s="3">
        <f>IF('3a Raw'!D259="","",MAX(-3,MIN(3,('3a Raw'!D259-$D3)/$D4)))</f>
        <v/>
      </c>
      <c r="E259" s="3">
        <f>IF(D259="","",(D259-AVERAGE(D6:D1198))/(STDEV(D6:D1198)+1E-12))</f>
        <v/>
      </c>
      <c r="F259" s="3">
        <f>IF('3a Raw'!E259="","",MAX(-3,MIN(3,('3a Raw'!E259-$F3)/$F4)))</f>
        <v/>
      </c>
      <c r="G259" s="3">
        <f>IF(F259="","",(F259-AVERAGE(F6:F1198))/(STDEV(F6:F1198)+1E-12))</f>
        <v/>
      </c>
      <c r="H259" s="3">
        <f>IF('3a Raw'!F259="","",MAX(-3,MIN(3,('3a Raw'!F259-$H3)/$H4)))</f>
        <v/>
      </c>
      <c r="I259" s="3">
        <f>IF(H259="","",(H259-AVERAGE(H6:H1198))/(STDEV(H6:H1198)+1E-12))</f>
        <v/>
      </c>
      <c r="J259" s="3">
        <f>IF('3a Raw'!G259="","",MAX(-3,MIN(3,('3a Raw'!G259-$J3)/$J4)))</f>
        <v/>
      </c>
      <c r="K259" s="3">
        <f>IF(J259="","",(J259-AVERAGE(J6:J1198))/(STDEV(J6:J1198)+1E-12))</f>
        <v/>
      </c>
      <c r="L259" s="3">
        <f>IF('3a Raw'!H259="","",MAX(-3,MIN(3,('3a Raw'!H259-$L3)/$L4)))</f>
        <v/>
      </c>
      <c r="M259" s="3">
        <f>IF(L259="","",(L259-AVERAGE(L6:L1198))/(STDEV(L6:L1198)+1E-12))</f>
        <v/>
      </c>
      <c r="N259" s="3">
        <f>IF('3a Raw'!I259="","",MAX(-3,MIN(3,('3a Raw'!I259-$N3)/$N4)))</f>
        <v/>
      </c>
      <c r="O259" s="3">
        <f>IF(N259="","",(N259-AVERAGE(N6:N1198))/(STDEV(N6:N1198)+1E-12))</f>
        <v/>
      </c>
      <c r="P259" s="3">
        <f>IF('3a Raw'!J259="","",MAX(-3,MIN(3,('3a Raw'!J259-$P3)/$P4)))</f>
        <v/>
      </c>
      <c r="Q259" s="3">
        <f>IF(P259="","",(P259-AVERAGE(P6:P1198))/(STDEV(P6:P1198)+1E-12))</f>
        <v/>
      </c>
      <c r="R259" s="3">
        <f>IF('3a Raw'!K259="","",MAX(-3,MIN(3,('3a Raw'!K259-$R3)/$R4)))</f>
        <v/>
      </c>
      <c r="S259" s="3">
        <f>IF(R259="","",(R259-AVERAGE(R6:R1198))/(STDEV(R6:R1198)+1E-12))</f>
        <v/>
      </c>
      <c r="T259" s="3">
        <f>IF('3a Raw'!L259="","",MAX(-3,MIN(3,('3a Raw'!L259-$T3)/$T4)))</f>
        <v/>
      </c>
      <c r="U259" s="3">
        <f>IF(T259="","",(T259-AVERAGE(T6:T1198))/(STDEV(T6:T1198)+1E-12))</f>
        <v/>
      </c>
      <c r="X259" s="3">
        <f>IF(U259="","",U259-($V$3*G259+$W$3))</f>
        <v/>
      </c>
      <c r="Y259" s="3">
        <f>IF(X259="","",MAX(-3,MIN(3,(X259-$X3)/$X4)))</f>
        <v/>
      </c>
      <c r="Z259" s="3">
        <f>IF(Y259="","",(Y259-AVERAGE(Y6:Y1198))/(STDEV(Y6:Y1198)+1E-12))</f>
        <v/>
      </c>
    </row>
    <row r="260">
      <c r="A260" t="inlineStr">
        <is>
          <t>BBG002WLDMW5</t>
        </is>
      </c>
      <c r="B260" s="3">
        <f>IF('3a Raw'!C260="","",MAX(-3,MIN(3,('3a Raw'!C260-$B3)/$B4)))</f>
        <v/>
      </c>
      <c r="C260" s="3">
        <f>IF(B260="","",(B260-AVERAGE(B6:B1198))/(STDEV(B6:B1198)+1E-12))</f>
        <v/>
      </c>
      <c r="D260" s="3">
        <f>IF('3a Raw'!D260="","",MAX(-3,MIN(3,('3a Raw'!D260-$D3)/$D4)))</f>
        <v/>
      </c>
      <c r="E260" s="3">
        <f>IF(D260="","",(D260-AVERAGE(D6:D1198))/(STDEV(D6:D1198)+1E-12))</f>
        <v/>
      </c>
      <c r="F260" s="3">
        <f>IF('3a Raw'!E260="","",MAX(-3,MIN(3,('3a Raw'!E260-$F3)/$F4)))</f>
        <v/>
      </c>
      <c r="G260" s="3">
        <f>IF(F260="","",(F260-AVERAGE(F6:F1198))/(STDEV(F6:F1198)+1E-12))</f>
        <v/>
      </c>
      <c r="H260" s="3">
        <f>IF('3a Raw'!F260="","",MAX(-3,MIN(3,('3a Raw'!F260-$H3)/$H4)))</f>
        <v/>
      </c>
      <c r="I260" s="3">
        <f>IF(H260="","",(H260-AVERAGE(H6:H1198))/(STDEV(H6:H1198)+1E-12))</f>
        <v/>
      </c>
      <c r="J260" s="3">
        <f>IF('3a Raw'!G260="","",MAX(-3,MIN(3,('3a Raw'!G260-$J3)/$J4)))</f>
        <v/>
      </c>
      <c r="K260" s="3">
        <f>IF(J260="","",(J260-AVERAGE(J6:J1198))/(STDEV(J6:J1198)+1E-12))</f>
        <v/>
      </c>
      <c r="L260" s="3">
        <f>IF('3a Raw'!H260="","",MAX(-3,MIN(3,('3a Raw'!H260-$L3)/$L4)))</f>
        <v/>
      </c>
      <c r="M260" s="3">
        <f>IF(L260="","",(L260-AVERAGE(L6:L1198))/(STDEV(L6:L1198)+1E-12))</f>
        <v/>
      </c>
      <c r="N260" s="3">
        <f>IF('3a Raw'!I260="","",MAX(-3,MIN(3,('3a Raw'!I260-$N3)/$N4)))</f>
        <v/>
      </c>
      <c r="O260" s="3">
        <f>IF(N260="","",(N260-AVERAGE(N6:N1198))/(STDEV(N6:N1198)+1E-12))</f>
        <v/>
      </c>
      <c r="P260" s="3">
        <f>IF('3a Raw'!J260="","",MAX(-3,MIN(3,('3a Raw'!J260-$P3)/$P4)))</f>
        <v/>
      </c>
      <c r="Q260" s="3">
        <f>IF(P260="","",(P260-AVERAGE(P6:P1198))/(STDEV(P6:P1198)+1E-12))</f>
        <v/>
      </c>
      <c r="R260" s="3">
        <f>IF('3a Raw'!K260="","",MAX(-3,MIN(3,('3a Raw'!K260-$R3)/$R4)))</f>
        <v/>
      </c>
      <c r="S260" s="3">
        <f>IF(R260="","",(R260-AVERAGE(R6:R1198))/(STDEV(R6:R1198)+1E-12))</f>
        <v/>
      </c>
      <c r="T260" s="3">
        <f>IF('3a Raw'!L260="","",MAX(-3,MIN(3,('3a Raw'!L260-$T3)/$T4)))</f>
        <v/>
      </c>
      <c r="U260" s="3">
        <f>IF(T260="","",(T260-AVERAGE(T6:T1198))/(STDEV(T6:T1198)+1E-12))</f>
        <v/>
      </c>
      <c r="X260" s="3">
        <f>IF(U260="","",U260-($V$3*G260+$W$3))</f>
        <v/>
      </c>
      <c r="Y260" s="3">
        <f>IF(X260="","",MAX(-3,MIN(3,(X260-$X3)/$X4)))</f>
        <v/>
      </c>
      <c r="Z260" s="3">
        <f>IF(Y260="","",(Y260-AVERAGE(Y6:Y1198))/(STDEV(Y6:Y1198)+1E-12))</f>
        <v/>
      </c>
    </row>
    <row r="261">
      <c r="A261" t="inlineStr">
        <is>
          <t>BBG000BCVMH9</t>
        </is>
      </c>
      <c r="B261" s="3">
        <f>IF('3a Raw'!C261="","",MAX(-3,MIN(3,('3a Raw'!C261-$B3)/$B4)))</f>
        <v/>
      </c>
      <c r="C261" s="3">
        <f>IF(B261="","",(B261-AVERAGE(B6:B1198))/(STDEV(B6:B1198)+1E-12))</f>
        <v/>
      </c>
      <c r="D261" s="3">
        <f>IF('3a Raw'!D261="","",MAX(-3,MIN(3,('3a Raw'!D261-$D3)/$D4)))</f>
        <v/>
      </c>
      <c r="E261" s="3">
        <f>IF(D261="","",(D261-AVERAGE(D6:D1198))/(STDEV(D6:D1198)+1E-12))</f>
        <v/>
      </c>
      <c r="F261" s="3">
        <f>IF('3a Raw'!E261="","",MAX(-3,MIN(3,('3a Raw'!E261-$F3)/$F4)))</f>
        <v/>
      </c>
      <c r="G261" s="3">
        <f>IF(F261="","",(F261-AVERAGE(F6:F1198))/(STDEV(F6:F1198)+1E-12))</f>
        <v/>
      </c>
      <c r="H261" s="3">
        <f>IF('3a Raw'!F261="","",MAX(-3,MIN(3,('3a Raw'!F261-$H3)/$H4)))</f>
        <v/>
      </c>
      <c r="I261" s="3">
        <f>IF(H261="","",(H261-AVERAGE(H6:H1198))/(STDEV(H6:H1198)+1E-12))</f>
        <v/>
      </c>
      <c r="J261" s="3">
        <f>IF('3a Raw'!G261="","",MAX(-3,MIN(3,('3a Raw'!G261-$J3)/$J4)))</f>
        <v/>
      </c>
      <c r="K261" s="3">
        <f>IF(J261="","",(J261-AVERAGE(J6:J1198))/(STDEV(J6:J1198)+1E-12))</f>
        <v/>
      </c>
      <c r="L261" s="3">
        <f>IF('3a Raw'!H261="","",MAX(-3,MIN(3,('3a Raw'!H261-$L3)/$L4)))</f>
        <v/>
      </c>
      <c r="M261" s="3">
        <f>IF(L261="","",(L261-AVERAGE(L6:L1198))/(STDEV(L6:L1198)+1E-12))</f>
        <v/>
      </c>
      <c r="N261" s="3">
        <f>IF('3a Raw'!I261="","",MAX(-3,MIN(3,('3a Raw'!I261-$N3)/$N4)))</f>
        <v/>
      </c>
      <c r="O261" s="3">
        <f>IF(N261="","",(N261-AVERAGE(N6:N1198))/(STDEV(N6:N1198)+1E-12))</f>
        <v/>
      </c>
      <c r="P261" s="3">
        <f>IF('3a Raw'!J261="","",MAX(-3,MIN(3,('3a Raw'!J261-$P3)/$P4)))</f>
        <v/>
      </c>
      <c r="Q261" s="3">
        <f>IF(P261="","",(P261-AVERAGE(P6:P1198))/(STDEV(P6:P1198)+1E-12))</f>
        <v/>
      </c>
      <c r="R261" s="3">
        <f>IF('3a Raw'!K261="","",MAX(-3,MIN(3,('3a Raw'!K261-$R3)/$R4)))</f>
        <v/>
      </c>
      <c r="S261" s="3">
        <f>IF(R261="","",(R261-AVERAGE(R6:R1198))/(STDEV(R6:R1198)+1E-12))</f>
        <v/>
      </c>
      <c r="T261" s="3">
        <f>IF('3a Raw'!L261="","",MAX(-3,MIN(3,('3a Raw'!L261-$T3)/$T4)))</f>
        <v/>
      </c>
      <c r="U261" s="3">
        <f>IF(T261="","",(T261-AVERAGE(T6:T1198))/(STDEV(T6:T1198)+1E-12))</f>
        <v/>
      </c>
      <c r="X261" s="3">
        <f>IF(U261="","",U261-($V$3*G261+$W$3))</f>
        <v/>
      </c>
      <c r="Y261" s="3">
        <f>IF(X261="","",MAX(-3,MIN(3,(X261-$X3)/$X4)))</f>
        <v/>
      </c>
      <c r="Z261" s="3">
        <f>IF(Y261="","",(Y261-AVERAGE(Y6:Y1198))/(STDEV(Y6:Y1198)+1E-12))</f>
        <v/>
      </c>
    </row>
    <row r="262">
      <c r="A262" t="inlineStr">
        <is>
          <t>cpay</t>
        </is>
      </c>
      <c r="B262" s="3">
        <f>IF('3a Raw'!C262="","",MAX(-3,MIN(3,('3a Raw'!C262-$B3)/$B4)))</f>
        <v/>
      </c>
      <c r="C262" s="3">
        <f>IF(B262="","",(B262-AVERAGE(B6:B1198))/(STDEV(B6:B1198)+1E-12))</f>
        <v/>
      </c>
      <c r="D262" s="3">
        <f>IF('3a Raw'!D262="","",MAX(-3,MIN(3,('3a Raw'!D262-$D3)/$D4)))</f>
        <v/>
      </c>
      <c r="E262" s="3">
        <f>IF(D262="","",(D262-AVERAGE(D6:D1198))/(STDEV(D6:D1198)+1E-12))</f>
        <v/>
      </c>
      <c r="F262" s="3">
        <f>IF('3a Raw'!E262="","",MAX(-3,MIN(3,('3a Raw'!E262-$F3)/$F4)))</f>
        <v/>
      </c>
      <c r="G262" s="3">
        <f>IF(F262="","",(F262-AVERAGE(F6:F1198))/(STDEV(F6:F1198)+1E-12))</f>
        <v/>
      </c>
      <c r="H262" s="3">
        <f>IF('3a Raw'!F262="","",MAX(-3,MIN(3,('3a Raw'!F262-$H3)/$H4)))</f>
        <v/>
      </c>
      <c r="I262" s="3">
        <f>IF(H262="","",(H262-AVERAGE(H6:H1198))/(STDEV(H6:H1198)+1E-12))</f>
        <v/>
      </c>
      <c r="J262" s="3">
        <f>IF('3a Raw'!G262="","",MAX(-3,MIN(3,('3a Raw'!G262-$J3)/$J4)))</f>
        <v/>
      </c>
      <c r="K262" s="3">
        <f>IF(J262="","",(J262-AVERAGE(J6:J1198))/(STDEV(J6:J1198)+1E-12))</f>
        <v/>
      </c>
      <c r="L262" s="3">
        <f>IF('3a Raw'!H262="","",MAX(-3,MIN(3,('3a Raw'!H262-$L3)/$L4)))</f>
        <v/>
      </c>
      <c r="M262" s="3">
        <f>IF(L262="","",(L262-AVERAGE(L6:L1198))/(STDEV(L6:L1198)+1E-12))</f>
        <v/>
      </c>
      <c r="N262" s="3">
        <f>IF('3a Raw'!I262="","",MAX(-3,MIN(3,('3a Raw'!I262-$N3)/$N4)))</f>
        <v/>
      </c>
      <c r="O262" s="3">
        <f>IF(N262="","",(N262-AVERAGE(N6:N1198))/(STDEV(N6:N1198)+1E-12))</f>
        <v/>
      </c>
      <c r="P262" s="3">
        <f>IF('3a Raw'!J262="","",MAX(-3,MIN(3,('3a Raw'!J262-$P3)/$P4)))</f>
        <v/>
      </c>
      <c r="Q262" s="3">
        <f>IF(P262="","",(P262-AVERAGE(P6:P1198))/(STDEV(P6:P1198)+1E-12))</f>
        <v/>
      </c>
      <c r="R262" s="3">
        <f>IF('3a Raw'!K262="","",MAX(-3,MIN(3,('3a Raw'!K262-$R3)/$R4)))</f>
        <v/>
      </c>
      <c r="S262" s="3">
        <f>IF(R262="","",(R262-AVERAGE(R6:R1198))/(STDEV(R6:R1198)+1E-12))</f>
        <v/>
      </c>
      <c r="T262" s="3">
        <f>IF('3a Raw'!L262="","",MAX(-3,MIN(3,('3a Raw'!L262-$T3)/$T4)))</f>
        <v/>
      </c>
      <c r="U262" s="3">
        <f>IF(T262="","",(T262-AVERAGE(T6:T1198))/(STDEV(T6:T1198)+1E-12))</f>
        <v/>
      </c>
      <c r="X262" s="3">
        <f>IF(U262="","",U262-($V$3*G262+$W$3))</f>
        <v/>
      </c>
      <c r="Y262" s="3">
        <f>IF(X262="","",MAX(-3,MIN(3,(X262-$X3)/$X4)))</f>
        <v/>
      </c>
      <c r="Z262" s="3">
        <f>IF(Y262="","",(Y262-AVERAGE(Y6:Y1198))/(STDEV(Y6:Y1198)+1E-12))</f>
        <v/>
      </c>
    </row>
    <row r="263">
      <c r="A263" t="inlineStr">
        <is>
          <t>BBG000BG4202</t>
        </is>
      </c>
      <c r="B263" s="3">
        <f>IF('3a Raw'!C263="","",MAX(-3,MIN(3,('3a Raw'!C263-$B3)/$B4)))</f>
        <v/>
      </c>
      <c r="C263" s="3">
        <f>IF(B263="","",(B263-AVERAGE(B6:B1198))/(STDEV(B6:B1198)+1E-12))</f>
        <v/>
      </c>
      <c r="D263" s="3">
        <f>IF('3a Raw'!D263="","",MAX(-3,MIN(3,('3a Raw'!D263-$D3)/$D4)))</f>
        <v/>
      </c>
      <c r="E263" s="3">
        <f>IF(D263="","",(D263-AVERAGE(D6:D1198))/(STDEV(D6:D1198)+1E-12))</f>
        <v/>
      </c>
      <c r="F263" s="3">
        <f>IF('3a Raw'!E263="","",MAX(-3,MIN(3,('3a Raw'!E263-$F3)/$F4)))</f>
        <v/>
      </c>
      <c r="G263" s="3">
        <f>IF(F263="","",(F263-AVERAGE(F6:F1198))/(STDEV(F6:F1198)+1E-12))</f>
        <v/>
      </c>
      <c r="H263" s="3">
        <f>IF('3a Raw'!F263="","",MAX(-3,MIN(3,('3a Raw'!F263-$H3)/$H4)))</f>
        <v/>
      </c>
      <c r="I263" s="3">
        <f>IF(H263="","",(H263-AVERAGE(H6:H1198))/(STDEV(H6:H1198)+1E-12))</f>
        <v/>
      </c>
      <c r="J263" s="3">
        <f>IF('3a Raw'!G263="","",MAX(-3,MIN(3,('3a Raw'!G263-$J3)/$J4)))</f>
        <v/>
      </c>
      <c r="K263" s="3">
        <f>IF(J263="","",(J263-AVERAGE(J6:J1198))/(STDEV(J6:J1198)+1E-12))</f>
        <v/>
      </c>
      <c r="L263" s="3">
        <f>IF('3a Raw'!H263="","",MAX(-3,MIN(3,('3a Raw'!H263-$L3)/$L4)))</f>
        <v/>
      </c>
      <c r="M263" s="3">
        <f>IF(L263="","",(L263-AVERAGE(L6:L1198))/(STDEV(L6:L1198)+1E-12))</f>
        <v/>
      </c>
      <c r="N263" s="3">
        <f>IF('3a Raw'!I263="","",MAX(-3,MIN(3,('3a Raw'!I263-$N3)/$N4)))</f>
        <v/>
      </c>
      <c r="O263" s="3">
        <f>IF(N263="","",(N263-AVERAGE(N6:N1198))/(STDEV(N6:N1198)+1E-12))</f>
        <v/>
      </c>
      <c r="P263" s="3">
        <f>IF('3a Raw'!J263="","",MAX(-3,MIN(3,('3a Raw'!J263-$P3)/$P4)))</f>
        <v/>
      </c>
      <c r="Q263" s="3">
        <f>IF(P263="","",(P263-AVERAGE(P6:P1198))/(STDEV(P6:P1198)+1E-12))</f>
        <v/>
      </c>
      <c r="R263" s="3">
        <f>IF('3a Raw'!K263="","",MAX(-3,MIN(3,('3a Raw'!K263-$R3)/$R4)))</f>
        <v/>
      </c>
      <c r="S263" s="3">
        <f>IF(R263="","",(R263-AVERAGE(R6:R1198))/(STDEV(R6:R1198)+1E-12))</f>
        <v/>
      </c>
      <c r="T263" s="3">
        <f>IF('3a Raw'!L263="","",MAX(-3,MIN(3,('3a Raw'!L263-$T3)/$T4)))</f>
        <v/>
      </c>
      <c r="U263" s="3">
        <f>IF(T263="","",(T263-AVERAGE(T6:T1198))/(STDEV(T6:T1198)+1E-12))</f>
        <v/>
      </c>
      <c r="X263" s="3">
        <f>IF(U263="","",U263-($V$3*G263+$W$3))</f>
        <v/>
      </c>
      <c r="Y263" s="3">
        <f>IF(X263="","",MAX(-3,MIN(3,(X263-$X3)/$X4)))</f>
        <v/>
      </c>
      <c r="Z263" s="3">
        <f>IF(Y263="","",(Y263-AVERAGE(Y6:Y1198))/(STDEV(Y6:Y1198)+1E-12))</f>
        <v/>
      </c>
    </row>
    <row r="264">
      <c r="A264" t="inlineStr">
        <is>
          <t>BBG000G4GKH3</t>
        </is>
      </c>
      <c r="B264" s="3">
        <f>IF('3a Raw'!C264="","",MAX(-3,MIN(3,('3a Raw'!C264-$B3)/$B4)))</f>
        <v/>
      </c>
      <c r="C264" s="3">
        <f>IF(B264="","",(B264-AVERAGE(B6:B1198))/(STDEV(B6:B1198)+1E-12))</f>
        <v/>
      </c>
      <c r="D264" s="3">
        <f>IF('3a Raw'!D264="","",MAX(-3,MIN(3,('3a Raw'!D264-$D3)/$D4)))</f>
        <v/>
      </c>
      <c r="E264" s="3">
        <f>IF(D264="","",(D264-AVERAGE(D6:D1198))/(STDEV(D6:D1198)+1E-12))</f>
        <v/>
      </c>
      <c r="F264" s="3">
        <f>IF('3a Raw'!E264="","",MAX(-3,MIN(3,('3a Raw'!E264-$F3)/$F4)))</f>
        <v/>
      </c>
      <c r="G264" s="3">
        <f>IF(F264="","",(F264-AVERAGE(F6:F1198))/(STDEV(F6:F1198)+1E-12))</f>
        <v/>
      </c>
      <c r="H264" s="3">
        <f>IF('3a Raw'!F264="","",MAX(-3,MIN(3,('3a Raw'!F264-$H3)/$H4)))</f>
        <v/>
      </c>
      <c r="I264" s="3">
        <f>IF(H264="","",(H264-AVERAGE(H6:H1198))/(STDEV(H6:H1198)+1E-12))</f>
        <v/>
      </c>
      <c r="J264" s="3">
        <f>IF('3a Raw'!G264="","",MAX(-3,MIN(3,('3a Raw'!G264-$J3)/$J4)))</f>
        <v/>
      </c>
      <c r="K264" s="3">
        <f>IF(J264="","",(J264-AVERAGE(J6:J1198))/(STDEV(J6:J1198)+1E-12))</f>
        <v/>
      </c>
      <c r="L264" s="3">
        <f>IF('3a Raw'!H264="","",MAX(-3,MIN(3,('3a Raw'!H264-$L3)/$L4)))</f>
        <v/>
      </c>
      <c r="M264" s="3">
        <f>IF(L264="","",(L264-AVERAGE(L6:L1198))/(STDEV(L6:L1198)+1E-12))</f>
        <v/>
      </c>
      <c r="N264" s="3">
        <f>IF('3a Raw'!I264="","",MAX(-3,MIN(3,('3a Raw'!I264-$N3)/$N4)))</f>
        <v/>
      </c>
      <c r="O264" s="3">
        <f>IF(N264="","",(N264-AVERAGE(N6:N1198))/(STDEV(N6:N1198)+1E-12))</f>
        <v/>
      </c>
      <c r="P264" s="3">
        <f>IF('3a Raw'!J264="","",MAX(-3,MIN(3,('3a Raw'!J264-$P3)/$P4)))</f>
        <v/>
      </c>
      <c r="Q264" s="3">
        <f>IF(P264="","",(P264-AVERAGE(P6:P1198))/(STDEV(P6:P1198)+1E-12))</f>
        <v/>
      </c>
      <c r="R264" s="3">
        <f>IF('3a Raw'!K264="","",MAX(-3,MIN(3,('3a Raw'!K264-$R3)/$R4)))</f>
        <v/>
      </c>
      <c r="S264" s="3">
        <f>IF(R264="","",(R264-AVERAGE(R6:R1198))/(STDEV(R6:R1198)+1E-12))</f>
        <v/>
      </c>
      <c r="T264" s="3">
        <f>IF('3a Raw'!L264="","",MAX(-3,MIN(3,('3a Raw'!L264-$T3)/$T4)))</f>
        <v/>
      </c>
      <c r="U264" s="3">
        <f>IF(T264="","",(T264-AVERAGE(T6:T1198))/(STDEV(T6:T1198)+1E-12))</f>
        <v/>
      </c>
      <c r="X264" s="3">
        <f>IF(U264="","",U264-($V$3*G264+$W$3))</f>
        <v/>
      </c>
      <c r="Y264" s="3">
        <f>IF(X264="","",MAX(-3,MIN(3,(X264-$X3)/$X4)))</f>
        <v/>
      </c>
      <c r="Z264" s="3">
        <f>IF(Y264="","",(Y264-AVERAGE(Y6:Y1198))/(STDEV(Y6:Y1198)+1E-12))</f>
        <v/>
      </c>
    </row>
    <row r="265">
      <c r="A265" t="inlineStr">
        <is>
          <t>BBG00XMJRPQ8</t>
        </is>
      </c>
      <c r="B265" s="3">
        <f>IF('3a Raw'!C265="","",MAX(-3,MIN(3,('3a Raw'!C265-$B3)/$B4)))</f>
        <v/>
      </c>
      <c r="C265" s="3">
        <f>IF(B265="","",(B265-AVERAGE(B6:B1198))/(STDEV(B6:B1198)+1E-12))</f>
        <v/>
      </c>
      <c r="D265" s="3">
        <f>IF('3a Raw'!D265="","",MAX(-3,MIN(3,('3a Raw'!D265-$D3)/$D4)))</f>
        <v/>
      </c>
      <c r="E265" s="3">
        <f>IF(D265="","",(D265-AVERAGE(D6:D1198))/(STDEV(D6:D1198)+1E-12))</f>
        <v/>
      </c>
      <c r="F265" s="3">
        <f>IF('3a Raw'!E265="","",MAX(-3,MIN(3,('3a Raw'!E265-$F3)/$F4)))</f>
        <v/>
      </c>
      <c r="G265" s="3">
        <f>IF(F265="","",(F265-AVERAGE(F6:F1198))/(STDEV(F6:F1198)+1E-12))</f>
        <v/>
      </c>
      <c r="H265" s="3">
        <f>IF('3a Raw'!F265="","",MAX(-3,MIN(3,('3a Raw'!F265-$H3)/$H4)))</f>
        <v/>
      </c>
      <c r="I265" s="3">
        <f>IF(H265="","",(H265-AVERAGE(H6:H1198))/(STDEV(H6:H1198)+1E-12))</f>
        <v/>
      </c>
      <c r="J265" s="3">
        <f>IF('3a Raw'!G265="","",MAX(-3,MIN(3,('3a Raw'!G265-$J3)/$J4)))</f>
        <v/>
      </c>
      <c r="K265" s="3">
        <f>IF(J265="","",(J265-AVERAGE(J6:J1198))/(STDEV(J6:J1198)+1E-12))</f>
        <v/>
      </c>
      <c r="L265" s="3">
        <f>IF('3a Raw'!H265="","",MAX(-3,MIN(3,('3a Raw'!H265-$L3)/$L4)))</f>
        <v/>
      </c>
      <c r="M265" s="3">
        <f>IF(L265="","",(L265-AVERAGE(L6:L1198))/(STDEV(L6:L1198)+1E-12))</f>
        <v/>
      </c>
      <c r="N265" s="3">
        <f>IF('3a Raw'!I265="","",MAX(-3,MIN(3,('3a Raw'!I265-$N3)/$N4)))</f>
        <v/>
      </c>
      <c r="O265" s="3">
        <f>IF(N265="","",(N265-AVERAGE(N6:N1198))/(STDEV(N6:N1198)+1E-12))</f>
        <v/>
      </c>
      <c r="P265" s="3">
        <f>IF('3a Raw'!J265="","",MAX(-3,MIN(3,('3a Raw'!J265-$P3)/$P4)))</f>
        <v/>
      </c>
      <c r="Q265" s="3">
        <f>IF(P265="","",(P265-AVERAGE(P6:P1198))/(STDEV(P6:P1198)+1E-12))</f>
        <v/>
      </c>
      <c r="R265" s="3">
        <f>IF('3a Raw'!K265="","",MAX(-3,MIN(3,('3a Raw'!K265-$R3)/$R4)))</f>
        <v/>
      </c>
      <c r="S265" s="3">
        <f>IF(R265="","",(R265-AVERAGE(R6:R1198))/(STDEV(R6:R1198)+1E-12))</f>
        <v/>
      </c>
      <c r="T265" s="3">
        <f>IF('3a Raw'!L265="","",MAX(-3,MIN(3,('3a Raw'!L265-$T3)/$T4)))</f>
        <v/>
      </c>
      <c r="U265" s="3">
        <f>IF(T265="","",(T265-AVERAGE(T6:T1198))/(STDEV(T6:T1198)+1E-12))</f>
        <v/>
      </c>
      <c r="X265" s="3">
        <f>IF(U265="","",U265-($V$3*G265+$W$3))</f>
        <v/>
      </c>
      <c r="Y265" s="3">
        <f>IF(X265="","",MAX(-3,MIN(3,(X265-$X3)/$X4)))</f>
        <v/>
      </c>
      <c r="Z265" s="3">
        <f>IF(Y265="","",(Y265-AVERAGE(Y6:Y1198))/(STDEV(Y6:Y1198)+1E-12))</f>
        <v/>
      </c>
    </row>
    <row r="266">
      <c r="A266" t="inlineStr">
        <is>
          <t>BBG000BM9RH1</t>
        </is>
      </c>
      <c r="B266" s="3">
        <f>IF('3a Raw'!C266="","",MAX(-3,MIN(3,('3a Raw'!C266-$B3)/$B4)))</f>
        <v/>
      </c>
      <c r="C266" s="3">
        <f>IF(B266="","",(B266-AVERAGE(B6:B1198))/(STDEV(B6:B1198)+1E-12))</f>
        <v/>
      </c>
      <c r="D266" s="3">
        <f>IF('3a Raw'!D266="","",MAX(-3,MIN(3,('3a Raw'!D266-$D3)/$D4)))</f>
        <v/>
      </c>
      <c r="E266" s="3">
        <f>IF(D266="","",(D266-AVERAGE(D6:D1198))/(STDEV(D6:D1198)+1E-12))</f>
        <v/>
      </c>
      <c r="F266" s="3">
        <f>IF('3a Raw'!E266="","",MAX(-3,MIN(3,('3a Raw'!E266-$F3)/$F4)))</f>
        <v/>
      </c>
      <c r="G266" s="3">
        <f>IF(F266="","",(F266-AVERAGE(F6:F1198))/(STDEV(F6:F1198)+1E-12))</f>
        <v/>
      </c>
      <c r="H266" s="3">
        <f>IF('3a Raw'!F266="","",MAX(-3,MIN(3,('3a Raw'!F266-$H3)/$H4)))</f>
        <v/>
      </c>
      <c r="I266" s="3">
        <f>IF(H266="","",(H266-AVERAGE(H6:H1198))/(STDEV(H6:H1198)+1E-12))</f>
        <v/>
      </c>
      <c r="J266" s="3">
        <f>IF('3a Raw'!G266="","",MAX(-3,MIN(3,('3a Raw'!G266-$J3)/$J4)))</f>
        <v/>
      </c>
      <c r="K266" s="3">
        <f>IF(J266="","",(J266-AVERAGE(J6:J1198))/(STDEV(J6:J1198)+1E-12))</f>
        <v/>
      </c>
      <c r="L266" s="3">
        <f>IF('3a Raw'!H266="","",MAX(-3,MIN(3,('3a Raw'!H266-$L3)/$L4)))</f>
        <v/>
      </c>
      <c r="M266" s="3">
        <f>IF(L266="","",(L266-AVERAGE(L6:L1198))/(STDEV(L6:L1198)+1E-12))</f>
        <v/>
      </c>
      <c r="N266" s="3">
        <f>IF('3a Raw'!I266="","",MAX(-3,MIN(3,('3a Raw'!I266-$N3)/$N4)))</f>
        <v/>
      </c>
      <c r="O266" s="3">
        <f>IF(N266="","",(N266-AVERAGE(N6:N1198))/(STDEV(N6:N1198)+1E-12))</f>
        <v/>
      </c>
      <c r="P266" s="3">
        <f>IF('3a Raw'!J266="","",MAX(-3,MIN(3,('3a Raw'!J266-$P3)/$P4)))</f>
        <v/>
      </c>
      <c r="Q266" s="3">
        <f>IF(P266="","",(P266-AVERAGE(P6:P1198))/(STDEV(P6:P1198)+1E-12))</f>
        <v/>
      </c>
      <c r="R266" s="3">
        <f>IF('3a Raw'!K266="","",MAX(-3,MIN(3,('3a Raw'!K266-$R3)/$R4)))</f>
        <v/>
      </c>
      <c r="S266" s="3">
        <f>IF(R266="","",(R266-AVERAGE(R6:R1198))/(STDEV(R6:R1198)+1E-12))</f>
        <v/>
      </c>
      <c r="T266" s="3">
        <f>IF('3a Raw'!L266="","",MAX(-3,MIN(3,('3a Raw'!L266-$T3)/$T4)))</f>
        <v/>
      </c>
      <c r="U266" s="3">
        <f>IF(T266="","",(T266-AVERAGE(T6:T1198))/(STDEV(T6:T1198)+1E-12))</f>
        <v/>
      </c>
      <c r="X266" s="3">
        <f>IF(U266="","",U266-($V$3*G266+$W$3))</f>
        <v/>
      </c>
      <c r="Y266" s="3">
        <f>IF(X266="","",MAX(-3,MIN(3,(X266-$X3)/$X4)))</f>
        <v/>
      </c>
      <c r="Z266" s="3">
        <f>IF(Y266="","",(Y266-AVERAGE(Y6:Y1198))/(STDEV(Y6:Y1198)+1E-12))</f>
        <v/>
      </c>
    </row>
    <row r="267">
      <c r="A267" t="inlineStr">
        <is>
          <t>cpt</t>
        </is>
      </c>
      <c r="B267" s="3">
        <f>IF('3a Raw'!C267="","",MAX(-3,MIN(3,('3a Raw'!C267-$B3)/$B4)))</f>
        <v/>
      </c>
      <c r="C267" s="3">
        <f>IF(B267="","",(B267-AVERAGE(B6:B1198))/(STDEV(B6:B1198)+1E-12))</f>
        <v/>
      </c>
      <c r="D267" s="3">
        <f>IF('3a Raw'!D267="","",MAX(-3,MIN(3,('3a Raw'!D267-$D3)/$D4)))</f>
        <v/>
      </c>
      <c r="E267" s="3">
        <f>IF(D267="","",(D267-AVERAGE(D6:D1198))/(STDEV(D6:D1198)+1E-12))</f>
        <v/>
      </c>
      <c r="F267" s="3">
        <f>IF('3a Raw'!E267="","",MAX(-3,MIN(3,('3a Raw'!E267-$F3)/$F4)))</f>
        <v/>
      </c>
      <c r="G267" s="3">
        <f>IF(F267="","",(F267-AVERAGE(F6:F1198))/(STDEV(F6:F1198)+1E-12))</f>
        <v/>
      </c>
      <c r="H267" s="3">
        <f>IF('3a Raw'!F267="","",MAX(-3,MIN(3,('3a Raw'!F267-$H3)/$H4)))</f>
        <v/>
      </c>
      <c r="I267" s="3">
        <f>IF(H267="","",(H267-AVERAGE(H6:H1198))/(STDEV(H6:H1198)+1E-12))</f>
        <v/>
      </c>
      <c r="J267" s="3">
        <f>IF('3a Raw'!G267="","",MAX(-3,MIN(3,('3a Raw'!G267-$J3)/$J4)))</f>
        <v/>
      </c>
      <c r="K267" s="3">
        <f>IF(J267="","",(J267-AVERAGE(J6:J1198))/(STDEV(J6:J1198)+1E-12))</f>
        <v/>
      </c>
      <c r="L267" s="3">
        <f>IF('3a Raw'!H267="","",MAX(-3,MIN(3,('3a Raw'!H267-$L3)/$L4)))</f>
        <v/>
      </c>
      <c r="M267" s="3">
        <f>IF(L267="","",(L267-AVERAGE(L6:L1198))/(STDEV(L6:L1198)+1E-12))</f>
        <v/>
      </c>
      <c r="N267" s="3">
        <f>IF('3a Raw'!I267="","",MAX(-3,MIN(3,('3a Raw'!I267-$N3)/$N4)))</f>
        <v/>
      </c>
      <c r="O267" s="3">
        <f>IF(N267="","",(N267-AVERAGE(N6:N1198))/(STDEV(N6:N1198)+1E-12))</f>
        <v/>
      </c>
      <c r="P267" s="3">
        <f>IF('3a Raw'!J267="","",MAX(-3,MIN(3,('3a Raw'!J267-$P3)/$P4)))</f>
        <v/>
      </c>
      <c r="Q267" s="3">
        <f>IF(P267="","",(P267-AVERAGE(P6:P1198))/(STDEV(P6:P1198)+1E-12))</f>
        <v/>
      </c>
      <c r="R267" s="3">
        <f>IF('3a Raw'!K267="","",MAX(-3,MIN(3,('3a Raw'!K267-$R3)/$R4)))</f>
        <v/>
      </c>
      <c r="S267" s="3">
        <f>IF(R267="","",(R267-AVERAGE(R6:R1198))/(STDEV(R6:R1198)+1E-12))</f>
        <v/>
      </c>
      <c r="T267" s="3">
        <f>IF('3a Raw'!L267="","",MAX(-3,MIN(3,('3a Raw'!L267-$T3)/$T4)))</f>
        <v/>
      </c>
      <c r="U267" s="3">
        <f>IF(T267="","",(T267-AVERAGE(T6:T1198))/(STDEV(T6:T1198)+1E-12))</f>
        <v/>
      </c>
      <c r="X267" s="3">
        <f>IF(U267="","",U267-($V$3*G267+$W$3))</f>
        <v/>
      </c>
      <c r="Y267" s="3">
        <f>IF(X267="","",MAX(-3,MIN(3,(X267-$X3)/$X4)))</f>
        <v/>
      </c>
      <c r="Z267" s="3">
        <f>IF(Y267="","",(Y267-AVERAGE(Y6:Y1198))/(STDEV(Y6:Y1198)+1E-12))</f>
        <v/>
      </c>
    </row>
    <row r="268">
      <c r="A268" t="inlineStr">
        <is>
          <t>BBG016HJ8729</t>
        </is>
      </c>
      <c r="B268" s="3">
        <f>IF('3a Raw'!C268="","",MAX(-3,MIN(3,('3a Raw'!C268-$B3)/$B4)))</f>
        <v/>
      </c>
      <c r="C268" s="3">
        <f>IF(B268="","",(B268-AVERAGE(B6:B1198))/(STDEV(B6:B1198)+1E-12))</f>
        <v/>
      </c>
      <c r="D268" s="3">
        <f>IF('3a Raw'!D268="","",MAX(-3,MIN(3,('3a Raw'!D268-$D3)/$D4)))</f>
        <v/>
      </c>
      <c r="E268" s="3">
        <f>IF(D268="","",(D268-AVERAGE(D6:D1198))/(STDEV(D6:D1198)+1E-12))</f>
        <v/>
      </c>
      <c r="F268" s="3">
        <f>IF('3a Raw'!E268="","",MAX(-3,MIN(3,('3a Raw'!E268-$F3)/$F4)))</f>
        <v/>
      </c>
      <c r="G268" s="3">
        <f>IF(F268="","",(F268-AVERAGE(F6:F1198))/(STDEV(F6:F1198)+1E-12))</f>
        <v/>
      </c>
      <c r="H268" s="3">
        <f>IF('3a Raw'!F268="","",MAX(-3,MIN(3,('3a Raw'!F268-$H3)/$H4)))</f>
        <v/>
      </c>
      <c r="I268" s="3">
        <f>IF(H268="","",(H268-AVERAGE(H6:H1198))/(STDEV(H6:H1198)+1E-12))</f>
        <v/>
      </c>
      <c r="J268" s="3">
        <f>IF('3a Raw'!G268="","",MAX(-3,MIN(3,('3a Raw'!G268-$J3)/$J4)))</f>
        <v/>
      </c>
      <c r="K268" s="3">
        <f>IF(J268="","",(J268-AVERAGE(J6:J1198))/(STDEV(J6:J1198)+1E-12))</f>
        <v/>
      </c>
      <c r="L268" s="3">
        <f>IF('3a Raw'!H268="","",MAX(-3,MIN(3,('3a Raw'!H268-$L3)/$L4)))</f>
        <v/>
      </c>
      <c r="M268" s="3">
        <f>IF(L268="","",(L268-AVERAGE(L6:L1198))/(STDEV(L6:L1198)+1E-12))</f>
        <v/>
      </c>
      <c r="N268" s="3">
        <f>IF('3a Raw'!I268="","",MAX(-3,MIN(3,('3a Raw'!I268-$N3)/$N4)))</f>
        <v/>
      </c>
      <c r="O268" s="3">
        <f>IF(N268="","",(N268-AVERAGE(N6:N1198))/(STDEV(N6:N1198)+1E-12))</f>
        <v/>
      </c>
      <c r="P268" s="3">
        <f>IF('3a Raw'!J268="","",MAX(-3,MIN(3,('3a Raw'!J268-$P3)/$P4)))</f>
        <v/>
      </c>
      <c r="Q268" s="3">
        <f>IF(P268="","",(P268-AVERAGE(P6:P1198))/(STDEV(P6:P1198)+1E-12))</f>
        <v/>
      </c>
      <c r="R268" s="3">
        <f>IF('3a Raw'!K268="","",MAX(-3,MIN(3,('3a Raw'!K268-$R3)/$R4)))</f>
        <v/>
      </c>
      <c r="S268" s="3">
        <f>IF(R268="","",(R268-AVERAGE(R6:R1198))/(STDEV(R6:R1198)+1E-12))</f>
        <v/>
      </c>
      <c r="T268" s="3">
        <f>IF('3a Raw'!L268="","",MAX(-3,MIN(3,('3a Raw'!L268-$T3)/$T4)))</f>
        <v/>
      </c>
      <c r="U268" s="3">
        <f>IF(T268="","",(T268-AVERAGE(T6:T1198))/(STDEV(T6:T1198)+1E-12))</f>
        <v/>
      </c>
      <c r="X268" s="3">
        <f>IF(U268="","",U268-($V$3*G268+$W$3))</f>
        <v/>
      </c>
      <c r="Y268" s="3">
        <f>IF(X268="","",MAX(-3,MIN(3,(X268-$X3)/$X4)))</f>
        <v/>
      </c>
      <c r="Z268" s="3">
        <f>IF(Y268="","",(Y268-AVERAGE(Y6:Y1198))/(STDEV(Y6:Y1198)+1E-12))</f>
        <v/>
      </c>
    </row>
    <row r="269">
      <c r="A269" t="inlineStr">
        <is>
          <t>BBG01T61V2V3</t>
        </is>
      </c>
      <c r="B269" s="3">
        <f>IF('3a Raw'!C269="","",MAX(-3,MIN(3,('3a Raw'!C269-$B3)/$B4)))</f>
        <v/>
      </c>
      <c r="C269" s="3">
        <f>IF(B269="","",(B269-AVERAGE(B6:B1198))/(STDEV(B6:B1198)+1E-12))</f>
        <v/>
      </c>
      <c r="D269" s="3">
        <f>IF('3a Raw'!D269="","",MAX(-3,MIN(3,('3a Raw'!D269-$D3)/$D4)))</f>
        <v/>
      </c>
      <c r="E269" s="3">
        <f>IF(D269="","",(D269-AVERAGE(D6:D1198))/(STDEV(D6:D1198)+1E-12))</f>
        <v/>
      </c>
      <c r="F269" s="3">
        <f>IF('3a Raw'!E269="","",MAX(-3,MIN(3,('3a Raw'!E269-$F3)/$F4)))</f>
        <v/>
      </c>
      <c r="G269" s="3">
        <f>IF(F269="","",(F269-AVERAGE(F6:F1198))/(STDEV(F6:F1198)+1E-12))</f>
        <v/>
      </c>
      <c r="H269" s="3">
        <f>IF('3a Raw'!F269="","",MAX(-3,MIN(3,('3a Raw'!F269-$H3)/$H4)))</f>
        <v/>
      </c>
      <c r="I269" s="3">
        <f>IF(H269="","",(H269-AVERAGE(H6:H1198))/(STDEV(H6:H1198)+1E-12))</f>
        <v/>
      </c>
      <c r="J269" s="3">
        <f>IF('3a Raw'!G269="","",MAX(-3,MIN(3,('3a Raw'!G269-$J3)/$J4)))</f>
        <v/>
      </c>
      <c r="K269" s="3">
        <f>IF(J269="","",(J269-AVERAGE(J6:J1198))/(STDEV(J6:J1198)+1E-12))</f>
        <v/>
      </c>
      <c r="L269" s="3">
        <f>IF('3a Raw'!H269="","",MAX(-3,MIN(3,('3a Raw'!H269-$L3)/$L4)))</f>
        <v/>
      </c>
      <c r="M269" s="3">
        <f>IF(L269="","",(L269-AVERAGE(L6:L1198))/(STDEV(L6:L1198)+1E-12))</f>
        <v/>
      </c>
      <c r="N269" s="3">
        <f>IF('3a Raw'!I269="","",MAX(-3,MIN(3,('3a Raw'!I269-$N3)/$N4)))</f>
        <v/>
      </c>
      <c r="O269" s="3">
        <f>IF(N269="","",(N269-AVERAGE(N6:N1198))/(STDEV(N6:N1198)+1E-12))</f>
        <v/>
      </c>
      <c r="P269" s="3">
        <f>IF('3a Raw'!J269="","",MAX(-3,MIN(3,('3a Raw'!J269-$P3)/$P4)))</f>
        <v/>
      </c>
      <c r="Q269" s="3">
        <f>IF(P269="","",(P269-AVERAGE(P6:P1198))/(STDEV(P6:P1198)+1E-12))</f>
        <v/>
      </c>
      <c r="R269" s="3">
        <f>IF('3a Raw'!K269="","",MAX(-3,MIN(3,('3a Raw'!K269-$R3)/$R4)))</f>
        <v/>
      </c>
      <c r="S269" s="3">
        <f>IF(R269="","",(R269-AVERAGE(R6:R1198))/(STDEV(R6:R1198)+1E-12))</f>
        <v/>
      </c>
      <c r="T269" s="3">
        <f>IF('3a Raw'!L269="","",MAX(-3,MIN(3,('3a Raw'!L269-$T3)/$T4)))</f>
        <v/>
      </c>
      <c r="U269" s="3">
        <f>IF(T269="","",(T269-AVERAGE(T6:T1198))/(STDEV(T6:T1198)+1E-12))</f>
        <v/>
      </c>
      <c r="X269" s="3">
        <f>IF(U269="","",U269-($V$3*G269+$W$3))</f>
        <v/>
      </c>
      <c r="Y269" s="3">
        <f>IF(X269="","",MAX(-3,MIN(3,(X269-$X3)/$X4)))</f>
        <v/>
      </c>
      <c r="Z269" s="3">
        <f>IF(Y269="","",(Y269-AVERAGE(Y6:Y1198))/(STDEV(Y6:Y1198)+1E-12))</f>
        <v/>
      </c>
    </row>
    <row r="270">
      <c r="A270" t="inlineStr">
        <is>
          <t>BBG013THLHZ4</t>
        </is>
      </c>
      <c r="B270" s="3">
        <f>IF('3a Raw'!C270="","",MAX(-3,MIN(3,('3a Raw'!C270-$B3)/$B4)))</f>
        <v/>
      </c>
      <c r="C270" s="3">
        <f>IF(B270="","",(B270-AVERAGE(B6:B1198))/(STDEV(B6:B1198)+1E-12))</f>
        <v/>
      </c>
      <c r="D270" s="3">
        <f>IF('3a Raw'!D270="","",MAX(-3,MIN(3,('3a Raw'!D270-$D3)/$D4)))</f>
        <v/>
      </c>
      <c r="E270" s="3">
        <f>IF(D270="","",(D270-AVERAGE(D6:D1198))/(STDEV(D6:D1198)+1E-12))</f>
        <v/>
      </c>
      <c r="F270" s="3">
        <f>IF('3a Raw'!E270="","",MAX(-3,MIN(3,('3a Raw'!E270-$F3)/$F4)))</f>
        <v/>
      </c>
      <c r="G270" s="3">
        <f>IF(F270="","",(F270-AVERAGE(F6:F1198))/(STDEV(F6:F1198)+1E-12))</f>
        <v/>
      </c>
      <c r="H270" s="3">
        <f>IF('3a Raw'!F270="","",MAX(-3,MIN(3,('3a Raw'!F270-$H3)/$H4)))</f>
        <v/>
      </c>
      <c r="I270" s="3">
        <f>IF(H270="","",(H270-AVERAGE(H6:H1198))/(STDEV(H6:H1198)+1E-12))</f>
        <v/>
      </c>
      <c r="J270" s="3">
        <f>IF('3a Raw'!G270="","",MAX(-3,MIN(3,('3a Raw'!G270-$J3)/$J4)))</f>
        <v/>
      </c>
      <c r="K270" s="3">
        <f>IF(J270="","",(J270-AVERAGE(J6:J1198))/(STDEV(J6:J1198)+1E-12))</f>
        <v/>
      </c>
      <c r="L270" s="3">
        <f>IF('3a Raw'!H270="","",MAX(-3,MIN(3,('3a Raw'!H270-$L3)/$L4)))</f>
        <v/>
      </c>
      <c r="M270" s="3">
        <f>IF(L270="","",(L270-AVERAGE(L6:L1198))/(STDEV(L6:L1198)+1E-12))</f>
        <v/>
      </c>
      <c r="N270" s="3">
        <f>IF('3a Raw'!I270="","",MAX(-3,MIN(3,('3a Raw'!I270-$N3)/$N4)))</f>
        <v/>
      </c>
      <c r="O270" s="3">
        <f>IF(N270="","",(N270-AVERAGE(N6:N1198))/(STDEV(N6:N1198)+1E-12))</f>
        <v/>
      </c>
      <c r="P270" s="3">
        <f>IF('3a Raw'!J270="","",MAX(-3,MIN(3,('3a Raw'!J270-$P3)/$P4)))</f>
        <v/>
      </c>
      <c r="Q270" s="3">
        <f>IF(P270="","",(P270-AVERAGE(P6:P1198))/(STDEV(P6:P1198)+1E-12))</f>
        <v/>
      </c>
      <c r="R270" s="3">
        <f>IF('3a Raw'!K270="","",MAX(-3,MIN(3,('3a Raw'!K270-$R3)/$R4)))</f>
        <v/>
      </c>
      <c r="S270" s="3">
        <f>IF(R270="","",(R270-AVERAGE(R6:R1198))/(STDEV(R6:R1198)+1E-12))</f>
        <v/>
      </c>
      <c r="T270" s="3">
        <f>IF('3a Raw'!L270="","",MAX(-3,MIN(3,('3a Raw'!L270-$T3)/$T4)))</f>
        <v/>
      </c>
      <c r="U270" s="3">
        <f>IF(T270="","",(T270-AVERAGE(T6:T1198))/(STDEV(T6:T1198)+1E-12))</f>
        <v/>
      </c>
      <c r="X270" s="3">
        <f>IF(U270="","",U270-($V$3*G270+$W$3))</f>
        <v/>
      </c>
      <c r="Y270" s="3">
        <f>IF(X270="","",MAX(-3,MIN(3,(X270-$X3)/$X4)))</f>
        <v/>
      </c>
      <c r="Z270" s="3">
        <f>IF(Y270="","",(Y270-AVERAGE(Y6:Y1198))/(STDEV(Y6:Y1198)+1E-12))</f>
        <v/>
      </c>
    </row>
    <row r="271">
      <c r="A271" t="inlineStr">
        <is>
          <t>crh</t>
        </is>
      </c>
      <c r="B271" s="3">
        <f>IF('3a Raw'!C271="","",MAX(-3,MIN(3,('3a Raw'!C271-$B3)/$B4)))</f>
        <v/>
      </c>
      <c r="C271" s="3">
        <f>IF(B271="","",(B271-AVERAGE(B6:B1198))/(STDEV(B6:B1198)+1E-12))</f>
        <v/>
      </c>
      <c r="D271" s="3">
        <f>IF('3a Raw'!D271="","",MAX(-3,MIN(3,('3a Raw'!D271-$D3)/$D4)))</f>
        <v/>
      </c>
      <c r="E271" s="3">
        <f>IF(D271="","",(D271-AVERAGE(D6:D1198))/(STDEV(D6:D1198)+1E-12))</f>
        <v/>
      </c>
      <c r="F271" s="3">
        <f>IF('3a Raw'!E271="","",MAX(-3,MIN(3,('3a Raw'!E271-$F3)/$F4)))</f>
        <v/>
      </c>
      <c r="G271" s="3">
        <f>IF(F271="","",(F271-AVERAGE(F6:F1198))/(STDEV(F6:F1198)+1E-12))</f>
        <v/>
      </c>
      <c r="H271" s="3">
        <f>IF('3a Raw'!F271="","",MAX(-3,MIN(3,('3a Raw'!F271-$H3)/$H4)))</f>
        <v/>
      </c>
      <c r="I271" s="3">
        <f>IF(H271="","",(H271-AVERAGE(H6:H1198))/(STDEV(H6:H1198)+1E-12))</f>
        <v/>
      </c>
      <c r="J271" s="3">
        <f>IF('3a Raw'!G271="","",MAX(-3,MIN(3,('3a Raw'!G271-$J3)/$J4)))</f>
        <v/>
      </c>
      <c r="K271" s="3">
        <f>IF(J271="","",(J271-AVERAGE(J6:J1198))/(STDEV(J6:J1198)+1E-12))</f>
        <v/>
      </c>
      <c r="L271" s="3">
        <f>IF('3a Raw'!H271="","",MAX(-3,MIN(3,('3a Raw'!H271-$L3)/$L4)))</f>
        <v/>
      </c>
      <c r="M271" s="3">
        <f>IF(L271="","",(L271-AVERAGE(L6:L1198))/(STDEV(L6:L1198)+1E-12))</f>
        <v/>
      </c>
      <c r="N271" s="3">
        <f>IF('3a Raw'!I271="","",MAX(-3,MIN(3,('3a Raw'!I271-$N3)/$N4)))</f>
        <v/>
      </c>
      <c r="O271" s="3">
        <f>IF(N271="","",(N271-AVERAGE(N6:N1198))/(STDEV(N6:N1198)+1E-12))</f>
        <v/>
      </c>
      <c r="P271" s="3">
        <f>IF('3a Raw'!J271="","",MAX(-3,MIN(3,('3a Raw'!J271-$P3)/$P4)))</f>
        <v/>
      </c>
      <c r="Q271" s="3">
        <f>IF(P271="","",(P271-AVERAGE(P6:P1198))/(STDEV(P6:P1198)+1E-12))</f>
        <v/>
      </c>
      <c r="R271" s="3">
        <f>IF('3a Raw'!K271="","",MAX(-3,MIN(3,('3a Raw'!K271-$R3)/$R4)))</f>
        <v/>
      </c>
      <c r="S271" s="3">
        <f>IF(R271="","",(R271-AVERAGE(R6:R1198))/(STDEV(R6:R1198)+1E-12))</f>
        <v/>
      </c>
      <c r="T271" s="3">
        <f>IF('3a Raw'!L271="","",MAX(-3,MIN(3,('3a Raw'!L271-$T3)/$T4)))</f>
        <v/>
      </c>
      <c r="U271" s="3">
        <f>IF(T271="","",(T271-AVERAGE(T6:T1198))/(STDEV(T6:T1198)+1E-12))</f>
        <v/>
      </c>
      <c r="X271" s="3">
        <f>IF(U271="","",U271-($V$3*G271+$W$3))</f>
        <v/>
      </c>
      <c r="Y271" s="3">
        <f>IF(X271="","",MAX(-3,MIN(3,(X271-$X3)/$X4)))</f>
        <v/>
      </c>
      <c r="Z271" s="3">
        <f>IF(Y271="","",(Y271-AVERAGE(Y6:Y1198))/(STDEV(Y6:Y1198)+1E-12))</f>
        <v/>
      </c>
    </row>
    <row r="272">
      <c r="A272" t="inlineStr">
        <is>
          <t>BBG000CTM4J9</t>
        </is>
      </c>
      <c r="B272" s="3">
        <f>IF('3a Raw'!C272="","",MAX(-3,MIN(3,('3a Raw'!C272-$B3)/$B4)))</f>
        <v/>
      </c>
      <c r="C272" s="3">
        <f>IF(B272="","",(B272-AVERAGE(B6:B1198))/(STDEV(B6:B1198)+1E-12))</f>
        <v/>
      </c>
      <c r="D272" s="3">
        <f>IF('3a Raw'!D272="","",MAX(-3,MIN(3,('3a Raw'!D272-$D3)/$D4)))</f>
        <v/>
      </c>
      <c r="E272" s="3">
        <f>IF(D272="","",(D272-AVERAGE(D6:D1198))/(STDEV(D6:D1198)+1E-12))</f>
        <v/>
      </c>
      <c r="F272" s="3">
        <f>IF('3a Raw'!E272="","",MAX(-3,MIN(3,('3a Raw'!E272-$F3)/$F4)))</f>
        <v/>
      </c>
      <c r="G272" s="3">
        <f>IF(F272="","",(F272-AVERAGE(F6:F1198))/(STDEV(F6:F1198)+1E-12))</f>
        <v/>
      </c>
      <c r="H272" s="3">
        <f>IF('3a Raw'!F272="","",MAX(-3,MIN(3,('3a Raw'!F272-$H3)/$H4)))</f>
        <v/>
      </c>
      <c r="I272" s="3">
        <f>IF(H272="","",(H272-AVERAGE(H6:H1198))/(STDEV(H6:H1198)+1E-12))</f>
        <v/>
      </c>
      <c r="J272" s="3">
        <f>IF('3a Raw'!G272="","",MAX(-3,MIN(3,('3a Raw'!G272-$J3)/$J4)))</f>
        <v/>
      </c>
      <c r="K272" s="3">
        <f>IF(J272="","",(J272-AVERAGE(J6:J1198))/(STDEV(J6:J1198)+1E-12))</f>
        <v/>
      </c>
      <c r="L272" s="3">
        <f>IF('3a Raw'!H272="","",MAX(-3,MIN(3,('3a Raw'!H272-$L3)/$L4)))</f>
        <v/>
      </c>
      <c r="M272" s="3">
        <f>IF(L272="","",(L272-AVERAGE(L6:L1198))/(STDEV(L6:L1198)+1E-12))</f>
        <v/>
      </c>
      <c r="N272" s="3">
        <f>IF('3a Raw'!I272="","",MAX(-3,MIN(3,('3a Raw'!I272-$N3)/$N4)))</f>
        <v/>
      </c>
      <c r="O272" s="3">
        <f>IF(N272="","",(N272-AVERAGE(N6:N1198))/(STDEV(N6:N1198)+1E-12))</f>
        <v/>
      </c>
      <c r="P272" s="3">
        <f>IF('3a Raw'!J272="","",MAX(-3,MIN(3,('3a Raw'!J272-$P3)/$P4)))</f>
        <v/>
      </c>
      <c r="Q272" s="3">
        <f>IF(P272="","",(P272-AVERAGE(P6:P1198))/(STDEV(P6:P1198)+1E-12))</f>
        <v/>
      </c>
      <c r="R272" s="3">
        <f>IF('3a Raw'!K272="","",MAX(-3,MIN(3,('3a Raw'!K272-$R3)/$R4)))</f>
        <v/>
      </c>
      <c r="S272" s="3">
        <f>IF(R272="","",(R272-AVERAGE(R6:R1198))/(STDEV(R6:R1198)+1E-12))</f>
        <v/>
      </c>
      <c r="T272" s="3">
        <f>IF('3a Raw'!L272="","",MAX(-3,MIN(3,('3a Raw'!L272-$T3)/$T4)))</f>
        <v/>
      </c>
      <c r="U272" s="3">
        <f>IF(T272="","",(T272-AVERAGE(T6:T1198))/(STDEV(T6:T1198)+1E-12))</f>
        <v/>
      </c>
      <c r="X272" s="3">
        <f>IF(U272="","",U272-($V$3*G272+$W$3))</f>
        <v/>
      </c>
      <c r="Y272" s="3">
        <f>IF(X272="","",MAX(-3,MIN(3,(X272-$X3)/$X4)))</f>
        <v/>
      </c>
      <c r="Z272" s="3">
        <f>IF(Y272="","",(Y272-AVERAGE(Y6:Y1198))/(STDEV(Y6:Y1198)+1E-12))</f>
        <v/>
      </c>
    </row>
    <row r="273">
      <c r="A273" t="inlineStr">
        <is>
          <t>BBG000BG5BL8</t>
        </is>
      </c>
      <c r="B273" s="3">
        <f>IF('3a Raw'!C273="","",MAX(-3,MIN(3,('3a Raw'!C273-$B3)/$B4)))</f>
        <v/>
      </c>
      <c r="C273" s="3">
        <f>IF(B273="","",(B273-AVERAGE(B6:B1198))/(STDEV(B6:B1198)+1E-12))</f>
        <v/>
      </c>
      <c r="D273" s="3">
        <f>IF('3a Raw'!D273="","",MAX(-3,MIN(3,('3a Raw'!D273-$D3)/$D4)))</f>
        <v/>
      </c>
      <c r="E273" s="3">
        <f>IF(D273="","",(D273-AVERAGE(D6:D1198))/(STDEV(D6:D1198)+1E-12))</f>
        <v/>
      </c>
      <c r="F273" s="3">
        <f>IF('3a Raw'!E273="","",MAX(-3,MIN(3,('3a Raw'!E273-$F3)/$F4)))</f>
        <v/>
      </c>
      <c r="G273" s="3">
        <f>IF(F273="","",(F273-AVERAGE(F6:F1198))/(STDEV(F6:F1198)+1E-12))</f>
        <v/>
      </c>
      <c r="H273" s="3">
        <f>IF('3a Raw'!F273="","",MAX(-3,MIN(3,('3a Raw'!F273-$H3)/$H4)))</f>
        <v/>
      </c>
      <c r="I273" s="3">
        <f>IF(H273="","",(H273-AVERAGE(H6:H1198))/(STDEV(H6:H1198)+1E-12))</f>
        <v/>
      </c>
      <c r="J273" s="3">
        <f>IF('3a Raw'!G273="","",MAX(-3,MIN(3,('3a Raw'!G273-$J3)/$J4)))</f>
        <v/>
      </c>
      <c r="K273" s="3">
        <f>IF(J273="","",(J273-AVERAGE(J6:J1198))/(STDEV(J6:J1198)+1E-12))</f>
        <v/>
      </c>
      <c r="L273" s="3">
        <f>IF('3a Raw'!H273="","",MAX(-3,MIN(3,('3a Raw'!H273-$L3)/$L4)))</f>
        <v/>
      </c>
      <c r="M273" s="3">
        <f>IF(L273="","",(L273-AVERAGE(L6:L1198))/(STDEV(L6:L1198)+1E-12))</f>
        <v/>
      </c>
      <c r="N273" s="3">
        <f>IF('3a Raw'!I273="","",MAX(-3,MIN(3,('3a Raw'!I273-$N3)/$N4)))</f>
        <v/>
      </c>
      <c r="O273" s="3">
        <f>IF(N273="","",(N273-AVERAGE(N6:N1198))/(STDEV(N6:N1198)+1E-12))</f>
        <v/>
      </c>
      <c r="P273" s="3">
        <f>IF('3a Raw'!J273="","",MAX(-3,MIN(3,('3a Raw'!J273-$P3)/$P4)))</f>
        <v/>
      </c>
      <c r="Q273" s="3">
        <f>IF(P273="","",(P273-AVERAGE(P6:P1198))/(STDEV(P6:P1198)+1E-12))</f>
        <v/>
      </c>
      <c r="R273" s="3">
        <f>IF('3a Raw'!K273="","",MAX(-3,MIN(3,('3a Raw'!K273-$R3)/$R4)))</f>
        <v/>
      </c>
      <c r="S273" s="3">
        <f>IF(R273="","",(R273-AVERAGE(R6:R1198))/(STDEV(R6:R1198)+1E-12))</f>
        <v/>
      </c>
      <c r="T273" s="3">
        <f>IF('3a Raw'!L273="","",MAX(-3,MIN(3,('3a Raw'!L273-$T3)/$T4)))</f>
        <v/>
      </c>
      <c r="U273" s="3">
        <f>IF(T273="","",(T273-AVERAGE(T6:T1198))/(STDEV(T6:T1198)+1E-12))</f>
        <v/>
      </c>
      <c r="X273" s="3">
        <f>IF(U273="","",U273-($V$3*G273+$W$3))</f>
        <v/>
      </c>
      <c r="Y273" s="3">
        <f>IF(X273="","",MAX(-3,MIN(3,(X273-$X3)/$X4)))</f>
        <v/>
      </c>
      <c r="Z273" s="3">
        <f>IF(Y273="","",(Y273-AVERAGE(Y6:Y1198))/(STDEV(Y6:Y1198)+1E-12))</f>
        <v/>
      </c>
    </row>
    <row r="274">
      <c r="A274" t="inlineStr">
        <is>
          <t>BBG000BN2DC2</t>
        </is>
      </c>
      <c r="B274" s="3">
        <f>IF('3a Raw'!C274="","",MAX(-3,MIN(3,('3a Raw'!C274-$B3)/$B4)))</f>
        <v/>
      </c>
      <c r="C274" s="3">
        <f>IF(B274="","",(B274-AVERAGE(B6:B1198))/(STDEV(B6:B1198)+1E-12))</f>
        <v/>
      </c>
      <c r="D274" s="3">
        <f>IF('3a Raw'!D274="","",MAX(-3,MIN(3,('3a Raw'!D274-$D3)/$D4)))</f>
        <v/>
      </c>
      <c r="E274" s="3">
        <f>IF(D274="","",(D274-AVERAGE(D6:D1198))/(STDEV(D6:D1198)+1E-12))</f>
        <v/>
      </c>
      <c r="F274" s="3">
        <f>IF('3a Raw'!E274="","",MAX(-3,MIN(3,('3a Raw'!E274-$F3)/$F4)))</f>
        <v/>
      </c>
      <c r="G274" s="3">
        <f>IF(F274="","",(F274-AVERAGE(F6:F1198))/(STDEV(F6:F1198)+1E-12))</f>
        <v/>
      </c>
      <c r="H274" s="3">
        <f>IF('3a Raw'!F274="","",MAX(-3,MIN(3,('3a Raw'!F274-$H3)/$H4)))</f>
        <v/>
      </c>
      <c r="I274" s="3">
        <f>IF(H274="","",(H274-AVERAGE(H6:H1198))/(STDEV(H6:H1198)+1E-12))</f>
        <v/>
      </c>
      <c r="J274" s="3">
        <f>IF('3a Raw'!G274="","",MAX(-3,MIN(3,('3a Raw'!G274-$J3)/$J4)))</f>
        <v/>
      </c>
      <c r="K274" s="3">
        <f>IF(J274="","",(J274-AVERAGE(J6:J1198))/(STDEV(J6:J1198)+1E-12))</f>
        <v/>
      </c>
      <c r="L274" s="3">
        <f>IF('3a Raw'!H274="","",MAX(-3,MIN(3,('3a Raw'!H274-$L3)/$L4)))</f>
        <v/>
      </c>
      <c r="M274" s="3">
        <f>IF(L274="","",(L274-AVERAGE(L6:L1198))/(STDEV(L6:L1198)+1E-12))</f>
        <v/>
      </c>
      <c r="N274" s="3">
        <f>IF('3a Raw'!I274="","",MAX(-3,MIN(3,('3a Raw'!I274-$N3)/$N4)))</f>
        <v/>
      </c>
      <c r="O274" s="3">
        <f>IF(N274="","",(N274-AVERAGE(N6:N1198))/(STDEV(N6:N1198)+1E-12))</f>
        <v/>
      </c>
      <c r="P274" s="3">
        <f>IF('3a Raw'!J274="","",MAX(-3,MIN(3,('3a Raw'!J274-$P3)/$P4)))</f>
        <v/>
      </c>
      <c r="Q274" s="3">
        <f>IF(P274="","",(P274-AVERAGE(P6:P1198))/(STDEV(P6:P1198)+1E-12))</f>
        <v/>
      </c>
      <c r="R274" s="3">
        <f>IF('3a Raw'!K274="","",MAX(-3,MIN(3,('3a Raw'!K274-$R3)/$R4)))</f>
        <v/>
      </c>
      <c r="S274" s="3">
        <f>IF(R274="","",(R274-AVERAGE(R6:R1198))/(STDEV(R6:R1198)+1E-12))</f>
        <v/>
      </c>
      <c r="T274" s="3">
        <f>IF('3a Raw'!L274="","",MAX(-3,MIN(3,('3a Raw'!L274-$T3)/$T4)))</f>
        <v/>
      </c>
      <c r="U274" s="3">
        <f>IF(T274="","",(T274-AVERAGE(T6:T1198))/(STDEV(T6:T1198)+1E-12))</f>
        <v/>
      </c>
      <c r="X274" s="3">
        <f>IF(U274="","",U274-($V$3*G274+$W$3))</f>
        <v/>
      </c>
      <c r="Y274" s="3">
        <f>IF(X274="","",MAX(-3,MIN(3,(X274-$X3)/$X4)))</f>
        <v/>
      </c>
      <c r="Z274" s="3">
        <f>IF(Y274="","",(Y274-AVERAGE(Y6:Y1198))/(STDEV(Y6:Y1198)+1E-12))</f>
        <v/>
      </c>
    </row>
    <row r="275">
      <c r="A275" t="inlineStr">
        <is>
          <t>BBG000BGCQT9</t>
        </is>
      </c>
      <c r="B275" s="3">
        <f>IF('3a Raw'!C275="","",MAX(-3,MIN(3,('3a Raw'!C275-$B3)/$B4)))</f>
        <v/>
      </c>
      <c r="C275" s="3">
        <f>IF(B275="","",(B275-AVERAGE(B6:B1198))/(STDEV(B6:B1198)+1E-12))</f>
        <v/>
      </c>
      <c r="D275" s="3">
        <f>IF('3a Raw'!D275="","",MAX(-3,MIN(3,('3a Raw'!D275-$D3)/$D4)))</f>
        <v/>
      </c>
      <c r="E275" s="3">
        <f>IF(D275="","",(D275-AVERAGE(D6:D1198))/(STDEV(D6:D1198)+1E-12))</f>
        <v/>
      </c>
      <c r="F275" s="3">
        <f>IF('3a Raw'!E275="","",MAX(-3,MIN(3,('3a Raw'!E275-$F3)/$F4)))</f>
        <v/>
      </c>
      <c r="G275" s="3">
        <f>IF(F275="","",(F275-AVERAGE(F6:F1198))/(STDEV(F6:F1198)+1E-12))</f>
        <v/>
      </c>
      <c r="H275" s="3">
        <f>IF('3a Raw'!F275="","",MAX(-3,MIN(3,('3a Raw'!F275-$H3)/$H4)))</f>
        <v/>
      </c>
      <c r="I275" s="3">
        <f>IF(H275="","",(H275-AVERAGE(H6:H1198))/(STDEV(H6:H1198)+1E-12))</f>
        <v/>
      </c>
      <c r="J275" s="3">
        <f>IF('3a Raw'!G275="","",MAX(-3,MIN(3,('3a Raw'!G275-$J3)/$J4)))</f>
        <v/>
      </c>
      <c r="K275" s="3">
        <f>IF(J275="","",(J275-AVERAGE(J6:J1198))/(STDEV(J6:J1198)+1E-12))</f>
        <v/>
      </c>
      <c r="L275" s="3">
        <f>IF('3a Raw'!H275="","",MAX(-3,MIN(3,('3a Raw'!H275-$L3)/$L4)))</f>
        <v/>
      </c>
      <c r="M275" s="3">
        <f>IF(L275="","",(L275-AVERAGE(L6:L1198))/(STDEV(L6:L1198)+1E-12))</f>
        <v/>
      </c>
      <c r="N275" s="3">
        <f>IF('3a Raw'!I275="","",MAX(-3,MIN(3,('3a Raw'!I275-$N3)/$N4)))</f>
        <v/>
      </c>
      <c r="O275" s="3">
        <f>IF(N275="","",(N275-AVERAGE(N6:N1198))/(STDEV(N6:N1198)+1E-12))</f>
        <v/>
      </c>
      <c r="P275" s="3">
        <f>IF('3a Raw'!J275="","",MAX(-3,MIN(3,('3a Raw'!J275-$P3)/$P4)))</f>
        <v/>
      </c>
      <c r="Q275" s="3">
        <f>IF(P275="","",(P275-AVERAGE(P6:P1198))/(STDEV(P6:P1198)+1E-12))</f>
        <v/>
      </c>
      <c r="R275" s="3">
        <f>IF('3a Raw'!K275="","",MAX(-3,MIN(3,('3a Raw'!K275-$R3)/$R4)))</f>
        <v/>
      </c>
      <c r="S275" s="3">
        <f>IF(R275="","",(R275-AVERAGE(R6:R1198))/(STDEV(R6:R1198)+1E-12))</f>
        <v/>
      </c>
      <c r="T275" s="3">
        <f>IF('3a Raw'!L275="","",MAX(-3,MIN(3,('3a Raw'!L275-$T3)/$T4)))</f>
        <v/>
      </c>
      <c r="U275" s="3">
        <f>IF(T275="","",(T275-AVERAGE(T6:T1198))/(STDEV(T6:T1198)+1E-12))</f>
        <v/>
      </c>
      <c r="X275" s="3">
        <f>IF(U275="","",U275-($V$3*G275+$W$3))</f>
        <v/>
      </c>
      <c r="Y275" s="3">
        <f>IF(X275="","",MAX(-3,MIN(3,(X275-$X3)/$X4)))</f>
        <v/>
      </c>
      <c r="Z275" s="3">
        <f>IF(Y275="","",(Y275-AVERAGE(Y6:Y1198))/(STDEV(Y6:Y1198)+1E-12))</f>
        <v/>
      </c>
    </row>
    <row r="276">
      <c r="A276" t="inlineStr">
        <is>
          <t>BBG005938P44</t>
        </is>
      </c>
      <c r="B276" s="3">
        <f>IF('3a Raw'!C276="","",MAX(-3,MIN(3,('3a Raw'!C276-$B3)/$B4)))</f>
        <v/>
      </c>
      <c r="C276" s="3">
        <f>IF(B276="","",(B276-AVERAGE(B6:B1198))/(STDEV(B6:B1198)+1E-12))</f>
        <v/>
      </c>
      <c r="D276" s="3">
        <f>IF('3a Raw'!D276="","",MAX(-3,MIN(3,('3a Raw'!D276-$D3)/$D4)))</f>
        <v/>
      </c>
      <c r="E276" s="3">
        <f>IF(D276="","",(D276-AVERAGE(D6:D1198))/(STDEV(D6:D1198)+1E-12))</f>
        <v/>
      </c>
      <c r="F276" s="3">
        <f>IF('3a Raw'!E276="","",MAX(-3,MIN(3,('3a Raw'!E276-$F3)/$F4)))</f>
        <v/>
      </c>
      <c r="G276" s="3">
        <f>IF(F276="","",(F276-AVERAGE(F6:F1198))/(STDEV(F6:F1198)+1E-12))</f>
        <v/>
      </c>
      <c r="H276" s="3">
        <f>IF('3a Raw'!F276="","",MAX(-3,MIN(3,('3a Raw'!F276-$H3)/$H4)))</f>
        <v/>
      </c>
      <c r="I276" s="3">
        <f>IF(H276="","",(H276-AVERAGE(H6:H1198))/(STDEV(H6:H1198)+1E-12))</f>
        <v/>
      </c>
      <c r="J276" s="3">
        <f>IF('3a Raw'!G276="","",MAX(-3,MIN(3,('3a Raw'!G276-$J3)/$J4)))</f>
        <v/>
      </c>
      <c r="K276" s="3">
        <f>IF(J276="","",(J276-AVERAGE(J6:J1198))/(STDEV(J6:J1198)+1E-12))</f>
        <v/>
      </c>
      <c r="L276" s="3">
        <f>IF('3a Raw'!H276="","",MAX(-3,MIN(3,('3a Raw'!H276-$L3)/$L4)))</f>
        <v/>
      </c>
      <c r="M276" s="3">
        <f>IF(L276="","",(L276-AVERAGE(L6:L1198))/(STDEV(L6:L1198)+1E-12))</f>
        <v/>
      </c>
      <c r="N276" s="3">
        <f>IF('3a Raw'!I276="","",MAX(-3,MIN(3,('3a Raw'!I276-$N3)/$N4)))</f>
        <v/>
      </c>
      <c r="O276" s="3">
        <f>IF(N276="","",(N276-AVERAGE(N6:N1198))/(STDEV(N6:N1198)+1E-12))</f>
        <v/>
      </c>
      <c r="P276" s="3">
        <f>IF('3a Raw'!J276="","",MAX(-3,MIN(3,('3a Raw'!J276-$P3)/$P4)))</f>
        <v/>
      </c>
      <c r="Q276" s="3">
        <f>IF(P276="","",(P276-AVERAGE(P6:P1198))/(STDEV(P6:P1198)+1E-12))</f>
        <v/>
      </c>
      <c r="R276" s="3">
        <f>IF('3a Raw'!K276="","",MAX(-3,MIN(3,('3a Raw'!K276-$R3)/$R4)))</f>
        <v/>
      </c>
      <c r="S276" s="3">
        <f>IF(R276="","",(R276-AVERAGE(R6:R1198))/(STDEV(R6:R1198)+1E-12))</f>
        <v/>
      </c>
      <c r="T276" s="3">
        <f>IF('3a Raw'!L276="","",MAX(-3,MIN(3,('3a Raw'!L276-$T3)/$T4)))</f>
        <v/>
      </c>
      <c r="U276" s="3">
        <f>IF(T276="","",(T276-AVERAGE(T6:T1198))/(STDEV(T6:T1198)+1E-12))</f>
        <v/>
      </c>
      <c r="X276" s="3">
        <f>IF(U276="","",U276-($V$3*G276+$W$3))</f>
        <v/>
      </c>
      <c r="Y276" s="3">
        <f>IF(X276="","",MAX(-3,MIN(3,(X276-$X3)/$X4)))</f>
        <v/>
      </c>
      <c r="Z276" s="3">
        <f>IF(Y276="","",(Y276-AVERAGE(Y6:Y1198))/(STDEV(Y6:Y1198)+1E-12))</f>
        <v/>
      </c>
    </row>
    <row r="277">
      <c r="A277" t="inlineStr">
        <is>
          <t>BBG000C1DHF5</t>
        </is>
      </c>
      <c r="B277" s="3">
        <f>IF('3a Raw'!C277="","",MAX(-3,MIN(3,('3a Raw'!C277-$B3)/$B4)))</f>
        <v/>
      </c>
      <c r="C277" s="3">
        <f>IF(B277="","",(B277-AVERAGE(B6:B1198))/(STDEV(B6:B1198)+1E-12))</f>
        <v/>
      </c>
      <c r="D277" s="3">
        <f>IF('3a Raw'!D277="","",MAX(-3,MIN(3,('3a Raw'!D277-$D3)/$D4)))</f>
        <v/>
      </c>
      <c r="E277" s="3">
        <f>IF(D277="","",(D277-AVERAGE(D6:D1198))/(STDEV(D6:D1198)+1E-12))</f>
        <v/>
      </c>
      <c r="F277" s="3">
        <f>IF('3a Raw'!E277="","",MAX(-3,MIN(3,('3a Raw'!E277-$F3)/$F4)))</f>
        <v/>
      </c>
      <c r="G277" s="3">
        <f>IF(F277="","",(F277-AVERAGE(F6:F1198))/(STDEV(F6:F1198)+1E-12))</f>
        <v/>
      </c>
      <c r="H277" s="3">
        <f>IF('3a Raw'!F277="","",MAX(-3,MIN(3,('3a Raw'!F277-$H3)/$H4)))</f>
        <v/>
      </c>
      <c r="I277" s="3">
        <f>IF(H277="","",(H277-AVERAGE(H6:H1198))/(STDEV(H6:H1198)+1E-12))</f>
        <v/>
      </c>
      <c r="J277" s="3">
        <f>IF('3a Raw'!G277="","",MAX(-3,MIN(3,('3a Raw'!G277-$J3)/$J4)))</f>
        <v/>
      </c>
      <c r="K277" s="3">
        <f>IF(J277="","",(J277-AVERAGE(J6:J1198))/(STDEV(J6:J1198)+1E-12))</f>
        <v/>
      </c>
      <c r="L277" s="3">
        <f>IF('3a Raw'!H277="","",MAX(-3,MIN(3,('3a Raw'!H277-$L3)/$L4)))</f>
        <v/>
      </c>
      <c r="M277" s="3">
        <f>IF(L277="","",(L277-AVERAGE(L6:L1198))/(STDEV(L6:L1198)+1E-12))</f>
        <v/>
      </c>
      <c r="N277" s="3">
        <f>IF('3a Raw'!I277="","",MAX(-3,MIN(3,('3a Raw'!I277-$N3)/$N4)))</f>
        <v/>
      </c>
      <c r="O277" s="3">
        <f>IF(N277="","",(N277-AVERAGE(N6:N1198))/(STDEV(N6:N1198)+1E-12))</f>
        <v/>
      </c>
      <c r="P277" s="3">
        <f>IF('3a Raw'!J277="","",MAX(-3,MIN(3,('3a Raw'!J277-$P3)/$P4)))</f>
        <v/>
      </c>
      <c r="Q277" s="3">
        <f>IF(P277="","",(P277-AVERAGE(P6:P1198))/(STDEV(P6:P1198)+1E-12))</f>
        <v/>
      </c>
      <c r="R277" s="3">
        <f>IF('3a Raw'!K277="","",MAX(-3,MIN(3,('3a Raw'!K277-$R3)/$R4)))</f>
        <v/>
      </c>
      <c r="S277" s="3">
        <f>IF(R277="","",(R277-AVERAGE(R6:R1198))/(STDEV(R6:R1198)+1E-12))</f>
        <v/>
      </c>
      <c r="T277" s="3">
        <f>IF('3a Raw'!L277="","",MAX(-3,MIN(3,('3a Raw'!L277-$T3)/$T4)))</f>
        <v/>
      </c>
      <c r="U277" s="3">
        <f>IF(T277="","",(T277-AVERAGE(T6:T1198))/(STDEV(T6:T1198)+1E-12))</f>
        <v/>
      </c>
      <c r="X277" s="3">
        <f>IF(U277="","",U277-($V$3*G277+$W$3))</f>
        <v/>
      </c>
      <c r="Y277" s="3">
        <f>IF(X277="","",MAX(-3,MIN(3,(X277-$X3)/$X4)))</f>
        <v/>
      </c>
      <c r="Z277" s="3">
        <f>IF(Y277="","",(Y277-AVERAGE(Y6:Y1198))/(STDEV(Y6:Y1198)+1E-12))</f>
        <v/>
      </c>
    </row>
    <row r="278">
      <c r="A278" t="inlineStr">
        <is>
          <t>BBG00BLYKS03</t>
        </is>
      </c>
      <c r="B278" s="3">
        <f>IF('3a Raw'!C278="","",MAX(-3,MIN(3,('3a Raw'!C278-$B3)/$B4)))</f>
        <v/>
      </c>
      <c r="C278" s="3">
        <f>IF(B278="","",(B278-AVERAGE(B6:B1198))/(STDEV(B6:B1198)+1E-12))</f>
        <v/>
      </c>
      <c r="D278" s="3">
        <f>IF('3a Raw'!D278="","",MAX(-3,MIN(3,('3a Raw'!D278-$D3)/$D4)))</f>
        <v/>
      </c>
      <c r="E278" s="3">
        <f>IF(D278="","",(D278-AVERAGE(D6:D1198))/(STDEV(D6:D1198)+1E-12))</f>
        <v/>
      </c>
      <c r="F278" s="3">
        <f>IF('3a Raw'!E278="","",MAX(-3,MIN(3,('3a Raw'!E278-$F3)/$F4)))</f>
        <v/>
      </c>
      <c r="G278" s="3">
        <f>IF(F278="","",(F278-AVERAGE(F6:F1198))/(STDEV(F6:F1198)+1E-12))</f>
        <v/>
      </c>
      <c r="H278" s="3">
        <f>IF('3a Raw'!F278="","",MAX(-3,MIN(3,('3a Raw'!F278-$H3)/$H4)))</f>
        <v/>
      </c>
      <c r="I278" s="3">
        <f>IF(H278="","",(H278-AVERAGE(H6:H1198))/(STDEV(H6:H1198)+1E-12))</f>
        <v/>
      </c>
      <c r="J278" s="3">
        <f>IF('3a Raw'!G278="","",MAX(-3,MIN(3,('3a Raw'!G278-$J3)/$J4)))</f>
        <v/>
      </c>
      <c r="K278" s="3">
        <f>IF(J278="","",(J278-AVERAGE(J6:J1198))/(STDEV(J6:J1198)+1E-12))</f>
        <v/>
      </c>
      <c r="L278" s="3">
        <f>IF('3a Raw'!H278="","",MAX(-3,MIN(3,('3a Raw'!H278-$L3)/$L4)))</f>
        <v/>
      </c>
      <c r="M278" s="3">
        <f>IF(L278="","",(L278-AVERAGE(L6:L1198))/(STDEV(L6:L1198)+1E-12))</f>
        <v/>
      </c>
      <c r="N278" s="3">
        <f>IF('3a Raw'!I278="","",MAX(-3,MIN(3,('3a Raw'!I278-$N3)/$N4)))</f>
        <v/>
      </c>
      <c r="O278" s="3">
        <f>IF(N278="","",(N278-AVERAGE(N6:N1198))/(STDEV(N6:N1198)+1E-12))</f>
        <v/>
      </c>
      <c r="P278" s="3">
        <f>IF('3a Raw'!J278="","",MAX(-3,MIN(3,('3a Raw'!J278-$P3)/$P4)))</f>
        <v/>
      </c>
      <c r="Q278" s="3">
        <f>IF(P278="","",(P278-AVERAGE(P6:P1198))/(STDEV(P6:P1198)+1E-12))</f>
        <v/>
      </c>
      <c r="R278" s="3">
        <f>IF('3a Raw'!K278="","",MAX(-3,MIN(3,('3a Raw'!K278-$R3)/$R4)))</f>
        <v/>
      </c>
      <c r="S278" s="3">
        <f>IF(R278="","",(R278-AVERAGE(R6:R1198))/(STDEV(R6:R1198)+1E-12))</f>
        <v/>
      </c>
      <c r="T278" s="3">
        <f>IF('3a Raw'!L278="","",MAX(-3,MIN(3,('3a Raw'!L278-$T3)/$T4)))</f>
        <v/>
      </c>
      <c r="U278" s="3">
        <f>IF(T278="","",(T278-AVERAGE(T6:T1198))/(STDEV(T6:T1198)+1E-12))</f>
        <v/>
      </c>
      <c r="X278" s="3">
        <f>IF(U278="","",U278-($V$3*G278+$W$3))</f>
        <v/>
      </c>
      <c r="Y278" s="3">
        <f>IF(X278="","",MAX(-3,MIN(3,(X278-$X3)/$X4)))</f>
        <v/>
      </c>
      <c r="Z278" s="3">
        <f>IF(Y278="","",(Y278-AVERAGE(Y6:Y1198))/(STDEV(Y6:Y1198)+1E-12))</f>
        <v/>
      </c>
    </row>
    <row r="279">
      <c r="A279" t="inlineStr">
        <is>
          <t>BBG011ZTRJ21</t>
        </is>
      </c>
      <c r="B279" s="3">
        <f>IF('3a Raw'!C279="","",MAX(-3,MIN(3,('3a Raw'!C279-$B3)/$B4)))</f>
        <v/>
      </c>
      <c r="C279" s="3">
        <f>IF(B279="","",(B279-AVERAGE(B6:B1198))/(STDEV(B6:B1198)+1E-12))</f>
        <v/>
      </c>
      <c r="D279" s="3">
        <f>IF('3a Raw'!D279="","",MAX(-3,MIN(3,('3a Raw'!D279-$D3)/$D4)))</f>
        <v/>
      </c>
      <c r="E279" s="3">
        <f>IF(D279="","",(D279-AVERAGE(D6:D1198))/(STDEV(D6:D1198)+1E-12))</f>
        <v/>
      </c>
      <c r="F279" s="3">
        <f>IF('3a Raw'!E279="","",MAX(-3,MIN(3,('3a Raw'!E279-$F3)/$F4)))</f>
        <v/>
      </c>
      <c r="G279" s="3">
        <f>IF(F279="","",(F279-AVERAGE(F6:F1198))/(STDEV(F6:F1198)+1E-12))</f>
        <v/>
      </c>
      <c r="H279" s="3">
        <f>IF('3a Raw'!F279="","",MAX(-3,MIN(3,('3a Raw'!F279-$H3)/$H4)))</f>
        <v/>
      </c>
      <c r="I279" s="3">
        <f>IF(H279="","",(H279-AVERAGE(H6:H1198))/(STDEV(H6:H1198)+1E-12))</f>
        <v/>
      </c>
      <c r="J279" s="3">
        <f>IF('3a Raw'!G279="","",MAX(-3,MIN(3,('3a Raw'!G279-$J3)/$J4)))</f>
        <v/>
      </c>
      <c r="K279" s="3">
        <f>IF(J279="","",(J279-AVERAGE(J6:J1198))/(STDEV(J6:J1198)+1E-12))</f>
        <v/>
      </c>
      <c r="L279" s="3">
        <f>IF('3a Raw'!H279="","",MAX(-3,MIN(3,('3a Raw'!H279-$L3)/$L4)))</f>
        <v/>
      </c>
      <c r="M279" s="3">
        <f>IF(L279="","",(L279-AVERAGE(L6:L1198))/(STDEV(L6:L1198)+1E-12))</f>
        <v/>
      </c>
      <c r="N279" s="3">
        <f>IF('3a Raw'!I279="","",MAX(-3,MIN(3,('3a Raw'!I279-$N3)/$N4)))</f>
        <v/>
      </c>
      <c r="O279" s="3">
        <f>IF(N279="","",(N279-AVERAGE(N6:N1198))/(STDEV(N6:N1198)+1E-12))</f>
        <v/>
      </c>
      <c r="P279" s="3">
        <f>IF('3a Raw'!J279="","",MAX(-3,MIN(3,('3a Raw'!J279-$P3)/$P4)))</f>
        <v/>
      </c>
      <c r="Q279" s="3">
        <f>IF(P279="","",(P279-AVERAGE(P6:P1198))/(STDEV(P6:P1198)+1E-12))</f>
        <v/>
      </c>
      <c r="R279" s="3">
        <f>IF('3a Raw'!K279="","",MAX(-3,MIN(3,('3a Raw'!K279-$R3)/$R4)))</f>
        <v/>
      </c>
      <c r="S279" s="3">
        <f>IF(R279="","",(R279-AVERAGE(R6:R1198))/(STDEV(R6:R1198)+1E-12))</f>
        <v/>
      </c>
      <c r="T279" s="3">
        <f>IF('3a Raw'!L279="","",MAX(-3,MIN(3,('3a Raw'!L279-$T3)/$T4)))</f>
        <v/>
      </c>
      <c r="U279" s="3">
        <f>IF(T279="","",(T279-AVERAGE(T6:T1198))/(STDEV(T6:T1198)+1E-12))</f>
        <v/>
      </c>
      <c r="X279" s="3">
        <f>IF(U279="","",U279-($V$3*G279+$W$3))</f>
        <v/>
      </c>
      <c r="Y279" s="3">
        <f>IF(X279="","",MAX(-3,MIN(3,(X279-$X3)/$X4)))</f>
        <v/>
      </c>
      <c r="Z279" s="3">
        <f>IF(Y279="","",(Y279-AVERAGE(Y6:Y1198))/(STDEV(Y6:Y1198)+1E-12))</f>
        <v/>
      </c>
    </row>
    <row r="280">
      <c r="A280" t="inlineStr">
        <is>
          <t>BBG000C3J3C9</t>
        </is>
      </c>
      <c r="B280" s="3">
        <f>IF('3a Raw'!C280="","",MAX(-3,MIN(3,('3a Raw'!C280-$B3)/$B4)))</f>
        <v/>
      </c>
      <c r="C280" s="3">
        <f>IF(B280="","",(B280-AVERAGE(B6:B1198))/(STDEV(B6:B1198)+1E-12))</f>
        <v/>
      </c>
      <c r="D280" s="3">
        <f>IF('3a Raw'!D280="","",MAX(-3,MIN(3,('3a Raw'!D280-$D3)/$D4)))</f>
        <v/>
      </c>
      <c r="E280" s="3">
        <f>IF(D280="","",(D280-AVERAGE(D6:D1198))/(STDEV(D6:D1198)+1E-12))</f>
        <v/>
      </c>
      <c r="F280" s="3">
        <f>IF('3a Raw'!E280="","",MAX(-3,MIN(3,('3a Raw'!E280-$F3)/$F4)))</f>
        <v/>
      </c>
      <c r="G280" s="3">
        <f>IF(F280="","",(F280-AVERAGE(F6:F1198))/(STDEV(F6:F1198)+1E-12))</f>
        <v/>
      </c>
      <c r="H280" s="3">
        <f>IF('3a Raw'!F280="","",MAX(-3,MIN(3,('3a Raw'!F280-$H3)/$H4)))</f>
        <v/>
      </c>
      <c r="I280" s="3">
        <f>IF(H280="","",(H280-AVERAGE(H6:H1198))/(STDEV(H6:H1198)+1E-12))</f>
        <v/>
      </c>
      <c r="J280" s="3">
        <f>IF('3a Raw'!G280="","",MAX(-3,MIN(3,('3a Raw'!G280-$J3)/$J4)))</f>
        <v/>
      </c>
      <c r="K280" s="3">
        <f>IF(J280="","",(J280-AVERAGE(J6:J1198))/(STDEV(J6:J1198)+1E-12))</f>
        <v/>
      </c>
      <c r="L280" s="3">
        <f>IF('3a Raw'!H280="","",MAX(-3,MIN(3,('3a Raw'!H280-$L3)/$L4)))</f>
        <v/>
      </c>
      <c r="M280" s="3">
        <f>IF(L280="","",(L280-AVERAGE(L6:L1198))/(STDEV(L6:L1198)+1E-12))</f>
        <v/>
      </c>
      <c r="N280" s="3">
        <f>IF('3a Raw'!I280="","",MAX(-3,MIN(3,('3a Raw'!I280-$N3)/$N4)))</f>
        <v/>
      </c>
      <c r="O280" s="3">
        <f>IF(N280="","",(N280-AVERAGE(N6:N1198))/(STDEV(N6:N1198)+1E-12))</f>
        <v/>
      </c>
      <c r="P280" s="3">
        <f>IF('3a Raw'!J280="","",MAX(-3,MIN(3,('3a Raw'!J280-$P3)/$P4)))</f>
        <v/>
      </c>
      <c r="Q280" s="3">
        <f>IF(P280="","",(P280-AVERAGE(P6:P1198))/(STDEV(P6:P1198)+1E-12))</f>
        <v/>
      </c>
      <c r="R280" s="3">
        <f>IF('3a Raw'!K280="","",MAX(-3,MIN(3,('3a Raw'!K280-$R3)/$R4)))</f>
        <v/>
      </c>
      <c r="S280" s="3">
        <f>IF(R280="","",(R280-AVERAGE(R6:R1198))/(STDEV(R6:R1198)+1E-12))</f>
        <v/>
      </c>
      <c r="T280" s="3">
        <f>IF('3a Raw'!L280="","",MAX(-3,MIN(3,('3a Raw'!L280-$T3)/$T4)))</f>
        <v/>
      </c>
      <c r="U280" s="3">
        <f>IF(T280="","",(T280-AVERAGE(T6:T1198))/(STDEV(T6:T1198)+1E-12))</f>
        <v/>
      </c>
      <c r="X280" s="3">
        <f>IF(U280="","",U280-($V$3*G280+$W$3))</f>
        <v/>
      </c>
      <c r="Y280" s="3">
        <f>IF(X280="","",MAX(-3,MIN(3,(X280-$X3)/$X4)))</f>
        <v/>
      </c>
      <c r="Z280" s="3">
        <f>IF(Y280="","",(Y280-AVERAGE(Y6:Y1198))/(STDEV(Y6:Y1198)+1E-12))</f>
        <v/>
      </c>
    </row>
    <row r="281">
      <c r="A281" t="inlineStr">
        <is>
          <t>BBG000D7JKW9</t>
        </is>
      </c>
      <c r="B281" s="3">
        <f>IF('3a Raw'!C281="","",MAX(-3,MIN(3,('3a Raw'!C281-$B3)/$B4)))</f>
        <v/>
      </c>
      <c r="C281" s="3">
        <f>IF(B281="","",(B281-AVERAGE(B6:B1198))/(STDEV(B6:B1198)+1E-12))</f>
        <v/>
      </c>
      <c r="D281" s="3">
        <f>IF('3a Raw'!D281="","",MAX(-3,MIN(3,('3a Raw'!D281-$D3)/$D4)))</f>
        <v/>
      </c>
      <c r="E281" s="3">
        <f>IF(D281="","",(D281-AVERAGE(D6:D1198))/(STDEV(D6:D1198)+1E-12))</f>
        <v/>
      </c>
      <c r="F281" s="3">
        <f>IF('3a Raw'!E281="","",MAX(-3,MIN(3,('3a Raw'!E281-$F3)/$F4)))</f>
        <v/>
      </c>
      <c r="G281" s="3">
        <f>IF(F281="","",(F281-AVERAGE(F6:F1198))/(STDEV(F6:F1198)+1E-12))</f>
        <v/>
      </c>
      <c r="H281" s="3">
        <f>IF('3a Raw'!F281="","",MAX(-3,MIN(3,('3a Raw'!F281-$H3)/$H4)))</f>
        <v/>
      </c>
      <c r="I281" s="3">
        <f>IF(H281="","",(H281-AVERAGE(H6:H1198))/(STDEV(H6:H1198)+1E-12))</f>
        <v/>
      </c>
      <c r="J281" s="3">
        <f>IF('3a Raw'!G281="","",MAX(-3,MIN(3,('3a Raw'!G281-$J3)/$J4)))</f>
        <v/>
      </c>
      <c r="K281" s="3">
        <f>IF(J281="","",(J281-AVERAGE(J6:J1198))/(STDEV(J6:J1198)+1E-12))</f>
        <v/>
      </c>
      <c r="L281" s="3">
        <f>IF('3a Raw'!H281="","",MAX(-3,MIN(3,('3a Raw'!H281-$L3)/$L4)))</f>
        <v/>
      </c>
      <c r="M281" s="3">
        <f>IF(L281="","",(L281-AVERAGE(L6:L1198))/(STDEV(L6:L1198)+1E-12))</f>
        <v/>
      </c>
      <c r="N281" s="3">
        <f>IF('3a Raw'!I281="","",MAX(-3,MIN(3,('3a Raw'!I281-$N3)/$N4)))</f>
        <v/>
      </c>
      <c r="O281" s="3">
        <f>IF(N281="","",(N281-AVERAGE(N6:N1198))/(STDEV(N6:N1198)+1E-12))</f>
        <v/>
      </c>
      <c r="P281" s="3">
        <f>IF('3a Raw'!J281="","",MAX(-3,MIN(3,('3a Raw'!J281-$P3)/$P4)))</f>
        <v/>
      </c>
      <c r="Q281" s="3">
        <f>IF(P281="","",(P281-AVERAGE(P6:P1198))/(STDEV(P6:P1198)+1E-12))</f>
        <v/>
      </c>
      <c r="R281" s="3">
        <f>IF('3a Raw'!K281="","",MAX(-3,MIN(3,('3a Raw'!K281-$R3)/$R4)))</f>
        <v/>
      </c>
      <c r="S281" s="3">
        <f>IF(R281="","",(R281-AVERAGE(R6:R1198))/(STDEV(R6:R1198)+1E-12))</f>
        <v/>
      </c>
      <c r="T281" s="3">
        <f>IF('3a Raw'!L281="","",MAX(-3,MIN(3,('3a Raw'!L281-$T3)/$T4)))</f>
        <v/>
      </c>
      <c r="U281" s="3">
        <f>IF(T281="","",(T281-AVERAGE(T6:T1198))/(STDEV(T6:T1198)+1E-12))</f>
        <v/>
      </c>
      <c r="X281" s="3">
        <f>IF(U281="","",U281-($V$3*G281+$W$3))</f>
        <v/>
      </c>
      <c r="Y281" s="3">
        <f>IF(X281="","",MAX(-3,MIN(3,(X281-$X3)/$X4)))</f>
        <v/>
      </c>
      <c r="Z281" s="3">
        <f>IF(Y281="","",(Y281-AVERAGE(Y6:Y1198))/(STDEV(Y6:Y1198)+1E-12))</f>
        <v/>
      </c>
    </row>
    <row r="282">
      <c r="A282" t="inlineStr">
        <is>
          <t>BBG000BGJ661</t>
        </is>
      </c>
      <c r="B282" s="3">
        <f>IF('3a Raw'!C282="","",MAX(-3,MIN(3,('3a Raw'!C282-$B3)/$B4)))</f>
        <v/>
      </c>
      <c r="C282" s="3">
        <f>IF(B282="","",(B282-AVERAGE(B6:B1198))/(STDEV(B6:B1198)+1E-12))</f>
        <v/>
      </c>
      <c r="D282" s="3">
        <f>IF('3a Raw'!D282="","",MAX(-3,MIN(3,('3a Raw'!D282-$D3)/$D4)))</f>
        <v/>
      </c>
      <c r="E282" s="3">
        <f>IF(D282="","",(D282-AVERAGE(D6:D1198))/(STDEV(D6:D1198)+1E-12))</f>
        <v/>
      </c>
      <c r="F282" s="3">
        <f>IF('3a Raw'!E282="","",MAX(-3,MIN(3,('3a Raw'!E282-$F3)/$F4)))</f>
        <v/>
      </c>
      <c r="G282" s="3">
        <f>IF(F282="","",(F282-AVERAGE(F6:F1198))/(STDEV(F6:F1198)+1E-12))</f>
        <v/>
      </c>
      <c r="H282" s="3">
        <f>IF('3a Raw'!F282="","",MAX(-3,MIN(3,('3a Raw'!F282-$H3)/$H4)))</f>
        <v/>
      </c>
      <c r="I282" s="3">
        <f>IF(H282="","",(H282-AVERAGE(H6:H1198))/(STDEV(H6:H1198)+1E-12))</f>
        <v/>
      </c>
      <c r="J282" s="3">
        <f>IF('3a Raw'!G282="","",MAX(-3,MIN(3,('3a Raw'!G282-$J3)/$J4)))</f>
        <v/>
      </c>
      <c r="K282" s="3">
        <f>IF(J282="","",(J282-AVERAGE(J6:J1198))/(STDEV(J6:J1198)+1E-12))</f>
        <v/>
      </c>
      <c r="L282" s="3">
        <f>IF('3a Raw'!H282="","",MAX(-3,MIN(3,('3a Raw'!H282-$L3)/$L4)))</f>
        <v/>
      </c>
      <c r="M282" s="3">
        <f>IF(L282="","",(L282-AVERAGE(L6:L1198))/(STDEV(L6:L1198)+1E-12))</f>
        <v/>
      </c>
      <c r="N282" s="3">
        <f>IF('3a Raw'!I282="","",MAX(-3,MIN(3,('3a Raw'!I282-$N3)/$N4)))</f>
        <v/>
      </c>
      <c r="O282" s="3">
        <f>IF(N282="","",(N282-AVERAGE(N6:N1198))/(STDEV(N6:N1198)+1E-12))</f>
        <v/>
      </c>
      <c r="P282" s="3">
        <f>IF('3a Raw'!J282="","",MAX(-3,MIN(3,('3a Raw'!J282-$P3)/$P4)))</f>
        <v/>
      </c>
      <c r="Q282" s="3">
        <f>IF(P282="","",(P282-AVERAGE(P6:P1198))/(STDEV(P6:P1198)+1E-12))</f>
        <v/>
      </c>
      <c r="R282" s="3">
        <f>IF('3a Raw'!K282="","",MAX(-3,MIN(3,('3a Raw'!K282-$R3)/$R4)))</f>
        <v/>
      </c>
      <c r="S282" s="3">
        <f>IF(R282="","",(R282-AVERAGE(R6:R1198))/(STDEV(R6:R1198)+1E-12))</f>
        <v/>
      </c>
      <c r="T282" s="3">
        <f>IF('3a Raw'!L282="","",MAX(-3,MIN(3,('3a Raw'!L282-$T3)/$T4)))</f>
        <v/>
      </c>
      <c r="U282" s="3">
        <f>IF(T282="","",(T282-AVERAGE(T6:T1198))/(STDEV(T6:T1198)+1E-12))</f>
        <v/>
      </c>
      <c r="X282" s="3">
        <f>IF(U282="","",U282-($V$3*G282+$W$3))</f>
        <v/>
      </c>
      <c r="Y282" s="3">
        <f>IF(X282="","",MAX(-3,MIN(3,(X282-$X3)/$X4)))</f>
        <v/>
      </c>
      <c r="Z282" s="3">
        <f>IF(Y282="","",(Y282-AVERAGE(Y6:Y1198))/(STDEV(Y6:Y1198)+1E-12))</f>
        <v/>
      </c>
    </row>
    <row r="283">
      <c r="A283" t="inlineStr">
        <is>
          <t>BBG000BGJRC8</t>
        </is>
      </c>
      <c r="B283" s="3">
        <f>IF('3a Raw'!C283="","",MAX(-3,MIN(3,('3a Raw'!C283-$B3)/$B4)))</f>
        <v/>
      </c>
      <c r="C283" s="3">
        <f>IF(B283="","",(B283-AVERAGE(B6:B1198))/(STDEV(B6:B1198)+1E-12))</f>
        <v/>
      </c>
      <c r="D283" s="3">
        <f>IF('3a Raw'!D283="","",MAX(-3,MIN(3,('3a Raw'!D283-$D3)/$D4)))</f>
        <v/>
      </c>
      <c r="E283" s="3">
        <f>IF(D283="","",(D283-AVERAGE(D6:D1198))/(STDEV(D6:D1198)+1E-12))</f>
        <v/>
      </c>
      <c r="F283" s="3">
        <f>IF('3a Raw'!E283="","",MAX(-3,MIN(3,('3a Raw'!E283-$F3)/$F4)))</f>
        <v/>
      </c>
      <c r="G283" s="3">
        <f>IF(F283="","",(F283-AVERAGE(F6:F1198))/(STDEV(F6:F1198)+1E-12))</f>
        <v/>
      </c>
      <c r="H283" s="3">
        <f>IF('3a Raw'!F283="","",MAX(-3,MIN(3,('3a Raw'!F283-$H3)/$H4)))</f>
        <v/>
      </c>
      <c r="I283" s="3">
        <f>IF(H283="","",(H283-AVERAGE(H6:H1198))/(STDEV(H6:H1198)+1E-12))</f>
        <v/>
      </c>
      <c r="J283" s="3">
        <f>IF('3a Raw'!G283="","",MAX(-3,MIN(3,('3a Raw'!G283-$J3)/$J4)))</f>
        <v/>
      </c>
      <c r="K283" s="3">
        <f>IF(J283="","",(J283-AVERAGE(J6:J1198))/(STDEV(J6:J1198)+1E-12))</f>
        <v/>
      </c>
      <c r="L283" s="3">
        <f>IF('3a Raw'!H283="","",MAX(-3,MIN(3,('3a Raw'!H283-$L3)/$L4)))</f>
        <v/>
      </c>
      <c r="M283" s="3">
        <f>IF(L283="","",(L283-AVERAGE(L6:L1198))/(STDEV(L6:L1198)+1E-12))</f>
        <v/>
      </c>
      <c r="N283" s="3">
        <f>IF('3a Raw'!I283="","",MAX(-3,MIN(3,('3a Raw'!I283-$N3)/$N4)))</f>
        <v/>
      </c>
      <c r="O283" s="3">
        <f>IF(N283="","",(N283-AVERAGE(N6:N1198))/(STDEV(N6:N1198)+1E-12))</f>
        <v/>
      </c>
      <c r="P283" s="3">
        <f>IF('3a Raw'!J283="","",MAX(-3,MIN(3,('3a Raw'!J283-$P3)/$P4)))</f>
        <v/>
      </c>
      <c r="Q283" s="3">
        <f>IF(P283="","",(P283-AVERAGE(P6:P1198))/(STDEV(P6:P1198)+1E-12))</f>
        <v/>
      </c>
      <c r="R283" s="3">
        <f>IF('3a Raw'!K283="","",MAX(-3,MIN(3,('3a Raw'!K283-$R3)/$R4)))</f>
        <v/>
      </c>
      <c r="S283" s="3">
        <f>IF(R283="","",(R283-AVERAGE(R6:R1198))/(STDEV(R6:R1198)+1E-12))</f>
        <v/>
      </c>
      <c r="T283" s="3">
        <f>IF('3a Raw'!L283="","",MAX(-3,MIN(3,('3a Raw'!L283-$T3)/$T4)))</f>
        <v/>
      </c>
      <c r="U283" s="3">
        <f>IF(T283="","",(T283-AVERAGE(T6:T1198))/(STDEV(T6:T1198)+1E-12))</f>
        <v/>
      </c>
      <c r="X283" s="3">
        <f>IF(U283="","",U283-($V$3*G283+$W$3))</f>
        <v/>
      </c>
      <c r="Y283" s="3">
        <f>IF(X283="","",MAX(-3,MIN(3,(X283-$X3)/$X4)))</f>
        <v/>
      </c>
      <c r="Z283" s="3">
        <f>IF(Y283="","",(Y283-AVERAGE(Y6:Y1198))/(STDEV(Y6:Y1198)+1E-12))</f>
        <v/>
      </c>
    </row>
    <row r="284">
      <c r="A284" t="inlineStr">
        <is>
          <t>ctas</t>
        </is>
      </c>
      <c r="B284" s="3">
        <f>IF('3a Raw'!C284="","",MAX(-3,MIN(3,('3a Raw'!C284-$B3)/$B4)))</f>
        <v/>
      </c>
      <c r="C284" s="3">
        <f>IF(B284="","",(B284-AVERAGE(B6:B1198))/(STDEV(B6:B1198)+1E-12))</f>
        <v/>
      </c>
      <c r="D284" s="3">
        <f>IF('3a Raw'!D284="","",MAX(-3,MIN(3,('3a Raw'!D284-$D3)/$D4)))</f>
        <v/>
      </c>
      <c r="E284" s="3">
        <f>IF(D284="","",(D284-AVERAGE(D6:D1198))/(STDEV(D6:D1198)+1E-12))</f>
        <v/>
      </c>
      <c r="F284" s="3">
        <f>IF('3a Raw'!E284="","",MAX(-3,MIN(3,('3a Raw'!E284-$F3)/$F4)))</f>
        <v/>
      </c>
      <c r="G284" s="3">
        <f>IF(F284="","",(F284-AVERAGE(F6:F1198))/(STDEV(F6:F1198)+1E-12))</f>
        <v/>
      </c>
      <c r="H284" s="3">
        <f>IF('3a Raw'!F284="","",MAX(-3,MIN(3,('3a Raw'!F284-$H3)/$H4)))</f>
        <v/>
      </c>
      <c r="I284" s="3">
        <f>IF(H284="","",(H284-AVERAGE(H6:H1198))/(STDEV(H6:H1198)+1E-12))</f>
        <v/>
      </c>
      <c r="J284" s="3">
        <f>IF('3a Raw'!G284="","",MAX(-3,MIN(3,('3a Raw'!G284-$J3)/$J4)))</f>
        <v/>
      </c>
      <c r="K284" s="3">
        <f>IF(J284="","",(J284-AVERAGE(J6:J1198))/(STDEV(J6:J1198)+1E-12))</f>
        <v/>
      </c>
      <c r="L284" s="3">
        <f>IF('3a Raw'!H284="","",MAX(-3,MIN(3,('3a Raw'!H284-$L3)/$L4)))</f>
        <v/>
      </c>
      <c r="M284" s="3">
        <f>IF(L284="","",(L284-AVERAGE(L6:L1198))/(STDEV(L6:L1198)+1E-12))</f>
        <v/>
      </c>
      <c r="N284" s="3">
        <f>IF('3a Raw'!I284="","",MAX(-3,MIN(3,('3a Raw'!I284-$N3)/$N4)))</f>
        <v/>
      </c>
      <c r="O284" s="3">
        <f>IF(N284="","",(N284-AVERAGE(N6:N1198))/(STDEV(N6:N1198)+1E-12))</f>
        <v/>
      </c>
      <c r="P284" s="3">
        <f>IF('3a Raw'!J284="","",MAX(-3,MIN(3,('3a Raw'!J284-$P3)/$P4)))</f>
        <v/>
      </c>
      <c r="Q284" s="3">
        <f>IF(P284="","",(P284-AVERAGE(P6:P1198))/(STDEV(P6:P1198)+1E-12))</f>
        <v/>
      </c>
      <c r="R284" s="3">
        <f>IF('3a Raw'!K284="","",MAX(-3,MIN(3,('3a Raw'!K284-$R3)/$R4)))</f>
        <v/>
      </c>
      <c r="S284" s="3">
        <f>IF(R284="","",(R284-AVERAGE(R6:R1198))/(STDEV(R6:R1198)+1E-12))</f>
        <v/>
      </c>
      <c r="T284" s="3">
        <f>IF('3a Raw'!L284="","",MAX(-3,MIN(3,('3a Raw'!L284-$T3)/$T4)))</f>
        <v/>
      </c>
      <c r="U284" s="3">
        <f>IF(T284="","",(T284-AVERAGE(T6:T1198))/(STDEV(T6:T1198)+1E-12))</f>
        <v/>
      </c>
      <c r="X284" s="3">
        <f>IF(U284="","",U284-($V$3*G284+$W$3))</f>
        <v/>
      </c>
      <c r="Y284" s="3">
        <f>IF(X284="","",MAX(-3,MIN(3,(X284-$X3)/$X4)))</f>
        <v/>
      </c>
      <c r="Z284" s="3">
        <f>IF(Y284="","",(Y284-AVERAGE(Y6:Y1198))/(STDEV(Y6:Y1198)+1E-12))</f>
        <v/>
      </c>
    </row>
    <row r="285">
      <c r="A285" t="inlineStr">
        <is>
          <t>BBG005KC4Z70</t>
        </is>
      </c>
      <c r="B285" s="3">
        <f>IF('3a Raw'!C285="","",MAX(-3,MIN(3,('3a Raw'!C285-$B3)/$B4)))</f>
        <v/>
      </c>
      <c r="C285" s="3">
        <f>IF(B285="","",(B285-AVERAGE(B6:B1198))/(STDEV(B6:B1198)+1E-12))</f>
        <v/>
      </c>
      <c r="D285" s="3">
        <f>IF('3a Raw'!D285="","",MAX(-3,MIN(3,('3a Raw'!D285-$D3)/$D4)))</f>
        <v/>
      </c>
      <c r="E285" s="3">
        <f>IF(D285="","",(D285-AVERAGE(D6:D1198))/(STDEV(D6:D1198)+1E-12))</f>
        <v/>
      </c>
      <c r="F285" s="3">
        <f>IF('3a Raw'!E285="","",MAX(-3,MIN(3,('3a Raw'!E285-$F3)/$F4)))</f>
        <v/>
      </c>
      <c r="G285" s="3">
        <f>IF(F285="","",(F285-AVERAGE(F6:F1198))/(STDEV(F6:F1198)+1E-12))</f>
        <v/>
      </c>
      <c r="H285" s="3">
        <f>IF('3a Raw'!F285="","",MAX(-3,MIN(3,('3a Raw'!F285-$H3)/$H4)))</f>
        <v/>
      </c>
      <c r="I285" s="3">
        <f>IF(H285="","",(H285-AVERAGE(H6:H1198))/(STDEV(H6:H1198)+1E-12))</f>
        <v/>
      </c>
      <c r="J285" s="3">
        <f>IF('3a Raw'!G285="","",MAX(-3,MIN(3,('3a Raw'!G285-$J3)/$J4)))</f>
        <v/>
      </c>
      <c r="K285" s="3">
        <f>IF(J285="","",(J285-AVERAGE(J6:J1198))/(STDEV(J6:J1198)+1E-12))</f>
        <v/>
      </c>
      <c r="L285" s="3">
        <f>IF('3a Raw'!H285="","",MAX(-3,MIN(3,('3a Raw'!H285-$L3)/$L4)))</f>
        <v/>
      </c>
      <c r="M285" s="3">
        <f>IF(L285="","",(L285-AVERAGE(L6:L1198))/(STDEV(L6:L1198)+1E-12))</f>
        <v/>
      </c>
      <c r="N285" s="3">
        <f>IF('3a Raw'!I285="","",MAX(-3,MIN(3,('3a Raw'!I285-$N3)/$N4)))</f>
        <v/>
      </c>
      <c r="O285" s="3">
        <f>IF(N285="","",(N285-AVERAGE(N6:N1198))/(STDEV(N6:N1198)+1E-12))</f>
        <v/>
      </c>
      <c r="P285" s="3">
        <f>IF('3a Raw'!J285="","",MAX(-3,MIN(3,('3a Raw'!J285-$P3)/$P4)))</f>
        <v/>
      </c>
      <c r="Q285" s="3">
        <f>IF(P285="","",(P285-AVERAGE(P6:P1198))/(STDEV(P6:P1198)+1E-12))</f>
        <v/>
      </c>
      <c r="R285" s="3">
        <f>IF('3a Raw'!K285="","",MAX(-3,MIN(3,('3a Raw'!K285-$R3)/$R4)))</f>
        <v/>
      </c>
      <c r="S285" s="3">
        <f>IF(R285="","",(R285-AVERAGE(R6:R1198))/(STDEV(R6:R1198)+1E-12))</f>
        <v/>
      </c>
      <c r="T285" s="3">
        <f>IF('3a Raw'!L285="","",MAX(-3,MIN(3,('3a Raw'!L285-$T3)/$T4)))</f>
        <v/>
      </c>
      <c r="U285" s="3">
        <f>IF(T285="","",(T285-AVERAGE(T6:T1198))/(STDEV(T6:T1198)+1E-12))</f>
        <v/>
      </c>
      <c r="X285" s="3">
        <f>IF(U285="","",U285-($V$3*G285+$W$3))</f>
        <v/>
      </c>
      <c r="Y285" s="3">
        <f>IF(X285="","",MAX(-3,MIN(3,(X285-$X3)/$X4)))</f>
        <v/>
      </c>
      <c r="Z285" s="3">
        <f>IF(Y285="","",(Y285-AVERAGE(Y6:Y1198))/(STDEV(Y6:Y1198)+1E-12))</f>
        <v/>
      </c>
    </row>
    <row r="286">
      <c r="A286" t="inlineStr">
        <is>
          <t>BBG01M4ZP8Y6</t>
        </is>
      </c>
      <c r="B286" s="3">
        <f>IF('3a Raw'!C286="","",MAX(-3,MIN(3,('3a Raw'!C286-$B3)/$B4)))</f>
        <v/>
      </c>
      <c r="C286" s="3">
        <f>IF(B286="","",(B286-AVERAGE(B6:B1198))/(STDEV(B6:B1198)+1E-12))</f>
        <v/>
      </c>
      <c r="D286" s="3">
        <f>IF('3a Raw'!D286="","",MAX(-3,MIN(3,('3a Raw'!D286-$D3)/$D4)))</f>
        <v/>
      </c>
      <c r="E286" s="3">
        <f>IF(D286="","",(D286-AVERAGE(D6:D1198))/(STDEV(D6:D1198)+1E-12))</f>
        <v/>
      </c>
      <c r="F286" s="3">
        <f>IF('3a Raw'!E286="","",MAX(-3,MIN(3,('3a Raw'!E286-$F3)/$F4)))</f>
        <v/>
      </c>
      <c r="G286" s="3">
        <f>IF(F286="","",(F286-AVERAGE(F6:F1198))/(STDEV(F6:F1198)+1E-12))</f>
        <v/>
      </c>
      <c r="H286" s="3">
        <f>IF('3a Raw'!F286="","",MAX(-3,MIN(3,('3a Raw'!F286-$H3)/$H4)))</f>
        <v/>
      </c>
      <c r="I286" s="3">
        <f>IF(H286="","",(H286-AVERAGE(H6:H1198))/(STDEV(H6:H1198)+1E-12))</f>
        <v/>
      </c>
      <c r="J286" s="3">
        <f>IF('3a Raw'!G286="","",MAX(-3,MIN(3,('3a Raw'!G286-$J3)/$J4)))</f>
        <v/>
      </c>
      <c r="K286" s="3">
        <f>IF(J286="","",(J286-AVERAGE(J6:J1198))/(STDEV(J6:J1198)+1E-12))</f>
        <v/>
      </c>
      <c r="L286" s="3">
        <f>IF('3a Raw'!H286="","",MAX(-3,MIN(3,('3a Raw'!H286-$L3)/$L4)))</f>
        <v/>
      </c>
      <c r="M286" s="3">
        <f>IF(L286="","",(L286-AVERAGE(L6:L1198))/(STDEV(L6:L1198)+1E-12))</f>
        <v/>
      </c>
      <c r="N286" s="3">
        <f>IF('3a Raw'!I286="","",MAX(-3,MIN(3,('3a Raw'!I286-$N3)/$N4)))</f>
        <v/>
      </c>
      <c r="O286" s="3">
        <f>IF(N286="","",(N286-AVERAGE(N6:N1198))/(STDEV(N6:N1198)+1E-12))</f>
        <v/>
      </c>
      <c r="P286" s="3">
        <f>IF('3a Raw'!J286="","",MAX(-3,MIN(3,('3a Raw'!J286-$P3)/$P4)))</f>
        <v/>
      </c>
      <c r="Q286" s="3">
        <f>IF(P286="","",(P286-AVERAGE(P6:P1198))/(STDEV(P6:P1198)+1E-12))</f>
        <v/>
      </c>
      <c r="R286" s="3">
        <f>IF('3a Raw'!K286="","",MAX(-3,MIN(3,('3a Raw'!K286-$R3)/$R4)))</f>
        <v/>
      </c>
      <c r="S286" s="3">
        <f>IF(R286="","",(R286-AVERAGE(R6:R1198))/(STDEV(R6:R1198)+1E-12))</f>
        <v/>
      </c>
      <c r="T286" s="3">
        <f>IF('3a Raw'!L286="","",MAX(-3,MIN(3,('3a Raw'!L286-$T3)/$T4)))</f>
        <v/>
      </c>
      <c r="U286" s="3">
        <f>IF(T286="","",(T286-AVERAGE(T6:T1198))/(STDEV(T6:T1198)+1E-12))</f>
        <v/>
      </c>
      <c r="X286" s="3">
        <f>IF(U286="","",U286-($V$3*G286+$W$3))</f>
        <v/>
      </c>
      <c r="Y286" s="3">
        <f>IF(X286="","",MAX(-3,MIN(3,(X286-$X3)/$X4)))</f>
        <v/>
      </c>
      <c r="Z286" s="3">
        <f>IF(Y286="","",(Y286-AVERAGE(Y6:Y1198))/(STDEV(Y6:Y1198)+1E-12))</f>
        <v/>
      </c>
    </row>
    <row r="287">
      <c r="A287" t="inlineStr">
        <is>
          <t>BBG000BBDV81</t>
        </is>
      </c>
      <c r="B287" s="3">
        <f>IF('3a Raw'!C287="","",MAX(-3,MIN(3,('3a Raw'!C287-$B3)/$B4)))</f>
        <v/>
      </c>
      <c r="C287" s="3">
        <f>IF(B287="","",(B287-AVERAGE(B6:B1198))/(STDEV(B6:B1198)+1E-12))</f>
        <v/>
      </c>
      <c r="D287" s="3">
        <f>IF('3a Raw'!D287="","",MAX(-3,MIN(3,('3a Raw'!D287-$D3)/$D4)))</f>
        <v/>
      </c>
      <c r="E287" s="3">
        <f>IF(D287="","",(D287-AVERAGE(D6:D1198))/(STDEV(D6:D1198)+1E-12))</f>
        <v/>
      </c>
      <c r="F287" s="3">
        <f>IF('3a Raw'!E287="","",MAX(-3,MIN(3,('3a Raw'!E287-$F3)/$F4)))</f>
        <v/>
      </c>
      <c r="G287" s="3">
        <f>IF(F287="","",(F287-AVERAGE(F6:F1198))/(STDEV(F6:F1198)+1E-12))</f>
        <v/>
      </c>
      <c r="H287" s="3">
        <f>IF('3a Raw'!F287="","",MAX(-3,MIN(3,('3a Raw'!F287-$H3)/$H4)))</f>
        <v/>
      </c>
      <c r="I287" s="3">
        <f>IF(H287="","",(H287-AVERAGE(H6:H1198))/(STDEV(H6:H1198)+1E-12))</f>
        <v/>
      </c>
      <c r="J287" s="3">
        <f>IF('3a Raw'!G287="","",MAX(-3,MIN(3,('3a Raw'!G287-$J3)/$J4)))</f>
        <v/>
      </c>
      <c r="K287" s="3">
        <f>IF(J287="","",(J287-AVERAGE(J6:J1198))/(STDEV(J6:J1198)+1E-12))</f>
        <v/>
      </c>
      <c r="L287" s="3">
        <f>IF('3a Raw'!H287="","",MAX(-3,MIN(3,('3a Raw'!H287-$L3)/$L4)))</f>
        <v/>
      </c>
      <c r="M287" s="3">
        <f>IF(L287="","",(L287-AVERAGE(L6:L1198))/(STDEV(L6:L1198)+1E-12))</f>
        <v/>
      </c>
      <c r="N287" s="3">
        <f>IF('3a Raw'!I287="","",MAX(-3,MIN(3,('3a Raw'!I287-$N3)/$N4)))</f>
        <v/>
      </c>
      <c r="O287" s="3">
        <f>IF(N287="","",(N287-AVERAGE(N6:N1198))/(STDEV(N6:N1198)+1E-12))</f>
        <v/>
      </c>
      <c r="P287" s="3">
        <f>IF('3a Raw'!J287="","",MAX(-3,MIN(3,('3a Raw'!J287-$P3)/$P4)))</f>
        <v/>
      </c>
      <c r="Q287" s="3">
        <f>IF(P287="","",(P287-AVERAGE(P6:P1198))/(STDEV(P6:P1198)+1E-12))</f>
        <v/>
      </c>
      <c r="R287" s="3">
        <f>IF('3a Raw'!K287="","",MAX(-3,MIN(3,('3a Raw'!K287-$R3)/$R4)))</f>
        <v/>
      </c>
      <c r="S287" s="3">
        <f>IF(R287="","",(R287-AVERAGE(R6:R1198))/(STDEV(R6:R1198)+1E-12))</f>
        <v/>
      </c>
      <c r="T287" s="3">
        <f>IF('3a Raw'!L287="","",MAX(-3,MIN(3,('3a Raw'!L287-$T3)/$T4)))</f>
        <v/>
      </c>
      <c r="U287" s="3">
        <f>IF(T287="","",(T287-AVERAGE(T6:T1198))/(STDEV(T6:T1198)+1E-12))</f>
        <v/>
      </c>
      <c r="X287" s="3">
        <f>IF(U287="","",U287-($V$3*G287+$W$3))</f>
        <v/>
      </c>
      <c r="Y287" s="3">
        <f>IF(X287="","",MAX(-3,MIN(3,(X287-$X3)/$X4)))</f>
        <v/>
      </c>
      <c r="Z287" s="3">
        <f>IF(Y287="","",(Y287-AVERAGE(Y6:Y1198))/(STDEV(Y6:Y1198)+1E-12))</f>
        <v/>
      </c>
    </row>
    <row r="288">
      <c r="A288" t="inlineStr">
        <is>
          <t>ctva</t>
        </is>
      </c>
      <c r="B288" s="3">
        <f>IF('3a Raw'!C288="","",MAX(-3,MIN(3,('3a Raw'!C288-$B3)/$B4)))</f>
        <v/>
      </c>
      <c r="C288" s="3">
        <f>IF(B288="","",(B288-AVERAGE(B6:B1198))/(STDEV(B6:B1198)+1E-12))</f>
        <v/>
      </c>
      <c r="D288" s="3">
        <f>IF('3a Raw'!D288="","",MAX(-3,MIN(3,('3a Raw'!D288-$D3)/$D4)))</f>
        <v/>
      </c>
      <c r="E288" s="3">
        <f>IF(D288="","",(D288-AVERAGE(D6:D1198))/(STDEV(D6:D1198)+1E-12))</f>
        <v/>
      </c>
      <c r="F288" s="3">
        <f>IF('3a Raw'!E288="","",MAX(-3,MIN(3,('3a Raw'!E288-$F3)/$F4)))</f>
        <v/>
      </c>
      <c r="G288" s="3">
        <f>IF(F288="","",(F288-AVERAGE(F6:F1198))/(STDEV(F6:F1198)+1E-12))</f>
        <v/>
      </c>
      <c r="H288" s="3">
        <f>IF('3a Raw'!F288="","",MAX(-3,MIN(3,('3a Raw'!F288-$H3)/$H4)))</f>
        <v/>
      </c>
      <c r="I288" s="3">
        <f>IF(H288="","",(H288-AVERAGE(H6:H1198))/(STDEV(H6:H1198)+1E-12))</f>
        <v/>
      </c>
      <c r="J288" s="3">
        <f>IF('3a Raw'!G288="","",MAX(-3,MIN(3,('3a Raw'!G288-$J3)/$J4)))</f>
        <v/>
      </c>
      <c r="K288" s="3">
        <f>IF(J288="","",(J288-AVERAGE(J6:J1198))/(STDEV(J6:J1198)+1E-12))</f>
        <v/>
      </c>
      <c r="L288" s="3">
        <f>IF('3a Raw'!H288="","",MAX(-3,MIN(3,('3a Raw'!H288-$L3)/$L4)))</f>
        <v/>
      </c>
      <c r="M288" s="3">
        <f>IF(L288="","",(L288-AVERAGE(L6:L1198))/(STDEV(L6:L1198)+1E-12))</f>
        <v/>
      </c>
      <c r="N288" s="3">
        <f>IF('3a Raw'!I288="","",MAX(-3,MIN(3,('3a Raw'!I288-$N3)/$N4)))</f>
        <v/>
      </c>
      <c r="O288" s="3">
        <f>IF(N288="","",(N288-AVERAGE(N6:N1198))/(STDEV(N6:N1198)+1E-12))</f>
        <v/>
      </c>
      <c r="P288" s="3">
        <f>IF('3a Raw'!J288="","",MAX(-3,MIN(3,('3a Raw'!J288-$P3)/$P4)))</f>
        <v/>
      </c>
      <c r="Q288" s="3">
        <f>IF(P288="","",(P288-AVERAGE(P6:P1198))/(STDEV(P6:P1198)+1E-12))</f>
        <v/>
      </c>
      <c r="R288" s="3">
        <f>IF('3a Raw'!K288="","",MAX(-3,MIN(3,('3a Raw'!K288-$R3)/$R4)))</f>
        <v/>
      </c>
      <c r="S288" s="3">
        <f>IF(R288="","",(R288-AVERAGE(R6:R1198))/(STDEV(R6:R1198)+1E-12))</f>
        <v/>
      </c>
      <c r="T288" s="3">
        <f>IF('3a Raw'!L288="","",MAX(-3,MIN(3,('3a Raw'!L288-$T3)/$T4)))</f>
        <v/>
      </c>
      <c r="U288" s="3">
        <f>IF(T288="","",(T288-AVERAGE(T6:T1198))/(STDEV(T6:T1198)+1E-12))</f>
        <v/>
      </c>
      <c r="X288" s="3">
        <f>IF(U288="","",U288-($V$3*G288+$W$3))</f>
        <v/>
      </c>
      <c r="Y288" s="3">
        <f>IF(X288="","",MAX(-3,MIN(3,(X288-$X3)/$X4)))</f>
        <v/>
      </c>
      <c r="Z288" s="3">
        <f>IF(Y288="","",(Y288-AVERAGE(Y6:Y1198))/(STDEV(Y6:Y1198)+1E-12))</f>
        <v/>
      </c>
    </row>
    <row r="289">
      <c r="A289" t="inlineStr">
        <is>
          <t>BBG000HF28Q9</t>
        </is>
      </c>
      <c r="B289" s="3">
        <f>IF('3a Raw'!C289="","",MAX(-3,MIN(3,('3a Raw'!C289-$B3)/$B4)))</f>
        <v/>
      </c>
      <c r="C289" s="3">
        <f>IF(B289="","",(B289-AVERAGE(B6:B1198))/(STDEV(B6:B1198)+1E-12))</f>
        <v/>
      </c>
      <c r="D289" s="3">
        <f>IF('3a Raw'!D289="","",MAX(-3,MIN(3,('3a Raw'!D289-$D3)/$D4)))</f>
        <v/>
      </c>
      <c r="E289" s="3">
        <f>IF(D289="","",(D289-AVERAGE(D6:D1198))/(STDEV(D6:D1198)+1E-12))</f>
        <v/>
      </c>
      <c r="F289" s="3">
        <f>IF('3a Raw'!E289="","",MAX(-3,MIN(3,('3a Raw'!E289-$F3)/$F4)))</f>
        <v/>
      </c>
      <c r="G289" s="3">
        <f>IF(F289="","",(F289-AVERAGE(F6:F1198))/(STDEV(F6:F1198)+1E-12))</f>
        <v/>
      </c>
      <c r="H289" s="3">
        <f>IF('3a Raw'!F289="","",MAX(-3,MIN(3,('3a Raw'!F289-$H3)/$H4)))</f>
        <v/>
      </c>
      <c r="I289" s="3">
        <f>IF(H289="","",(H289-AVERAGE(H6:H1198))/(STDEV(H6:H1198)+1E-12))</f>
        <v/>
      </c>
      <c r="J289" s="3">
        <f>IF('3a Raw'!G289="","",MAX(-3,MIN(3,('3a Raw'!G289-$J3)/$J4)))</f>
        <v/>
      </c>
      <c r="K289" s="3">
        <f>IF(J289="","",(J289-AVERAGE(J6:J1198))/(STDEV(J6:J1198)+1E-12))</f>
        <v/>
      </c>
      <c r="L289" s="3">
        <f>IF('3a Raw'!H289="","",MAX(-3,MIN(3,('3a Raw'!H289-$L3)/$L4)))</f>
        <v/>
      </c>
      <c r="M289" s="3">
        <f>IF(L289="","",(L289-AVERAGE(L6:L1198))/(STDEV(L6:L1198)+1E-12))</f>
        <v/>
      </c>
      <c r="N289" s="3">
        <f>IF('3a Raw'!I289="","",MAX(-3,MIN(3,('3a Raw'!I289-$N3)/$N4)))</f>
        <v/>
      </c>
      <c r="O289" s="3">
        <f>IF(N289="","",(N289-AVERAGE(N6:N1198))/(STDEV(N6:N1198)+1E-12))</f>
        <v/>
      </c>
      <c r="P289" s="3">
        <f>IF('3a Raw'!J289="","",MAX(-3,MIN(3,('3a Raw'!J289-$P3)/$P4)))</f>
        <v/>
      </c>
      <c r="Q289" s="3">
        <f>IF(P289="","",(P289-AVERAGE(P6:P1198))/(STDEV(P6:P1198)+1E-12))</f>
        <v/>
      </c>
      <c r="R289" s="3">
        <f>IF('3a Raw'!K289="","",MAX(-3,MIN(3,('3a Raw'!K289-$R3)/$R4)))</f>
        <v/>
      </c>
      <c r="S289" s="3">
        <f>IF(R289="","",(R289-AVERAGE(R6:R1198))/(STDEV(R6:R1198)+1E-12))</f>
        <v/>
      </c>
      <c r="T289" s="3">
        <f>IF('3a Raw'!L289="","",MAX(-3,MIN(3,('3a Raw'!L289-$T3)/$T4)))</f>
        <v/>
      </c>
      <c r="U289" s="3">
        <f>IF(T289="","",(T289-AVERAGE(T6:T1198))/(STDEV(T6:T1198)+1E-12))</f>
        <v/>
      </c>
      <c r="X289" s="3">
        <f>IF(U289="","",U289-($V$3*G289+$W$3))</f>
        <v/>
      </c>
      <c r="Y289" s="3">
        <f>IF(X289="","",MAX(-3,MIN(3,(X289-$X3)/$X4)))</f>
        <v/>
      </c>
      <c r="Z289" s="3">
        <f>IF(Y289="","",(Y289-AVERAGE(Y6:Y1198))/(STDEV(Y6:Y1198)+1E-12))</f>
        <v/>
      </c>
    </row>
    <row r="290">
      <c r="A290" t="inlineStr">
        <is>
          <t>BBG0023XX761</t>
        </is>
      </c>
      <c r="B290" s="3">
        <f>IF('3a Raw'!C290="","",MAX(-3,MIN(3,('3a Raw'!C290-$B3)/$B4)))</f>
        <v/>
      </c>
      <c r="C290" s="3">
        <f>IF(B290="","",(B290-AVERAGE(B6:B1198))/(STDEV(B6:B1198)+1E-12))</f>
        <v/>
      </c>
      <c r="D290" s="3">
        <f>IF('3a Raw'!D290="","",MAX(-3,MIN(3,('3a Raw'!D290-$D3)/$D4)))</f>
        <v/>
      </c>
      <c r="E290" s="3">
        <f>IF(D290="","",(D290-AVERAGE(D6:D1198))/(STDEV(D6:D1198)+1E-12))</f>
        <v/>
      </c>
      <c r="F290" s="3">
        <f>IF('3a Raw'!E290="","",MAX(-3,MIN(3,('3a Raw'!E290-$F3)/$F4)))</f>
        <v/>
      </c>
      <c r="G290" s="3">
        <f>IF(F290="","",(F290-AVERAGE(F6:F1198))/(STDEV(F6:F1198)+1E-12))</f>
        <v/>
      </c>
      <c r="H290" s="3">
        <f>IF('3a Raw'!F290="","",MAX(-3,MIN(3,('3a Raw'!F290-$H3)/$H4)))</f>
        <v/>
      </c>
      <c r="I290" s="3">
        <f>IF(H290="","",(H290-AVERAGE(H6:H1198))/(STDEV(H6:H1198)+1E-12))</f>
        <v/>
      </c>
      <c r="J290" s="3">
        <f>IF('3a Raw'!G290="","",MAX(-3,MIN(3,('3a Raw'!G290-$J3)/$J4)))</f>
        <v/>
      </c>
      <c r="K290" s="3">
        <f>IF(J290="","",(J290-AVERAGE(J6:J1198))/(STDEV(J6:J1198)+1E-12))</f>
        <v/>
      </c>
      <c r="L290" s="3">
        <f>IF('3a Raw'!H290="","",MAX(-3,MIN(3,('3a Raw'!H290-$L3)/$L4)))</f>
        <v/>
      </c>
      <c r="M290" s="3">
        <f>IF(L290="","",(L290-AVERAGE(L6:L1198))/(STDEV(L6:L1198)+1E-12))</f>
        <v/>
      </c>
      <c r="N290" s="3">
        <f>IF('3a Raw'!I290="","",MAX(-3,MIN(3,('3a Raw'!I290-$N3)/$N4)))</f>
        <v/>
      </c>
      <c r="O290" s="3">
        <f>IF(N290="","",(N290-AVERAGE(N6:N1198))/(STDEV(N6:N1198)+1E-12))</f>
        <v/>
      </c>
      <c r="P290" s="3">
        <f>IF('3a Raw'!J290="","",MAX(-3,MIN(3,('3a Raw'!J290-$P3)/$P4)))</f>
        <v/>
      </c>
      <c r="Q290" s="3">
        <f>IF(P290="","",(P290-AVERAGE(P6:P1198))/(STDEV(P6:P1198)+1E-12))</f>
        <v/>
      </c>
      <c r="R290" s="3">
        <f>IF('3a Raw'!K290="","",MAX(-3,MIN(3,('3a Raw'!K290-$R3)/$R4)))</f>
        <v/>
      </c>
      <c r="S290" s="3">
        <f>IF(R290="","",(R290-AVERAGE(R6:R1198))/(STDEV(R6:R1198)+1E-12))</f>
        <v/>
      </c>
      <c r="T290" s="3">
        <f>IF('3a Raw'!L290="","",MAX(-3,MIN(3,('3a Raw'!L290-$T3)/$T4)))</f>
        <v/>
      </c>
      <c r="U290" s="3">
        <f>IF(T290="","",(T290-AVERAGE(T6:T1198))/(STDEV(T6:T1198)+1E-12))</f>
        <v/>
      </c>
      <c r="X290" s="3">
        <f>IF(U290="","",U290-($V$3*G290+$W$3))</f>
        <v/>
      </c>
      <c r="Y290" s="3">
        <f>IF(X290="","",MAX(-3,MIN(3,(X290-$X3)/$X4)))</f>
        <v/>
      </c>
      <c r="Z290" s="3">
        <f>IF(Y290="","",(Y290-AVERAGE(Y6:Y1198))/(STDEV(Y6:Y1198)+1E-12))</f>
        <v/>
      </c>
    </row>
    <row r="291">
      <c r="A291" t="inlineStr">
        <is>
          <t>BBG000PSJP22</t>
        </is>
      </c>
      <c r="B291" s="3">
        <f>IF('3a Raw'!C291="","",MAX(-3,MIN(3,('3a Raw'!C291-$B3)/$B4)))</f>
        <v/>
      </c>
      <c r="C291" s="3">
        <f>IF(B291="","",(B291-AVERAGE(B6:B1198))/(STDEV(B6:B1198)+1E-12))</f>
        <v/>
      </c>
      <c r="D291" s="3">
        <f>IF('3a Raw'!D291="","",MAX(-3,MIN(3,('3a Raw'!D291-$D3)/$D4)))</f>
        <v/>
      </c>
      <c r="E291" s="3">
        <f>IF(D291="","",(D291-AVERAGE(D6:D1198))/(STDEV(D6:D1198)+1E-12))</f>
        <v/>
      </c>
      <c r="F291" s="3">
        <f>IF('3a Raw'!E291="","",MAX(-3,MIN(3,('3a Raw'!E291-$F3)/$F4)))</f>
        <v/>
      </c>
      <c r="G291" s="3">
        <f>IF(F291="","",(F291-AVERAGE(F6:F1198))/(STDEV(F6:F1198)+1E-12))</f>
        <v/>
      </c>
      <c r="H291" s="3">
        <f>IF('3a Raw'!F291="","",MAX(-3,MIN(3,('3a Raw'!F291-$H3)/$H4)))</f>
        <v/>
      </c>
      <c r="I291" s="3">
        <f>IF(H291="","",(H291-AVERAGE(H6:H1198))/(STDEV(H6:H1198)+1E-12))</f>
        <v/>
      </c>
      <c r="J291" s="3">
        <f>IF('3a Raw'!G291="","",MAX(-3,MIN(3,('3a Raw'!G291-$J3)/$J4)))</f>
        <v/>
      </c>
      <c r="K291" s="3">
        <f>IF(J291="","",(J291-AVERAGE(J6:J1198))/(STDEV(J6:J1198)+1E-12))</f>
        <v/>
      </c>
      <c r="L291" s="3">
        <f>IF('3a Raw'!H291="","",MAX(-3,MIN(3,('3a Raw'!H291-$L3)/$L4)))</f>
        <v/>
      </c>
      <c r="M291" s="3">
        <f>IF(L291="","",(L291-AVERAGE(L6:L1198))/(STDEV(L6:L1198)+1E-12))</f>
        <v/>
      </c>
      <c r="N291" s="3">
        <f>IF('3a Raw'!I291="","",MAX(-3,MIN(3,('3a Raw'!I291-$N3)/$N4)))</f>
        <v/>
      </c>
      <c r="O291" s="3">
        <f>IF(N291="","",(N291-AVERAGE(N6:N1198))/(STDEV(N6:N1198)+1E-12))</f>
        <v/>
      </c>
      <c r="P291" s="3">
        <f>IF('3a Raw'!J291="","",MAX(-3,MIN(3,('3a Raw'!J291-$P3)/$P4)))</f>
        <v/>
      </c>
      <c r="Q291" s="3">
        <f>IF(P291="","",(P291-AVERAGE(P6:P1198))/(STDEV(P6:P1198)+1E-12))</f>
        <v/>
      </c>
      <c r="R291" s="3">
        <f>IF('3a Raw'!K291="","",MAX(-3,MIN(3,('3a Raw'!K291-$R3)/$R4)))</f>
        <v/>
      </c>
      <c r="S291" s="3">
        <f>IF(R291="","",(R291-AVERAGE(R6:R1198))/(STDEV(R6:R1198)+1E-12))</f>
        <v/>
      </c>
      <c r="T291" s="3">
        <f>IF('3a Raw'!L291="","",MAX(-3,MIN(3,('3a Raw'!L291-$T3)/$T4)))</f>
        <v/>
      </c>
      <c r="U291" s="3">
        <f>IF(T291="","",(T291-AVERAGE(T6:T1198))/(STDEV(T6:T1198)+1E-12))</f>
        <v/>
      </c>
      <c r="X291" s="3">
        <f>IF(U291="","",U291-($V$3*G291+$W$3))</f>
        <v/>
      </c>
      <c r="Y291" s="3">
        <f>IF(X291="","",MAX(-3,MIN(3,(X291-$X3)/$X4)))</f>
        <v/>
      </c>
      <c r="Z291" s="3">
        <f>IF(Y291="","",(Y291-AVERAGE(Y6:Y1198))/(STDEV(Y6:Y1198)+1E-12))</f>
        <v/>
      </c>
    </row>
    <row r="292">
      <c r="A292" t="inlineStr">
        <is>
          <t>BBG000BG88X9</t>
        </is>
      </c>
      <c r="B292" s="3">
        <f>IF('3a Raw'!C292="","",MAX(-3,MIN(3,('3a Raw'!C292-$B3)/$B4)))</f>
        <v/>
      </c>
      <c r="C292" s="3">
        <f>IF(B292="","",(B292-AVERAGE(B6:B1198))/(STDEV(B6:B1198)+1E-12))</f>
        <v/>
      </c>
      <c r="D292" s="3">
        <f>IF('3a Raw'!D292="","",MAX(-3,MIN(3,('3a Raw'!D292-$D3)/$D4)))</f>
        <v/>
      </c>
      <c r="E292" s="3">
        <f>IF(D292="","",(D292-AVERAGE(D6:D1198))/(STDEV(D6:D1198)+1E-12))</f>
        <v/>
      </c>
      <c r="F292" s="3">
        <f>IF('3a Raw'!E292="","",MAX(-3,MIN(3,('3a Raw'!E292-$F3)/$F4)))</f>
        <v/>
      </c>
      <c r="G292" s="3">
        <f>IF(F292="","",(F292-AVERAGE(F6:F1198))/(STDEV(F6:F1198)+1E-12))</f>
        <v/>
      </c>
      <c r="H292" s="3">
        <f>IF('3a Raw'!F292="","",MAX(-3,MIN(3,('3a Raw'!F292-$H3)/$H4)))</f>
        <v/>
      </c>
      <c r="I292" s="3">
        <f>IF(H292="","",(H292-AVERAGE(H6:H1198))/(STDEV(H6:H1198)+1E-12))</f>
        <v/>
      </c>
      <c r="J292" s="3">
        <f>IF('3a Raw'!G292="","",MAX(-3,MIN(3,('3a Raw'!G292-$J3)/$J4)))</f>
        <v/>
      </c>
      <c r="K292" s="3">
        <f>IF(J292="","",(J292-AVERAGE(J6:J1198))/(STDEV(J6:J1198)+1E-12))</f>
        <v/>
      </c>
      <c r="L292" s="3">
        <f>IF('3a Raw'!H292="","",MAX(-3,MIN(3,('3a Raw'!H292-$L3)/$L4)))</f>
        <v/>
      </c>
      <c r="M292" s="3">
        <f>IF(L292="","",(L292-AVERAGE(L6:L1198))/(STDEV(L6:L1198)+1E-12))</f>
        <v/>
      </c>
      <c r="N292" s="3">
        <f>IF('3a Raw'!I292="","",MAX(-3,MIN(3,('3a Raw'!I292-$N3)/$N4)))</f>
        <v/>
      </c>
      <c r="O292" s="3">
        <f>IF(N292="","",(N292-AVERAGE(N6:N1198))/(STDEV(N6:N1198)+1E-12))</f>
        <v/>
      </c>
      <c r="P292" s="3">
        <f>IF('3a Raw'!J292="","",MAX(-3,MIN(3,('3a Raw'!J292-$P3)/$P4)))</f>
        <v/>
      </c>
      <c r="Q292" s="3">
        <f>IF(P292="","",(P292-AVERAGE(P6:P1198))/(STDEV(P6:P1198)+1E-12))</f>
        <v/>
      </c>
      <c r="R292" s="3">
        <f>IF('3a Raw'!K292="","",MAX(-3,MIN(3,('3a Raw'!K292-$R3)/$R4)))</f>
        <v/>
      </c>
      <c r="S292" s="3">
        <f>IF(R292="","",(R292-AVERAGE(R6:R1198))/(STDEV(R6:R1198)+1E-12))</f>
        <v/>
      </c>
      <c r="T292" s="3">
        <f>IF('3a Raw'!L292="","",MAX(-3,MIN(3,('3a Raw'!L292-$T3)/$T4)))</f>
        <v/>
      </c>
      <c r="U292" s="3">
        <f>IF(T292="","",(T292-AVERAGE(T6:T1198))/(STDEV(T6:T1198)+1E-12))</f>
        <v/>
      </c>
      <c r="X292" s="3">
        <f>IF(U292="","",U292-($V$3*G292+$W$3))</f>
        <v/>
      </c>
      <c r="Y292" s="3">
        <f>IF(X292="","",MAX(-3,MIN(3,(X292-$X3)/$X4)))</f>
        <v/>
      </c>
      <c r="Z292" s="3">
        <f>IF(Y292="","",(Y292-AVERAGE(Y6:Y1198))/(STDEV(Y6:Y1198)+1E-12))</f>
        <v/>
      </c>
    </row>
    <row r="293">
      <c r="A293" t="inlineStr">
        <is>
          <t>BBG00GCTWDJ3</t>
        </is>
      </c>
      <c r="B293" s="3">
        <f>IF('3a Raw'!C293="","",MAX(-3,MIN(3,('3a Raw'!C293-$B3)/$B4)))</f>
        <v/>
      </c>
      <c r="C293" s="3">
        <f>IF(B293="","",(B293-AVERAGE(B6:B1198))/(STDEV(B6:B1198)+1E-12))</f>
        <v/>
      </c>
      <c r="D293" s="3">
        <f>IF('3a Raw'!D293="","",MAX(-3,MIN(3,('3a Raw'!D293-$D3)/$D4)))</f>
        <v/>
      </c>
      <c r="E293" s="3">
        <f>IF(D293="","",(D293-AVERAGE(D6:D1198))/(STDEV(D6:D1198)+1E-12))</f>
        <v/>
      </c>
      <c r="F293" s="3">
        <f>IF('3a Raw'!E293="","",MAX(-3,MIN(3,('3a Raw'!E293-$F3)/$F4)))</f>
        <v/>
      </c>
      <c r="G293" s="3">
        <f>IF(F293="","",(F293-AVERAGE(F6:F1198))/(STDEV(F6:F1198)+1E-12))</f>
        <v/>
      </c>
      <c r="H293" s="3">
        <f>IF('3a Raw'!F293="","",MAX(-3,MIN(3,('3a Raw'!F293-$H3)/$H4)))</f>
        <v/>
      </c>
      <c r="I293" s="3">
        <f>IF(H293="","",(H293-AVERAGE(H6:H1198))/(STDEV(H6:H1198)+1E-12))</f>
        <v/>
      </c>
      <c r="J293" s="3">
        <f>IF('3a Raw'!G293="","",MAX(-3,MIN(3,('3a Raw'!G293-$J3)/$J4)))</f>
        <v/>
      </c>
      <c r="K293" s="3">
        <f>IF(J293="","",(J293-AVERAGE(J6:J1198))/(STDEV(J6:J1198)+1E-12))</f>
        <v/>
      </c>
      <c r="L293" s="3">
        <f>IF('3a Raw'!H293="","",MAX(-3,MIN(3,('3a Raw'!H293-$L3)/$L4)))</f>
        <v/>
      </c>
      <c r="M293" s="3">
        <f>IF(L293="","",(L293-AVERAGE(L6:L1198))/(STDEV(L6:L1198)+1E-12))</f>
        <v/>
      </c>
      <c r="N293" s="3">
        <f>IF('3a Raw'!I293="","",MAX(-3,MIN(3,('3a Raw'!I293-$N3)/$N4)))</f>
        <v/>
      </c>
      <c r="O293" s="3">
        <f>IF(N293="","",(N293-AVERAGE(N6:N1198))/(STDEV(N6:N1198)+1E-12))</f>
        <v/>
      </c>
      <c r="P293" s="3">
        <f>IF('3a Raw'!J293="","",MAX(-3,MIN(3,('3a Raw'!J293-$P3)/$P4)))</f>
        <v/>
      </c>
      <c r="Q293" s="3">
        <f>IF(P293="","",(P293-AVERAGE(P6:P1198))/(STDEV(P6:P1198)+1E-12))</f>
        <v/>
      </c>
      <c r="R293" s="3">
        <f>IF('3a Raw'!K293="","",MAX(-3,MIN(3,('3a Raw'!K293-$R3)/$R4)))</f>
        <v/>
      </c>
      <c r="S293" s="3">
        <f>IF(R293="","",(R293-AVERAGE(R6:R1198))/(STDEV(R6:R1198)+1E-12))</f>
        <v/>
      </c>
      <c r="T293" s="3">
        <f>IF('3a Raw'!L293="","",MAX(-3,MIN(3,('3a Raw'!L293-$T3)/$T4)))</f>
        <v/>
      </c>
      <c r="U293" s="3">
        <f>IF(T293="","",(T293-AVERAGE(T6:T1198))/(STDEV(T6:T1198)+1E-12))</f>
        <v/>
      </c>
      <c r="X293" s="3">
        <f>IF(U293="","",U293-($V$3*G293+$W$3))</f>
        <v/>
      </c>
      <c r="Y293" s="3">
        <f>IF(X293="","",MAX(-3,MIN(3,(X293-$X3)/$X4)))</f>
        <v/>
      </c>
      <c r="Z293" s="3">
        <f>IF(Y293="","",(Y293-AVERAGE(Y6:Y1198))/(STDEV(Y6:Y1198)+1E-12))</f>
        <v/>
      </c>
    </row>
    <row r="294">
      <c r="A294" t="inlineStr">
        <is>
          <t>BBG000BGRY34</t>
        </is>
      </c>
      <c r="B294" s="3">
        <f>IF('3a Raw'!C294="","",MAX(-3,MIN(3,('3a Raw'!C294-$B3)/$B4)))</f>
        <v/>
      </c>
      <c r="C294" s="3">
        <f>IF(B294="","",(B294-AVERAGE(B6:B1198))/(STDEV(B6:B1198)+1E-12))</f>
        <v/>
      </c>
      <c r="D294" s="3">
        <f>IF('3a Raw'!D294="","",MAX(-3,MIN(3,('3a Raw'!D294-$D3)/$D4)))</f>
        <v/>
      </c>
      <c r="E294" s="3">
        <f>IF(D294="","",(D294-AVERAGE(D6:D1198))/(STDEV(D6:D1198)+1E-12))</f>
        <v/>
      </c>
      <c r="F294" s="3">
        <f>IF('3a Raw'!E294="","",MAX(-3,MIN(3,('3a Raw'!E294-$F3)/$F4)))</f>
        <v/>
      </c>
      <c r="G294" s="3">
        <f>IF(F294="","",(F294-AVERAGE(F6:F1198))/(STDEV(F6:F1198)+1E-12))</f>
        <v/>
      </c>
      <c r="H294" s="3">
        <f>IF('3a Raw'!F294="","",MAX(-3,MIN(3,('3a Raw'!F294-$H3)/$H4)))</f>
        <v/>
      </c>
      <c r="I294" s="3">
        <f>IF(H294="","",(H294-AVERAGE(H6:H1198))/(STDEV(H6:H1198)+1E-12))</f>
        <v/>
      </c>
      <c r="J294" s="3">
        <f>IF('3a Raw'!G294="","",MAX(-3,MIN(3,('3a Raw'!G294-$J3)/$J4)))</f>
        <v/>
      </c>
      <c r="K294" s="3">
        <f>IF(J294="","",(J294-AVERAGE(J6:J1198))/(STDEV(J6:J1198)+1E-12))</f>
        <v/>
      </c>
      <c r="L294" s="3">
        <f>IF('3a Raw'!H294="","",MAX(-3,MIN(3,('3a Raw'!H294-$L3)/$L4)))</f>
        <v/>
      </c>
      <c r="M294" s="3">
        <f>IF(L294="","",(L294-AVERAGE(L6:L1198))/(STDEV(L6:L1198)+1E-12))</f>
        <v/>
      </c>
      <c r="N294" s="3">
        <f>IF('3a Raw'!I294="","",MAX(-3,MIN(3,('3a Raw'!I294-$N3)/$N4)))</f>
        <v/>
      </c>
      <c r="O294" s="3">
        <f>IF(N294="","",(N294-AVERAGE(N6:N1198))/(STDEV(N6:N1198)+1E-12))</f>
        <v/>
      </c>
      <c r="P294" s="3">
        <f>IF('3a Raw'!J294="","",MAX(-3,MIN(3,('3a Raw'!J294-$P3)/$P4)))</f>
        <v/>
      </c>
      <c r="Q294" s="3">
        <f>IF(P294="","",(P294-AVERAGE(P6:P1198))/(STDEV(P6:P1198)+1E-12))</f>
        <v/>
      </c>
      <c r="R294" s="3">
        <f>IF('3a Raw'!K294="","",MAX(-3,MIN(3,('3a Raw'!K294-$R3)/$R4)))</f>
        <v/>
      </c>
      <c r="S294" s="3">
        <f>IF(R294="","",(R294-AVERAGE(R6:R1198))/(STDEV(R6:R1198)+1E-12))</f>
        <v/>
      </c>
      <c r="T294" s="3">
        <f>IF('3a Raw'!L294="","",MAX(-3,MIN(3,('3a Raw'!L294-$T3)/$T4)))</f>
        <v/>
      </c>
      <c r="U294" s="3">
        <f>IF(T294="","",(T294-AVERAGE(T6:T1198))/(STDEV(T6:T1198)+1E-12))</f>
        <v/>
      </c>
      <c r="X294" s="3">
        <f>IF(U294="","",U294-($V$3*G294+$W$3))</f>
        <v/>
      </c>
      <c r="Y294" s="3">
        <f>IF(X294="","",MAX(-3,MIN(3,(X294-$X3)/$X4)))</f>
        <v/>
      </c>
      <c r="Z294" s="3">
        <f>IF(Y294="","",(Y294-AVERAGE(Y6:Y1198))/(STDEV(Y6:Y1198)+1E-12))</f>
        <v/>
      </c>
    </row>
    <row r="295">
      <c r="A295" t="inlineStr">
        <is>
          <t>BBG000DQBZJ7</t>
        </is>
      </c>
      <c r="B295" s="3">
        <f>IF('3a Raw'!C295="","",MAX(-3,MIN(3,('3a Raw'!C295-$B3)/$B4)))</f>
        <v/>
      </c>
      <c r="C295" s="3">
        <f>IF(B295="","",(B295-AVERAGE(B6:B1198))/(STDEV(B6:B1198)+1E-12))</f>
        <v/>
      </c>
      <c r="D295" s="3">
        <f>IF('3a Raw'!D295="","",MAX(-3,MIN(3,('3a Raw'!D295-$D3)/$D4)))</f>
        <v/>
      </c>
      <c r="E295" s="3">
        <f>IF(D295="","",(D295-AVERAGE(D6:D1198))/(STDEV(D6:D1198)+1E-12))</f>
        <v/>
      </c>
      <c r="F295" s="3">
        <f>IF('3a Raw'!E295="","",MAX(-3,MIN(3,('3a Raw'!E295-$F3)/$F4)))</f>
        <v/>
      </c>
      <c r="G295" s="3">
        <f>IF(F295="","",(F295-AVERAGE(F6:F1198))/(STDEV(F6:F1198)+1E-12))</f>
        <v/>
      </c>
      <c r="H295" s="3">
        <f>IF('3a Raw'!F295="","",MAX(-3,MIN(3,('3a Raw'!F295-$H3)/$H4)))</f>
        <v/>
      </c>
      <c r="I295" s="3">
        <f>IF(H295="","",(H295-AVERAGE(H6:H1198))/(STDEV(H6:H1198)+1E-12))</f>
        <v/>
      </c>
      <c r="J295" s="3">
        <f>IF('3a Raw'!G295="","",MAX(-3,MIN(3,('3a Raw'!G295-$J3)/$J4)))</f>
        <v/>
      </c>
      <c r="K295" s="3">
        <f>IF(J295="","",(J295-AVERAGE(J6:J1198))/(STDEV(J6:J1198)+1E-12))</f>
        <v/>
      </c>
      <c r="L295" s="3">
        <f>IF('3a Raw'!H295="","",MAX(-3,MIN(3,('3a Raw'!H295-$L3)/$L4)))</f>
        <v/>
      </c>
      <c r="M295" s="3">
        <f>IF(L295="","",(L295-AVERAGE(L6:L1198))/(STDEV(L6:L1198)+1E-12))</f>
        <v/>
      </c>
      <c r="N295" s="3">
        <f>IF('3a Raw'!I295="","",MAX(-3,MIN(3,('3a Raw'!I295-$N3)/$N4)))</f>
        <v/>
      </c>
      <c r="O295" s="3">
        <f>IF(N295="","",(N295-AVERAGE(N6:N1198))/(STDEV(N6:N1198)+1E-12))</f>
        <v/>
      </c>
      <c r="P295" s="3">
        <f>IF('3a Raw'!J295="","",MAX(-3,MIN(3,('3a Raw'!J295-$P3)/$P4)))</f>
        <v/>
      </c>
      <c r="Q295" s="3">
        <f>IF(P295="","",(P295-AVERAGE(P6:P1198))/(STDEV(P6:P1198)+1E-12))</f>
        <v/>
      </c>
      <c r="R295" s="3">
        <f>IF('3a Raw'!K295="","",MAX(-3,MIN(3,('3a Raw'!K295-$R3)/$R4)))</f>
        <v/>
      </c>
      <c r="S295" s="3">
        <f>IF(R295="","",(R295-AVERAGE(R6:R1198))/(STDEV(R6:R1198)+1E-12))</f>
        <v/>
      </c>
      <c r="T295" s="3">
        <f>IF('3a Raw'!L295="","",MAX(-3,MIN(3,('3a Raw'!L295-$T3)/$T4)))</f>
        <v/>
      </c>
      <c r="U295" s="3">
        <f>IF(T295="","",(T295-AVERAGE(T6:T1198))/(STDEV(T6:T1198)+1E-12))</f>
        <v/>
      </c>
      <c r="X295" s="3">
        <f>IF(U295="","",U295-($V$3*G295+$W$3))</f>
        <v/>
      </c>
      <c r="Y295" s="3">
        <f>IF(X295="","",MAX(-3,MIN(3,(X295-$X3)/$X4)))</f>
        <v/>
      </c>
      <c r="Z295" s="3">
        <f>IF(Y295="","",(Y295-AVERAGE(Y6:Y1198))/(STDEV(Y6:Y1198)+1E-12))</f>
        <v/>
      </c>
    </row>
    <row r="296">
      <c r="A296" t="inlineStr">
        <is>
          <t>BBG000K4ND22</t>
        </is>
      </c>
      <c r="B296" s="3">
        <f>IF('3a Raw'!C296="","",MAX(-3,MIN(3,('3a Raw'!C296-$B3)/$B4)))</f>
        <v/>
      </c>
      <c r="C296" s="3">
        <f>IF(B296="","",(B296-AVERAGE(B6:B1198))/(STDEV(B6:B1198)+1E-12))</f>
        <v/>
      </c>
      <c r="D296" s="3">
        <f>IF('3a Raw'!D296="","",MAX(-3,MIN(3,('3a Raw'!D296-$D3)/$D4)))</f>
        <v/>
      </c>
      <c r="E296" s="3">
        <f>IF(D296="","",(D296-AVERAGE(D6:D1198))/(STDEV(D6:D1198)+1E-12))</f>
        <v/>
      </c>
      <c r="F296" s="3">
        <f>IF('3a Raw'!E296="","",MAX(-3,MIN(3,('3a Raw'!E296-$F3)/$F4)))</f>
        <v/>
      </c>
      <c r="G296" s="3">
        <f>IF(F296="","",(F296-AVERAGE(F6:F1198))/(STDEV(F6:F1198)+1E-12))</f>
        <v/>
      </c>
      <c r="H296" s="3">
        <f>IF('3a Raw'!F296="","",MAX(-3,MIN(3,('3a Raw'!F296-$H3)/$H4)))</f>
        <v/>
      </c>
      <c r="I296" s="3">
        <f>IF(H296="","",(H296-AVERAGE(H6:H1198))/(STDEV(H6:H1198)+1E-12))</f>
        <v/>
      </c>
      <c r="J296" s="3">
        <f>IF('3a Raw'!G296="","",MAX(-3,MIN(3,('3a Raw'!G296-$J3)/$J4)))</f>
        <v/>
      </c>
      <c r="K296" s="3">
        <f>IF(J296="","",(J296-AVERAGE(J6:J1198))/(STDEV(J6:J1198)+1E-12))</f>
        <v/>
      </c>
      <c r="L296" s="3">
        <f>IF('3a Raw'!H296="","",MAX(-3,MIN(3,('3a Raw'!H296-$L3)/$L4)))</f>
        <v/>
      </c>
      <c r="M296" s="3">
        <f>IF(L296="","",(L296-AVERAGE(L6:L1198))/(STDEV(L6:L1198)+1E-12))</f>
        <v/>
      </c>
      <c r="N296" s="3">
        <f>IF('3a Raw'!I296="","",MAX(-3,MIN(3,('3a Raw'!I296-$N3)/$N4)))</f>
        <v/>
      </c>
      <c r="O296" s="3">
        <f>IF(N296="","",(N296-AVERAGE(N6:N1198))/(STDEV(N6:N1198)+1E-12))</f>
        <v/>
      </c>
      <c r="P296" s="3">
        <f>IF('3a Raw'!J296="","",MAX(-3,MIN(3,('3a Raw'!J296-$P3)/$P4)))</f>
        <v/>
      </c>
      <c r="Q296" s="3">
        <f>IF(P296="","",(P296-AVERAGE(P6:P1198))/(STDEV(P6:P1198)+1E-12))</f>
        <v/>
      </c>
      <c r="R296" s="3">
        <f>IF('3a Raw'!K296="","",MAX(-3,MIN(3,('3a Raw'!K296-$R3)/$R4)))</f>
        <v/>
      </c>
      <c r="S296" s="3">
        <f>IF(R296="","",(R296-AVERAGE(R6:R1198))/(STDEV(R6:R1198)+1E-12))</f>
        <v/>
      </c>
      <c r="T296" s="3">
        <f>IF('3a Raw'!L296="","",MAX(-3,MIN(3,('3a Raw'!L296-$T3)/$T4)))</f>
        <v/>
      </c>
      <c r="U296" s="3">
        <f>IF(T296="","",(T296-AVERAGE(T6:T1198))/(STDEV(T6:T1198)+1E-12))</f>
        <v/>
      </c>
      <c r="X296" s="3">
        <f>IF(U296="","",U296-($V$3*G296+$W$3))</f>
        <v/>
      </c>
      <c r="Y296" s="3">
        <f>IF(X296="","",MAX(-3,MIN(3,(X296-$X3)/$X4)))</f>
        <v/>
      </c>
      <c r="Z296" s="3">
        <f>IF(Y296="","",(Y296-AVERAGE(Y6:Y1198))/(STDEV(Y6:Y1198)+1E-12))</f>
        <v/>
      </c>
    </row>
    <row r="297">
      <c r="A297" t="inlineStr">
        <is>
          <t>BBG012C765L4</t>
        </is>
      </c>
      <c r="B297" s="3">
        <f>IF('3a Raw'!C297="","",MAX(-3,MIN(3,('3a Raw'!C297-$B3)/$B4)))</f>
        <v/>
      </c>
      <c r="C297" s="3">
        <f>IF(B297="","",(B297-AVERAGE(B6:B1198))/(STDEV(B6:B1198)+1E-12))</f>
        <v/>
      </c>
      <c r="D297" s="3">
        <f>IF('3a Raw'!D297="","",MAX(-3,MIN(3,('3a Raw'!D297-$D3)/$D4)))</f>
        <v/>
      </c>
      <c r="E297" s="3">
        <f>IF(D297="","",(D297-AVERAGE(D6:D1198))/(STDEV(D6:D1198)+1E-12))</f>
        <v/>
      </c>
      <c r="F297" s="3">
        <f>IF('3a Raw'!E297="","",MAX(-3,MIN(3,('3a Raw'!E297-$F3)/$F4)))</f>
        <v/>
      </c>
      <c r="G297" s="3">
        <f>IF(F297="","",(F297-AVERAGE(F6:F1198))/(STDEV(F6:F1198)+1E-12))</f>
        <v/>
      </c>
      <c r="H297" s="3">
        <f>IF('3a Raw'!F297="","",MAX(-3,MIN(3,('3a Raw'!F297-$H3)/$H4)))</f>
        <v/>
      </c>
      <c r="I297" s="3">
        <f>IF(H297="","",(H297-AVERAGE(H6:H1198))/(STDEV(H6:H1198)+1E-12))</f>
        <v/>
      </c>
      <c r="J297" s="3">
        <f>IF('3a Raw'!G297="","",MAX(-3,MIN(3,('3a Raw'!G297-$J3)/$J4)))</f>
        <v/>
      </c>
      <c r="K297" s="3">
        <f>IF(J297="","",(J297-AVERAGE(J6:J1198))/(STDEV(J6:J1198)+1E-12))</f>
        <v/>
      </c>
      <c r="L297" s="3">
        <f>IF('3a Raw'!H297="","",MAX(-3,MIN(3,('3a Raw'!H297-$L3)/$L4)))</f>
        <v/>
      </c>
      <c r="M297" s="3">
        <f>IF(L297="","",(L297-AVERAGE(L6:L1198))/(STDEV(L6:L1198)+1E-12))</f>
        <v/>
      </c>
      <c r="N297" s="3">
        <f>IF('3a Raw'!I297="","",MAX(-3,MIN(3,('3a Raw'!I297-$N3)/$N4)))</f>
        <v/>
      </c>
      <c r="O297" s="3">
        <f>IF(N297="","",(N297-AVERAGE(N6:N1198))/(STDEV(N6:N1198)+1E-12))</f>
        <v/>
      </c>
      <c r="P297" s="3">
        <f>IF('3a Raw'!J297="","",MAX(-3,MIN(3,('3a Raw'!J297-$P3)/$P4)))</f>
        <v/>
      </c>
      <c r="Q297" s="3">
        <f>IF(P297="","",(P297-AVERAGE(P6:P1198))/(STDEV(P6:P1198)+1E-12))</f>
        <v/>
      </c>
      <c r="R297" s="3">
        <f>IF('3a Raw'!K297="","",MAX(-3,MIN(3,('3a Raw'!K297-$R3)/$R4)))</f>
        <v/>
      </c>
      <c r="S297" s="3">
        <f>IF(R297="","",(R297-AVERAGE(R6:R1198))/(STDEV(R6:R1198)+1E-12))</f>
        <v/>
      </c>
      <c r="T297" s="3">
        <f>IF('3a Raw'!L297="","",MAX(-3,MIN(3,('3a Raw'!L297-$T3)/$T4)))</f>
        <v/>
      </c>
      <c r="U297" s="3">
        <f>IF(T297="","",(T297-AVERAGE(T6:T1198))/(STDEV(T6:T1198)+1E-12))</f>
        <v/>
      </c>
      <c r="X297" s="3">
        <f>IF(U297="","",U297-($V$3*G297+$W$3))</f>
        <v/>
      </c>
      <c r="Y297" s="3">
        <f>IF(X297="","",MAX(-3,MIN(3,(X297-$X3)/$X4)))</f>
        <v/>
      </c>
      <c r="Z297" s="3">
        <f>IF(Y297="","",(Y297-AVERAGE(Y6:Y1198))/(STDEV(Y6:Y1198)+1E-12))</f>
        <v/>
      </c>
    </row>
    <row r="298">
      <c r="A298" t="inlineStr">
        <is>
          <t>BBG00D2Z7X83</t>
        </is>
      </c>
      <c r="B298" s="3">
        <f>IF('3a Raw'!C298="","",MAX(-3,MIN(3,('3a Raw'!C298-$B3)/$B4)))</f>
        <v/>
      </c>
      <c r="C298" s="3">
        <f>IF(B298="","",(B298-AVERAGE(B6:B1198))/(STDEV(B6:B1198)+1E-12))</f>
        <v/>
      </c>
      <c r="D298" s="3">
        <f>IF('3a Raw'!D298="","",MAX(-3,MIN(3,('3a Raw'!D298-$D3)/$D4)))</f>
        <v/>
      </c>
      <c r="E298" s="3">
        <f>IF(D298="","",(D298-AVERAGE(D6:D1198))/(STDEV(D6:D1198)+1E-12))</f>
        <v/>
      </c>
      <c r="F298" s="3">
        <f>IF('3a Raw'!E298="","",MAX(-3,MIN(3,('3a Raw'!E298-$F3)/$F4)))</f>
        <v/>
      </c>
      <c r="G298" s="3">
        <f>IF(F298="","",(F298-AVERAGE(F6:F1198))/(STDEV(F6:F1198)+1E-12))</f>
        <v/>
      </c>
      <c r="H298" s="3">
        <f>IF('3a Raw'!F298="","",MAX(-3,MIN(3,('3a Raw'!F298-$H3)/$H4)))</f>
        <v/>
      </c>
      <c r="I298" s="3">
        <f>IF(H298="","",(H298-AVERAGE(H6:H1198))/(STDEV(H6:H1198)+1E-12))</f>
        <v/>
      </c>
      <c r="J298" s="3">
        <f>IF('3a Raw'!G298="","",MAX(-3,MIN(3,('3a Raw'!G298-$J3)/$J4)))</f>
        <v/>
      </c>
      <c r="K298" s="3">
        <f>IF(J298="","",(J298-AVERAGE(J6:J1198))/(STDEV(J6:J1198)+1E-12))</f>
        <v/>
      </c>
      <c r="L298" s="3">
        <f>IF('3a Raw'!H298="","",MAX(-3,MIN(3,('3a Raw'!H298-$L3)/$L4)))</f>
        <v/>
      </c>
      <c r="M298" s="3">
        <f>IF(L298="","",(L298-AVERAGE(L6:L1198))/(STDEV(L6:L1198)+1E-12))</f>
        <v/>
      </c>
      <c r="N298" s="3">
        <f>IF('3a Raw'!I298="","",MAX(-3,MIN(3,('3a Raw'!I298-$N3)/$N4)))</f>
        <v/>
      </c>
      <c r="O298" s="3">
        <f>IF(N298="","",(N298-AVERAGE(N6:N1198))/(STDEV(N6:N1198)+1E-12))</f>
        <v/>
      </c>
      <c r="P298" s="3">
        <f>IF('3a Raw'!J298="","",MAX(-3,MIN(3,('3a Raw'!J298-$P3)/$P4)))</f>
        <v/>
      </c>
      <c r="Q298" s="3">
        <f>IF(P298="","",(P298-AVERAGE(P6:P1198))/(STDEV(P6:P1198)+1E-12))</f>
        <v/>
      </c>
      <c r="R298" s="3">
        <f>IF('3a Raw'!K298="","",MAX(-3,MIN(3,('3a Raw'!K298-$R3)/$R4)))</f>
        <v/>
      </c>
      <c r="S298" s="3">
        <f>IF(R298="","",(R298-AVERAGE(R6:R1198))/(STDEV(R6:R1198)+1E-12))</f>
        <v/>
      </c>
      <c r="T298" s="3">
        <f>IF('3a Raw'!L298="","",MAX(-3,MIN(3,('3a Raw'!L298-$T3)/$T4)))</f>
        <v/>
      </c>
      <c r="U298" s="3">
        <f>IF(T298="","",(T298-AVERAGE(T6:T1198))/(STDEV(T6:T1198)+1E-12))</f>
        <v/>
      </c>
      <c r="X298" s="3">
        <f>IF(U298="","",U298-($V$3*G298+$W$3))</f>
        <v/>
      </c>
      <c r="Y298" s="3">
        <f>IF(X298="","",MAX(-3,MIN(3,(X298-$X3)/$X4)))</f>
        <v/>
      </c>
      <c r="Z298" s="3">
        <f>IF(Y298="","",(Y298-AVERAGE(Y6:Y1198))/(STDEV(Y6:Y1198)+1E-12))</f>
        <v/>
      </c>
    </row>
    <row r="299">
      <c r="A299" t="inlineStr">
        <is>
          <t>BBG000BPCTB2</t>
        </is>
      </c>
      <c r="B299" s="3">
        <f>IF('3a Raw'!C299="","",MAX(-3,MIN(3,('3a Raw'!C299-$B3)/$B4)))</f>
        <v/>
      </c>
      <c r="C299" s="3">
        <f>IF(B299="","",(B299-AVERAGE(B6:B1198))/(STDEV(B6:B1198)+1E-12))</f>
        <v/>
      </c>
      <c r="D299" s="3">
        <f>IF('3a Raw'!D299="","",MAX(-3,MIN(3,('3a Raw'!D299-$D3)/$D4)))</f>
        <v/>
      </c>
      <c r="E299" s="3">
        <f>IF(D299="","",(D299-AVERAGE(D6:D1198))/(STDEV(D6:D1198)+1E-12))</f>
        <v/>
      </c>
      <c r="F299" s="3">
        <f>IF('3a Raw'!E299="","",MAX(-3,MIN(3,('3a Raw'!E299-$F3)/$F4)))</f>
        <v/>
      </c>
      <c r="G299" s="3">
        <f>IF(F299="","",(F299-AVERAGE(F6:F1198))/(STDEV(F6:F1198)+1E-12))</f>
        <v/>
      </c>
      <c r="H299" s="3">
        <f>IF('3a Raw'!F299="","",MAX(-3,MIN(3,('3a Raw'!F299-$H3)/$H4)))</f>
        <v/>
      </c>
      <c r="I299" s="3">
        <f>IF(H299="","",(H299-AVERAGE(H6:H1198))/(STDEV(H6:H1198)+1E-12))</f>
        <v/>
      </c>
      <c r="J299" s="3">
        <f>IF('3a Raw'!G299="","",MAX(-3,MIN(3,('3a Raw'!G299-$J3)/$J4)))</f>
        <v/>
      </c>
      <c r="K299" s="3">
        <f>IF(J299="","",(J299-AVERAGE(J6:J1198))/(STDEV(J6:J1198)+1E-12))</f>
        <v/>
      </c>
      <c r="L299" s="3">
        <f>IF('3a Raw'!H299="","",MAX(-3,MIN(3,('3a Raw'!H299-$L3)/$L4)))</f>
        <v/>
      </c>
      <c r="M299" s="3">
        <f>IF(L299="","",(L299-AVERAGE(L6:L1198))/(STDEV(L6:L1198)+1E-12))</f>
        <v/>
      </c>
      <c r="N299" s="3">
        <f>IF('3a Raw'!I299="","",MAX(-3,MIN(3,('3a Raw'!I299-$N3)/$N4)))</f>
        <v/>
      </c>
      <c r="O299" s="3">
        <f>IF(N299="","",(N299-AVERAGE(N6:N1198))/(STDEV(N6:N1198)+1E-12))</f>
        <v/>
      </c>
      <c r="P299" s="3">
        <f>IF('3a Raw'!J299="","",MAX(-3,MIN(3,('3a Raw'!J299-$P3)/$P4)))</f>
        <v/>
      </c>
      <c r="Q299" s="3">
        <f>IF(P299="","",(P299-AVERAGE(P6:P1198))/(STDEV(P6:P1198)+1E-12))</f>
        <v/>
      </c>
      <c r="R299" s="3">
        <f>IF('3a Raw'!K299="","",MAX(-3,MIN(3,('3a Raw'!K299-$R3)/$R4)))</f>
        <v/>
      </c>
      <c r="S299" s="3">
        <f>IF(R299="","",(R299-AVERAGE(R6:R1198))/(STDEV(R6:R1198)+1E-12))</f>
        <v/>
      </c>
      <c r="T299" s="3">
        <f>IF('3a Raw'!L299="","",MAX(-3,MIN(3,('3a Raw'!L299-$T3)/$T4)))</f>
        <v/>
      </c>
      <c r="U299" s="3">
        <f>IF(T299="","",(T299-AVERAGE(T6:T1198))/(STDEV(T6:T1198)+1E-12))</f>
        <v/>
      </c>
      <c r="X299" s="3">
        <f>IF(U299="","",U299-($V$3*G299+$W$3))</f>
        <v/>
      </c>
      <c r="Y299" s="3">
        <f>IF(X299="","",MAX(-3,MIN(3,(X299-$X3)/$X4)))</f>
        <v/>
      </c>
      <c r="Z299" s="3">
        <f>IF(Y299="","",(Y299-AVERAGE(Y6:Y1198))/(STDEV(Y6:Y1198)+1E-12))</f>
        <v/>
      </c>
    </row>
    <row r="300">
      <c r="A300" t="inlineStr">
        <is>
          <t>BBG0074Q3NK6</t>
        </is>
      </c>
      <c r="B300" s="3">
        <f>IF('3a Raw'!C300="","",MAX(-3,MIN(3,('3a Raw'!C300-$B3)/$B4)))</f>
        <v/>
      </c>
      <c r="C300" s="3">
        <f>IF(B300="","",(B300-AVERAGE(B6:B1198))/(STDEV(B6:B1198)+1E-12))</f>
        <v/>
      </c>
      <c r="D300" s="3">
        <f>IF('3a Raw'!D300="","",MAX(-3,MIN(3,('3a Raw'!D300-$D3)/$D4)))</f>
        <v/>
      </c>
      <c r="E300" s="3">
        <f>IF(D300="","",(D300-AVERAGE(D6:D1198))/(STDEV(D6:D1198)+1E-12))</f>
        <v/>
      </c>
      <c r="F300" s="3">
        <f>IF('3a Raw'!E300="","",MAX(-3,MIN(3,('3a Raw'!E300-$F3)/$F4)))</f>
        <v/>
      </c>
      <c r="G300" s="3">
        <f>IF(F300="","",(F300-AVERAGE(F6:F1198))/(STDEV(F6:F1198)+1E-12))</f>
        <v/>
      </c>
      <c r="H300" s="3">
        <f>IF('3a Raw'!F300="","",MAX(-3,MIN(3,('3a Raw'!F300-$H3)/$H4)))</f>
        <v/>
      </c>
      <c r="I300" s="3">
        <f>IF(H300="","",(H300-AVERAGE(H6:H1198))/(STDEV(H6:H1198)+1E-12))</f>
        <v/>
      </c>
      <c r="J300" s="3">
        <f>IF('3a Raw'!G300="","",MAX(-3,MIN(3,('3a Raw'!G300-$J3)/$J4)))</f>
        <v/>
      </c>
      <c r="K300" s="3">
        <f>IF(J300="","",(J300-AVERAGE(J6:J1198))/(STDEV(J6:J1198)+1E-12))</f>
        <v/>
      </c>
      <c r="L300" s="3">
        <f>IF('3a Raw'!H300="","",MAX(-3,MIN(3,('3a Raw'!H300-$L3)/$L4)))</f>
        <v/>
      </c>
      <c r="M300" s="3">
        <f>IF(L300="","",(L300-AVERAGE(L6:L1198))/(STDEV(L6:L1198)+1E-12))</f>
        <v/>
      </c>
      <c r="N300" s="3">
        <f>IF('3a Raw'!I300="","",MAX(-3,MIN(3,('3a Raw'!I300-$N3)/$N4)))</f>
        <v/>
      </c>
      <c r="O300" s="3">
        <f>IF(N300="","",(N300-AVERAGE(N6:N1198))/(STDEV(N6:N1198)+1E-12))</f>
        <v/>
      </c>
      <c r="P300" s="3">
        <f>IF('3a Raw'!J300="","",MAX(-3,MIN(3,('3a Raw'!J300-$P3)/$P4)))</f>
        <v/>
      </c>
      <c r="Q300" s="3">
        <f>IF(P300="","",(P300-AVERAGE(P6:P1198))/(STDEV(P6:P1198)+1E-12))</f>
        <v/>
      </c>
      <c r="R300" s="3">
        <f>IF('3a Raw'!K300="","",MAX(-3,MIN(3,('3a Raw'!K300-$R3)/$R4)))</f>
        <v/>
      </c>
      <c r="S300" s="3">
        <f>IF(R300="","",(R300-AVERAGE(R6:R1198))/(STDEV(R6:R1198)+1E-12))</f>
        <v/>
      </c>
      <c r="T300" s="3">
        <f>IF('3a Raw'!L300="","",MAX(-3,MIN(3,('3a Raw'!L300-$T3)/$T4)))</f>
        <v/>
      </c>
      <c r="U300" s="3">
        <f>IF(T300="","",(T300-AVERAGE(T6:T1198))/(STDEV(T6:T1198)+1E-12))</f>
        <v/>
      </c>
      <c r="X300" s="3">
        <f>IF(U300="","",U300-($V$3*G300+$W$3))</f>
        <v/>
      </c>
      <c r="Y300" s="3">
        <f>IF(X300="","",MAX(-3,MIN(3,(X300-$X3)/$X4)))</f>
        <v/>
      </c>
      <c r="Z300" s="3">
        <f>IF(Y300="","",(Y300-AVERAGE(Y6:Y1198))/(STDEV(Y6:Y1198)+1E-12))</f>
        <v/>
      </c>
    </row>
    <row r="301">
      <c r="A301" t="inlineStr">
        <is>
          <t>BBG000BGVW60</t>
        </is>
      </c>
      <c r="B301" s="3">
        <f>IF('3a Raw'!C301="","",MAX(-3,MIN(3,('3a Raw'!C301-$B3)/$B4)))</f>
        <v/>
      </c>
      <c r="C301" s="3">
        <f>IF(B301="","",(B301-AVERAGE(B6:B1198))/(STDEV(B6:B1198)+1E-12))</f>
        <v/>
      </c>
      <c r="D301" s="3">
        <f>IF('3a Raw'!D301="","",MAX(-3,MIN(3,('3a Raw'!D301-$D3)/$D4)))</f>
        <v/>
      </c>
      <c r="E301" s="3">
        <f>IF(D301="","",(D301-AVERAGE(D6:D1198))/(STDEV(D6:D1198)+1E-12))</f>
        <v/>
      </c>
      <c r="F301" s="3">
        <f>IF('3a Raw'!E301="","",MAX(-3,MIN(3,('3a Raw'!E301-$F3)/$F4)))</f>
        <v/>
      </c>
      <c r="G301" s="3">
        <f>IF(F301="","",(F301-AVERAGE(F6:F1198))/(STDEV(F6:F1198)+1E-12))</f>
        <v/>
      </c>
      <c r="H301" s="3">
        <f>IF('3a Raw'!F301="","",MAX(-3,MIN(3,('3a Raw'!F301-$H3)/$H4)))</f>
        <v/>
      </c>
      <c r="I301" s="3">
        <f>IF(H301="","",(H301-AVERAGE(H6:H1198))/(STDEV(H6:H1198)+1E-12))</f>
        <v/>
      </c>
      <c r="J301" s="3">
        <f>IF('3a Raw'!G301="","",MAX(-3,MIN(3,('3a Raw'!G301-$J3)/$J4)))</f>
        <v/>
      </c>
      <c r="K301" s="3">
        <f>IF(J301="","",(J301-AVERAGE(J6:J1198))/(STDEV(J6:J1198)+1E-12))</f>
        <v/>
      </c>
      <c r="L301" s="3">
        <f>IF('3a Raw'!H301="","",MAX(-3,MIN(3,('3a Raw'!H301-$L3)/$L4)))</f>
        <v/>
      </c>
      <c r="M301" s="3">
        <f>IF(L301="","",(L301-AVERAGE(L6:L1198))/(STDEV(L6:L1198)+1E-12))</f>
        <v/>
      </c>
      <c r="N301" s="3">
        <f>IF('3a Raw'!I301="","",MAX(-3,MIN(3,('3a Raw'!I301-$N3)/$N4)))</f>
        <v/>
      </c>
      <c r="O301" s="3">
        <f>IF(N301="","",(N301-AVERAGE(N6:N1198))/(STDEV(N6:N1198)+1E-12))</f>
        <v/>
      </c>
      <c r="P301" s="3">
        <f>IF('3a Raw'!J301="","",MAX(-3,MIN(3,('3a Raw'!J301-$P3)/$P4)))</f>
        <v/>
      </c>
      <c r="Q301" s="3">
        <f>IF(P301="","",(P301-AVERAGE(P6:P1198))/(STDEV(P6:P1198)+1E-12))</f>
        <v/>
      </c>
      <c r="R301" s="3">
        <f>IF('3a Raw'!K301="","",MAX(-3,MIN(3,('3a Raw'!K301-$R3)/$R4)))</f>
        <v/>
      </c>
      <c r="S301" s="3">
        <f>IF(R301="","",(R301-AVERAGE(R6:R1198))/(STDEV(R6:R1198)+1E-12))</f>
        <v/>
      </c>
      <c r="T301" s="3">
        <f>IF('3a Raw'!L301="","",MAX(-3,MIN(3,('3a Raw'!L301-$T3)/$T4)))</f>
        <v/>
      </c>
      <c r="U301" s="3">
        <f>IF(T301="","",(T301-AVERAGE(T6:T1198))/(STDEV(T6:T1198)+1E-12))</f>
        <v/>
      </c>
      <c r="X301" s="3">
        <f>IF(U301="","",U301-($V$3*G301+$W$3))</f>
        <v/>
      </c>
      <c r="Y301" s="3">
        <f>IF(X301="","",MAX(-3,MIN(3,(X301-$X3)/$X4)))</f>
        <v/>
      </c>
      <c r="Z301" s="3">
        <f>IF(Y301="","",(Y301-AVERAGE(Y6:Y1198))/(STDEV(Y6:Y1198)+1E-12))</f>
        <v/>
      </c>
    </row>
    <row r="302">
      <c r="A302" t="inlineStr">
        <is>
          <t>BBG000R7Z112</t>
        </is>
      </c>
      <c r="B302" s="3">
        <f>IF('3a Raw'!C302="","",MAX(-3,MIN(3,('3a Raw'!C302-$B3)/$B4)))</f>
        <v/>
      </c>
      <c r="C302" s="3">
        <f>IF(B302="","",(B302-AVERAGE(B6:B1198))/(STDEV(B6:B1198)+1E-12))</f>
        <v/>
      </c>
      <c r="D302" s="3">
        <f>IF('3a Raw'!D302="","",MAX(-3,MIN(3,('3a Raw'!D302-$D3)/$D4)))</f>
        <v/>
      </c>
      <c r="E302" s="3">
        <f>IF(D302="","",(D302-AVERAGE(D6:D1198))/(STDEV(D6:D1198)+1E-12))</f>
        <v/>
      </c>
      <c r="F302" s="3">
        <f>IF('3a Raw'!E302="","",MAX(-3,MIN(3,('3a Raw'!E302-$F3)/$F4)))</f>
        <v/>
      </c>
      <c r="G302" s="3">
        <f>IF(F302="","",(F302-AVERAGE(F6:F1198))/(STDEV(F6:F1198)+1E-12))</f>
        <v/>
      </c>
      <c r="H302" s="3">
        <f>IF('3a Raw'!F302="","",MAX(-3,MIN(3,('3a Raw'!F302-$H3)/$H4)))</f>
        <v/>
      </c>
      <c r="I302" s="3">
        <f>IF(H302="","",(H302-AVERAGE(H6:H1198))/(STDEV(H6:H1198)+1E-12))</f>
        <v/>
      </c>
      <c r="J302" s="3">
        <f>IF('3a Raw'!G302="","",MAX(-3,MIN(3,('3a Raw'!G302-$J3)/$J4)))</f>
        <v/>
      </c>
      <c r="K302" s="3">
        <f>IF(J302="","",(J302-AVERAGE(J6:J1198))/(STDEV(J6:J1198)+1E-12))</f>
        <v/>
      </c>
      <c r="L302" s="3">
        <f>IF('3a Raw'!H302="","",MAX(-3,MIN(3,('3a Raw'!H302-$L3)/$L4)))</f>
        <v/>
      </c>
      <c r="M302" s="3">
        <f>IF(L302="","",(L302-AVERAGE(L6:L1198))/(STDEV(L6:L1198)+1E-12))</f>
        <v/>
      </c>
      <c r="N302" s="3">
        <f>IF('3a Raw'!I302="","",MAX(-3,MIN(3,('3a Raw'!I302-$N3)/$N4)))</f>
        <v/>
      </c>
      <c r="O302" s="3">
        <f>IF(N302="","",(N302-AVERAGE(N6:N1198))/(STDEV(N6:N1198)+1E-12))</f>
        <v/>
      </c>
      <c r="P302" s="3">
        <f>IF('3a Raw'!J302="","",MAX(-3,MIN(3,('3a Raw'!J302-$P3)/$P4)))</f>
        <v/>
      </c>
      <c r="Q302" s="3">
        <f>IF(P302="","",(P302-AVERAGE(P6:P1198))/(STDEV(P6:P1198)+1E-12))</f>
        <v/>
      </c>
      <c r="R302" s="3">
        <f>IF('3a Raw'!K302="","",MAX(-3,MIN(3,('3a Raw'!K302-$R3)/$R4)))</f>
        <v/>
      </c>
      <c r="S302" s="3">
        <f>IF(R302="","",(R302-AVERAGE(R6:R1198))/(STDEV(R6:R1198)+1E-12))</f>
        <v/>
      </c>
      <c r="T302" s="3">
        <f>IF('3a Raw'!L302="","",MAX(-3,MIN(3,('3a Raw'!L302-$T3)/$T4)))</f>
        <v/>
      </c>
      <c r="U302" s="3">
        <f>IF(T302="","",(T302-AVERAGE(T6:T1198))/(STDEV(T6:T1198)+1E-12))</f>
        <v/>
      </c>
      <c r="X302" s="3">
        <f>IF(U302="","",U302-($V$3*G302+$W$3))</f>
        <v/>
      </c>
      <c r="Y302" s="3">
        <f>IF(X302="","",MAX(-3,MIN(3,(X302-$X3)/$X4)))</f>
        <v/>
      </c>
      <c r="Z302" s="3">
        <f>IF(Y302="","",(Y302-AVERAGE(Y6:Y1198))/(STDEV(Y6:Y1198)+1E-12))</f>
        <v/>
      </c>
    </row>
    <row r="303">
      <c r="A303" t="inlineStr">
        <is>
          <t>BBG000BN8ZK8</t>
        </is>
      </c>
      <c r="B303" s="3">
        <f>IF('3a Raw'!C303="","",MAX(-3,MIN(3,('3a Raw'!C303-$B3)/$B4)))</f>
        <v/>
      </c>
      <c r="C303" s="3">
        <f>IF(B303="","",(B303-AVERAGE(B6:B1198))/(STDEV(B6:B1198)+1E-12))</f>
        <v/>
      </c>
      <c r="D303" s="3">
        <f>IF('3a Raw'!D303="","",MAX(-3,MIN(3,('3a Raw'!D303-$D3)/$D4)))</f>
        <v/>
      </c>
      <c r="E303" s="3">
        <f>IF(D303="","",(D303-AVERAGE(D6:D1198))/(STDEV(D6:D1198)+1E-12))</f>
        <v/>
      </c>
      <c r="F303" s="3">
        <f>IF('3a Raw'!E303="","",MAX(-3,MIN(3,('3a Raw'!E303-$F3)/$F4)))</f>
        <v/>
      </c>
      <c r="G303" s="3">
        <f>IF(F303="","",(F303-AVERAGE(F6:F1198))/(STDEV(F6:F1198)+1E-12))</f>
        <v/>
      </c>
      <c r="H303" s="3">
        <f>IF('3a Raw'!F303="","",MAX(-3,MIN(3,('3a Raw'!F303-$H3)/$H4)))</f>
        <v/>
      </c>
      <c r="I303" s="3">
        <f>IF(H303="","",(H303-AVERAGE(H6:H1198))/(STDEV(H6:H1198)+1E-12))</f>
        <v/>
      </c>
      <c r="J303" s="3">
        <f>IF('3a Raw'!G303="","",MAX(-3,MIN(3,('3a Raw'!G303-$J3)/$J4)))</f>
        <v/>
      </c>
      <c r="K303" s="3">
        <f>IF(J303="","",(J303-AVERAGE(J6:J1198))/(STDEV(J6:J1198)+1E-12))</f>
        <v/>
      </c>
      <c r="L303" s="3">
        <f>IF('3a Raw'!H303="","",MAX(-3,MIN(3,('3a Raw'!H303-$L3)/$L4)))</f>
        <v/>
      </c>
      <c r="M303" s="3">
        <f>IF(L303="","",(L303-AVERAGE(L6:L1198))/(STDEV(L6:L1198)+1E-12))</f>
        <v/>
      </c>
      <c r="N303" s="3">
        <f>IF('3a Raw'!I303="","",MAX(-3,MIN(3,('3a Raw'!I303-$N3)/$N4)))</f>
        <v/>
      </c>
      <c r="O303" s="3">
        <f>IF(N303="","",(N303-AVERAGE(N6:N1198))/(STDEV(N6:N1198)+1E-12))</f>
        <v/>
      </c>
      <c r="P303" s="3">
        <f>IF('3a Raw'!J303="","",MAX(-3,MIN(3,('3a Raw'!J303-$P3)/$P4)))</f>
        <v/>
      </c>
      <c r="Q303" s="3">
        <f>IF(P303="","",(P303-AVERAGE(P6:P1198))/(STDEV(P6:P1198)+1E-12))</f>
        <v/>
      </c>
      <c r="R303" s="3">
        <f>IF('3a Raw'!K303="","",MAX(-3,MIN(3,('3a Raw'!K303-$R3)/$R4)))</f>
        <v/>
      </c>
      <c r="S303" s="3">
        <f>IF(R303="","",(R303-AVERAGE(R6:R1198))/(STDEV(R6:R1198)+1E-12))</f>
        <v/>
      </c>
      <c r="T303" s="3">
        <f>IF('3a Raw'!L303="","",MAX(-3,MIN(3,('3a Raw'!L303-$T3)/$T4)))</f>
        <v/>
      </c>
      <c r="U303" s="3">
        <f>IF(T303="","",(T303-AVERAGE(T6:T1198))/(STDEV(T6:T1198)+1E-12))</f>
        <v/>
      </c>
      <c r="X303" s="3">
        <f>IF(U303="","",U303-($V$3*G303+$W$3))</f>
        <v/>
      </c>
      <c r="Y303" s="3">
        <f>IF(X303="","",MAX(-3,MIN(3,(X303-$X3)/$X4)))</f>
        <v/>
      </c>
      <c r="Z303" s="3">
        <f>IF(Y303="","",(Y303-AVERAGE(Y6:Y1198))/(STDEV(Y6:Y1198)+1E-12))</f>
        <v/>
      </c>
    </row>
    <row r="304">
      <c r="A304" t="inlineStr">
        <is>
          <t>BBG005D7QCJ3</t>
        </is>
      </c>
      <c r="B304" s="3">
        <f>IF('3a Raw'!C304="","",MAX(-3,MIN(3,('3a Raw'!C304-$B3)/$B4)))</f>
        <v/>
      </c>
      <c r="C304" s="3">
        <f>IF(B304="","",(B304-AVERAGE(B6:B1198))/(STDEV(B6:B1198)+1E-12))</f>
        <v/>
      </c>
      <c r="D304" s="3">
        <f>IF('3a Raw'!D304="","",MAX(-3,MIN(3,('3a Raw'!D304-$D3)/$D4)))</f>
        <v/>
      </c>
      <c r="E304" s="3">
        <f>IF(D304="","",(D304-AVERAGE(D6:D1198))/(STDEV(D6:D1198)+1E-12))</f>
        <v/>
      </c>
      <c r="F304" s="3">
        <f>IF('3a Raw'!E304="","",MAX(-3,MIN(3,('3a Raw'!E304-$F3)/$F4)))</f>
        <v/>
      </c>
      <c r="G304" s="3">
        <f>IF(F304="","",(F304-AVERAGE(F6:F1198))/(STDEV(F6:F1198)+1E-12))</f>
        <v/>
      </c>
      <c r="H304" s="3">
        <f>IF('3a Raw'!F304="","",MAX(-3,MIN(3,('3a Raw'!F304-$H3)/$H4)))</f>
        <v/>
      </c>
      <c r="I304" s="3">
        <f>IF(H304="","",(H304-AVERAGE(H6:H1198))/(STDEV(H6:H1198)+1E-12))</f>
        <v/>
      </c>
      <c r="J304" s="3">
        <f>IF('3a Raw'!G304="","",MAX(-3,MIN(3,('3a Raw'!G304-$J3)/$J4)))</f>
        <v/>
      </c>
      <c r="K304" s="3">
        <f>IF(J304="","",(J304-AVERAGE(J6:J1198))/(STDEV(J6:J1198)+1E-12))</f>
        <v/>
      </c>
      <c r="L304" s="3">
        <f>IF('3a Raw'!H304="","",MAX(-3,MIN(3,('3a Raw'!H304-$L3)/$L4)))</f>
        <v/>
      </c>
      <c r="M304" s="3">
        <f>IF(L304="","",(L304-AVERAGE(L6:L1198))/(STDEV(L6:L1198)+1E-12))</f>
        <v/>
      </c>
      <c r="N304" s="3">
        <f>IF('3a Raw'!I304="","",MAX(-3,MIN(3,('3a Raw'!I304-$N3)/$N4)))</f>
        <v/>
      </c>
      <c r="O304" s="3">
        <f>IF(N304="","",(N304-AVERAGE(N6:N1198))/(STDEV(N6:N1198)+1E-12))</f>
        <v/>
      </c>
      <c r="P304" s="3">
        <f>IF('3a Raw'!J304="","",MAX(-3,MIN(3,('3a Raw'!J304-$P3)/$P4)))</f>
        <v/>
      </c>
      <c r="Q304" s="3">
        <f>IF(P304="","",(P304-AVERAGE(P6:P1198))/(STDEV(P6:P1198)+1E-12))</f>
        <v/>
      </c>
      <c r="R304" s="3">
        <f>IF('3a Raw'!K304="","",MAX(-3,MIN(3,('3a Raw'!K304-$R3)/$R4)))</f>
        <v/>
      </c>
      <c r="S304" s="3">
        <f>IF(R304="","",(R304-AVERAGE(R6:R1198))/(STDEV(R6:R1198)+1E-12))</f>
        <v/>
      </c>
      <c r="T304" s="3">
        <f>IF('3a Raw'!L304="","",MAX(-3,MIN(3,('3a Raw'!L304-$T3)/$T4)))</f>
        <v/>
      </c>
      <c r="U304" s="3">
        <f>IF(T304="","",(T304-AVERAGE(T6:T1198))/(STDEV(T6:T1198)+1E-12))</f>
        <v/>
      </c>
      <c r="X304" s="3">
        <f>IF(U304="","",U304-($V$3*G304+$W$3))</f>
        <v/>
      </c>
      <c r="Y304" s="3">
        <f>IF(X304="","",MAX(-3,MIN(3,(X304-$X3)/$X4)))</f>
        <v/>
      </c>
      <c r="Z304" s="3">
        <f>IF(Y304="","",(Y304-AVERAGE(Y6:Y1198))/(STDEV(Y6:Y1198)+1E-12))</f>
        <v/>
      </c>
    </row>
    <row r="305">
      <c r="A305" t="inlineStr">
        <is>
          <t>BBG00D30HGP6</t>
        </is>
      </c>
      <c r="B305" s="3">
        <f>IF('3a Raw'!C305="","",MAX(-3,MIN(3,('3a Raw'!C305-$B3)/$B4)))</f>
        <v/>
      </c>
      <c r="C305" s="3">
        <f>IF(B305="","",(B305-AVERAGE(B6:B1198))/(STDEV(B6:B1198)+1E-12))</f>
        <v/>
      </c>
      <c r="D305" s="3">
        <f>IF('3a Raw'!D305="","",MAX(-3,MIN(3,('3a Raw'!D305-$D3)/$D4)))</f>
        <v/>
      </c>
      <c r="E305" s="3">
        <f>IF(D305="","",(D305-AVERAGE(D6:D1198))/(STDEV(D6:D1198)+1E-12))</f>
        <v/>
      </c>
      <c r="F305" s="3">
        <f>IF('3a Raw'!E305="","",MAX(-3,MIN(3,('3a Raw'!E305-$F3)/$F4)))</f>
        <v/>
      </c>
      <c r="G305" s="3">
        <f>IF(F305="","",(F305-AVERAGE(F6:F1198))/(STDEV(F6:F1198)+1E-12))</f>
        <v/>
      </c>
      <c r="H305" s="3">
        <f>IF('3a Raw'!F305="","",MAX(-3,MIN(3,('3a Raw'!F305-$H3)/$H4)))</f>
        <v/>
      </c>
      <c r="I305" s="3">
        <f>IF(H305="","",(H305-AVERAGE(H6:H1198))/(STDEV(H6:H1198)+1E-12))</f>
        <v/>
      </c>
      <c r="J305" s="3">
        <f>IF('3a Raw'!G305="","",MAX(-3,MIN(3,('3a Raw'!G305-$J3)/$J4)))</f>
        <v/>
      </c>
      <c r="K305" s="3">
        <f>IF(J305="","",(J305-AVERAGE(J6:J1198))/(STDEV(J6:J1198)+1E-12))</f>
        <v/>
      </c>
      <c r="L305" s="3">
        <f>IF('3a Raw'!H305="","",MAX(-3,MIN(3,('3a Raw'!H305-$L3)/$L4)))</f>
        <v/>
      </c>
      <c r="M305" s="3">
        <f>IF(L305="","",(L305-AVERAGE(L6:L1198))/(STDEV(L6:L1198)+1E-12))</f>
        <v/>
      </c>
      <c r="N305" s="3">
        <f>IF('3a Raw'!I305="","",MAX(-3,MIN(3,('3a Raw'!I305-$N3)/$N4)))</f>
        <v/>
      </c>
      <c r="O305" s="3">
        <f>IF(N305="","",(N305-AVERAGE(N6:N1198))/(STDEV(N6:N1198)+1E-12))</f>
        <v/>
      </c>
      <c r="P305" s="3">
        <f>IF('3a Raw'!J305="","",MAX(-3,MIN(3,('3a Raw'!J305-$P3)/$P4)))</f>
        <v/>
      </c>
      <c r="Q305" s="3">
        <f>IF(P305="","",(P305-AVERAGE(P6:P1198))/(STDEV(P6:P1198)+1E-12))</f>
        <v/>
      </c>
      <c r="R305" s="3">
        <f>IF('3a Raw'!K305="","",MAX(-3,MIN(3,('3a Raw'!K305-$R3)/$R4)))</f>
        <v/>
      </c>
      <c r="S305" s="3">
        <f>IF(R305="","",(R305-AVERAGE(R6:R1198))/(STDEV(R6:R1198)+1E-12))</f>
        <v/>
      </c>
      <c r="T305" s="3">
        <f>IF('3a Raw'!L305="","",MAX(-3,MIN(3,('3a Raw'!L305-$T3)/$T4)))</f>
        <v/>
      </c>
      <c r="U305" s="3">
        <f>IF(T305="","",(T305-AVERAGE(T6:T1198))/(STDEV(T6:T1198)+1E-12))</f>
        <v/>
      </c>
      <c r="X305" s="3">
        <f>IF(U305="","",U305-($V$3*G305+$W$3))</f>
        <v/>
      </c>
      <c r="Y305" s="3">
        <f>IF(X305="","",MAX(-3,MIN(3,(X305-$X3)/$X4)))</f>
        <v/>
      </c>
      <c r="Z305" s="3">
        <f>IF(Y305="","",(Y305-AVERAGE(Y6:Y1198))/(STDEV(Y6:Y1198)+1E-12))</f>
        <v/>
      </c>
    </row>
    <row r="306">
      <c r="A306" t="inlineStr">
        <is>
          <t>BBG0018SLDN0</t>
        </is>
      </c>
      <c r="B306" s="3">
        <f>IF('3a Raw'!C306="","",MAX(-3,MIN(3,('3a Raw'!C306-$B3)/$B4)))</f>
        <v/>
      </c>
      <c r="C306" s="3">
        <f>IF(B306="","",(B306-AVERAGE(B6:B1198))/(STDEV(B6:B1198)+1E-12))</f>
        <v/>
      </c>
      <c r="D306" s="3">
        <f>IF('3a Raw'!D306="","",MAX(-3,MIN(3,('3a Raw'!D306-$D3)/$D4)))</f>
        <v/>
      </c>
      <c r="E306" s="3">
        <f>IF(D306="","",(D306-AVERAGE(D6:D1198))/(STDEV(D6:D1198)+1E-12))</f>
        <v/>
      </c>
      <c r="F306" s="3">
        <f>IF('3a Raw'!E306="","",MAX(-3,MIN(3,('3a Raw'!E306-$F3)/$F4)))</f>
        <v/>
      </c>
      <c r="G306" s="3">
        <f>IF(F306="","",(F306-AVERAGE(F6:F1198))/(STDEV(F6:F1198)+1E-12))</f>
        <v/>
      </c>
      <c r="H306" s="3">
        <f>IF('3a Raw'!F306="","",MAX(-3,MIN(3,('3a Raw'!F306-$H3)/$H4)))</f>
        <v/>
      </c>
      <c r="I306" s="3">
        <f>IF(H306="","",(H306-AVERAGE(H6:H1198))/(STDEV(H6:H1198)+1E-12))</f>
        <v/>
      </c>
      <c r="J306" s="3">
        <f>IF('3a Raw'!G306="","",MAX(-3,MIN(3,('3a Raw'!G306-$J3)/$J4)))</f>
        <v/>
      </c>
      <c r="K306" s="3">
        <f>IF(J306="","",(J306-AVERAGE(J6:J1198))/(STDEV(J6:J1198)+1E-12))</f>
        <v/>
      </c>
      <c r="L306" s="3">
        <f>IF('3a Raw'!H306="","",MAX(-3,MIN(3,('3a Raw'!H306-$L3)/$L4)))</f>
        <v/>
      </c>
      <c r="M306" s="3">
        <f>IF(L306="","",(L306-AVERAGE(L6:L1198))/(STDEV(L6:L1198)+1E-12))</f>
        <v/>
      </c>
      <c r="N306" s="3">
        <f>IF('3a Raw'!I306="","",MAX(-3,MIN(3,('3a Raw'!I306-$N3)/$N4)))</f>
        <v/>
      </c>
      <c r="O306" s="3">
        <f>IF(N306="","",(N306-AVERAGE(N6:N1198))/(STDEV(N6:N1198)+1E-12))</f>
        <v/>
      </c>
      <c r="P306" s="3">
        <f>IF('3a Raw'!J306="","",MAX(-3,MIN(3,('3a Raw'!J306-$P3)/$P4)))</f>
        <v/>
      </c>
      <c r="Q306" s="3">
        <f>IF(P306="","",(P306-AVERAGE(P6:P1198))/(STDEV(P6:P1198)+1E-12))</f>
        <v/>
      </c>
      <c r="R306" s="3">
        <f>IF('3a Raw'!K306="","",MAX(-3,MIN(3,('3a Raw'!K306-$R3)/$R4)))</f>
        <v/>
      </c>
      <c r="S306" s="3">
        <f>IF(R306="","",(R306-AVERAGE(R6:R1198))/(STDEV(R6:R1198)+1E-12))</f>
        <v/>
      </c>
      <c r="T306" s="3">
        <f>IF('3a Raw'!L306="","",MAX(-3,MIN(3,('3a Raw'!L306-$T3)/$T4)))</f>
        <v/>
      </c>
      <c r="U306" s="3">
        <f>IF(T306="","",(T306-AVERAGE(T6:T1198))/(STDEV(T6:T1198)+1E-12))</f>
        <v/>
      </c>
      <c r="X306" s="3">
        <f>IF(U306="","",U306-($V$3*G306+$W$3))</f>
        <v/>
      </c>
      <c r="Y306" s="3">
        <f>IF(X306="","",MAX(-3,MIN(3,(X306-$X3)/$X4)))</f>
        <v/>
      </c>
      <c r="Z306" s="3">
        <f>IF(Y306="","",(Y306-AVERAGE(Y6:Y1198))/(STDEV(Y6:Y1198)+1E-12))</f>
        <v/>
      </c>
    </row>
    <row r="307">
      <c r="A307" t="inlineStr">
        <is>
          <t>BBG000BGZP70</t>
        </is>
      </c>
      <c r="B307" s="3">
        <f>IF('3a Raw'!C307="","",MAX(-3,MIN(3,('3a Raw'!C307-$B3)/$B4)))</f>
        <v/>
      </c>
      <c r="C307" s="3">
        <f>IF(B307="","",(B307-AVERAGE(B6:B1198))/(STDEV(B6:B1198)+1E-12))</f>
        <v/>
      </c>
      <c r="D307" s="3">
        <f>IF('3a Raw'!D307="","",MAX(-3,MIN(3,('3a Raw'!D307-$D3)/$D4)))</f>
        <v/>
      </c>
      <c r="E307" s="3">
        <f>IF(D307="","",(D307-AVERAGE(D6:D1198))/(STDEV(D6:D1198)+1E-12))</f>
        <v/>
      </c>
      <c r="F307" s="3">
        <f>IF('3a Raw'!E307="","",MAX(-3,MIN(3,('3a Raw'!E307-$F3)/$F4)))</f>
        <v/>
      </c>
      <c r="G307" s="3">
        <f>IF(F307="","",(F307-AVERAGE(F6:F1198))/(STDEV(F6:F1198)+1E-12))</f>
        <v/>
      </c>
      <c r="H307" s="3">
        <f>IF('3a Raw'!F307="","",MAX(-3,MIN(3,('3a Raw'!F307-$H3)/$H4)))</f>
        <v/>
      </c>
      <c r="I307" s="3">
        <f>IF(H307="","",(H307-AVERAGE(H6:H1198))/(STDEV(H6:H1198)+1E-12))</f>
        <v/>
      </c>
      <c r="J307" s="3">
        <f>IF('3a Raw'!G307="","",MAX(-3,MIN(3,('3a Raw'!G307-$J3)/$J4)))</f>
        <v/>
      </c>
      <c r="K307" s="3">
        <f>IF(J307="","",(J307-AVERAGE(J6:J1198))/(STDEV(J6:J1198)+1E-12))</f>
        <v/>
      </c>
      <c r="L307" s="3">
        <f>IF('3a Raw'!H307="","",MAX(-3,MIN(3,('3a Raw'!H307-$L3)/$L4)))</f>
        <v/>
      </c>
      <c r="M307" s="3">
        <f>IF(L307="","",(L307-AVERAGE(L6:L1198))/(STDEV(L6:L1198)+1E-12))</f>
        <v/>
      </c>
      <c r="N307" s="3">
        <f>IF('3a Raw'!I307="","",MAX(-3,MIN(3,('3a Raw'!I307-$N3)/$N4)))</f>
        <v/>
      </c>
      <c r="O307" s="3">
        <f>IF(N307="","",(N307-AVERAGE(N6:N1198))/(STDEV(N6:N1198)+1E-12))</f>
        <v/>
      </c>
      <c r="P307" s="3">
        <f>IF('3a Raw'!J307="","",MAX(-3,MIN(3,('3a Raw'!J307-$P3)/$P4)))</f>
        <v/>
      </c>
      <c r="Q307" s="3">
        <f>IF(P307="","",(P307-AVERAGE(P6:P1198))/(STDEV(P6:P1198)+1E-12))</f>
        <v/>
      </c>
      <c r="R307" s="3">
        <f>IF('3a Raw'!K307="","",MAX(-3,MIN(3,('3a Raw'!K307-$R3)/$R4)))</f>
        <v/>
      </c>
      <c r="S307" s="3">
        <f>IF(R307="","",(R307-AVERAGE(R6:R1198))/(STDEV(R6:R1198)+1E-12))</f>
        <v/>
      </c>
      <c r="T307" s="3">
        <f>IF('3a Raw'!L307="","",MAX(-3,MIN(3,('3a Raw'!L307-$T3)/$T4)))</f>
        <v/>
      </c>
      <c r="U307" s="3">
        <f>IF(T307="","",(T307-AVERAGE(T6:T1198))/(STDEV(T6:T1198)+1E-12))</f>
        <v/>
      </c>
      <c r="X307" s="3">
        <f>IF(U307="","",U307-($V$3*G307+$W$3))</f>
        <v/>
      </c>
      <c r="Y307" s="3">
        <f>IF(X307="","",MAX(-3,MIN(3,(X307-$X3)/$X4)))</f>
        <v/>
      </c>
      <c r="Z307" s="3">
        <f>IF(Y307="","",(Y307-AVERAGE(Y6:Y1198))/(STDEV(Y6:Y1198)+1E-12))</f>
        <v/>
      </c>
    </row>
    <row r="308">
      <c r="A308" t="inlineStr">
        <is>
          <t>BBG000BGD220</t>
        </is>
      </c>
      <c r="B308" s="3">
        <f>IF('3a Raw'!C308="","",MAX(-3,MIN(3,('3a Raw'!C308-$B3)/$B4)))</f>
        <v/>
      </c>
      <c r="C308" s="3">
        <f>IF(B308="","",(B308-AVERAGE(B6:B1198))/(STDEV(B6:B1198)+1E-12))</f>
        <v/>
      </c>
      <c r="D308" s="3">
        <f>IF('3a Raw'!D308="","",MAX(-3,MIN(3,('3a Raw'!D308-$D3)/$D4)))</f>
        <v/>
      </c>
      <c r="E308" s="3">
        <f>IF(D308="","",(D308-AVERAGE(D6:D1198))/(STDEV(D6:D1198)+1E-12))</f>
        <v/>
      </c>
      <c r="F308" s="3">
        <f>IF('3a Raw'!E308="","",MAX(-3,MIN(3,('3a Raw'!E308-$F3)/$F4)))</f>
        <v/>
      </c>
      <c r="G308" s="3">
        <f>IF(F308="","",(F308-AVERAGE(F6:F1198))/(STDEV(F6:F1198)+1E-12))</f>
        <v/>
      </c>
      <c r="H308" s="3">
        <f>IF('3a Raw'!F308="","",MAX(-3,MIN(3,('3a Raw'!F308-$H3)/$H4)))</f>
        <v/>
      </c>
      <c r="I308" s="3">
        <f>IF(H308="","",(H308-AVERAGE(H6:H1198))/(STDEV(H6:H1198)+1E-12))</f>
        <v/>
      </c>
      <c r="J308" s="3">
        <f>IF('3a Raw'!G308="","",MAX(-3,MIN(3,('3a Raw'!G308-$J3)/$J4)))</f>
        <v/>
      </c>
      <c r="K308" s="3">
        <f>IF(J308="","",(J308-AVERAGE(J6:J1198))/(STDEV(J6:J1198)+1E-12))</f>
        <v/>
      </c>
      <c r="L308" s="3">
        <f>IF('3a Raw'!H308="","",MAX(-3,MIN(3,('3a Raw'!H308-$L3)/$L4)))</f>
        <v/>
      </c>
      <c r="M308" s="3">
        <f>IF(L308="","",(L308-AVERAGE(L6:L1198))/(STDEV(L6:L1198)+1E-12))</f>
        <v/>
      </c>
      <c r="N308" s="3">
        <f>IF('3a Raw'!I308="","",MAX(-3,MIN(3,('3a Raw'!I308-$N3)/$N4)))</f>
        <v/>
      </c>
      <c r="O308" s="3">
        <f>IF(N308="","",(N308-AVERAGE(N6:N1198))/(STDEV(N6:N1198)+1E-12))</f>
        <v/>
      </c>
      <c r="P308" s="3">
        <f>IF('3a Raw'!J308="","",MAX(-3,MIN(3,('3a Raw'!J308-$P3)/$P4)))</f>
        <v/>
      </c>
      <c r="Q308" s="3">
        <f>IF(P308="","",(P308-AVERAGE(P6:P1198))/(STDEV(P6:P1198)+1E-12))</f>
        <v/>
      </c>
      <c r="R308" s="3">
        <f>IF('3a Raw'!K308="","",MAX(-3,MIN(3,('3a Raw'!K308-$R3)/$R4)))</f>
        <v/>
      </c>
      <c r="S308" s="3">
        <f>IF(R308="","",(R308-AVERAGE(R6:R1198))/(STDEV(R6:R1198)+1E-12))</f>
        <v/>
      </c>
      <c r="T308" s="3">
        <f>IF('3a Raw'!L308="","",MAX(-3,MIN(3,('3a Raw'!L308-$T3)/$T4)))</f>
        <v/>
      </c>
      <c r="U308" s="3">
        <f>IF(T308="","",(T308-AVERAGE(T6:T1198))/(STDEV(T6:T1198)+1E-12))</f>
        <v/>
      </c>
      <c r="X308" s="3">
        <f>IF(U308="","",U308-($V$3*G308+$W$3))</f>
        <v/>
      </c>
      <c r="Y308" s="3">
        <f>IF(X308="","",MAX(-3,MIN(3,(X308-$X3)/$X4)))</f>
        <v/>
      </c>
      <c r="Z308" s="3">
        <f>IF(Y308="","",(Y308-AVERAGE(Y6:Y1198))/(STDEV(Y6:Y1198)+1E-12))</f>
        <v/>
      </c>
    </row>
    <row r="309">
      <c r="A309" t="inlineStr">
        <is>
          <t>BBG00BN961G4</t>
        </is>
      </c>
      <c r="B309" s="3">
        <f>IF('3a Raw'!C309="","",MAX(-3,MIN(3,('3a Raw'!C309-$B3)/$B4)))</f>
        <v/>
      </c>
      <c r="C309" s="3">
        <f>IF(B309="","",(B309-AVERAGE(B6:B1198))/(STDEV(B6:B1198)+1E-12))</f>
        <v/>
      </c>
      <c r="D309" s="3">
        <f>IF('3a Raw'!D309="","",MAX(-3,MIN(3,('3a Raw'!D309-$D3)/$D4)))</f>
        <v/>
      </c>
      <c r="E309" s="3">
        <f>IF(D309="","",(D309-AVERAGE(D6:D1198))/(STDEV(D6:D1198)+1E-12))</f>
        <v/>
      </c>
      <c r="F309" s="3">
        <f>IF('3a Raw'!E309="","",MAX(-3,MIN(3,('3a Raw'!E309-$F3)/$F4)))</f>
        <v/>
      </c>
      <c r="G309" s="3">
        <f>IF(F309="","",(F309-AVERAGE(F6:F1198))/(STDEV(F6:F1198)+1E-12))</f>
        <v/>
      </c>
      <c r="H309" s="3">
        <f>IF('3a Raw'!F309="","",MAX(-3,MIN(3,('3a Raw'!F309-$H3)/$H4)))</f>
        <v/>
      </c>
      <c r="I309" s="3">
        <f>IF(H309="","",(H309-AVERAGE(H6:H1198))/(STDEV(H6:H1198)+1E-12))</f>
        <v/>
      </c>
      <c r="J309" s="3">
        <f>IF('3a Raw'!G309="","",MAX(-3,MIN(3,('3a Raw'!G309-$J3)/$J4)))</f>
        <v/>
      </c>
      <c r="K309" s="3">
        <f>IF(J309="","",(J309-AVERAGE(J6:J1198))/(STDEV(J6:J1198)+1E-12))</f>
        <v/>
      </c>
      <c r="L309" s="3">
        <f>IF('3a Raw'!H309="","",MAX(-3,MIN(3,('3a Raw'!H309-$L3)/$L4)))</f>
        <v/>
      </c>
      <c r="M309" s="3">
        <f>IF(L309="","",(L309-AVERAGE(L6:L1198))/(STDEV(L6:L1198)+1E-12))</f>
        <v/>
      </c>
      <c r="N309" s="3">
        <f>IF('3a Raw'!I309="","",MAX(-3,MIN(3,('3a Raw'!I309-$N3)/$N4)))</f>
        <v/>
      </c>
      <c r="O309" s="3">
        <f>IF(N309="","",(N309-AVERAGE(N6:N1198))/(STDEV(N6:N1198)+1E-12))</f>
        <v/>
      </c>
      <c r="P309" s="3">
        <f>IF('3a Raw'!J309="","",MAX(-3,MIN(3,('3a Raw'!J309-$P3)/$P4)))</f>
        <v/>
      </c>
      <c r="Q309" s="3">
        <f>IF(P309="","",(P309-AVERAGE(P6:P1198))/(STDEV(P6:P1198)+1E-12))</f>
        <v/>
      </c>
      <c r="R309" s="3">
        <f>IF('3a Raw'!K309="","",MAX(-3,MIN(3,('3a Raw'!K309-$R3)/$R4)))</f>
        <v/>
      </c>
      <c r="S309" s="3">
        <f>IF(R309="","",(R309-AVERAGE(R6:R1198))/(STDEV(R6:R1198)+1E-12))</f>
        <v/>
      </c>
      <c r="T309" s="3">
        <f>IF('3a Raw'!L309="","",MAX(-3,MIN(3,('3a Raw'!L309-$T3)/$T4)))</f>
        <v/>
      </c>
      <c r="U309" s="3">
        <f>IF(T309="","",(T309-AVERAGE(T6:T1198))/(STDEV(T6:T1198)+1E-12))</f>
        <v/>
      </c>
      <c r="X309" s="3">
        <f>IF(U309="","",U309-($V$3*G309+$W$3))</f>
        <v/>
      </c>
      <c r="Y309" s="3">
        <f>IF(X309="","",MAX(-3,MIN(3,(X309-$X3)/$X4)))</f>
        <v/>
      </c>
      <c r="Z309" s="3">
        <f>IF(Y309="","",(Y309-AVERAGE(Y6:Y1198))/(STDEV(Y6:Y1198)+1E-12))</f>
        <v/>
      </c>
    </row>
    <row r="310">
      <c r="A310" t="inlineStr">
        <is>
          <t>BBG003NJHZT9</t>
        </is>
      </c>
      <c r="B310" s="3">
        <f>IF('3a Raw'!C310="","",MAX(-3,MIN(3,('3a Raw'!C310-$B3)/$B4)))</f>
        <v/>
      </c>
      <c r="C310" s="3">
        <f>IF(B310="","",(B310-AVERAGE(B6:B1198))/(STDEV(B6:B1198)+1E-12))</f>
        <v/>
      </c>
      <c r="D310" s="3">
        <f>IF('3a Raw'!D310="","",MAX(-3,MIN(3,('3a Raw'!D310-$D3)/$D4)))</f>
        <v/>
      </c>
      <c r="E310" s="3">
        <f>IF(D310="","",(D310-AVERAGE(D6:D1198))/(STDEV(D6:D1198)+1E-12))</f>
        <v/>
      </c>
      <c r="F310" s="3">
        <f>IF('3a Raw'!E310="","",MAX(-3,MIN(3,('3a Raw'!E310-$F3)/$F4)))</f>
        <v/>
      </c>
      <c r="G310" s="3">
        <f>IF(F310="","",(F310-AVERAGE(F6:F1198))/(STDEV(F6:F1198)+1E-12))</f>
        <v/>
      </c>
      <c r="H310" s="3">
        <f>IF('3a Raw'!F310="","",MAX(-3,MIN(3,('3a Raw'!F310-$H3)/$H4)))</f>
        <v/>
      </c>
      <c r="I310" s="3">
        <f>IF(H310="","",(H310-AVERAGE(H6:H1198))/(STDEV(H6:H1198)+1E-12))</f>
        <v/>
      </c>
      <c r="J310" s="3">
        <f>IF('3a Raw'!G310="","",MAX(-3,MIN(3,('3a Raw'!G310-$J3)/$J4)))</f>
        <v/>
      </c>
      <c r="K310" s="3">
        <f>IF(J310="","",(J310-AVERAGE(J6:J1198))/(STDEV(J6:J1198)+1E-12))</f>
        <v/>
      </c>
      <c r="L310" s="3">
        <f>IF('3a Raw'!H310="","",MAX(-3,MIN(3,('3a Raw'!H310-$L3)/$L4)))</f>
        <v/>
      </c>
      <c r="M310" s="3">
        <f>IF(L310="","",(L310-AVERAGE(L6:L1198))/(STDEV(L6:L1198)+1E-12))</f>
        <v/>
      </c>
      <c r="N310" s="3">
        <f>IF('3a Raw'!I310="","",MAX(-3,MIN(3,('3a Raw'!I310-$N3)/$N4)))</f>
        <v/>
      </c>
      <c r="O310" s="3">
        <f>IF(N310="","",(N310-AVERAGE(N6:N1198))/(STDEV(N6:N1198)+1E-12))</f>
        <v/>
      </c>
      <c r="P310" s="3">
        <f>IF('3a Raw'!J310="","",MAX(-3,MIN(3,('3a Raw'!J310-$P3)/$P4)))</f>
        <v/>
      </c>
      <c r="Q310" s="3">
        <f>IF(P310="","",(P310-AVERAGE(P6:P1198))/(STDEV(P6:P1198)+1E-12))</f>
        <v/>
      </c>
      <c r="R310" s="3">
        <f>IF('3a Raw'!K310="","",MAX(-3,MIN(3,('3a Raw'!K310-$R3)/$R4)))</f>
        <v/>
      </c>
      <c r="S310" s="3">
        <f>IF(R310="","",(R310-AVERAGE(R6:R1198))/(STDEV(R6:R1198)+1E-12))</f>
        <v/>
      </c>
      <c r="T310" s="3">
        <f>IF('3a Raw'!L310="","",MAX(-3,MIN(3,('3a Raw'!L310-$T3)/$T4)))</f>
        <v/>
      </c>
      <c r="U310" s="3">
        <f>IF(T310="","",(T310-AVERAGE(T6:T1198))/(STDEV(T6:T1198)+1E-12))</f>
        <v/>
      </c>
      <c r="X310" s="3">
        <f>IF(U310="","",U310-($V$3*G310+$W$3))</f>
        <v/>
      </c>
      <c r="Y310" s="3">
        <f>IF(X310="","",MAX(-3,MIN(3,(X310-$X3)/$X4)))</f>
        <v/>
      </c>
      <c r="Z310" s="3">
        <f>IF(Y310="","",(Y310-AVERAGE(Y6:Y1198))/(STDEV(Y6:Y1198)+1E-12))</f>
        <v/>
      </c>
    </row>
    <row r="311">
      <c r="A311" t="inlineStr">
        <is>
          <t>BBG000BS4MP5</t>
        </is>
      </c>
      <c r="B311" s="3">
        <f>IF('3a Raw'!C311="","",MAX(-3,MIN(3,('3a Raw'!C311-$B3)/$B4)))</f>
        <v/>
      </c>
      <c r="C311" s="3">
        <f>IF(B311="","",(B311-AVERAGE(B6:B1198))/(STDEV(B6:B1198)+1E-12))</f>
        <v/>
      </c>
      <c r="D311" s="3">
        <f>IF('3a Raw'!D311="","",MAX(-3,MIN(3,('3a Raw'!D311-$D3)/$D4)))</f>
        <v/>
      </c>
      <c r="E311" s="3">
        <f>IF(D311="","",(D311-AVERAGE(D6:D1198))/(STDEV(D6:D1198)+1E-12))</f>
        <v/>
      </c>
      <c r="F311" s="3">
        <f>IF('3a Raw'!E311="","",MAX(-3,MIN(3,('3a Raw'!E311-$F3)/$F4)))</f>
        <v/>
      </c>
      <c r="G311" s="3">
        <f>IF(F311="","",(F311-AVERAGE(F6:F1198))/(STDEV(F6:F1198)+1E-12))</f>
        <v/>
      </c>
      <c r="H311" s="3">
        <f>IF('3a Raw'!F311="","",MAX(-3,MIN(3,('3a Raw'!F311-$H3)/$H4)))</f>
        <v/>
      </c>
      <c r="I311" s="3">
        <f>IF(H311="","",(H311-AVERAGE(H6:H1198))/(STDEV(H6:H1198)+1E-12))</f>
        <v/>
      </c>
      <c r="J311" s="3">
        <f>IF('3a Raw'!G311="","",MAX(-3,MIN(3,('3a Raw'!G311-$J3)/$J4)))</f>
        <v/>
      </c>
      <c r="K311" s="3">
        <f>IF(J311="","",(J311-AVERAGE(J6:J1198))/(STDEV(J6:J1198)+1E-12))</f>
        <v/>
      </c>
      <c r="L311" s="3">
        <f>IF('3a Raw'!H311="","",MAX(-3,MIN(3,('3a Raw'!H311-$L3)/$L4)))</f>
        <v/>
      </c>
      <c r="M311" s="3">
        <f>IF(L311="","",(L311-AVERAGE(L6:L1198))/(STDEV(L6:L1198)+1E-12))</f>
        <v/>
      </c>
      <c r="N311" s="3">
        <f>IF('3a Raw'!I311="","",MAX(-3,MIN(3,('3a Raw'!I311-$N3)/$N4)))</f>
        <v/>
      </c>
      <c r="O311" s="3">
        <f>IF(N311="","",(N311-AVERAGE(N6:N1198))/(STDEV(N6:N1198)+1E-12))</f>
        <v/>
      </c>
      <c r="P311" s="3">
        <f>IF('3a Raw'!J311="","",MAX(-3,MIN(3,('3a Raw'!J311-$P3)/$P4)))</f>
        <v/>
      </c>
      <c r="Q311" s="3">
        <f>IF(P311="","",(P311-AVERAGE(P6:P1198))/(STDEV(P6:P1198)+1E-12))</f>
        <v/>
      </c>
      <c r="R311" s="3">
        <f>IF('3a Raw'!K311="","",MAX(-3,MIN(3,('3a Raw'!K311-$R3)/$R4)))</f>
        <v/>
      </c>
      <c r="S311" s="3">
        <f>IF(R311="","",(R311-AVERAGE(R6:R1198))/(STDEV(R6:R1198)+1E-12))</f>
        <v/>
      </c>
      <c r="T311" s="3">
        <f>IF('3a Raw'!L311="","",MAX(-3,MIN(3,('3a Raw'!L311-$T3)/$T4)))</f>
        <v/>
      </c>
      <c r="U311" s="3">
        <f>IF(T311="","",(T311-AVERAGE(T6:T1198))/(STDEV(T6:T1198)+1E-12))</f>
        <v/>
      </c>
      <c r="X311" s="3">
        <f>IF(U311="","",U311-($V$3*G311+$W$3))</f>
        <v/>
      </c>
      <c r="Y311" s="3">
        <f>IF(X311="","",MAX(-3,MIN(3,(X311-$X3)/$X4)))</f>
        <v/>
      </c>
      <c r="Z311" s="3">
        <f>IF(Y311="","",(Y311-AVERAGE(Y6:Y1198))/(STDEV(Y6:Y1198)+1E-12))</f>
        <v/>
      </c>
    </row>
    <row r="312">
      <c r="A312" t="inlineStr">
        <is>
          <t>de</t>
        </is>
      </c>
      <c r="B312" s="3">
        <f>IF('3a Raw'!C312="","",MAX(-3,MIN(3,('3a Raw'!C312-$B3)/$B4)))</f>
        <v/>
      </c>
      <c r="C312" s="3">
        <f>IF(B312="","",(B312-AVERAGE(B6:B1198))/(STDEV(B6:B1198)+1E-12))</f>
        <v/>
      </c>
      <c r="D312" s="3">
        <f>IF('3a Raw'!D312="","",MAX(-3,MIN(3,('3a Raw'!D312-$D3)/$D4)))</f>
        <v/>
      </c>
      <c r="E312" s="3">
        <f>IF(D312="","",(D312-AVERAGE(D6:D1198))/(STDEV(D6:D1198)+1E-12))</f>
        <v/>
      </c>
      <c r="F312" s="3">
        <f>IF('3a Raw'!E312="","",MAX(-3,MIN(3,('3a Raw'!E312-$F3)/$F4)))</f>
        <v/>
      </c>
      <c r="G312" s="3">
        <f>IF(F312="","",(F312-AVERAGE(F6:F1198))/(STDEV(F6:F1198)+1E-12))</f>
        <v/>
      </c>
      <c r="H312" s="3">
        <f>IF('3a Raw'!F312="","",MAX(-3,MIN(3,('3a Raw'!F312-$H3)/$H4)))</f>
        <v/>
      </c>
      <c r="I312" s="3">
        <f>IF(H312="","",(H312-AVERAGE(H6:H1198))/(STDEV(H6:H1198)+1E-12))</f>
        <v/>
      </c>
      <c r="J312" s="3">
        <f>IF('3a Raw'!G312="","",MAX(-3,MIN(3,('3a Raw'!G312-$J3)/$J4)))</f>
        <v/>
      </c>
      <c r="K312" s="3">
        <f>IF(J312="","",(J312-AVERAGE(J6:J1198))/(STDEV(J6:J1198)+1E-12))</f>
        <v/>
      </c>
      <c r="L312" s="3">
        <f>IF('3a Raw'!H312="","",MAX(-3,MIN(3,('3a Raw'!H312-$L3)/$L4)))</f>
        <v/>
      </c>
      <c r="M312" s="3">
        <f>IF(L312="","",(L312-AVERAGE(L6:L1198))/(STDEV(L6:L1198)+1E-12))</f>
        <v/>
      </c>
      <c r="N312" s="3">
        <f>IF('3a Raw'!I312="","",MAX(-3,MIN(3,('3a Raw'!I312-$N3)/$N4)))</f>
        <v/>
      </c>
      <c r="O312" s="3">
        <f>IF(N312="","",(N312-AVERAGE(N6:N1198))/(STDEV(N6:N1198)+1E-12))</f>
        <v/>
      </c>
      <c r="P312" s="3">
        <f>IF('3a Raw'!J312="","",MAX(-3,MIN(3,('3a Raw'!J312-$P3)/$P4)))</f>
        <v/>
      </c>
      <c r="Q312" s="3">
        <f>IF(P312="","",(P312-AVERAGE(P6:P1198))/(STDEV(P6:P1198)+1E-12))</f>
        <v/>
      </c>
      <c r="R312" s="3">
        <f>IF('3a Raw'!K312="","",MAX(-3,MIN(3,('3a Raw'!K312-$R3)/$R4)))</f>
        <v/>
      </c>
      <c r="S312" s="3">
        <f>IF(R312="","",(R312-AVERAGE(R6:R1198))/(STDEV(R6:R1198)+1E-12))</f>
        <v/>
      </c>
      <c r="T312" s="3">
        <f>IF('3a Raw'!L312="","",MAX(-3,MIN(3,('3a Raw'!L312-$T3)/$T4)))</f>
        <v/>
      </c>
      <c r="U312" s="3">
        <f>IF(T312="","",(T312-AVERAGE(T6:T1198))/(STDEV(T6:T1198)+1E-12))</f>
        <v/>
      </c>
      <c r="X312" s="3">
        <f>IF(U312="","",U312-($V$3*G312+$W$3))</f>
        <v/>
      </c>
      <c r="Y312" s="3">
        <f>IF(X312="","",MAX(-3,MIN(3,(X312-$X3)/$X4)))</f>
        <v/>
      </c>
      <c r="Z312" s="3">
        <f>IF(Y312="","",(Y312-AVERAGE(Y6:Y1198))/(STDEV(Y6:Y1198)+1E-12))</f>
        <v/>
      </c>
    </row>
    <row r="313">
      <c r="A313" t="inlineStr">
        <is>
          <t>deck</t>
        </is>
      </c>
      <c r="B313" s="3">
        <f>IF('3a Raw'!C313="","",MAX(-3,MIN(3,('3a Raw'!C313-$B3)/$B4)))</f>
        <v/>
      </c>
      <c r="C313" s="3">
        <f>IF(B313="","",(B313-AVERAGE(B6:B1198))/(STDEV(B6:B1198)+1E-12))</f>
        <v/>
      </c>
      <c r="D313" s="3">
        <f>IF('3a Raw'!D313="","",MAX(-3,MIN(3,('3a Raw'!D313-$D3)/$D4)))</f>
        <v/>
      </c>
      <c r="E313" s="3">
        <f>IF(D313="","",(D313-AVERAGE(D6:D1198))/(STDEV(D6:D1198)+1E-12))</f>
        <v/>
      </c>
      <c r="F313" s="3">
        <f>IF('3a Raw'!E313="","",MAX(-3,MIN(3,('3a Raw'!E313-$F3)/$F4)))</f>
        <v/>
      </c>
      <c r="G313" s="3">
        <f>IF(F313="","",(F313-AVERAGE(F6:F1198))/(STDEV(F6:F1198)+1E-12))</f>
        <v/>
      </c>
      <c r="H313" s="3">
        <f>IF('3a Raw'!F313="","",MAX(-3,MIN(3,('3a Raw'!F313-$H3)/$H4)))</f>
        <v/>
      </c>
      <c r="I313" s="3">
        <f>IF(H313="","",(H313-AVERAGE(H6:H1198))/(STDEV(H6:H1198)+1E-12))</f>
        <v/>
      </c>
      <c r="J313" s="3">
        <f>IF('3a Raw'!G313="","",MAX(-3,MIN(3,('3a Raw'!G313-$J3)/$J4)))</f>
        <v/>
      </c>
      <c r="K313" s="3">
        <f>IF(J313="","",(J313-AVERAGE(J6:J1198))/(STDEV(J6:J1198)+1E-12))</f>
        <v/>
      </c>
      <c r="L313" s="3">
        <f>IF('3a Raw'!H313="","",MAX(-3,MIN(3,('3a Raw'!H313-$L3)/$L4)))</f>
        <v/>
      </c>
      <c r="M313" s="3">
        <f>IF(L313="","",(L313-AVERAGE(L6:L1198))/(STDEV(L6:L1198)+1E-12))</f>
        <v/>
      </c>
      <c r="N313" s="3">
        <f>IF('3a Raw'!I313="","",MAX(-3,MIN(3,('3a Raw'!I313-$N3)/$N4)))</f>
        <v/>
      </c>
      <c r="O313" s="3">
        <f>IF(N313="","",(N313-AVERAGE(N6:N1198))/(STDEV(N6:N1198)+1E-12))</f>
        <v/>
      </c>
      <c r="P313" s="3">
        <f>IF('3a Raw'!J313="","",MAX(-3,MIN(3,('3a Raw'!J313-$P3)/$P4)))</f>
        <v/>
      </c>
      <c r="Q313" s="3">
        <f>IF(P313="","",(P313-AVERAGE(P6:P1198))/(STDEV(P6:P1198)+1E-12))</f>
        <v/>
      </c>
      <c r="R313" s="3">
        <f>IF('3a Raw'!K313="","",MAX(-3,MIN(3,('3a Raw'!K313-$R3)/$R4)))</f>
        <v/>
      </c>
      <c r="S313" s="3">
        <f>IF(R313="","",(R313-AVERAGE(R6:R1198))/(STDEV(R6:R1198)+1E-12))</f>
        <v/>
      </c>
      <c r="T313" s="3">
        <f>IF('3a Raw'!L313="","",MAX(-3,MIN(3,('3a Raw'!L313-$T3)/$T4)))</f>
        <v/>
      </c>
      <c r="U313" s="3">
        <f>IF(T313="","",(T313-AVERAGE(T6:T1198))/(STDEV(T6:T1198)+1E-12))</f>
        <v/>
      </c>
      <c r="X313" s="3">
        <f>IF(U313="","",U313-($V$3*G313+$W$3))</f>
        <v/>
      </c>
      <c r="Y313" s="3">
        <f>IF(X313="","",MAX(-3,MIN(3,(X313-$X3)/$X4)))</f>
        <v/>
      </c>
      <c r="Z313" s="3">
        <f>IF(Y313="","",(Y313-AVERAGE(Y6:Y1198))/(STDEV(Y6:Y1198)+1E-12))</f>
        <v/>
      </c>
    </row>
    <row r="314">
      <c r="A314" t="inlineStr">
        <is>
          <t>BBG000PN1SJ8</t>
        </is>
      </c>
      <c r="B314" s="3">
        <f>IF('3a Raw'!C314="","",MAX(-3,MIN(3,('3a Raw'!C314-$B3)/$B4)))</f>
        <v/>
      </c>
      <c r="C314" s="3">
        <f>IF(B314="","",(B314-AVERAGE(B6:B1198))/(STDEV(B6:B1198)+1E-12))</f>
        <v/>
      </c>
      <c r="D314" s="3">
        <f>IF('3a Raw'!D314="","",MAX(-3,MIN(3,('3a Raw'!D314-$D3)/$D4)))</f>
        <v/>
      </c>
      <c r="E314" s="3">
        <f>IF(D314="","",(D314-AVERAGE(D6:D1198))/(STDEV(D6:D1198)+1E-12))</f>
        <v/>
      </c>
      <c r="F314" s="3">
        <f>IF('3a Raw'!E314="","",MAX(-3,MIN(3,('3a Raw'!E314-$F3)/$F4)))</f>
        <v/>
      </c>
      <c r="G314" s="3">
        <f>IF(F314="","",(F314-AVERAGE(F6:F1198))/(STDEV(F6:F1198)+1E-12))</f>
        <v/>
      </c>
      <c r="H314" s="3">
        <f>IF('3a Raw'!F314="","",MAX(-3,MIN(3,('3a Raw'!F314-$H3)/$H4)))</f>
        <v/>
      </c>
      <c r="I314" s="3">
        <f>IF(H314="","",(H314-AVERAGE(H6:H1198))/(STDEV(H6:H1198)+1E-12))</f>
        <v/>
      </c>
      <c r="J314" s="3">
        <f>IF('3a Raw'!G314="","",MAX(-3,MIN(3,('3a Raw'!G314-$J3)/$J4)))</f>
        <v/>
      </c>
      <c r="K314" s="3">
        <f>IF(J314="","",(J314-AVERAGE(J6:J1198))/(STDEV(J6:J1198)+1E-12))</f>
        <v/>
      </c>
      <c r="L314" s="3">
        <f>IF('3a Raw'!H314="","",MAX(-3,MIN(3,('3a Raw'!H314-$L3)/$L4)))</f>
        <v/>
      </c>
      <c r="M314" s="3">
        <f>IF(L314="","",(L314-AVERAGE(L6:L1198))/(STDEV(L6:L1198)+1E-12))</f>
        <v/>
      </c>
      <c r="N314" s="3">
        <f>IF('3a Raw'!I314="","",MAX(-3,MIN(3,('3a Raw'!I314-$N3)/$N4)))</f>
        <v/>
      </c>
      <c r="O314" s="3">
        <f>IF(N314="","",(N314-AVERAGE(N6:N1198))/(STDEV(N6:N1198)+1E-12))</f>
        <v/>
      </c>
      <c r="P314" s="3">
        <f>IF('3a Raw'!J314="","",MAX(-3,MIN(3,('3a Raw'!J314-$P3)/$P4)))</f>
        <v/>
      </c>
      <c r="Q314" s="3">
        <f>IF(P314="","",(P314-AVERAGE(P6:P1198))/(STDEV(P6:P1198)+1E-12))</f>
        <v/>
      </c>
      <c r="R314" s="3">
        <f>IF('3a Raw'!K314="","",MAX(-3,MIN(3,('3a Raw'!K314-$R3)/$R4)))</f>
        <v/>
      </c>
      <c r="S314" s="3">
        <f>IF(R314="","",(R314-AVERAGE(R6:R1198))/(STDEV(R6:R1198)+1E-12))</f>
        <v/>
      </c>
      <c r="T314" s="3">
        <f>IF('3a Raw'!L314="","",MAX(-3,MIN(3,('3a Raw'!L314-$T3)/$T4)))</f>
        <v/>
      </c>
      <c r="U314" s="3">
        <f>IF(T314="","",(T314-AVERAGE(T6:T1198))/(STDEV(T6:T1198)+1E-12))</f>
        <v/>
      </c>
      <c r="X314" s="3">
        <f>IF(U314="","",U314-($V$3*G314+$W$3))</f>
        <v/>
      </c>
      <c r="Y314" s="3">
        <f>IF(X314="","",MAX(-3,MIN(3,(X314-$X3)/$X4)))</f>
        <v/>
      </c>
      <c r="Z314" s="3">
        <f>IF(Y314="","",(Y314-AVERAGE(Y6:Y1198))/(STDEV(Y6:Y1198)+1E-12))</f>
        <v/>
      </c>
    </row>
    <row r="315">
      <c r="A315" t="inlineStr">
        <is>
          <t>dell</t>
        </is>
      </c>
      <c r="B315" s="3">
        <f>IF('3a Raw'!C315="","",MAX(-3,MIN(3,('3a Raw'!C315-$B3)/$B4)))</f>
        <v/>
      </c>
      <c r="C315" s="3">
        <f>IF(B315="","",(B315-AVERAGE(B6:B1198))/(STDEV(B6:B1198)+1E-12))</f>
        <v/>
      </c>
      <c r="D315" s="3">
        <f>IF('3a Raw'!D315="","",MAX(-3,MIN(3,('3a Raw'!D315-$D3)/$D4)))</f>
        <v/>
      </c>
      <c r="E315" s="3">
        <f>IF(D315="","",(D315-AVERAGE(D6:D1198))/(STDEV(D6:D1198)+1E-12))</f>
        <v/>
      </c>
      <c r="F315" s="3">
        <f>IF('3a Raw'!E315="","",MAX(-3,MIN(3,('3a Raw'!E315-$F3)/$F4)))</f>
        <v/>
      </c>
      <c r="G315" s="3">
        <f>IF(F315="","",(F315-AVERAGE(F6:F1198))/(STDEV(F6:F1198)+1E-12))</f>
        <v/>
      </c>
      <c r="H315" s="3">
        <f>IF('3a Raw'!F315="","",MAX(-3,MIN(3,('3a Raw'!F315-$H3)/$H4)))</f>
        <v/>
      </c>
      <c r="I315" s="3">
        <f>IF(H315="","",(H315-AVERAGE(H6:H1198))/(STDEV(H6:H1198)+1E-12))</f>
        <v/>
      </c>
      <c r="J315" s="3">
        <f>IF('3a Raw'!G315="","",MAX(-3,MIN(3,('3a Raw'!G315-$J3)/$J4)))</f>
        <v/>
      </c>
      <c r="K315" s="3">
        <f>IF(J315="","",(J315-AVERAGE(J6:J1198))/(STDEV(J6:J1198)+1E-12))</f>
        <v/>
      </c>
      <c r="L315" s="3">
        <f>IF('3a Raw'!H315="","",MAX(-3,MIN(3,('3a Raw'!H315-$L3)/$L4)))</f>
        <v/>
      </c>
      <c r="M315" s="3">
        <f>IF(L315="","",(L315-AVERAGE(L6:L1198))/(STDEV(L6:L1198)+1E-12))</f>
        <v/>
      </c>
      <c r="N315" s="3">
        <f>IF('3a Raw'!I315="","",MAX(-3,MIN(3,('3a Raw'!I315-$N3)/$N4)))</f>
        <v/>
      </c>
      <c r="O315" s="3">
        <f>IF(N315="","",(N315-AVERAGE(N6:N1198))/(STDEV(N6:N1198)+1E-12))</f>
        <v/>
      </c>
      <c r="P315" s="3">
        <f>IF('3a Raw'!J315="","",MAX(-3,MIN(3,('3a Raw'!J315-$P3)/$P4)))</f>
        <v/>
      </c>
      <c r="Q315" s="3">
        <f>IF(P315="","",(P315-AVERAGE(P6:P1198))/(STDEV(P6:P1198)+1E-12))</f>
        <v/>
      </c>
      <c r="R315" s="3">
        <f>IF('3a Raw'!K315="","",MAX(-3,MIN(3,('3a Raw'!K315-$R3)/$R4)))</f>
        <v/>
      </c>
      <c r="S315" s="3">
        <f>IF(R315="","",(R315-AVERAGE(R6:R1198))/(STDEV(R6:R1198)+1E-12))</f>
        <v/>
      </c>
      <c r="T315" s="3">
        <f>IF('3a Raw'!L315="","",MAX(-3,MIN(3,('3a Raw'!L315-$T3)/$T4)))</f>
        <v/>
      </c>
      <c r="U315" s="3">
        <f>IF(T315="","",(T315-AVERAGE(T6:T1198))/(STDEV(T6:T1198)+1E-12))</f>
        <v/>
      </c>
      <c r="X315" s="3">
        <f>IF(U315="","",U315-($V$3*G315+$W$3))</f>
        <v/>
      </c>
      <c r="Y315" s="3">
        <f>IF(X315="","",MAX(-3,MIN(3,(X315-$X3)/$X4)))</f>
        <v/>
      </c>
      <c r="Z315" s="3">
        <f>IF(Y315="","",(Y315-AVERAGE(Y6:Y1198))/(STDEV(Y6:Y1198)+1E-12))</f>
        <v/>
      </c>
    </row>
    <row r="316">
      <c r="A316" t="inlineStr">
        <is>
          <t>BBG000NV1KK7</t>
        </is>
      </c>
      <c r="B316" s="3">
        <f>IF('3a Raw'!C316="","",MAX(-3,MIN(3,('3a Raw'!C316-$B3)/$B4)))</f>
        <v/>
      </c>
      <c r="C316" s="3">
        <f>IF(B316="","",(B316-AVERAGE(B6:B1198))/(STDEV(B6:B1198)+1E-12))</f>
        <v/>
      </c>
      <c r="D316" s="3">
        <f>IF('3a Raw'!D316="","",MAX(-3,MIN(3,('3a Raw'!D316-$D3)/$D4)))</f>
        <v/>
      </c>
      <c r="E316" s="3">
        <f>IF(D316="","",(D316-AVERAGE(D6:D1198))/(STDEV(D6:D1198)+1E-12))</f>
        <v/>
      </c>
      <c r="F316" s="3">
        <f>IF('3a Raw'!E316="","",MAX(-3,MIN(3,('3a Raw'!E316-$F3)/$F4)))</f>
        <v/>
      </c>
      <c r="G316" s="3">
        <f>IF(F316="","",(F316-AVERAGE(F6:F1198))/(STDEV(F6:F1198)+1E-12))</f>
        <v/>
      </c>
      <c r="H316" s="3">
        <f>IF('3a Raw'!F316="","",MAX(-3,MIN(3,('3a Raw'!F316-$H3)/$H4)))</f>
        <v/>
      </c>
      <c r="I316" s="3">
        <f>IF(H316="","",(H316-AVERAGE(H6:H1198))/(STDEV(H6:H1198)+1E-12))</f>
        <v/>
      </c>
      <c r="J316" s="3">
        <f>IF('3a Raw'!G316="","",MAX(-3,MIN(3,('3a Raw'!G316-$J3)/$J4)))</f>
        <v/>
      </c>
      <c r="K316" s="3">
        <f>IF(J316="","",(J316-AVERAGE(J6:J1198))/(STDEV(J6:J1198)+1E-12))</f>
        <v/>
      </c>
      <c r="L316" s="3">
        <f>IF('3a Raw'!H316="","",MAX(-3,MIN(3,('3a Raw'!H316-$L3)/$L4)))</f>
        <v/>
      </c>
      <c r="M316" s="3">
        <f>IF(L316="","",(L316-AVERAGE(L6:L1198))/(STDEV(L6:L1198)+1E-12))</f>
        <v/>
      </c>
      <c r="N316" s="3">
        <f>IF('3a Raw'!I316="","",MAX(-3,MIN(3,('3a Raw'!I316-$N3)/$N4)))</f>
        <v/>
      </c>
      <c r="O316" s="3">
        <f>IF(N316="","",(N316-AVERAGE(N6:N1198))/(STDEV(N6:N1198)+1E-12))</f>
        <v/>
      </c>
      <c r="P316" s="3">
        <f>IF('3a Raw'!J316="","",MAX(-3,MIN(3,('3a Raw'!J316-$P3)/$P4)))</f>
        <v/>
      </c>
      <c r="Q316" s="3">
        <f>IF(P316="","",(P316-AVERAGE(P6:P1198))/(STDEV(P6:P1198)+1E-12))</f>
        <v/>
      </c>
      <c r="R316" s="3">
        <f>IF('3a Raw'!K316="","",MAX(-3,MIN(3,('3a Raw'!K316-$R3)/$R4)))</f>
        <v/>
      </c>
      <c r="S316" s="3">
        <f>IF(R316="","",(R316-AVERAGE(R6:R1198))/(STDEV(R6:R1198)+1E-12))</f>
        <v/>
      </c>
      <c r="T316" s="3">
        <f>IF('3a Raw'!L316="","",MAX(-3,MIN(3,('3a Raw'!L316-$T3)/$T4)))</f>
        <v/>
      </c>
      <c r="U316" s="3">
        <f>IF(T316="","",(T316-AVERAGE(T6:T1198))/(STDEV(T6:T1198)+1E-12))</f>
        <v/>
      </c>
      <c r="X316" s="3">
        <f>IF(U316="","",U316-($V$3*G316+$W$3))</f>
        <v/>
      </c>
      <c r="Y316" s="3">
        <f>IF(X316="","",MAX(-3,MIN(3,(X316-$X3)/$X4)))</f>
        <v/>
      </c>
      <c r="Z316" s="3">
        <f>IF(Y316="","",(Y316-AVERAGE(Y6:Y1198))/(STDEV(Y6:Y1198)+1E-12))</f>
        <v/>
      </c>
    </row>
    <row r="317">
      <c r="A317" t="inlineStr">
        <is>
          <t>dgx</t>
        </is>
      </c>
      <c r="B317" s="3">
        <f>IF('3a Raw'!C317="","",MAX(-3,MIN(3,('3a Raw'!C317-$B3)/$B4)))</f>
        <v/>
      </c>
      <c r="C317" s="3">
        <f>IF(B317="","",(B317-AVERAGE(B6:B1198))/(STDEV(B6:B1198)+1E-12))</f>
        <v/>
      </c>
      <c r="D317" s="3">
        <f>IF('3a Raw'!D317="","",MAX(-3,MIN(3,('3a Raw'!D317-$D3)/$D4)))</f>
        <v/>
      </c>
      <c r="E317" s="3">
        <f>IF(D317="","",(D317-AVERAGE(D6:D1198))/(STDEV(D6:D1198)+1E-12))</f>
        <v/>
      </c>
      <c r="F317" s="3">
        <f>IF('3a Raw'!E317="","",MAX(-3,MIN(3,('3a Raw'!E317-$F3)/$F4)))</f>
        <v/>
      </c>
      <c r="G317" s="3">
        <f>IF(F317="","",(F317-AVERAGE(F6:F1198))/(STDEV(F6:F1198)+1E-12))</f>
        <v/>
      </c>
      <c r="H317" s="3">
        <f>IF('3a Raw'!F317="","",MAX(-3,MIN(3,('3a Raw'!F317-$H3)/$H4)))</f>
        <v/>
      </c>
      <c r="I317" s="3">
        <f>IF(H317="","",(H317-AVERAGE(H6:H1198))/(STDEV(H6:H1198)+1E-12))</f>
        <v/>
      </c>
      <c r="J317" s="3">
        <f>IF('3a Raw'!G317="","",MAX(-3,MIN(3,('3a Raw'!G317-$J3)/$J4)))</f>
        <v/>
      </c>
      <c r="K317" s="3">
        <f>IF(J317="","",(J317-AVERAGE(J6:J1198))/(STDEV(J6:J1198)+1E-12))</f>
        <v/>
      </c>
      <c r="L317" s="3">
        <f>IF('3a Raw'!H317="","",MAX(-3,MIN(3,('3a Raw'!H317-$L3)/$L4)))</f>
        <v/>
      </c>
      <c r="M317" s="3">
        <f>IF(L317="","",(L317-AVERAGE(L6:L1198))/(STDEV(L6:L1198)+1E-12))</f>
        <v/>
      </c>
      <c r="N317" s="3">
        <f>IF('3a Raw'!I317="","",MAX(-3,MIN(3,('3a Raw'!I317-$N3)/$N4)))</f>
        <v/>
      </c>
      <c r="O317" s="3">
        <f>IF(N317="","",(N317-AVERAGE(N6:N1198))/(STDEV(N6:N1198)+1E-12))</f>
        <v/>
      </c>
      <c r="P317" s="3">
        <f>IF('3a Raw'!J317="","",MAX(-3,MIN(3,('3a Raw'!J317-$P3)/$P4)))</f>
        <v/>
      </c>
      <c r="Q317" s="3">
        <f>IF(P317="","",(P317-AVERAGE(P6:P1198))/(STDEV(P6:P1198)+1E-12))</f>
        <v/>
      </c>
      <c r="R317" s="3">
        <f>IF('3a Raw'!K317="","",MAX(-3,MIN(3,('3a Raw'!K317-$R3)/$R4)))</f>
        <v/>
      </c>
      <c r="S317" s="3">
        <f>IF(R317="","",(R317-AVERAGE(R6:R1198))/(STDEV(R6:R1198)+1E-12))</f>
        <v/>
      </c>
      <c r="T317" s="3">
        <f>IF('3a Raw'!L317="","",MAX(-3,MIN(3,('3a Raw'!L317-$T3)/$T4)))</f>
        <v/>
      </c>
      <c r="U317" s="3">
        <f>IF(T317="","",(T317-AVERAGE(T6:T1198))/(STDEV(T6:T1198)+1E-12))</f>
        <v/>
      </c>
      <c r="X317" s="3">
        <f>IF(U317="","",U317-($V$3*G317+$W$3))</f>
        <v/>
      </c>
      <c r="Y317" s="3">
        <f>IF(X317="","",MAX(-3,MIN(3,(X317-$X3)/$X4)))</f>
        <v/>
      </c>
      <c r="Z317" s="3">
        <f>IF(Y317="","",(Y317-AVERAGE(Y6:Y1198))/(STDEV(Y6:Y1198)+1E-12))</f>
        <v/>
      </c>
    </row>
    <row r="318">
      <c r="A318" t="inlineStr">
        <is>
          <t>BBG000DQTXY6</t>
        </is>
      </c>
      <c r="B318" s="3">
        <f>IF('3a Raw'!C318="","",MAX(-3,MIN(3,('3a Raw'!C318-$B3)/$B4)))</f>
        <v/>
      </c>
      <c r="C318" s="3">
        <f>IF(B318="","",(B318-AVERAGE(B6:B1198))/(STDEV(B6:B1198)+1E-12))</f>
        <v/>
      </c>
      <c r="D318" s="3">
        <f>IF('3a Raw'!D318="","",MAX(-3,MIN(3,('3a Raw'!D318-$D3)/$D4)))</f>
        <v/>
      </c>
      <c r="E318" s="3">
        <f>IF(D318="","",(D318-AVERAGE(D6:D1198))/(STDEV(D6:D1198)+1E-12))</f>
        <v/>
      </c>
      <c r="F318" s="3">
        <f>IF('3a Raw'!E318="","",MAX(-3,MIN(3,('3a Raw'!E318-$F3)/$F4)))</f>
        <v/>
      </c>
      <c r="G318" s="3">
        <f>IF(F318="","",(F318-AVERAGE(F6:F1198))/(STDEV(F6:F1198)+1E-12))</f>
        <v/>
      </c>
      <c r="H318" s="3">
        <f>IF('3a Raw'!F318="","",MAX(-3,MIN(3,('3a Raw'!F318-$H3)/$H4)))</f>
        <v/>
      </c>
      <c r="I318" s="3">
        <f>IF(H318="","",(H318-AVERAGE(H6:H1198))/(STDEV(H6:H1198)+1E-12))</f>
        <v/>
      </c>
      <c r="J318" s="3">
        <f>IF('3a Raw'!G318="","",MAX(-3,MIN(3,('3a Raw'!G318-$J3)/$J4)))</f>
        <v/>
      </c>
      <c r="K318" s="3">
        <f>IF(J318="","",(J318-AVERAGE(J6:J1198))/(STDEV(J6:J1198)+1E-12))</f>
        <v/>
      </c>
      <c r="L318" s="3">
        <f>IF('3a Raw'!H318="","",MAX(-3,MIN(3,('3a Raw'!H318-$L3)/$L4)))</f>
        <v/>
      </c>
      <c r="M318" s="3">
        <f>IF(L318="","",(L318-AVERAGE(L6:L1198))/(STDEV(L6:L1198)+1E-12))</f>
        <v/>
      </c>
      <c r="N318" s="3">
        <f>IF('3a Raw'!I318="","",MAX(-3,MIN(3,('3a Raw'!I318-$N3)/$N4)))</f>
        <v/>
      </c>
      <c r="O318" s="3">
        <f>IF(N318="","",(N318-AVERAGE(N6:N1198))/(STDEV(N6:N1198)+1E-12))</f>
        <v/>
      </c>
      <c r="P318" s="3">
        <f>IF('3a Raw'!J318="","",MAX(-3,MIN(3,('3a Raw'!J318-$P3)/$P4)))</f>
        <v/>
      </c>
      <c r="Q318" s="3">
        <f>IF(P318="","",(P318-AVERAGE(P6:P1198))/(STDEV(P6:P1198)+1E-12))</f>
        <v/>
      </c>
      <c r="R318" s="3">
        <f>IF('3a Raw'!K318="","",MAX(-3,MIN(3,('3a Raw'!K318-$R3)/$R4)))</f>
        <v/>
      </c>
      <c r="S318" s="3">
        <f>IF(R318="","",(R318-AVERAGE(R6:R1198))/(STDEV(R6:R1198)+1E-12))</f>
        <v/>
      </c>
      <c r="T318" s="3">
        <f>IF('3a Raw'!L318="","",MAX(-3,MIN(3,('3a Raw'!L318-$T3)/$T4)))</f>
        <v/>
      </c>
      <c r="U318" s="3">
        <f>IF(T318="","",(T318-AVERAGE(T6:T1198))/(STDEV(T6:T1198)+1E-12))</f>
        <v/>
      </c>
      <c r="X318" s="3">
        <f>IF(U318="","",U318-($V$3*G318+$W$3))</f>
        <v/>
      </c>
      <c r="Y318" s="3">
        <f>IF(X318="","",MAX(-3,MIN(3,(X318-$X3)/$X4)))</f>
        <v/>
      </c>
      <c r="Z318" s="3">
        <f>IF(Y318="","",(Y318-AVERAGE(Y6:Y1198))/(STDEV(Y6:Y1198)+1E-12))</f>
        <v/>
      </c>
    </row>
    <row r="319">
      <c r="A319" t="inlineStr">
        <is>
          <t>BBG000BH3JF8</t>
        </is>
      </c>
      <c r="B319" s="3">
        <f>IF('3a Raw'!C319="","",MAX(-3,MIN(3,('3a Raw'!C319-$B3)/$B4)))</f>
        <v/>
      </c>
      <c r="C319" s="3">
        <f>IF(B319="","",(B319-AVERAGE(B6:B1198))/(STDEV(B6:B1198)+1E-12))</f>
        <v/>
      </c>
      <c r="D319" s="3">
        <f>IF('3a Raw'!D319="","",MAX(-3,MIN(3,('3a Raw'!D319-$D3)/$D4)))</f>
        <v/>
      </c>
      <c r="E319" s="3">
        <f>IF(D319="","",(D319-AVERAGE(D6:D1198))/(STDEV(D6:D1198)+1E-12))</f>
        <v/>
      </c>
      <c r="F319" s="3">
        <f>IF('3a Raw'!E319="","",MAX(-3,MIN(3,('3a Raw'!E319-$F3)/$F4)))</f>
        <v/>
      </c>
      <c r="G319" s="3">
        <f>IF(F319="","",(F319-AVERAGE(F6:F1198))/(STDEV(F6:F1198)+1E-12))</f>
        <v/>
      </c>
      <c r="H319" s="3">
        <f>IF('3a Raw'!F319="","",MAX(-3,MIN(3,('3a Raw'!F319-$H3)/$H4)))</f>
        <v/>
      </c>
      <c r="I319" s="3">
        <f>IF(H319="","",(H319-AVERAGE(H6:H1198))/(STDEV(H6:H1198)+1E-12))</f>
        <v/>
      </c>
      <c r="J319" s="3">
        <f>IF('3a Raw'!G319="","",MAX(-3,MIN(3,('3a Raw'!G319-$J3)/$J4)))</f>
        <v/>
      </c>
      <c r="K319" s="3">
        <f>IF(J319="","",(J319-AVERAGE(J6:J1198))/(STDEV(J6:J1198)+1E-12))</f>
        <v/>
      </c>
      <c r="L319" s="3">
        <f>IF('3a Raw'!H319="","",MAX(-3,MIN(3,('3a Raw'!H319-$L3)/$L4)))</f>
        <v/>
      </c>
      <c r="M319" s="3">
        <f>IF(L319="","",(L319-AVERAGE(L6:L1198))/(STDEV(L6:L1198)+1E-12))</f>
        <v/>
      </c>
      <c r="N319" s="3">
        <f>IF('3a Raw'!I319="","",MAX(-3,MIN(3,('3a Raw'!I319-$N3)/$N4)))</f>
        <v/>
      </c>
      <c r="O319" s="3">
        <f>IF(N319="","",(N319-AVERAGE(N6:N1198))/(STDEV(N6:N1198)+1E-12))</f>
        <v/>
      </c>
      <c r="P319" s="3">
        <f>IF('3a Raw'!J319="","",MAX(-3,MIN(3,('3a Raw'!J319-$P3)/$P4)))</f>
        <v/>
      </c>
      <c r="Q319" s="3">
        <f>IF(P319="","",(P319-AVERAGE(P6:P1198))/(STDEV(P6:P1198)+1E-12))</f>
        <v/>
      </c>
      <c r="R319" s="3">
        <f>IF('3a Raw'!K319="","",MAX(-3,MIN(3,('3a Raw'!K319-$R3)/$R4)))</f>
        <v/>
      </c>
      <c r="S319" s="3">
        <f>IF(R319="","",(R319-AVERAGE(R6:R1198))/(STDEV(R6:R1198)+1E-12))</f>
        <v/>
      </c>
      <c r="T319" s="3">
        <f>IF('3a Raw'!L319="","",MAX(-3,MIN(3,('3a Raw'!L319-$T3)/$T4)))</f>
        <v/>
      </c>
      <c r="U319" s="3">
        <f>IF(T319="","",(T319-AVERAGE(T6:T1198))/(STDEV(T6:T1198)+1E-12))</f>
        <v/>
      </c>
      <c r="X319" s="3">
        <f>IF(U319="","",U319-($V$3*G319+$W$3))</f>
        <v/>
      </c>
      <c r="Y319" s="3">
        <f>IF(X319="","",MAX(-3,MIN(3,(X319-$X3)/$X4)))</f>
        <v/>
      </c>
      <c r="Z319" s="3">
        <f>IF(Y319="","",(Y319-AVERAGE(Y6:Y1198))/(STDEV(Y6:Y1198)+1E-12))</f>
        <v/>
      </c>
    </row>
    <row r="320">
      <c r="A320" t="inlineStr">
        <is>
          <t>BBG011DJJ3G6</t>
        </is>
      </c>
      <c r="B320" s="3">
        <f>IF('3a Raw'!C320="","",MAX(-3,MIN(3,('3a Raw'!C320-$B3)/$B4)))</f>
        <v/>
      </c>
      <c r="C320" s="3">
        <f>IF(B320="","",(B320-AVERAGE(B6:B1198))/(STDEV(B6:B1198)+1E-12))</f>
        <v/>
      </c>
      <c r="D320" s="3">
        <f>IF('3a Raw'!D320="","",MAX(-3,MIN(3,('3a Raw'!D320-$D3)/$D4)))</f>
        <v/>
      </c>
      <c r="E320" s="3">
        <f>IF(D320="","",(D320-AVERAGE(D6:D1198))/(STDEV(D6:D1198)+1E-12))</f>
        <v/>
      </c>
      <c r="F320" s="3">
        <f>IF('3a Raw'!E320="","",MAX(-3,MIN(3,('3a Raw'!E320-$F3)/$F4)))</f>
        <v/>
      </c>
      <c r="G320" s="3">
        <f>IF(F320="","",(F320-AVERAGE(F6:F1198))/(STDEV(F6:F1198)+1E-12))</f>
        <v/>
      </c>
      <c r="H320" s="3">
        <f>IF('3a Raw'!F320="","",MAX(-3,MIN(3,('3a Raw'!F320-$H3)/$H4)))</f>
        <v/>
      </c>
      <c r="I320" s="3">
        <f>IF(H320="","",(H320-AVERAGE(H6:H1198))/(STDEV(H6:H1198)+1E-12))</f>
        <v/>
      </c>
      <c r="J320" s="3">
        <f>IF('3a Raw'!G320="","",MAX(-3,MIN(3,('3a Raw'!G320-$J3)/$J4)))</f>
        <v/>
      </c>
      <c r="K320" s="3">
        <f>IF(J320="","",(J320-AVERAGE(J6:J1198))/(STDEV(J6:J1198)+1E-12))</f>
        <v/>
      </c>
      <c r="L320" s="3">
        <f>IF('3a Raw'!H320="","",MAX(-3,MIN(3,('3a Raw'!H320-$L3)/$L4)))</f>
        <v/>
      </c>
      <c r="M320" s="3">
        <f>IF(L320="","",(L320-AVERAGE(L6:L1198))/(STDEV(L6:L1198)+1E-12))</f>
        <v/>
      </c>
      <c r="N320" s="3">
        <f>IF('3a Raw'!I320="","",MAX(-3,MIN(3,('3a Raw'!I320-$N3)/$N4)))</f>
        <v/>
      </c>
      <c r="O320" s="3">
        <f>IF(N320="","",(N320-AVERAGE(N6:N1198))/(STDEV(N6:N1198)+1E-12))</f>
        <v/>
      </c>
      <c r="P320" s="3">
        <f>IF('3a Raw'!J320="","",MAX(-3,MIN(3,('3a Raw'!J320-$P3)/$P4)))</f>
        <v/>
      </c>
      <c r="Q320" s="3">
        <f>IF(P320="","",(P320-AVERAGE(P6:P1198))/(STDEV(P6:P1198)+1E-12))</f>
        <v/>
      </c>
      <c r="R320" s="3">
        <f>IF('3a Raw'!K320="","",MAX(-3,MIN(3,('3a Raw'!K320-$R3)/$R4)))</f>
        <v/>
      </c>
      <c r="S320" s="3">
        <f>IF(R320="","",(R320-AVERAGE(R6:R1198))/(STDEV(R6:R1198)+1E-12))</f>
        <v/>
      </c>
      <c r="T320" s="3">
        <f>IF('3a Raw'!L320="","",MAX(-3,MIN(3,('3a Raw'!L320-$T3)/$T4)))</f>
        <v/>
      </c>
      <c r="U320" s="3">
        <f>IF(T320="","",(T320-AVERAGE(T6:T1198))/(STDEV(T6:T1198)+1E-12))</f>
        <v/>
      </c>
      <c r="X320" s="3">
        <f>IF(U320="","",U320-($V$3*G320+$W$3))</f>
        <v/>
      </c>
      <c r="Y320" s="3">
        <f>IF(X320="","",MAX(-3,MIN(3,(X320-$X3)/$X4)))</f>
        <v/>
      </c>
      <c r="Z320" s="3">
        <f>IF(Y320="","",(Y320-AVERAGE(Y6:Y1198))/(STDEV(Y6:Y1198)+1E-12))</f>
        <v/>
      </c>
    </row>
    <row r="321">
      <c r="A321" t="inlineStr">
        <is>
          <t>BBG000GZ9406</t>
        </is>
      </c>
      <c r="B321" s="3">
        <f>IF('3a Raw'!C321="","",MAX(-3,MIN(3,('3a Raw'!C321-$B3)/$B4)))</f>
        <v/>
      </c>
      <c r="C321" s="3">
        <f>IF(B321="","",(B321-AVERAGE(B6:B1198))/(STDEV(B6:B1198)+1E-12))</f>
        <v/>
      </c>
      <c r="D321" s="3">
        <f>IF('3a Raw'!D321="","",MAX(-3,MIN(3,('3a Raw'!D321-$D3)/$D4)))</f>
        <v/>
      </c>
      <c r="E321" s="3">
        <f>IF(D321="","",(D321-AVERAGE(D6:D1198))/(STDEV(D6:D1198)+1E-12))</f>
        <v/>
      </c>
      <c r="F321" s="3">
        <f>IF('3a Raw'!E321="","",MAX(-3,MIN(3,('3a Raw'!E321-$F3)/$F4)))</f>
        <v/>
      </c>
      <c r="G321" s="3">
        <f>IF(F321="","",(F321-AVERAGE(F6:F1198))/(STDEV(F6:F1198)+1E-12))</f>
        <v/>
      </c>
      <c r="H321" s="3">
        <f>IF('3a Raw'!F321="","",MAX(-3,MIN(3,('3a Raw'!F321-$H3)/$H4)))</f>
        <v/>
      </c>
      <c r="I321" s="3">
        <f>IF(H321="","",(H321-AVERAGE(H6:H1198))/(STDEV(H6:H1198)+1E-12))</f>
        <v/>
      </c>
      <c r="J321" s="3">
        <f>IF('3a Raw'!G321="","",MAX(-3,MIN(3,('3a Raw'!G321-$J3)/$J4)))</f>
        <v/>
      </c>
      <c r="K321" s="3">
        <f>IF(J321="","",(J321-AVERAGE(J6:J1198))/(STDEV(J6:J1198)+1E-12))</f>
        <v/>
      </c>
      <c r="L321" s="3">
        <f>IF('3a Raw'!H321="","",MAX(-3,MIN(3,('3a Raw'!H321-$L3)/$L4)))</f>
        <v/>
      </c>
      <c r="M321" s="3">
        <f>IF(L321="","",(L321-AVERAGE(L6:L1198))/(STDEV(L6:L1198)+1E-12))</f>
        <v/>
      </c>
      <c r="N321" s="3">
        <f>IF('3a Raw'!I321="","",MAX(-3,MIN(3,('3a Raw'!I321-$N3)/$N4)))</f>
        <v/>
      </c>
      <c r="O321" s="3">
        <f>IF(N321="","",(N321-AVERAGE(N6:N1198))/(STDEV(N6:N1198)+1E-12))</f>
        <v/>
      </c>
      <c r="P321" s="3">
        <f>IF('3a Raw'!J321="","",MAX(-3,MIN(3,('3a Raw'!J321-$P3)/$P4)))</f>
        <v/>
      </c>
      <c r="Q321" s="3">
        <f>IF(P321="","",(P321-AVERAGE(P6:P1198))/(STDEV(P6:P1198)+1E-12))</f>
        <v/>
      </c>
      <c r="R321" s="3">
        <f>IF('3a Raw'!K321="","",MAX(-3,MIN(3,('3a Raw'!K321-$R3)/$R4)))</f>
        <v/>
      </c>
      <c r="S321" s="3">
        <f>IF(R321="","",(R321-AVERAGE(R6:R1198))/(STDEV(R6:R1198)+1E-12))</f>
        <v/>
      </c>
      <c r="T321" s="3">
        <f>IF('3a Raw'!L321="","",MAX(-3,MIN(3,('3a Raw'!L321-$T3)/$T4)))</f>
        <v/>
      </c>
      <c r="U321" s="3">
        <f>IF(T321="","",(T321-AVERAGE(T6:T1198))/(STDEV(T6:T1198)+1E-12))</f>
        <v/>
      </c>
      <c r="X321" s="3">
        <f>IF(U321="","",U321-($V$3*G321+$W$3))</f>
        <v/>
      </c>
      <c r="Y321" s="3">
        <f>IF(X321="","",MAX(-3,MIN(3,(X321-$X3)/$X4)))</f>
        <v/>
      </c>
      <c r="Z321" s="3">
        <f>IF(Y321="","",(Y321-AVERAGE(Y6:Y1198))/(STDEV(Y6:Y1198)+1E-12))</f>
        <v/>
      </c>
    </row>
    <row r="322">
      <c r="A322" t="inlineStr">
        <is>
          <t>BBG000BH4R78</t>
        </is>
      </c>
      <c r="B322" s="3">
        <f>IF('3a Raw'!C322="","",MAX(-3,MIN(3,('3a Raw'!C322-$B3)/$B4)))</f>
        <v/>
      </c>
      <c r="C322" s="3">
        <f>IF(B322="","",(B322-AVERAGE(B6:B1198))/(STDEV(B6:B1198)+1E-12))</f>
        <v/>
      </c>
      <c r="D322" s="3">
        <f>IF('3a Raw'!D322="","",MAX(-3,MIN(3,('3a Raw'!D322-$D3)/$D4)))</f>
        <v/>
      </c>
      <c r="E322" s="3">
        <f>IF(D322="","",(D322-AVERAGE(D6:D1198))/(STDEV(D6:D1198)+1E-12))</f>
        <v/>
      </c>
      <c r="F322" s="3">
        <f>IF('3a Raw'!E322="","",MAX(-3,MIN(3,('3a Raw'!E322-$F3)/$F4)))</f>
        <v/>
      </c>
      <c r="G322" s="3">
        <f>IF(F322="","",(F322-AVERAGE(F6:F1198))/(STDEV(F6:F1198)+1E-12))</f>
        <v/>
      </c>
      <c r="H322" s="3">
        <f>IF('3a Raw'!F322="","",MAX(-3,MIN(3,('3a Raw'!F322-$H3)/$H4)))</f>
        <v/>
      </c>
      <c r="I322" s="3">
        <f>IF(H322="","",(H322-AVERAGE(H6:H1198))/(STDEV(H6:H1198)+1E-12))</f>
        <v/>
      </c>
      <c r="J322" s="3">
        <f>IF('3a Raw'!G322="","",MAX(-3,MIN(3,('3a Raw'!G322-$J3)/$J4)))</f>
        <v/>
      </c>
      <c r="K322" s="3">
        <f>IF(J322="","",(J322-AVERAGE(J6:J1198))/(STDEV(J6:J1198)+1E-12))</f>
        <v/>
      </c>
      <c r="L322" s="3">
        <f>IF('3a Raw'!H322="","",MAX(-3,MIN(3,('3a Raw'!H322-$L3)/$L4)))</f>
        <v/>
      </c>
      <c r="M322" s="3">
        <f>IF(L322="","",(L322-AVERAGE(L6:L1198))/(STDEV(L6:L1198)+1E-12))</f>
        <v/>
      </c>
      <c r="N322" s="3">
        <f>IF('3a Raw'!I322="","",MAX(-3,MIN(3,('3a Raw'!I322-$N3)/$N4)))</f>
        <v/>
      </c>
      <c r="O322" s="3">
        <f>IF(N322="","",(N322-AVERAGE(N6:N1198))/(STDEV(N6:N1198)+1E-12))</f>
        <v/>
      </c>
      <c r="P322" s="3">
        <f>IF('3a Raw'!J322="","",MAX(-3,MIN(3,('3a Raw'!J322-$P3)/$P4)))</f>
        <v/>
      </c>
      <c r="Q322" s="3">
        <f>IF(P322="","",(P322-AVERAGE(P6:P1198))/(STDEV(P6:P1198)+1E-12))</f>
        <v/>
      </c>
      <c r="R322" s="3">
        <f>IF('3a Raw'!K322="","",MAX(-3,MIN(3,('3a Raw'!K322-$R3)/$R4)))</f>
        <v/>
      </c>
      <c r="S322" s="3">
        <f>IF(R322="","",(R322-AVERAGE(R6:R1198))/(STDEV(R6:R1198)+1E-12))</f>
        <v/>
      </c>
      <c r="T322" s="3">
        <f>IF('3a Raw'!L322="","",MAX(-3,MIN(3,('3a Raw'!L322-$T3)/$T4)))</f>
        <v/>
      </c>
      <c r="U322" s="3">
        <f>IF(T322="","",(T322-AVERAGE(T6:T1198))/(STDEV(T6:T1198)+1E-12))</f>
        <v/>
      </c>
      <c r="X322" s="3">
        <f>IF(U322="","",U322-($V$3*G322+$W$3))</f>
        <v/>
      </c>
      <c r="Y322" s="3">
        <f>IF(X322="","",MAX(-3,MIN(3,(X322-$X3)/$X4)))</f>
        <v/>
      </c>
      <c r="Z322" s="3">
        <f>IF(Y322="","",(Y322-AVERAGE(Y6:Y1198))/(STDEV(Y6:Y1198)+1E-12))</f>
        <v/>
      </c>
    </row>
    <row r="323">
      <c r="A323" t="inlineStr">
        <is>
          <t>BBG00FZYFVC5</t>
        </is>
      </c>
      <c r="B323" s="3">
        <f>IF('3a Raw'!C323="","",MAX(-3,MIN(3,('3a Raw'!C323-$B3)/$B4)))</f>
        <v/>
      </c>
      <c r="C323" s="3">
        <f>IF(B323="","",(B323-AVERAGE(B6:B1198))/(STDEV(B6:B1198)+1E-12))</f>
        <v/>
      </c>
      <c r="D323" s="3">
        <f>IF('3a Raw'!D323="","",MAX(-3,MIN(3,('3a Raw'!D323-$D3)/$D4)))</f>
        <v/>
      </c>
      <c r="E323" s="3">
        <f>IF(D323="","",(D323-AVERAGE(D6:D1198))/(STDEV(D6:D1198)+1E-12))</f>
        <v/>
      </c>
      <c r="F323" s="3">
        <f>IF('3a Raw'!E323="","",MAX(-3,MIN(3,('3a Raw'!E323-$F3)/$F4)))</f>
        <v/>
      </c>
      <c r="G323" s="3">
        <f>IF(F323="","",(F323-AVERAGE(F6:F1198))/(STDEV(F6:F1198)+1E-12))</f>
        <v/>
      </c>
      <c r="H323" s="3">
        <f>IF('3a Raw'!F323="","",MAX(-3,MIN(3,('3a Raw'!F323-$H3)/$H4)))</f>
        <v/>
      </c>
      <c r="I323" s="3">
        <f>IF(H323="","",(H323-AVERAGE(H6:H1198))/(STDEV(H6:H1198)+1E-12))</f>
        <v/>
      </c>
      <c r="J323" s="3">
        <f>IF('3a Raw'!G323="","",MAX(-3,MIN(3,('3a Raw'!G323-$J3)/$J4)))</f>
        <v/>
      </c>
      <c r="K323" s="3">
        <f>IF(J323="","",(J323-AVERAGE(J6:J1198))/(STDEV(J6:J1198)+1E-12))</f>
        <v/>
      </c>
      <c r="L323" s="3">
        <f>IF('3a Raw'!H323="","",MAX(-3,MIN(3,('3a Raw'!H323-$L3)/$L4)))</f>
        <v/>
      </c>
      <c r="M323" s="3">
        <f>IF(L323="","",(L323-AVERAGE(L6:L1198))/(STDEV(L6:L1198)+1E-12))</f>
        <v/>
      </c>
      <c r="N323" s="3">
        <f>IF('3a Raw'!I323="","",MAX(-3,MIN(3,('3a Raw'!I323-$N3)/$N4)))</f>
        <v/>
      </c>
      <c r="O323" s="3">
        <f>IF(N323="","",(N323-AVERAGE(N6:N1198))/(STDEV(N6:N1198)+1E-12))</f>
        <v/>
      </c>
      <c r="P323" s="3">
        <f>IF('3a Raw'!J323="","",MAX(-3,MIN(3,('3a Raw'!J323-$P3)/$P4)))</f>
        <v/>
      </c>
      <c r="Q323" s="3">
        <f>IF(P323="","",(P323-AVERAGE(P6:P1198))/(STDEV(P6:P1198)+1E-12))</f>
        <v/>
      </c>
      <c r="R323" s="3">
        <f>IF('3a Raw'!K323="","",MAX(-3,MIN(3,('3a Raw'!K323-$R3)/$R4)))</f>
        <v/>
      </c>
      <c r="S323" s="3">
        <f>IF(R323="","",(R323-AVERAGE(R6:R1198))/(STDEV(R6:R1198)+1E-12))</f>
        <v/>
      </c>
      <c r="T323" s="3">
        <f>IF('3a Raw'!L323="","",MAX(-3,MIN(3,('3a Raw'!L323-$T3)/$T4)))</f>
        <v/>
      </c>
      <c r="U323" s="3">
        <f>IF(T323="","",(T323-AVERAGE(T6:T1198))/(STDEV(T6:T1198)+1E-12))</f>
        <v/>
      </c>
      <c r="X323" s="3">
        <f>IF(U323="","",U323-($V$3*G323+$W$3))</f>
        <v/>
      </c>
      <c r="Y323" s="3">
        <f>IF(X323="","",MAX(-3,MIN(3,(X323-$X3)/$X4)))</f>
        <v/>
      </c>
      <c r="Z323" s="3">
        <f>IF(Y323="","",(Y323-AVERAGE(Y6:Y1198))/(STDEV(Y6:Y1198)+1E-12))</f>
        <v/>
      </c>
    </row>
    <row r="324">
      <c r="A324" t="inlineStr">
        <is>
          <t>BBG000Q5ZRM7</t>
        </is>
      </c>
      <c r="B324" s="3">
        <f>IF('3a Raw'!C324="","",MAX(-3,MIN(3,('3a Raw'!C324-$B3)/$B4)))</f>
        <v/>
      </c>
      <c r="C324" s="3">
        <f>IF(B324="","",(B324-AVERAGE(B6:B1198))/(STDEV(B6:B1198)+1E-12))</f>
        <v/>
      </c>
      <c r="D324" s="3">
        <f>IF('3a Raw'!D324="","",MAX(-3,MIN(3,('3a Raw'!D324-$D3)/$D4)))</f>
        <v/>
      </c>
      <c r="E324" s="3">
        <f>IF(D324="","",(D324-AVERAGE(D6:D1198))/(STDEV(D6:D1198)+1E-12))</f>
        <v/>
      </c>
      <c r="F324" s="3">
        <f>IF('3a Raw'!E324="","",MAX(-3,MIN(3,('3a Raw'!E324-$F3)/$F4)))</f>
        <v/>
      </c>
      <c r="G324" s="3">
        <f>IF(F324="","",(F324-AVERAGE(F6:F1198))/(STDEV(F6:F1198)+1E-12))</f>
        <v/>
      </c>
      <c r="H324" s="3">
        <f>IF('3a Raw'!F324="","",MAX(-3,MIN(3,('3a Raw'!F324-$H3)/$H4)))</f>
        <v/>
      </c>
      <c r="I324" s="3">
        <f>IF(H324="","",(H324-AVERAGE(H6:H1198))/(STDEV(H6:H1198)+1E-12))</f>
        <v/>
      </c>
      <c r="J324" s="3">
        <f>IF('3a Raw'!G324="","",MAX(-3,MIN(3,('3a Raw'!G324-$J3)/$J4)))</f>
        <v/>
      </c>
      <c r="K324" s="3">
        <f>IF(J324="","",(J324-AVERAGE(J6:J1198))/(STDEV(J6:J1198)+1E-12))</f>
        <v/>
      </c>
      <c r="L324" s="3">
        <f>IF('3a Raw'!H324="","",MAX(-3,MIN(3,('3a Raw'!H324-$L3)/$L4)))</f>
        <v/>
      </c>
      <c r="M324" s="3">
        <f>IF(L324="","",(L324-AVERAGE(L6:L1198))/(STDEV(L6:L1198)+1E-12))</f>
        <v/>
      </c>
      <c r="N324" s="3">
        <f>IF('3a Raw'!I324="","",MAX(-3,MIN(3,('3a Raw'!I324-$N3)/$N4)))</f>
        <v/>
      </c>
      <c r="O324" s="3">
        <f>IF(N324="","",(N324-AVERAGE(N6:N1198))/(STDEV(N6:N1198)+1E-12))</f>
        <v/>
      </c>
      <c r="P324" s="3">
        <f>IF('3a Raw'!J324="","",MAX(-3,MIN(3,('3a Raw'!J324-$P3)/$P4)))</f>
        <v/>
      </c>
      <c r="Q324" s="3">
        <f>IF(P324="","",(P324-AVERAGE(P6:P1198))/(STDEV(P6:P1198)+1E-12))</f>
        <v/>
      </c>
      <c r="R324" s="3">
        <f>IF('3a Raw'!K324="","",MAX(-3,MIN(3,('3a Raw'!K324-$R3)/$R4)))</f>
        <v/>
      </c>
      <c r="S324" s="3">
        <f>IF(R324="","",(R324-AVERAGE(R6:R1198))/(STDEV(R6:R1198)+1E-12))</f>
        <v/>
      </c>
      <c r="T324" s="3">
        <f>IF('3a Raw'!L324="","",MAX(-3,MIN(3,('3a Raw'!L324-$T3)/$T4)))</f>
        <v/>
      </c>
      <c r="U324" s="3">
        <f>IF(T324="","",(T324-AVERAGE(T6:T1198))/(STDEV(T6:T1198)+1E-12))</f>
        <v/>
      </c>
      <c r="X324" s="3">
        <f>IF(U324="","",U324-($V$3*G324+$W$3))</f>
        <v/>
      </c>
      <c r="Y324" s="3">
        <f>IF(X324="","",MAX(-3,MIN(3,(X324-$X3)/$X4)))</f>
        <v/>
      </c>
      <c r="Z324" s="3">
        <f>IF(Y324="","",(Y324-AVERAGE(Y6:Y1198))/(STDEV(Y6:Y1198)+1E-12))</f>
        <v/>
      </c>
    </row>
    <row r="325">
      <c r="A325" t="inlineStr">
        <is>
          <t>BBG000BSC0K9</t>
        </is>
      </c>
      <c r="B325" s="3">
        <f>IF('3a Raw'!C325="","",MAX(-3,MIN(3,('3a Raw'!C325-$B3)/$B4)))</f>
        <v/>
      </c>
      <c r="C325" s="3">
        <f>IF(B325="","",(B325-AVERAGE(B6:B1198))/(STDEV(B6:B1198)+1E-12))</f>
        <v/>
      </c>
      <c r="D325" s="3">
        <f>IF('3a Raw'!D325="","",MAX(-3,MIN(3,('3a Raw'!D325-$D3)/$D4)))</f>
        <v/>
      </c>
      <c r="E325" s="3">
        <f>IF(D325="","",(D325-AVERAGE(D6:D1198))/(STDEV(D6:D1198)+1E-12))</f>
        <v/>
      </c>
      <c r="F325" s="3">
        <f>IF('3a Raw'!E325="","",MAX(-3,MIN(3,('3a Raw'!E325-$F3)/$F4)))</f>
        <v/>
      </c>
      <c r="G325" s="3">
        <f>IF(F325="","",(F325-AVERAGE(F6:F1198))/(STDEV(F6:F1198)+1E-12))</f>
        <v/>
      </c>
      <c r="H325" s="3">
        <f>IF('3a Raw'!F325="","",MAX(-3,MIN(3,('3a Raw'!F325-$H3)/$H4)))</f>
        <v/>
      </c>
      <c r="I325" s="3">
        <f>IF(H325="","",(H325-AVERAGE(H6:H1198))/(STDEV(H6:H1198)+1E-12))</f>
        <v/>
      </c>
      <c r="J325" s="3">
        <f>IF('3a Raw'!G325="","",MAX(-3,MIN(3,('3a Raw'!G325-$J3)/$J4)))</f>
        <v/>
      </c>
      <c r="K325" s="3">
        <f>IF(J325="","",(J325-AVERAGE(J6:J1198))/(STDEV(J6:J1198)+1E-12))</f>
        <v/>
      </c>
      <c r="L325" s="3">
        <f>IF('3a Raw'!H325="","",MAX(-3,MIN(3,('3a Raw'!H325-$L3)/$L4)))</f>
        <v/>
      </c>
      <c r="M325" s="3">
        <f>IF(L325="","",(L325-AVERAGE(L6:L1198))/(STDEV(L6:L1198)+1E-12))</f>
        <v/>
      </c>
      <c r="N325" s="3">
        <f>IF('3a Raw'!I325="","",MAX(-3,MIN(3,('3a Raw'!I325-$N3)/$N4)))</f>
        <v/>
      </c>
      <c r="O325" s="3">
        <f>IF(N325="","",(N325-AVERAGE(N6:N1198))/(STDEV(N6:N1198)+1E-12))</f>
        <v/>
      </c>
      <c r="P325" s="3">
        <f>IF('3a Raw'!J325="","",MAX(-3,MIN(3,('3a Raw'!J325-$P3)/$P4)))</f>
        <v/>
      </c>
      <c r="Q325" s="3">
        <f>IF(P325="","",(P325-AVERAGE(P6:P1198))/(STDEV(P6:P1198)+1E-12))</f>
        <v/>
      </c>
      <c r="R325" s="3">
        <f>IF('3a Raw'!K325="","",MAX(-3,MIN(3,('3a Raw'!K325-$R3)/$R4)))</f>
        <v/>
      </c>
      <c r="S325" s="3">
        <f>IF(R325="","",(R325-AVERAGE(R6:R1198))/(STDEV(R6:R1198)+1E-12))</f>
        <v/>
      </c>
      <c r="T325" s="3">
        <f>IF('3a Raw'!L325="","",MAX(-3,MIN(3,('3a Raw'!L325-$T3)/$T4)))</f>
        <v/>
      </c>
      <c r="U325" s="3">
        <f>IF(T325="","",(T325-AVERAGE(T6:T1198))/(STDEV(T6:T1198)+1E-12))</f>
        <v/>
      </c>
      <c r="X325" s="3">
        <f>IF(U325="","",U325-($V$3*G325+$W$3))</f>
        <v/>
      </c>
      <c r="Y325" s="3">
        <f>IF(X325="","",MAX(-3,MIN(3,(X325-$X3)/$X4)))</f>
        <v/>
      </c>
      <c r="Z325" s="3">
        <f>IF(Y325="","",(Y325-AVERAGE(Y6:Y1198))/(STDEV(Y6:Y1198)+1E-12))</f>
        <v/>
      </c>
    </row>
    <row r="326">
      <c r="A326" t="inlineStr">
        <is>
          <t>BBG000BH6360</t>
        </is>
      </c>
      <c r="B326" s="3">
        <f>IF('3a Raw'!C326="","",MAX(-3,MIN(3,('3a Raw'!C326-$B3)/$B4)))</f>
        <v/>
      </c>
      <c r="C326" s="3">
        <f>IF(B326="","",(B326-AVERAGE(B6:B1198))/(STDEV(B6:B1198)+1E-12))</f>
        <v/>
      </c>
      <c r="D326" s="3">
        <f>IF('3a Raw'!D326="","",MAX(-3,MIN(3,('3a Raw'!D326-$D3)/$D4)))</f>
        <v/>
      </c>
      <c r="E326" s="3">
        <f>IF(D326="","",(D326-AVERAGE(D6:D1198))/(STDEV(D6:D1198)+1E-12))</f>
        <v/>
      </c>
      <c r="F326" s="3">
        <f>IF('3a Raw'!E326="","",MAX(-3,MIN(3,('3a Raw'!E326-$F3)/$F4)))</f>
        <v/>
      </c>
      <c r="G326" s="3">
        <f>IF(F326="","",(F326-AVERAGE(F6:F1198))/(STDEV(F6:F1198)+1E-12))</f>
        <v/>
      </c>
      <c r="H326" s="3">
        <f>IF('3a Raw'!F326="","",MAX(-3,MIN(3,('3a Raw'!F326-$H3)/$H4)))</f>
        <v/>
      </c>
      <c r="I326" s="3">
        <f>IF(H326="","",(H326-AVERAGE(H6:H1198))/(STDEV(H6:H1198)+1E-12))</f>
        <v/>
      </c>
      <c r="J326" s="3">
        <f>IF('3a Raw'!G326="","",MAX(-3,MIN(3,('3a Raw'!G326-$J3)/$J4)))</f>
        <v/>
      </c>
      <c r="K326" s="3">
        <f>IF(J326="","",(J326-AVERAGE(J6:J1198))/(STDEV(J6:J1198)+1E-12))</f>
        <v/>
      </c>
      <c r="L326" s="3">
        <f>IF('3a Raw'!H326="","",MAX(-3,MIN(3,('3a Raw'!H326-$L3)/$L4)))</f>
        <v/>
      </c>
      <c r="M326" s="3">
        <f>IF(L326="","",(L326-AVERAGE(L6:L1198))/(STDEV(L6:L1198)+1E-12))</f>
        <v/>
      </c>
      <c r="N326" s="3">
        <f>IF('3a Raw'!I326="","",MAX(-3,MIN(3,('3a Raw'!I326-$N3)/$N4)))</f>
        <v/>
      </c>
      <c r="O326" s="3">
        <f>IF(N326="","",(N326-AVERAGE(N6:N1198))/(STDEV(N6:N1198)+1E-12))</f>
        <v/>
      </c>
      <c r="P326" s="3">
        <f>IF('3a Raw'!J326="","",MAX(-3,MIN(3,('3a Raw'!J326-$P3)/$P4)))</f>
        <v/>
      </c>
      <c r="Q326" s="3">
        <f>IF(P326="","",(P326-AVERAGE(P6:P1198))/(STDEV(P6:P1198)+1E-12))</f>
        <v/>
      </c>
      <c r="R326" s="3">
        <f>IF('3a Raw'!K326="","",MAX(-3,MIN(3,('3a Raw'!K326-$R3)/$R4)))</f>
        <v/>
      </c>
      <c r="S326" s="3">
        <f>IF(R326="","",(R326-AVERAGE(R6:R1198))/(STDEV(R6:R1198)+1E-12))</f>
        <v/>
      </c>
      <c r="T326" s="3">
        <f>IF('3a Raw'!L326="","",MAX(-3,MIN(3,('3a Raw'!L326-$T3)/$T4)))</f>
        <v/>
      </c>
      <c r="U326" s="3">
        <f>IF(T326="","",(T326-AVERAGE(T6:T1198))/(STDEV(T6:T1198)+1E-12))</f>
        <v/>
      </c>
      <c r="X326" s="3">
        <f>IF(U326="","",U326-($V$3*G326+$W$3))</f>
        <v/>
      </c>
      <c r="Y326" s="3">
        <f>IF(X326="","",MAX(-3,MIN(3,(X326-$X3)/$X4)))</f>
        <v/>
      </c>
      <c r="Z326" s="3">
        <f>IF(Y326="","",(Y326-AVERAGE(Y6:Y1198))/(STDEV(Y6:Y1198)+1E-12))</f>
        <v/>
      </c>
    </row>
    <row r="327">
      <c r="A327" t="inlineStr">
        <is>
          <t>BBG00YPS4QW9</t>
        </is>
      </c>
      <c r="B327" s="3">
        <f>IF('3a Raw'!C327="","",MAX(-3,MIN(3,('3a Raw'!C327-$B3)/$B4)))</f>
        <v/>
      </c>
      <c r="C327" s="3">
        <f>IF(B327="","",(B327-AVERAGE(B6:B1198))/(STDEV(B6:B1198)+1E-12))</f>
        <v/>
      </c>
      <c r="D327" s="3">
        <f>IF('3a Raw'!D327="","",MAX(-3,MIN(3,('3a Raw'!D327-$D3)/$D4)))</f>
        <v/>
      </c>
      <c r="E327" s="3">
        <f>IF(D327="","",(D327-AVERAGE(D6:D1198))/(STDEV(D6:D1198)+1E-12))</f>
        <v/>
      </c>
      <c r="F327" s="3">
        <f>IF('3a Raw'!E327="","",MAX(-3,MIN(3,('3a Raw'!E327-$F3)/$F4)))</f>
        <v/>
      </c>
      <c r="G327" s="3">
        <f>IF(F327="","",(F327-AVERAGE(F6:F1198))/(STDEV(F6:F1198)+1E-12))</f>
        <v/>
      </c>
      <c r="H327" s="3">
        <f>IF('3a Raw'!F327="","",MAX(-3,MIN(3,('3a Raw'!F327-$H3)/$H4)))</f>
        <v/>
      </c>
      <c r="I327" s="3">
        <f>IF(H327="","",(H327-AVERAGE(H6:H1198))/(STDEV(H6:H1198)+1E-12))</f>
        <v/>
      </c>
      <c r="J327" s="3">
        <f>IF('3a Raw'!G327="","",MAX(-3,MIN(3,('3a Raw'!G327-$J3)/$J4)))</f>
        <v/>
      </c>
      <c r="K327" s="3">
        <f>IF(J327="","",(J327-AVERAGE(J6:J1198))/(STDEV(J6:J1198)+1E-12))</f>
        <v/>
      </c>
      <c r="L327" s="3">
        <f>IF('3a Raw'!H327="","",MAX(-3,MIN(3,('3a Raw'!H327-$L3)/$L4)))</f>
        <v/>
      </c>
      <c r="M327" s="3">
        <f>IF(L327="","",(L327-AVERAGE(L6:L1198))/(STDEV(L6:L1198)+1E-12))</f>
        <v/>
      </c>
      <c r="N327" s="3">
        <f>IF('3a Raw'!I327="","",MAX(-3,MIN(3,('3a Raw'!I327-$N3)/$N4)))</f>
        <v/>
      </c>
      <c r="O327" s="3">
        <f>IF(N327="","",(N327-AVERAGE(N6:N1198))/(STDEV(N6:N1198)+1E-12))</f>
        <v/>
      </c>
      <c r="P327" s="3">
        <f>IF('3a Raw'!J327="","",MAX(-3,MIN(3,('3a Raw'!J327-$P3)/$P4)))</f>
        <v/>
      </c>
      <c r="Q327" s="3">
        <f>IF(P327="","",(P327-AVERAGE(P6:P1198))/(STDEV(P6:P1198)+1E-12))</f>
        <v/>
      </c>
      <c r="R327" s="3">
        <f>IF('3a Raw'!K327="","",MAX(-3,MIN(3,('3a Raw'!K327-$R3)/$R4)))</f>
        <v/>
      </c>
      <c r="S327" s="3">
        <f>IF(R327="","",(R327-AVERAGE(R6:R1198))/(STDEV(R6:R1198)+1E-12))</f>
        <v/>
      </c>
      <c r="T327" s="3">
        <f>IF('3a Raw'!L327="","",MAX(-3,MIN(3,('3a Raw'!L327-$T3)/$T4)))</f>
        <v/>
      </c>
      <c r="U327" s="3">
        <f>IF(T327="","",(T327-AVERAGE(T6:T1198))/(STDEV(T6:T1198)+1E-12))</f>
        <v/>
      </c>
      <c r="X327" s="3">
        <f>IF(U327="","",U327-($V$3*G327+$W$3))</f>
        <v/>
      </c>
      <c r="Y327" s="3">
        <f>IF(X327="","",MAX(-3,MIN(3,(X327-$X3)/$X4)))</f>
        <v/>
      </c>
      <c r="Z327" s="3">
        <f>IF(Y327="","",(Y327-AVERAGE(Y6:Y1198))/(STDEV(Y6:Y1198)+1E-12))</f>
        <v/>
      </c>
    </row>
    <row r="328">
      <c r="A328" t="inlineStr">
        <is>
          <t>doc</t>
        </is>
      </c>
      <c r="B328" s="3">
        <f>IF('3a Raw'!C328="","",MAX(-3,MIN(3,('3a Raw'!C328-$B3)/$B4)))</f>
        <v/>
      </c>
      <c r="C328" s="3">
        <f>IF(B328="","",(B328-AVERAGE(B6:B1198))/(STDEV(B6:B1198)+1E-12))</f>
        <v/>
      </c>
      <c r="D328" s="3">
        <f>IF('3a Raw'!D328="","",MAX(-3,MIN(3,('3a Raw'!D328-$D3)/$D4)))</f>
        <v/>
      </c>
      <c r="E328" s="3">
        <f>IF(D328="","",(D328-AVERAGE(D6:D1198))/(STDEV(D6:D1198)+1E-12))</f>
        <v/>
      </c>
      <c r="F328" s="3">
        <f>IF('3a Raw'!E328="","",MAX(-3,MIN(3,('3a Raw'!E328-$F3)/$F4)))</f>
        <v/>
      </c>
      <c r="G328" s="3">
        <f>IF(F328="","",(F328-AVERAGE(F6:F1198))/(STDEV(F6:F1198)+1E-12))</f>
        <v/>
      </c>
      <c r="H328" s="3">
        <f>IF('3a Raw'!F328="","",MAX(-3,MIN(3,('3a Raw'!F328-$H3)/$H4)))</f>
        <v/>
      </c>
      <c r="I328" s="3">
        <f>IF(H328="","",(H328-AVERAGE(H6:H1198))/(STDEV(H6:H1198)+1E-12))</f>
        <v/>
      </c>
      <c r="J328" s="3">
        <f>IF('3a Raw'!G328="","",MAX(-3,MIN(3,('3a Raw'!G328-$J3)/$J4)))</f>
        <v/>
      </c>
      <c r="K328" s="3">
        <f>IF(J328="","",(J328-AVERAGE(J6:J1198))/(STDEV(J6:J1198)+1E-12))</f>
        <v/>
      </c>
      <c r="L328" s="3">
        <f>IF('3a Raw'!H328="","",MAX(-3,MIN(3,('3a Raw'!H328-$L3)/$L4)))</f>
        <v/>
      </c>
      <c r="M328" s="3">
        <f>IF(L328="","",(L328-AVERAGE(L6:L1198))/(STDEV(L6:L1198)+1E-12))</f>
        <v/>
      </c>
      <c r="N328" s="3">
        <f>IF('3a Raw'!I328="","",MAX(-3,MIN(3,('3a Raw'!I328-$N3)/$N4)))</f>
        <v/>
      </c>
      <c r="O328" s="3">
        <f>IF(N328="","",(N328-AVERAGE(N6:N1198))/(STDEV(N6:N1198)+1E-12))</f>
        <v/>
      </c>
      <c r="P328" s="3">
        <f>IF('3a Raw'!J328="","",MAX(-3,MIN(3,('3a Raw'!J328-$P3)/$P4)))</f>
        <v/>
      </c>
      <c r="Q328" s="3">
        <f>IF(P328="","",(P328-AVERAGE(P6:P1198))/(STDEV(P6:P1198)+1E-12))</f>
        <v/>
      </c>
      <c r="R328" s="3">
        <f>IF('3a Raw'!K328="","",MAX(-3,MIN(3,('3a Raw'!K328-$R3)/$R4)))</f>
        <v/>
      </c>
      <c r="S328" s="3">
        <f>IF(R328="","",(R328-AVERAGE(R6:R1198))/(STDEV(R6:R1198)+1E-12))</f>
        <v/>
      </c>
      <c r="T328" s="3">
        <f>IF('3a Raw'!L328="","",MAX(-3,MIN(3,('3a Raw'!L328-$T3)/$T4)))</f>
        <v/>
      </c>
      <c r="U328" s="3">
        <f>IF(T328="","",(T328-AVERAGE(T6:T1198))/(STDEV(T6:T1198)+1E-12))</f>
        <v/>
      </c>
      <c r="X328" s="3">
        <f>IF(U328="","",U328-($V$3*G328+$W$3))</f>
        <v/>
      </c>
      <c r="Y328" s="3">
        <f>IF(X328="","",MAX(-3,MIN(3,(X328-$X3)/$X4)))</f>
        <v/>
      </c>
      <c r="Z328" s="3">
        <f>IF(Y328="","",(Y328-AVERAGE(Y6:Y1198))/(STDEV(Y6:Y1198)+1E-12))</f>
        <v/>
      </c>
    </row>
    <row r="329">
      <c r="A329" t="inlineStr">
        <is>
          <t>BBG00ZGF6SS3</t>
        </is>
      </c>
      <c r="B329" s="3">
        <f>IF('3a Raw'!C329="","",MAX(-3,MIN(3,('3a Raw'!C329-$B3)/$B4)))</f>
        <v/>
      </c>
      <c r="C329" s="3">
        <f>IF(B329="","",(B329-AVERAGE(B6:B1198))/(STDEV(B6:B1198)+1E-12))</f>
        <v/>
      </c>
      <c r="D329" s="3">
        <f>IF('3a Raw'!D329="","",MAX(-3,MIN(3,('3a Raw'!D329-$D3)/$D4)))</f>
        <v/>
      </c>
      <c r="E329" s="3">
        <f>IF(D329="","",(D329-AVERAGE(D6:D1198))/(STDEV(D6:D1198)+1E-12))</f>
        <v/>
      </c>
      <c r="F329" s="3">
        <f>IF('3a Raw'!E329="","",MAX(-3,MIN(3,('3a Raw'!E329-$F3)/$F4)))</f>
        <v/>
      </c>
      <c r="G329" s="3">
        <f>IF(F329="","",(F329-AVERAGE(F6:F1198))/(STDEV(F6:F1198)+1E-12))</f>
        <v/>
      </c>
      <c r="H329" s="3">
        <f>IF('3a Raw'!F329="","",MAX(-3,MIN(3,('3a Raw'!F329-$H3)/$H4)))</f>
        <v/>
      </c>
      <c r="I329" s="3">
        <f>IF(H329="","",(H329-AVERAGE(H6:H1198))/(STDEV(H6:H1198)+1E-12))</f>
        <v/>
      </c>
      <c r="J329" s="3">
        <f>IF('3a Raw'!G329="","",MAX(-3,MIN(3,('3a Raw'!G329-$J3)/$J4)))</f>
        <v/>
      </c>
      <c r="K329" s="3">
        <f>IF(J329="","",(J329-AVERAGE(J6:J1198))/(STDEV(J6:J1198)+1E-12))</f>
        <v/>
      </c>
      <c r="L329" s="3">
        <f>IF('3a Raw'!H329="","",MAX(-3,MIN(3,('3a Raw'!H329-$L3)/$L4)))</f>
        <v/>
      </c>
      <c r="M329" s="3">
        <f>IF(L329="","",(L329-AVERAGE(L6:L1198))/(STDEV(L6:L1198)+1E-12))</f>
        <v/>
      </c>
      <c r="N329" s="3">
        <f>IF('3a Raw'!I329="","",MAX(-3,MIN(3,('3a Raw'!I329-$N3)/$N4)))</f>
        <v/>
      </c>
      <c r="O329" s="3">
        <f>IF(N329="","",(N329-AVERAGE(N6:N1198))/(STDEV(N6:N1198)+1E-12))</f>
        <v/>
      </c>
      <c r="P329" s="3">
        <f>IF('3a Raw'!J329="","",MAX(-3,MIN(3,('3a Raw'!J329-$P3)/$P4)))</f>
        <v/>
      </c>
      <c r="Q329" s="3">
        <f>IF(P329="","",(P329-AVERAGE(P6:P1198))/(STDEV(P6:P1198)+1E-12))</f>
        <v/>
      </c>
      <c r="R329" s="3">
        <f>IF('3a Raw'!K329="","",MAX(-3,MIN(3,('3a Raw'!K329-$R3)/$R4)))</f>
        <v/>
      </c>
      <c r="S329" s="3">
        <f>IF(R329="","",(R329-AVERAGE(R6:R1198))/(STDEV(R6:R1198)+1E-12))</f>
        <v/>
      </c>
      <c r="T329" s="3">
        <f>IF('3a Raw'!L329="","",MAX(-3,MIN(3,('3a Raw'!L329-$T3)/$T4)))</f>
        <v/>
      </c>
      <c r="U329" s="3">
        <f>IF(T329="","",(T329-AVERAGE(T6:T1198))/(STDEV(T6:T1198)+1E-12))</f>
        <v/>
      </c>
      <c r="X329" s="3">
        <f>IF(U329="","",U329-($V$3*G329+$W$3))</f>
        <v/>
      </c>
      <c r="Y329" s="3">
        <f>IF(X329="","",MAX(-3,MIN(3,(X329-$X3)/$X4)))</f>
        <v/>
      </c>
      <c r="Z329" s="3">
        <f>IF(Y329="","",(Y329-AVERAGE(Y6:Y1198))/(STDEV(Y6:Y1198)+1E-12))</f>
        <v/>
      </c>
    </row>
    <row r="330">
      <c r="A330" t="inlineStr">
        <is>
          <t>BBG00L2NS0B7</t>
        </is>
      </c>
      <c r="B330" s="3">
        <f>IF('3a Raw'!C330="","",MAX(-3,MIN(3,('3a Raw'!C330-$B3)/$B4)))</f>
        <v/>
      </c>
      <c r="C330" s="3">
        <f>IF(B330="","",(B330-AVERAGE(B6:B1198))/(STDEV(B6:B1198)+1E-12))</f>
        <v/>
      </c>
      <c r="D330" s="3">
        <f>IF('3a Raw'!D330="","",MAX(-3,MIN(3,('3a Raw'!D330-$D3)/$D4)))</f>
        <v/>
      </c>
      <c r="E330" s="3">
        <f>IF(D330="","",(D330-AVERAGE(D6:D1198))/(STDEV(D6:D1198)+1E-12))</f>
        <v/>
      </c>
      <c r="F330" s="3">
        <f>IF('3a Raw'!E330="","",MAX(-3,MIN(3,('3a Raw'!E330-$F3)/$F4)))</f>
        <v/>
      </c>
      <c r="G330" s="3">
        <f>IF(F330="","",(F330-AVERAGE(F6:F1198))/(STDEV(F6:F1198)+1E-12))</f>
        <v/>
      </c>
      <c r="H330" s="3">
        <f>IF('3a Raw'!F330="","",MAX(-3,MIN(3,('3a Raw'!F330-$H3)/$H4)))</f>
        <v/>
      </c>
      <c r="I330" s="3">
        <f>IF(H330="","",(H330-AVERAGE(H6:H1198))/(STDEV(H6:H1198)+1E-12))</f>
        <v/>
      </c>
      <c r="J330" s="3">
        <f>IF('3a Raw'!G330="","",MAX(-3,MIN(3,('3a Raw'!G330-$J3)/$J4)))</f>
        <v/>
      </c>
      <c r="K330" s="3">
        <f>IF(J330="","",(J330-AVERAGE(J6:J1198))/(STDEV(J6:J1198)+1E-12))</f>
        <v/>
      </c>
      <c r="L330" s="3">
        <f>IF('3a Raw'!H330="","",MAX(-3,MIN(3,('3a Raw'!H330-$L3)/$L4)))</f>
        <v/>
      </c>
      <c r="M330" s="3">
        <f>IF(L330="","",(L330-AVERAGE(L6:L1198))/(STDEV(L6:L1198)+1E-12))</f>
        <v/>
      </c>
      <c r="N330" s="3">
        <f>IF('3a Raw'!I330="","",MAX(-3,MIN(3,('3a Raw'!I330-$N3)/$N4)))</f>
        <v/>
      </c>
      <c r="O330" s="3">
        <f>IF(N330="","",(N330-AVERAGE(N6:N1198))/(STDEV(N6:N1198)+1E-12))</f>
        <v/>
      </c>
      <c r="P330" s="3">
        <f>IF('3a Raw'!J330="","",MAX(-3,MIN(3,('3a Raw'!J330-$P3)/$P4)))</f>
        <v/>
      </c>
      <c r="Q330" s="3">
        <f>IF(P330="","",(P330-AVERAGE(P6:P1198))/(STDEV(P6:P1198)+1E-12))</f>
        <v/>
      </c>
      <c r="R330" s="3">
        <f>IF('3a Raw'!K330="","",MAX(-3,MIN(3,('3a Raw'!K330-$R3)/$R4)))</f>
        <v/>
      </c>
      <c r="S330" s="3">
        <f>IF(R330="","",(R330-AVERAGE(R6:R1198))/(STDEV(R6:R1198)+1E-12))</f>
        <v/>
      </c>
      <c r="T330" s="3">
        <f>IF('3a Raw'!L330="","",MAX(-3,MIN(3,('3a Raw'!L330-$T3)/$T4)))</f>
        <v/>
      </c>
      <c r="U330" s="3">
        <f>IF(T330="","",(T330-AVERAGE(T6:T1198))/(STDEV(T6:T1198)+1E-12))</f>
        <v/>
      </c>
      <c r="X330" s="3">
        <f>IF(U330="","",U330-($V$3*G330+$W$3))</f>
        <v/>
      </c>
      <c r="Y330" s="3">
        <f>IF(X330="","",MAX(-3,MIN(3,(X330-$X3)/$X4)))</f>
        <v/>
      </c>
      <c r="Z330" s="3">
        <f>IF(Y330="","",(Y330-AVERAGE(Y6:Y1198))/(STDEV(Y6:Y1198)+1E-12))</f>
        <v/>
      </c>
    </row>
    <row r="331">
      <c r="A331" t="inlineStr">
        <is>
          <t>dov</t>
        </is>
      </c>
      <c r="B331" s="3">
        <f>IF('3a Raw'!C331="","",MAX(-3,MIN(3,('3a Raw'!C331-$B3)/$B4)))</f>
        <v/>
      </c>
      <c r="C331" s="3">
        <f>IF(B331="","",(B331-AVERAGE(B6:B1198))/(STDEV(B6:B1198)+1E-12))</f>
        <v/>
      </c>
      <c r="D331" s="3">
        <f>IF('3a Raw'!D331="","",MAX(-3,MIN(3,('3a Raw'!D331-$D3)/$D4)))</f>
        <v/>
      </c>
      <c r="E331" s="3">
        <f>IF(D331="","",(D331-AVERAGE(D6:D1198))/(STDEV(D6:D1198)+1E-12))</f>
        <v/>
      </c>
      <c r="F331" s="3">
        <f>IF('3a Raw'!E331="","",MAX(-3,MIN(3,('3a Raw'!E331-$F3)/$F4)))</f>
        <v/>
      </c>
      <c r="G331" s="3">
        <f>IF(F331="","",(F331-AVERAGE(F6:F1198))/(STDEV(F6:F1198)+1E-12))</f>
        <v/>
      </c>
      <c r="H331" s="3">
        <f>IF('3a Raw'!F331="","",MAX(-3,MIN(3,('3a Raw'!F331-$H3)/$H4)))</f>
        <v/>
      </c>
      <c r="I331" s="3">
        <f>IF(H331="","",(H331-AVERAGE(H6:H1198))/(STDEV(H6:H1198)+1E-12))</f>
        <v/>
      </c>
      <c r="J331" s="3">
        <f>IF('3a Raw'!G331="","",MAX(-3,MIN(3,('3a Raw'!G331-$J3)/$J4)))</f>
        <v/>
      </c>
      <c r="K331" s="3">
        <f>IF(J331="","",(J331-AVERAGE(J6:J1198))/(STDEV(J6:J1198)+1E-12))</f>
        <v/>
      </c>
      <c r="L331" s="3">
        <f>IF('3a Raw'!H331="","",MAX(-3,MIN(3,('3a Raw'!H331-$L3)/$L4)))</f>
        <v/>
      </c>
      <c r="M331" s="3">
        <f>IF(L331="","",(L331-AVERAGE(L6:L1198))/(STDEV(L6:L1198)+1E-12))</f>
        <v/>
      </c>
      <c r="N331" s="3">
        <f>IF('3a Raw'!I331="","",MAX(-3,MIN(3,('3a Raw'!I331-$N3)/$N4)))</f>
        <v/>
      </c>
      <c r="O331" s="3">
        <f>IF(N331="","",(N331-AVERAGE(N6:N1198))/(STDEV(N6:N1198)+1E-12))</f>
        <v/>
      </c>
      <c r="P331" s="3">
        <f>IF('3a Raw'!J331="","",MAX(-3,MIN(3,('3a Raw'!J331-$P3)/$P4)))</f>
        <v/>
      </c>
      <c r="Q331" s="3">
        <f>IF(P331="","",(P331-AVERAGE(P6:P1198))/(STDEV(P6:P1198)+1E-12))</f>
        <v/>
      </c>
      <c r="R331" s="3">
        <f>IF('3a Raw'!K331="","",MAX(-3,MIN(3,('3a Raw'!K331-$R3)/$R4)))</f>
        <v/>
      </c>
      <c r="S331" s="3">
        <f>IF(R331="","",(R331-AVERAGE(R6:R1198))/(STDEV(R6:R1198)+1E-12))</f>
        <v/>
      </c>
      <c r="T331" s="3">
        <f>IF('3a Raw'!L331="","",MAX(-3,MIN(3,('3a Raw'!L331-$T3)/$T4)))</f>
        <v/>
      </c>
      <c r="U331" s="3">
        <f>IF(T331="","",(T331-AVERAGE(T6:T1198))/(STDEV(T6:T1198)+1E-12))</f>
        <v/>
      </c>
      <c r="X331" s="3">
        <f>IF(U331="","",U331-($V$3*G331+$W$3))</f>
        <v/>
      </c>
      <c r="Y331" s="3">
        <f>IF(X331="","",MAX(-3,MIN(3,(X331-$X3)/$X4)))</f>
        <v/>
      </c>
      <c r="Z331" s="3">
        <f>IF(Y331="","",(Y331-AVERAGE(Y6:Y1198))/(STDEV(Y6:Y1198)+1E-12))</f>
        <v/>
      </c>
    </row>
    <row r="332">
      <c r="A332" t="inlineStr">
        <is>
          <t>dow</t>
        </is>
      </c>
      <c r="B332" s="3">
        <f>IF('3a Raw'!C332="","",MAX(-3,MIN(3,('3a Raw'!C332-$B3)/$B4)))</f>
        <v/>
      </c>
      <c r="C332" s="3">
        <f>IF(B332="","",(B332-AVERAGE(B6:B1198))/(STDEV(B6:B1198)+1E-12))</f>
        <v/>
      </c>
      <c r="D332" s="3">
        <f>IF('3a Raw'!D332="","",MAX(-3,MIN(3,('3a Raw'!D332-$D3)/$D4)))</f>
        <v/>
      </c>
      <c r="E332" s="3">
        <f>IF(D332="","",(D332-AVERAGE(D6:D1198))/(STDEV(D6:D1198)+1E-12))</f>
        <v/>
      </c>
      <c r="F332" s="3">
        <f>IF('3a Raw'!E332="","",MAX(-3,MIN(3,('3a Raw'!E332-$F3)/$F4)))</f>
        <v/>
      </c>
      <c r="G332" s="3">
        <f>IF(F332="","",(F332-AVERAGE(F6:F1198))/(STDEV(F6:F1198)+1E-12))</f>
        <v/>
      </c>
      <c r="H332" s="3">
        <f>IF('3a Raw'!F332="","",MAX(-3,MIN(3,('3a Raw'!F332-$H3)/$H4)))</f>
        <v/>
      </c>
      <c r="I332" s="3">
        <f>IF(H332="","",(H332-AVERAGE(H6:H1198))/(STDEV(H6:H1198)+1E-12))</f>
        <v/>
      </c>
      <c r="J332" s="3">
        <f>IF('3a Raw'!G332="","",MAX(-3,MIN(3,('3a Raw'!G332-$J3)/$J4)))</f>
        <v/>
      </c>
      <c r="K332" s="3">
        <f>IF(J332="","",(J332-AVERAGE(J6:J1198))/(STDEV(J6:J1198)+1E-12))</f>
        <v/>
      </c>
      <c r="L332" s="3">
        <f>IF('3a Raw'!H332="","",MAX(-3,MIN(3,('3a Raw'!H332-$L3)/$L4)))</f>
        <v/>
      </c>
      <c r="M332" s="3">
        <f>IF(L332="","",(L332-AVERAGE(L6:L1198))/(STDEV(L6:L1198)+1E-12))</f>
        <v/>
      </c>
      <c r="N332" s="3">
        <f>IF('3a Raw'!I332="","",MAX(-3,MIN(3,('3a Raw'!I332-$N3)/$N4)))</f>
        <v/>
      </c>
      <c r="O332" s="3">
        <f>IF(N332="","",(N332-AVERAGE(N6:N1198))/(STDEV(N6:N1198)+1E-12))</f>
        <v/>
      </c>
      <c r="P332" s="3">
        <f>IF('3a Raw'!J332="","",MAX(-3,MIN(3,('3a Raw'!J332-$P3)/$P4)))</f>
        <v/>
      </c>
      <c r="Q332" s="3">
        <f>IF(P332="","",(P332-AVERAGE(P6:P1198))/(STDEV(P6:P1198)+1E-12))</f>
        <v/>
      </c>
      <c r="R332" s="3">
        <f>IF('3a Raw'!K332="","",MAX(-3,MIN(3,('3a Raw'!K332-$R3)/$R4)))</f>
        <v/>
      </c>
      <c r="S332" s="3">
        <f>IF(R332="","",(R332-AVERAGE(R6:R1198))/(STDEV(R6:R1198)+1E-12))</f>
        <v/>
      </c>
      <c r="T332" s="3">
        <f>IF('3a Raw'!L332="","",MAX(-3,MIN(3,('3a Raw'!L332-$T3)/$T4)))</f>
        <v/>
      </c>
      <c r="U332" s="3">
        <f>IF(T332="","",(T332-AVERAGE(T6:T1198))/(STDEV(T6:T1198)+1E-12))</f>
        <v/>
      </c>
      <c r="X332" s="3">
        <f>IF(U332="","",U332-($V$3*G332+$W$3))</f>
        <v/>
      </c>
      <c r="Y332" s="3">
        <f>IF(X332="","",MAX(-3,MIN(3,(X332-$X3)/$X4)))</f>
        <v/>
      </c>
      <c r="Z332" s="3">
        <f>IF(Y332="","",(Y332-AVERAGE(Y6:Y1198))/(STDEV(Y6:Y1198)+1E-12))</f>
        <v/>
      </c>
    </row>
    <row r="333">
      <c r="A333" t="inlineStr">
        <is>
          <t>BBG000P458P3</t>
        </is>
      </c>
      <c r="B333" s="3">
        <f>IF('3a Raw'!C333="","",MAX(-3,MIN(3,('3a Raw'!C333-$B3)/$B4)))</f>
        <v/>
      </c>
      <c r="C333" s="3">
        <f>IF(B333="","",(B333-AVERAGE(B6:B1198))/(STDEV(B6:B1198)+1E-12))</f>
        <v/>
      </c>
      <c r="D333" s="3">
        <f>IF('3a Raw'!D333="","",MAX(-3,MIN(3,('3a Raw'!D333-$D3)/$D4)))</f>
        <v/>
      </c>
      <c r="E333" s="3">
        <f>IF(D333="","",(D333-AVERAGE(D6:D1198))/(STDEV(D6:D1198)+1E-12))</f>
        <v/>
      </c>
      <c r="F333" s="3">
        <f>IF('3a Raw'!E333="","",MAX(-3,MIN(3,('3a Raw'!E333-$F3)/$F4)))</f>
        <v/>
      </c>
      <c r="G333" s="3">
        <f>IF(F333="","",(F333-AVERAGE(F6:F1198))/(STDEV(F6:F1198)+1E-12))</f>
        <v/>
      </c>
      <c r="H333" s="3">
        <f>IF('3a Raw'!F333="","",MAX(-3,MIN(3,('3a Raw'!F333-$H3)/$H4)))</f>
        <v/>
      </c>
      <c r="I333" s="3">
        <f>IF(H333="","",(H333-AVERAGE(H6:H1198))/(STDEV(H6:H1198)+1E-12))</f>
        <v/>
      </c>
      <c r="J333" s="3">
        <f>IF('3a Raw'!G333="","",MAX(-3,MIN(3,('3a Raw'!G333-$J3)/$J4)))</f>
        <v/>
      </c>
      <c r="K333" s="3">
        <f>IF(J333="","",(J333-AVERAGE(J6:J1198))/(STDEV(J6:J1198)+1E-12))</f>
        <v/>
      </c>
      <c r="L333" s="3">
        <f>IF('3a Raw'!H333="","",MAX(-3,MIN(3,('3a Raw'!H333-$L3)/$L4)))</f>
        <v/>
      </c>
      <c r="M333" s="3">
        <f>IF(L333="","",(L333-AVERAGE(L6:L1198))/(STDEV(L6:L1198)+1E-12))</f>
        <v/>
      </c>
      <c r="N333" s="3">
        <f>IF('3a Raw'!I333="","",MAX(-3,MIN(3,('3a Raw'!I333-$N3)/$N4)))</f>
        <v/>
      </c>
      <c r="O333" s="3">
        <f>IF(N333="","",(N333-AVERAGE(N6:N1198))/(STDEV(N6:N1198)+1E-12))</f>
        <v/>
      </c>
      <c r="P333" s="3">
        <f>IF('3a Raw'!J333="","",MAX(-3,MIN(3,('3a Raw'!J333-$P3)/$P4)))</f>
        <v/>
      </c>
      <c r="Q333" s="3">
        <f>IF(P333="","",(P333-AVERAGE(P6:P1198))/(STDEV(P6:P1198)+1E-12))</f>
        <v/>
      </c>
      <c r="R333" s="3">
        <f>IF('3a Raw'!K333="","",MAX(-3,MIN(3,('3a Raw'!K333-$R3)/$R4)))</f>
        <v/>
      </c>
      <c r="S333" s="3">
        <f>IF(R333="","",(R333-AVERAGE(R6:R1198))/(STDEV(R6:R1198)+1E-12))</f>
        <v/>
      </c>
      <c r="T333" s="3">
        <f>IF('3a Raw'!L333="","",MAX(-3,MIN(3,('3a Raw'!L333-$T3)/$T4)))</f>
        <v/>
      </c>
      <c r="U333" s="3">
        <f>IF(T333="","",(T333-AVERAGE(T6:T1198))/(STDEV(T6:T1198)+1E-12))</f>
        <v/>
      </c>
      <c r="X333" s="3">
        <f>IF(U333="","",U333-($V$3*G333+$W$3))</f>
        <v/>
      </c>
      <c r="Y333" s="3">
        <f>IF(X333="","",MAX(-3,MIN(3,(X333-$X3)/$X4)))</f>
        <v/>
      </c>
      <c r="Z333" s="3">
        <f>IF(Y333="","",(Y333-AVERAGE(Y6:Y1198))/(STDEV(Y6:Y1198)+1E-12))</f>
        <v/>
      </c>
    </row>
    <row r="334">
      <c r="A334" t="inlineStr">
        <is>
          <t>BBG000BBNYF6</t>
        </is>
      </c>
      <c r="B334" s="3">
        <f>IF('3a Raw'!C334="","",MAX(-3,MIN(3,('3a Raw'!C334-$B3)/$B4)))</f>
        <v/>
      </c>
      <c r="C334" s="3">
        <f>IF(B334="","",(B334-AVERAGE(B6:B1198))/(STDEV(B6:B1198)+1E-12))</f>
        <v/>
      </c>
      <c r="D334" s="3">
        <f>IF('3a Raw'!D334="","",MAX(-3,MIN(3,('3a Raw'!D334-$D3)/$D4)))</f>
        <v/>
      </c>
      <c r="E334" s="3">
        <f>IF(D334="","",(D334-AVERAGE(D6:D1198))/(STDEV(D6:D1198)+1E-12))</f>
        <v/>
      </c>
      <c r="F334" s="3">
        <f>IF('3a Raw'!E334="","",MAX(-3,MIN(3,('3a Raw'!E334-$F3)/$F4)))</f>
        <v/>
      </c>
      <c r="G334" s="3">
        <f>IF(F334="","",(F334-AVERAGE(F6:F1198))/(STDEV(F6:F1198)+1E-12))</f>
        <v/>
      </c>
      <c r="H334" s="3">
        <f>IF('3a Raw'!F334="","",MAX(-3,MIN(3,('3a Raw'!F334-$H3)/$H4)))</f>
        <v/>
      </c>
      <c r="I334" s="3">
        <f>IF(H334="","",(H334-AVERAGE(H6:H1198))/(STDEV(H6:H1198)+1E-12))</f>
        <v/>
      </c>
      <c r="J334" s="3">
        <f>IF('3a Raw'!G334="","",MAX(-3,MIN(3,('3a Raw'!G334-$J3)/$J4)))</f>
        <v/>
      </c>
      <c r="K334" s="3">
        <f>IF(J334="","",(J334-AVERAGE(J6:J1198))/(STDEV(J6:J1198)+1E-12))</f>
        <v/>
      </c>
      <c r="L334" s="3">
        <f>IF('3a Raw'!H334="","",MAX(-3,MIN(3,('3a Raw'!H334-$L3)/$L4)))</f>
        <v/>
      </c>
      <c r="M334" s="3">
        <f>IF(L334="","",(L334-AVERAGE(L6:L1198))/(STDEV(L6:L1198)+1E-12))</f>
        <v/>
      </c>
      <c r="N334" s="3">
        <f>IF('3a Raw'!I334="","",MAX(-3,MIN(3,('3a Raw'!I334-$N3)/$N4)))</f>
        <v/>
      </c>
      <c r="O334" s="3">
        <f>IF(N334="","",(N334-AVERAGE(N6:N1198))/(STDEV(N6:N1198)+1E-12))</f>
        <v/>
      </c>
      <c r="P334" s="3">
        <f>IF('3a Raw'!J334="","",MAX(-3,MIN(3,('3a Raw'!J334-$P3)/$P4)))</f>
        <v/>
      </c>
      <c r="Q334" s="3">
        <f>IF(P334="","",(P334-AVERAGE(P6:P1198))/(STDEV(P6:P1198)+1E-12))</f>
        <v/>
      </c>
      <c r="R334" s="3">
        <f>IF('3a Raw'!K334="","",MAX(-3,MIN(3,('3a Raw'!K334-$R3)/$R4)))</f>
        <v/>
      </c>
      <c r="S334" s="3">
        <f>IF(R334="","",(R334-AVERAGE(R6:R1198))/(STDEV(R6:R1198)+1E-12))</f>
        <v/>
      </c>
      <c r="T334" s="3">
        <f>IF('3a Raw'!L334="","",MAX(-3,MIN(3,('3a Raw'!L334-$T3)/$T4)))</f>
        <v/>
      </c>
      <c r="U334" s="3">
        <f>IF(T334="","",(T334-AVERAGE(T6:T1198))/(STDEV(T6:T1198)+1E-12))</f>
        <v/>
      </c>
      <c r="X334" s="3">
        <f>IF(U334="","",U334-($V$3*G334+$W$3))</f>
        <v/>
      </c>
      <c r="Y334" s="3">
        <f>IF(X334="","",MAX(-3,MIN(3,(X334-$X3)/$X4)))</f>
        <v/>
      </c>
      <c r="Z334" s="3">
        <f>IF(Y334="","",(Y334-AVERAGE(Y6:Y1198))/(STDEV(Y6:Y1198)+1E-12))</f>
        <v/>
      </c>
    </row>
    <row r="335">
      <c r="A335" t="inlineStr">
        <is>
          <t>BBG00PNN7C40</t>
        </is>
      </c>
      <c r="B335" s="3">
        <f>IF('3a Raw'!C335="","",MAX(-3,MIN(3,('3a Raw'!C335-$B3)/$B4)))</f>
        <v/>
      </c>
      <c r="C335" s="3">
        <f>IF(B335="","",(B335-AVERAGE(B6:B1198))/(STDEV(B6:B1198)+1E-12))</f>
        <v/>
      </c>
      <c r="D335" s="3">
        <f>IF('3a Raw'!D335="","",MAX(-3,MIN(3,('3a Raw'!D335-$D3)/$D4)))</f>
        <v/>
      </c>
      <c r="E335" s="3">
        <f>IF(D335="","",(D335-AVERAGE(D6:D1198))/(STDEV(D6:D1198)+1E-12))</f>
        <v/>
      </c>
      <c r="F335" s="3">
        <f>IF('3a Raw'!E335="","",MAX(-3,MIN(3,('3a Raw'!E335-$F3)/$F4)))</f>
        <v/>
      </c>
      <c r="G335" s="3">
        <f>IF(F335="","",(F335-AVERAGE(F6:F1198))/(STDEV(F6:F1198)+1E-12))</f>
        <v/>
      </c>
      <c r="H335" s="3">
        <f>IF('3a Raw'!F335="","",MAX(-3,MIN(3,('3a Raw'!F335-$H3)/$H4)))</f>
        <v/>
      </c>
      <c r="I335" s="3">
        <f>IF(H335="","",(H335-AVERAGE(H6:H1198))/(STDEV(H6:H1198)+1E-12))</f>
        <v/>
      </c>
      <c r="J335" s="3">
        <f>IF('3a Raw'!G335="","",MAX(-3,MIN(3,('3a Raw'!G335-$J3)/$J4)))</f>
        <v/>
      </c>
      <c r="K335" s="3">
        <f>IF(J335="","",(J335-AVERAGE(J6:J1198))/(STDEV(J6:J1198)+1E-12))</f>
        <v/>
      </c>
      <c r="L335" s="3">
        <f>IF('3a Raw'!H335="","",MAX(-3,MIN(3,('3a Raw'!H335-$L3)/$L4)))</f>
        <v/>
      </c>
      <c r="M335" s="3">
        <f>IF(L335="","",(L335-AVERAGE(L6:L1198))/(STDEV(L6:L1198)+1E-12))</f>
        <v/>
      </c>
      <c r="N335" s="3">
        <f>IF('3a Raw'!I335="","",MAX(-3,MIN(3,('3a Raw'!I335-$N3)/$N4)))</f>
        <v/>
      </c>
      <c r="O335" s="3">
        <f>IF(N335="","",(N335-AVERAGE(N6:N1198))/(STDEV(N6:N1198)+1E-12))</f>
        <v/>
      </c>
      <c r="P335" s="3">
        <f>IF('3a Raw'!J335="","",MAX(-3,MIN(3,('3a Raw'!J335-$P3)/$P4)))</f>
        <v/>
      </c>
      <c r="Q335" s="3">
        <f>IF(P335="","",(P335-AVERAGE(P6:P1198))/(STDEV(P6:P1198)+1E-12))</f>
        <v/>
      </c>
      <c r="R335" s="3">
        <f>IF('3a Raw'!K335="","",MAX(-3,MIN(3,('3a Raw'!K335-$R3)/$R4)))</f>
        <v/>
      </c>
      <c r="S335" s="3">
        <f>IF(R335="","",(R335-AVERAGE(R6:R1198))/(STDEV(R6:R1198)+1E-12))</f>
        <v/>
      </c>
      <c r="T335" s="3">
        <f>IF('3a Raw'!L335="","",MAX(-3,MIN(3,('3a Raw'!L335-$T3)/$T4)))</f>
        <v/>
      </c>
      <c r="U335" s="3">
        <f>IF(T335="","",(T335-AVERAGE(T6:T1198))/(STDEV(T6:T1198)+1E-12))</f>
        <v/>
      </c>
      <c r="X335" s="3">
        <f>IF(U335="","",U335-($V$3*G335+$W$3))</f>
        <v/>
      </c>
      <c r="Y335" s="3">
        <f>IF(X335="","",MAX(-3,MIN(3,(X335-$X3)/$X4)))</f>
        <v/>
      </c>
      <c r="Z335" s="3">
        <f>IF(Y335="","",(Y335-AVERAGE(Y6:Y1198))/(STDEV(Y6:Y1198)+1E-12))</f>
        <v/>
      </c>
    </row>
    <row r="336">
      <c r="A336" t="inlineStr">
        <is>
          <t>BBG000BB29X4</t>
        </is>
      </c>
      <c r="B336" s="3">
        <f>IF('3a Raw'!C336="","",MAX(-3,MIN(3,('3a Raw'!C336-$B3)/$B4)))</f>
        <v/>
      </c>
      <c r="C336" s="3">
        <f>IF(B336="","",(B336-AVERAGE(B6:B1198))/(STDEV(B6:B1198)+1E-12))</f>
        <v/>
      </c>
      <c r="D336" s="3">
        <f>IF('3a Raw'!D336="","",MAX(-3,MIN(3,('3a Raw'!D336-$D3)/$D4)))</f>
        <v/>
      </c>
      <c r="E336" s="3">
        <f>IF(D336="","",(D336-AVERAGE(D6:D1198))/(STDEV(D6:D1198)+1E-12))</f>
        <v/>
      </c>
      <c r="F336" s="3">
        <f>IF('3a Raw'!E336="","",MAX(-3,MIN(3,('3a Raw'!E336-$F3)/$F4)))</f>
        <v/>
      </c>
      <c r="G336" s="3">
        <f>IF(F336="","",(F336-AVERAGE(F6:F1198))/(STDEV(F6:F1198)+1E-12))</f>
        <v/>
      </c>
      <c r="H336" s="3">
        <f>IF('3a Raw'!F336="","",MAX(-3,MIN(3,('3a Raw'!F336-$H3)/$H4)))</f>
        <v/>
      </c>
      <c r="I336" s="3">
        <f>IF(H336="","",(H336-AVERAGE(H6:H1198))/(STDEV(H6:H1198)+1E-12))</f>
        <v/>
      </c>
      <c r="J336" s="3">
        <f>IF('3a Raw'!G336="","",MAX(-3,MIN(3,('3a Raw'!G336-$J3)/$J4)))</f>
        <v/>
      </c>
      <c r="K336" s="3">
        <f>IF(J336="","",(J336-AVERAGE(J6:J1198))/(STDEV(J6:J1198)+1E-12))</f>
        <v/>
      </c>
      <c r="L336" s="3">
        <f>IF('3a Raw'!H336="","",MAX(-3,MIN(3,('3a Raw'!H336-$L3)/$L4)))</f>
        <v/>
      </c>
      <c r="M336" s="3">
        <f>IF(L336="","",(L336-AVERAGE(L6:L1198))/(STDEV(L6:L1198)+1E-12))</f>
        <v/>
      </c>
      <c r="N336" s="3">
        <f>IF('3a Raw'!I336="","",MAX(-3,MIN(3,('3a Raw'!I336-$N3)/$N4)))</f>
        <v/>
      </c>
      <c r="O336" s="3">
        <f>IF(N336="","",(N336-AVERAGE(N6:N1198))/(STDEV(N6:N1198)+1E-12))</f>
        <v/>
      </c>
      <c r="P336" s="3">
        <f>IF('3a Raw'!J336="","",MAX(-3,MIN(3,('3a Raw'!J336-$P3)/$P4)))</f>
        <v/>
      </c>
      <c r="Q336" s="3">
        <f>IF(P336="","",(P336-AVERAGE(P6:P1198))/(STDEV(P6:P1198)+1E-12))</f>
        <v/>
      </c>
      <c r="R336" s="3">
        <f>IF('3a Raw'!K336="","",MAX(-3,MIN(3,('3a Raw'!K336-$R3)/$R4)))</f>
        <v/>
      </c>
      <c r="S336" s="3">
        <f>IF(R336="","",(R336-AVERAGE(R6:R1198))/(STDEV(R6:R1198)+1E-12))</f>
        <v/>
      </c>
      <c r="T336" s="3">
        <f>IF('3a Raw'!L336="","",MAX(-3,MIN(3,('3a Raw'!L336-$T3)/$T4)))</f>
        <v/>
      </c>
      <c r="U336" s="3">
        <f>IF(T336="","",(T336-AVERAGE(T6:T1198))/(STDEV(T6:T1198)+1E-12))</f>
        <v/>
      </c>
      <c r="X336" s="3">
        <f>IF(U336="","",U336-($V$3*G336+$W$3))</f>
        <v/>
      </c>
      <c r="Y336" s="3">
        <f>IF(X336="","",MAX(-3,MIN(3,(X336-$X3)/$X4)))</f>
        <v/>
      </c>
      <c r="Z336" s="3">
        <f>IF(Y336="","",(Y336-AVERAGE(Y6:Y1198))/(STDEV(Y6:Y1198)+1E-12))</f>
        <v/>
      </c>
    </row>
    <row r="337">
      <c r="A337" t="inlineStr">
        <is>
          <t>BBG0112Z58J3</t>
        </is>
      </c>
      <c r="B337" s="3">
        <f>IF('3a Raw'!C337="","",MAX(-3,MIN(3,('3a Raw'!C337-$B3)/$B4)))</f>
        <v/>
      </c>
      <c r="C337" s="3">
        <f>IF(B337="","",(B337-AVERAGE(B6:B1198))/(STDEV(B6:B1198)+1E-12))</f>
        <v/>
      </c>
      <c r="D337" s="3">
        <f>IF('3a Raw'!D337="","",MAX(-3,MIN(3,('3a Raw'!D337-$D3)/$D4)))</f>
        <v/>
      </c>
      <c r="E337" s="3">
        <f>IF(D337="","",(D337-AVERAGE(D6:D1198))/(STDEV(D6:D1198)+1E-12))</f>
        <v/>
      </c>
      <c r="F337" s="3">
        <f>IF('3a Raw'!E337="","",MAX(-3,MIN(3,('3a Raw'!E337-$F3)/$F4)))</f>
        <v/>
      </c>
      <c r="G337" s="3">
        <f>IF(F337="","",(F337-AVERAGE(F6:F1198))/(STDEV(F6:F1198)+1E-12))</f>
        <v/>
      </c>
      <c r="H337" s="3">
        <f>IF('3a Raw'!F337="","",MAX(-3,MIN(3,('3a Raw'!F337-$H3)/$H4)))</f>
        <v/>
      </c>
      <c r="I337" s="3">
        <f>IF(H337="","",(H337-AVERAGE(H6:H1198))/(STDEV(H6:H1198)+1E-12))</f>
        <v/>
      </c>
      <c r="J337" s="3">
        <f>IF('3a Raw'!G337="","",MAX(-3,MIN(3,('3a Raw'!G337-$J3)/$J4)))</f>
        <v/>
      </c>
      <c r="K337" s="3">
        <f>IF(J337="","",(J337-AVERAGE(J6:J1198))/(STDEV(J6:J1198)+1E-12))</f>
        <v/>
      </c>
      <c r="L337" s="3">
        <f>IF('3a Raw'!H337="","",MAX(-3,MIN(3,('3a Raw'!H337-$L3)/$L4)))</f>
        <v/>
      </c>
      <c r="M337" s="3">
        <f>IF(L337="","",(L337-AVERAGE(L6:L1198))/(STDEV(L6:L1198)+1E-12))</f>
        <v/>
      </c>
      <c r="N337" s="3">
        <f>IF('3a Raw'!I337="","",MAX(-3,MIN(3,('3a Raw'!I337-$N3)/$N4)))</f>
        <v/>
      </c>
      <c r="O337" s="3">
        <f>IF(N337="","",(N337-AVERAGE(N6:N1198))/(STDEV(N6:N1198)+1E-12))</f>
        <v/>
      </c>
      <c r="P337" s="3">
        <f>IF('3a Raw'!J337="","",MAX(-3,MIN(3,('3a Raw'!J337-$P3)/$P4)))</f>
        <v/>
      </c>
      <c r="Q337" s="3">
        <f>IF(P337="","",(P337-AVERAGE(P6:P1198))/(STDEV(P6:P1198)+1E-12))</f>
        <v/>
      </c>
      <c r="R337" s="3">
        <f>IF('3a Raw'!K337="","",MAX(-3,MIN(3,('3a Raw'!K337-$R3)/$R4)))</f>
        <v/>
      </c>
      <c r="S337" s="3">
        <f>IF(R337="","",(R337-AVERAGE(R6:R1198))/(STDEV(R6:R1198)+1E-12))</f>
        <v/>
      </c>
      <c r="T337" s="3">
        <f>IF('3a Raw'!L337="","",MAX(-3,MIN(3,('3a Raw'!L337-$T3)/$T4)))</f>
        <v/>
      </c>
      <c r="U337" s="3">
        <f>IF(T337="","",(T337-AVERAGE(T6:T1198))/(STDEV(T6:T1198)+1E-12))</f>
        <v/>
      </c>
      <c r="X337" s="3">
        <f>IF(U337="","",U337-($V$3*G337+$W$3))</f>
        <v/>
      </c>
      <c r="Y337" s="3">
        <f>IF(X337="","",MAX(-3,MIN(3,(X337-$X3)/$X4)))</f>
        <v/>
      </c>
      <c r="Z337" s="3">
        <f>IF(Y337="","",(Y337-AVERAGE(Y6:Y1198))/(STDEV(Y6:Y1198)+1E-12))</f>
        <v/>
      </c>
    </row>
    <row r="338">
      <c r="A338" t="inlineStr">
        <is>
          <t>BBG000BHGDH5</t>
        </is>
      </c>
      <c r="B338" s="3">
        <f>IF('3a Raw'!C338="","",MAX(-3,MIN(3,('3a Raw'!C338-$B3)/$B4)))</f>
        <v/>
      </c>
      <c r="C338" s="3">
        <f>IF(B338="","",(B338-AVERAGE(B6:B1198))/(STDEV(B6:B1198)+1E-12))</f>
        <v/>
      </c>
      <c r="D338" s="3">
        <f>IF('3a Raw'!D338="","",MAX(-3,MIN(3,('3a Raw'!D338-$D3)/$D4)))</f>
        <v/>
      </c>
      <c r="E338" s="3">
        <f>IF(D338="","",(D338-AVERAGE(D6:D1198))/(STDEV(D6:D1198)+1E-12))</f>
        <v/>
      </c>
      <c r="F338" s="3">
        <f>IF('3a Raw'!E338="","",MAX(-3,MIN(3,('3a Raw'!E338-$F3)/$F4)))</f>
        <v/>
      </c>
      <c r="G338" s="3">
        <f>IF(F338="","",(F338-AVERAGE(F6:F1198))/(STDEV(F6:F1198)+1E-12))</f>
        <v/>
      </c>
      <c r="H338" s="3">
        <f>IF('3a Raw'!F338="","",MAX(-3,MIN(3,('3a Raw'!F338-$H3)/$H4)))</f>
        <v/>
      </c>
      <c r="I338" s="3">
        <f>IF(H338="","",(H338-AVERAGE(H6:H1198))/(STDEV(H6:H1198)+1E-12))</f>
        <v/>
      </c>
      <c r="J338" s="3">
        <f>IF('3a Raw'!G338="","",MAX(-3,MIN(3,('3a Raw'!G338-$J3)/$J4)))</f>
        <v/>
      </c>
      <c r="K338" s="3">
        <f>IF(J338="","",(J338-AVERAGE(J6:J1198))/(STDEV(J6:J1198)+1E-12))</f>
        <v/>
      </c>
      <c r="L338" s="3">
        <f>IF('3a Raw'!H338="","",MAX(-3,MIN(3,('3a Raw'!H338-$L3)/$L4)))</f>
        <v/>
      </c>
      <c r="M338" s="3">
        <f>IF(L338="","",(L338-AVERAGE(L6:L1198))/(STDEV(L6:L1198)+1E-12))</f>
        <v/>
      </c>
      <c r="N338" s="3">
        <f>IF('3a Raw'!I338="","",MAX(-3,MIN(3,('3a Raw'!I338-$N3)/$N4)))</f>
        <v/>
      </c>
      <c r="O338" s="3">
        <f>IF(N338="","",(N338-AVERAGE(N6:N1198))/(STDEV(N6:N1198)+1E-12))</f>
        <v/>
      </c>
      <c r="P338" s="3">
        <f>IF('3a Raw'!J338="","",MAX(-3,MIN(3,('3a Raw'!J338-$P3)/$P4)))</f>
        <v/>
      </c>
      <c r="Q338" s="3">
        <f>IF(P338="","",(P338-AVERAGE(P6:P1198))/(STDEV(P6:P1198)+1E-12))</f>
        <v/>
      </c>
      <c r="R338" s="3">
        <f>IF('3a Raw'!K338="","",MAX(-3,MIN(3,('3a Raw'!K338-$R3)/$R4)))</f>
        <v/>
      </c>
      <c r="S338" s="3">
        <f>IF(R338="","",(R338-AVERAGE(R6:R1198))/(STDEV(R6:R1198)+1E-12))</f>
        <v/>
      </c>
      <c r="T338" s="3">
        <f>IF('3a Raw'!L338="","",MAX(-3,MIN(3,('3a Raw'!L338-$T3)/$T4)))</f>
        <v/>
      </c>
      <c r="U338" s="3">
        <f>IF(T338="","",(T338-AVERAGE(T6:T1198))/(STDEV(T6:T1198)+1E-12))</f>
        <v/>
      </c>
      <c r="X338" s="3">
        <f>IF(U338="","",U338-($V$3*G338+$W$3))</f>
        <v/>
      </c>
      <c r="Y338" s="3">
        <f>IF(X338="","",MAX(-3,MIN(3,(X338-$X3)/$X4)))</f>
        <v/>
      </c>
      <c r="Z338" s="3">
        <f>IF(Y338="","",(Y338-AVERAGE(Y6:Y1198))/(STDEV(Y6:Y1198)+1E-12))</f>
        <v/>
      </c>
    </row>
    <row r="339">
      <c r="A339" t="inlineStr">
        <is>
          <t>dva</t>
        </is>
      </c>
      <c r="B339" s="3">
        <f>IF('3a Raw'!C339="","",MAX(-3,MIN(3,('3a Raw'!C339-$B3)/$B4)))</f>
        <v/>
      </c>
      <c r="C339" s="3">
        <f>IF(B339="","",(B339-AVERAGE(B6:B1198))/(STDEV(B6:B1198)+1E-12))</f>
        <v/>
      </c>
      <c r="D339" s="3">
        <f>IF('3a Raw'!D339="","",MAX(-3,MIN(3,('3a Raw'!D339-$D3)/$D4)))</f>
        <v/>
      </c>
      <c r="E339" s="3">
        <f>IF(D339="","",(D339-AVERAGE(D6:D1198))/(STDEV(D6:D1198)+1E-12))</f>
        <v/>
      </c>
      <c r="F339" s="3">
        <f>IF('3a Raw'!E339="","",MAX(-3,MIN(3,('3a Raw'!E339-$F3)/$F4)))</f>
        <v/>
      </c>
      <c r="G339" s="3">
        <f>IF(F339="","",(F339-AVERAGE(F6:F1198))/(STDEV(F6:F1198)+1E-12))</f>
        <v/>
      </c>
      <c r="H339" s="3">
        <f>IF('3a Raw'!F339="","",MAX(-3,MIN(3,('3a Raw'!F339-$H3)/$H4)))</f>
        <v/>
      </c>
      <c r="I339" s="3">
        <f>IF(H339="","",(H339-AVERAGE(H6:H1198))/(STDEV(H6:H1198)+1E-12))</f>
        <v/>
      </c>
      <c r="J339" s="3">
        <f>IF('3a Raw'!G339="","",MAX(-3,MIN(3,('3a Raw'!G339-$J3)/$J4)))</f>
        <v/>
      </c>
      <c r="K339" s="3">
        <f>IF(J339="","",(J339-AVERAGE(J6:J1198))/(STDEV(J6:J1198)+1E-12))</f>
        <v/>
      </c>
      <c r="L339" s="3">
        <f>IF('3a Raw'!H339="","",MAX(-3,MIN(3,('3a Raw'!H339-$L3)/$L4)))</f>
        <v/>
      </c>
      <c r="M339" s="3">
        <f>IF(L339="","",(L339-AVERAGE(L6:L1198))/(STDEV(L6:L1198)+1E-12))</f>
        <v/>
      </c>
      <c r="N339" s="3">
        <f>IF('3a Raw'!I339="","",MAX(-3,MIN(3,('3a Raw'!I339-$N3)/$N4)))</f>
        <v/>
      </c>
      <c r="O339" s="3">
        <f>IF(N339="","",(N339-AVERAGE(N6:N1198))/(STDEV(N6:N1198)+1E-12))</f>
        <v/>
      </c>
      <c r="P339" s="3">
        <f>IF('3a Raw'!J339="","",MAX(-3,MIN(3,('3a Raw'!J339-$P3)/$P4)))</f>
        <v/>
      </c>
      <c r="Q339" s="3">
        <f>IF(P339="","",(P339-AVERAGE(P6:P1198))/(STDEV(P6:P1198)+1E-12))</f>
        <v/>
      </c>
      <c r="R339" s="3">
        <f>IF('3a Raw'!K339="","",MAX(-3,MIN(3,('3a Raw'!K339-$R3)/$R4)))</f>
        <v/>
      </c>
      <c r="S339" s="3">
        <f>IF(R339="","",(R339-AVERAGE(R6:R1198))/(STDEV(R6:R1198)+1E-12))</f>
        <v/>
      </c>
      <c r="T339" s="3">
        <f>IF('3a Raw'!L339="","",MAX(-3,MIN(3,('3a Raw'!L339-$T3)/$T4)))</f>
        <v/>
      </c>
      <c r="U339" s="3">
        <f>IF(T339="","",(T339-AVERAGE(T6:T1198))/(STDEV(T6:T1198)+1E-12))</f>
        <v/>
      </c>
      <c r="X339" s="3">
        <f>IF(U339="","",U339-($V$3*G339+$W$3))</f>
        <v/>
      </c>
      <c r="Y339" s="3">
        <f>IF(X339="","",MAX(-3,MIN(3,(X339-$X3)/$X4)))</f>
        <v/>
      </c>
      <c r="Z339" s="3">
        <f>IF(Y339="","",(Y339-AVERAGE(Y6:Y1198))/(STDEV(Y6:Y1198)+1E-12))</f>
        <v/>
      </c>
    </row>
    <row r="340">
      <c r="A340" t="inlineStr">
        <is>
          <t>BBG000BBVJZ8</t>
        </is>
      </c>
      <c r="B340" s="3">
        <f>IF('3a Raw'!C340="","",MAX(-3,MIN(3,('3a Raw'!C340-$B3)/$B4)))</f>
        <v/>
      </c>
      <c r="C340" s="3">
        <f>IF(B340="","",(B340-AVERAGE(B6:B1198))/(STDEV(B6:B1198)+1E-12))</f>
        <v/>
      </c>
      <c r="D340" s="3">
        <f>IF('3a Raw'!D340="","",MAX(-3,MIN(3,('3a Raw'!D340-$D3)/$D4)))</f>
        <v/>
      </c>
      <c r="E340" s="3">
        <f>IF(D340="","",(D340-AVERAGE(D6:D1198))/(STDEV(D6:D1198)+1E-12))</f>
        <v/>
      </c>
      <c r="F340" s="3">
        <f>IF('3a Raw'!E340="","",MAX(-3,MIN(3,('3a Raw'!E340-$F3)/$F4)))</f>
        <v/>
      </c>
      <c r="G340" s="3">
        <f>IF(F340="","",(F340-AVERAGE(F6:F1198))/(STDEV(F6:F1198)+1E-12))</f>
        <v/>
      </c>
      <c r="H340" s="3">
        <f>IF('3a Raw'!F340="","",MAX(-3,MIN(3,('3a Raw'!F340-$H3)/$H4)))</f>
        <v/>
      </c>
      <c r="I340" s="3">
        <f>IF(H340="","",(H340-AVERAGE(H6:H1198))/(STDEV(H6:H1198)+1E-12))</f>
        <v/>
      </c>
      <c r="J340" s="3">
        <f>IF('3a Raw'!G340="","",MAX(-3,MIN(3,('3a Raw'!G340-$J3)/$J4)))</f>
        <v/>
      </c>
      <c r="K340" s="3">
        <f>IF(J340="","",(J340-AVERAGE(J6:J1198))/(STDEV(J6:J1198)+1E-12))</f>
        <v/>
      </c>
      <c r="L340" s="3">
        <f>IF('3a Raw'!H340="","",MAX(-3,MIN(3,('3a Raw'!H340-$L3)/$L4)))</f>
        <v/>
      </c>
      <c r="M340" s="3">
        <f>IF(L340="","",(L340-AVERAGE(L6:L1198))/(STDEV(L6:L1198)+1E-12))</f>
        <v/>
      </c>
      <c r="N340" s="3">
        <f>IF('3a Raw'!I340="","",MAX(-3,MIN(3,('3a Raw'!I340-$N3)/$N4)))</f>
        <v/>
      </c>
      <c r="O340" s="3">
        <f>IF(N340="","",(N340-AVERAGE(N6:N1198))/(STDEV(N6:N1198)+1E-12))</f>
        <v/>
      </c>
      <c r="P340" s="3">
        <f>IF('3a Raw'!J340="","",MAX(-3,MIN(3,('3a Raw'!J340-$P3)/$P4)))</f>
        <v/>
      </c>
      <c r="Q340" s="3">
        <f>IF(P340="","",(P340-AVERAGE(P6:P1198))/(STDEV(P6:P1198)+1E-12))</f>
        <v/>
      </c>
      <c r="R340" s="3">
        <f>IF('3a Raw'!K340="","",MAX(-3,MIN(3,('3a Raw'!K340-$R3)/$R4)))</f>
        <v/>
      </c>
      <c r="S340" s="3">
        <f>IF(R340="","",(R340-AVERAGE(R6:R1198))/(STDEV(R6:R1198)+1E-12))</f>
        <v/>
      </c>
      <c r="T340" s="3">
        <f>IF('3a Raw'!L340="","",MAX(-3,MIN(3,('3a Raw'!L340-$T3)/$T4)))</f>
        <v/>
      </c>
      <c r="U340" s="3">
        <f>IF(T340="","",(T340-AVERAGE(T6:T1198))/(STDEV(T6:T1198)+1E-12))</f>
        <v/>
      </c>
      <c r="X340" s="3">
        <f>IF(U340="","",U340-($V$3*G340+$W$3))</f>
        <v/>
      </c>
      <c r="Y340" s="3">
        <f>IF(X340="","",MAX(-3,MIN(3,(X340-$X3)/$X4)))</f>
        <v/>
      </c>
      <c r="Z340" s="3">
        <f>IF(Y340="","",(Y340-AVERAGE(Y6:Y1198))/(STDEV(Y6:Y1198)+1E-12))</f>
        <v/>
      </c>
    </row>
    <row r="341">
      <c r="A341" t="inlineStr">
        <is>
          <t>BBG000FBJQM6</t>
        </is>
      </c>
      <c r="B341" s="3">
        <f>IF('3a Raw'!C341="","",MAX(-3,MIN(3,('3a Raw'!C341-$B3)/$B4)))</f>
        <v/>
      </c>
      <c r="C341" s="3">
        <f>IF(B341="","",(B341-AVERAGE(B6:B1198))/(STDEV(B6:B1198)+1E-12))</f>
        <v/>
      </c>
      <c r="D341" s="3">
        <f>IF('3a Raw'!D341="","",MAX(-3,MIN(3,('3a Raw'!D341-$D3)/$D4)))</f>
        <v/>
      </c>
      <c r="E341" s="3">
        <f>IF(D341="","",(D341-AVERAGE(D6:D1198))/(STDEV(D6:D1198)+1E-12))</f>
        <v/>
      </c>
      <c r="F341" s="3">
        <f>IF('3a Raw'!E341="","",MAX(-3,MIN(3,('3a Raw'!E341-$F3)/$F4)))</f>
        <v/>
      </c>
      <c r="G341" s="3">
        <f>IF(F341="","",(F341-AVERAGE(F6:F1198))/(STDEV(F6:F1198)+1E-12))</f>
        <v/>
      </c>
      <c r="H341" s="3">
        <f>IF('3a Raw'!F341="","",MAX(-3,MIN(3,('3a Raw'!F341-$H3)/$H4)))</f>
        <v/>
      </c>
      <c r="I341" s="3">
        <f>IF(H341="","",(H341-AVERAGE(H6:H1198))/(STDEV(H6:H1198)+1E-12))</f>
        <v/>
      </c>
      <c r="J341" s="3">
        <f>IF('3a Raw'!G341="","",MAX(-3,MIN(3,('3a Raw'!G341-$J3)/$J4)))</f>
        <v/>
      </c>
      <c r="K341" s="3">
        <f>IF(J341="","",(J341-AVERAGE(J6:J1198))/(STDEV(J6:J1198)+1E-12))</f>
        <v/>
      </c>
      <c r="L341" s="3">
        <f>IF('3a Raw'!H341="","",MAX(-3,MIN(3,('3a Raw'!H341-$L3)/$L4)))</f>
        <v/>
      </c>
      <c r="M341" s="3">
        <f>IF(L341="","",(L341-AVERAGE(L6:L1198))/(STDEV(L6:L1198)+1E-12))</f>
        <v/>
      </c>
      <c r="N341" s="3">
        <f>IF('3a Raw'!I341="","",MAX(-3,MIN(3,('3a Raw'!I341-$N3)/$N4)))</f>
        <v/>
      </c>
      <c r="O341" s="3">
        <f>IF(N341="","",(N341-AVERAGE(N6:N1198))/(STDEV(N6:N1198)+1E-12))</f>
        <v/>
      </c>
      <c r="P341" s="3">
        <f>IF('3a Raw'!J341="","",MAX(-3,MIN(3,('3a Raw'!J341-$P3)/$P4)))</f>
        <v/>
      </c>
      <c r="Q341" s="3">
        <f>IF(P341="","",(P341-AVERAGE(P6:P1198))/(STDEV(P6:P1198)+1E-12))</f>
        <v/>
      </c>
      <c r="R341" s="3">
        <f>IF('3a Raw'!K341="","",MAX(-3,MIN(3,('3a Raw'!K341-$R3)/$R4)))</f>
        <v/>
      </c>
      <c r="S341" s="3">
        <f>IF(R341="","",(R341-AVERAGE(R6:R1198))/(STDEV(R6:R1198)+1E-12))</f>
        <v/>
      </c>
      <c r="T341" s="3">
        <f>IF('3a Raw'!L341="","",MAX(-3,MIN(3,('3a Raw'!L341-$T3)/$T4)))</f>
        <v/>
      </c>
      <c r="U341" s="3">
        <f>IF(T341="","",(T341-AVERAGE(T6:T1198))/(STDEV(T6:T1198)+1E-12))</f>
        <v/>
      </c>
      <c r="X341" s="3">
        <f>IF(U341="","",U341-($V$3*G341+$W$3))</f>
        <v/>
      </c>
      <c r="Y341" s="3">
        <f>IF(X341="","",MAX(-3,MIN(3,(X341-$X3)/$X4)))</f>
        <v/>
      </c>
      <c r="Z341" s="3">
        <f>IF(Y341="","",(Y341-AVERAGE(Y6:Y1198))/(STDEV(Y6:Y1198)+1E-12))</f>
        <v/>
      </c>
    </row>
    <row r="342">
      <c r="A342" t="inlineStr">
        <is>
          <t>BBG000QTF8K1</t>
        </is>
      </c>
      <c r="B342" s="3">
        <f>IF('3a Raw'!C342="","",MAX(-3,MIN(3,('3a Raw'!C342-$B3)/$B4)))</f>
        <v/>
      </c>
      <c r="C342" s="3">
        <f>IF(B342="","",(B342-AVERAGE(B6:B1198))/(STDEV(B6:B1198)+1E-12))</f>
        <v/>
      </c>
      <c r="D342" s="3">
        <f>IF('3a Raw'!D342="","",MAX(-3,MIN(3,('3a Raw'!D342-$D3)/$D4)))</f>
        <v/>
      </c>
      <c r="E342" s="3">
        <f>IF(D342="","",(D342-AVERAGE(D6:D1198))/(STDEV(D6:D1198)+1E-12))</f>
        <v/>
      </c>
      <c r="F342" s="3">
        <f>IF('3a Raw'!E342="","",MAX(-3,MIN(3,('3a Raw'!E342-$F3)/$F4)))</f>
        <v/>
      </c>
      <c r="G342" s="3">
        <f>IF(F342="","",(F342-AVERAGE(F6:F1198))/(STDEV(F6:F1198)+1E-12))</f>
        <v/>
      </c>
      <c r="H342" s="3">
        <f>IF('3a Raw'!F342="","",MAX(-3,MIN(3,('3a Raw'!F342-$H3)/$H4)))</f>
        <v/>
      </c>
      <c r="I342" s="3">
        <f>IF(H342="","",(H342-AVERAGE(H6:H1198))/(STDEV(H6:H1198)+1E-12))</f>
        <v/>
      </c>
      <c r="J342" s="3">
        <f>IF('3a Raw'!G342="","",MAX(-3,MIN(3,('3a Raw'!G342-$J3)/$J4)))</f>
        <v/>
      </c>
      <c r="K342" s="3">
        <f>IF(J342="","",(J342-AVERAGE(J6:J1198))/(STDEV(J6:J1198)+1E-12))</f>
        <v/>
      </c>
      <c r="L342" s="3">
        <f>IF('3a Raw'!H342="","",MAX(-3,MIN(3,('3a Raw'!H342-$L3)/$L4)))</f>
        <v/>
      </c>
      <c r="M342" s="3">
        <f>IF(L342="","",(L342-AVERAGE(L6:L1198))/(STDEV(L6:L1198)+1E-12))</f>
        <v/>
      </c>
      <c r="N342" s="3">
        <f>IF('3a Raw'!I342="","",MAX(-3,MIN(3,('3a Raw'!I342-$N3)/$N4)))</f>
        <v/>
      </c>
      <c r="O342" s="3">
        <f>IF(N342="","",(N342-AVERAGE(N6:N1198))/(STDEV(N6:N1198)+1E-12))</f>
        <v/>
      </c>
      <c r="P342" s="3">
        <f>IF('3a Raw'!J342="","",MAX(-3,MIN(3,('3a Raw'!J342-$P3)/$P4)))</f>
        <v/>
      </c>
      <c r="Q342" s="3">
        <f>IF(P342="","",(P342-AVERAGE(P6:P1198))/(STDEV(P6:P1198)+1E-12))</f>
        <v/>
      </c>
      <c r="R342" s="3">
        <f>IF('3a Raw'!K342="","",MAX(-3,MIN(3,('3a Raw'!K342-$R3)/$R4)))</f>
        <v/>
      </c>
      <c r="S342" s="3">
        <f>IF(R342="","",(R342-AVERAGE(R6:R1198))/(STDEV(R6:R1198)+1E-12))</f>
        <v/>
      </c>
      <c r="T342" s="3">
        <f>IF('3a Raw'!L342="","",MAX(-3,MIN(3,('3a Raw'!L342-$T3)/$T4)))</f>
        <v/>
      </c>
      <c r="U342" s="3">
        <f>IF(T342="","",(T342-AVERAGE(T6:T1198))/(STDEV(T6:T1198)+1E-12))</f>
        <v/>
      </c>
      <c r="X342" s="3">
        <f>IF(U342="","",U342-($V$3*G342+$W$3))</f>
        <v/>
      </c>
      <c r="Y342" s="3">
        <f>IF(X342="","",MAX(-3,MIN(3,(X342-$X3)/$X4)))</f>
        <v/>
      </c>
      <c r="Z342" s="3">
        <f>IF(Y342="","",(Y342-AVERAGE(Y6:Y1198))/(STDEV(Y6:Y1198)+1E-12))</f>
        <v/>
      </c>
    </row>
    <row r="343">
      <c r="A343" t="inlineStr">
        <is>
          <t>BBG000BHHTJ7</t>
        </is>
      </c>
      <c r="B343" s="3">
        <f>IF('3a Raw'!C343="","",MAX(-3,MIN(3,('3a Raw'!C343-$B3)/$B4)))</f>
        <v/>
      </c>
      <c r="C343" s="3">
        <f>IF(B343="","",(B343-AVERAGE(B6:B1198))/(STDEV(B6:B1198)+1E-12))</f>
        <v/>
      </c>
      <c r="D343" s="3">
        <f>IF('3a Raw'!D343="","",MAX(-3,MIN(3,('3a Raw'!D343-$D3)/$D4)))</f>
        <v/>
      </c>
      <c r="E343" s="3">
        <f>IF(D343="","",(D343-AVERAGE(D6:D1198))/(STDEV(D6:D1198)+1E-12))</f>
        <v/>
      </c>
      <c r="F343" s="3">
        <f>IF('3a Raw'!E343="","",MAX(-3,MIN(3,('3a Raw'!E343-$F3)/$F4)))</f>
        <v/>
      </c>
      <c r="G343" s="3">
        <f>IF(F343="","",(F343-AVERAGE(F6:F1198))/(STDEV(F6:F1198)+1E-12))</f>
        <v/>
      </c>
      <c r="H343" s="3">
        <f>IF('3a Raw'!F343="","",MAX(-3,MIN(3,('3a Raw'!F343-$H3)/$H4)))</f>
        <v/>
      </c>
      <c r="I343" s="3">
        <f>IF(H343="","",(H343-AVERAGE(H6:H1198))/(STDEV(H6:H1198)+1E-12))</f>
        <v/>
      </c>
      <c r="J343" s="3">
        <f>IF('3a Raw'!G343="","",MAX(-3,MIN(3,('3a Raw'!G343-$J3)/$J4)))</f>
        <v/>
      </c>
      <c r="K343" s="3">
        <f>IF(J343="","",(J343-AVERAGE(J6:J1198))/(STDEV(J6:J1198)+1E-12))</f>
        <v/>
      </c>
      <c r="L343" s="3">
        <f>IF('3a Raw'!H343="","",MAX(-3,MIN(3,('3a Raw'!H343-$L3)/$L4)))</f>
        <v/>
      </c>
      <c r="M343" s="3">
        <f>IF(L343="","",(L343-AVERAGE(L6:L1198))/(STDEV(L6:L1198)+1E-12))</f>
        <v/>
      </c>
      <c r="N343" s="3">
        <f>IF('3a Raw'!I343="","",MAX(-3,MIN(3,('3a Raw'!I343-$N3)/$N4)))</f>
        <v/>
      </c>
      <c r="O343" s="3">
        <f>IF(N343="","",(N343-AVERAGE(N6:N1198))/(STDEV(N6:N1198)+1E-12))</f>
        <v/>
      </c>
      <c r="P343" s="3">
        <f>IF('3a Raw'!J343="","",MAX(-3,MIN(3,('3a Raw'!J343-$P3)/$P4)))</f>
        <v/>
      </c>
      <c r="Q343" s="3">
        <f>IF(P343="","",(P343-AVERAGE(P6:P1198))/(STDEV(P6:P1198)+1E-12))</f>
        <v/>
      </c>
      <c r="R343" s="3">
        <f>IF('3a Raw'!K343="","",MAX(-3,MIN(3,('3a Raw'!K343-$R3)/$R4)))</f>
        <v/>
      </c>
      <c r="S343" s="3">
        <f>IF(R343="","",(R343-AVERAGE(R6:R1198))/(STDEV(R6:R1198)+1E-12))</f>
        <v/>
      </c>
      <c r="T343" s="3">
        <f>IF('3a Raw'!L343="","",MAX(-3,MIN(3,('3a Raw'!L343-$T3)/$T4)))</f>
        <v/>
      </c>
      <c r="U343" s="3">
        <f>IF(T343="","",(T343-AVERAGE(T6:T1198))/(STDEV(T6:T1198)+1E-12))</f>
        <v/>
      </c>
      <c r="X343" s="3">
        <f>IF(U343="","",U343-($V$3*G343+$W$3))</f>
        <v/>
      </c>
      <c r="Y343" s="3">
        <f>IF(X343="","",MAX(-3,MIN(3,(X343-$X3)/$X4)))</f>
        <v/>
      </c>
      <c r="Z343" s="3">
        <f>IF(Y343="","",(Y343-AVERAGE(Y6:Y1198))/(STDEV(Y6:Y1198)+1E-12))</f>
        <v/>
      </c>
    </row>
    <row r="344">
      <c r="A344" t="inlineStr">
        <is>
          <t>BBG000C4SKT1</t>
        </is>
      </c>
      <c r="B344" s="3">
        <f>IF('3a Raw'!C344="","",MAX(-3,MIN(3,('3a Raw'!C344-$B3)/$B4)))</f>
        <v/>
      </c>
      <c r="C344" s="3">
        <f>IF(B344="","",(B344-AVERAGE(B6:B1198))/(STDEV(B6:B1198)+1E-12))</f>
        <v/>
      </c>
      <c r="D344" s="3">
        <f>IF('3a Raw'!D344="","",MAX(-3,MIN(3,('3a Raw'!D344-$D3)/$D4)))</f>
        <v/>
      </c>
      <c r="E344" s="3">
        <f>IF(D344="","",(D344-AVERAGE(D6:D1198))/(STDEV(D6:D1198)+1E-12))</f>
        <v/>
      </c>
      <c r="F344" s="3">
        <f>IF('3a Raw'!E344="","",MAX(-3,MIN(3,('3a Raw'!E344-$F3)/$F4)))</f>
        <v/>
      </c>
      <c r="G344" s="3">
        <f>IF(F344="","",(F344-AVERAGE(F6:F1198))/(STDEV(F6:F1198)+1E-12))</f>
        <v/>
      </c>
      <c r="H344" s="3">
        <f>IF('3a Raw'!F344="","",MAX(-3,MIN(3,('3a Raw'!F344-$H3)/$H4)))</f>
        <v/>
      </c>
      <c r="I344" s="3">
        <f>IF(H344="","",(H344-AVERAGE(H6:H1198))/(STDEV(H6:H1198)+1E-12))</f>
        <v/>
      </c>
      <c r="J344" s="3">
        <f>IF('3a Raw'!G344="","",MAX(-3,MIN(3,('3a Raw'!G344-$J3)/$J4)))</f>
        <v/>
      </c>
      <c r="K344" s="3">
        <f>IF(J344="","",(J344-AVERAGE(J6:J1198))/(STDEV(J6:J1198)+1E-12))</f>
        <v/>
      </c>
      <c r="L344" s="3">
        <f>IF('3a Raw'!H344="","",MAX(-3,MIN(3,('3a Raw'!H344-$L3)/$L4)))</f>
        <v/>
      </c>
      <c r="M344" s="3">
        <f>IF(L344="","",(L344-AVERAGE(L6:L1198))/(STDEV(L6:L1198)+1E-12))</f>
        <v/>
      </c>
      <c r="N344" s="3">
        <f>IF('3a Raw'!I344="","",MAX(-3,MIN(3,('3a Raw'!I344-$N3)/$N4)))</f>
        <v/>
      </c>
      <c r="O344" s="3">
        <f>IF(N344="","",(N344-AVERAGE(N6:N1198))/(STDEV(N6:N1198)+1E-12))</f>
        <v/>
      </c>
      <c r="P344" s="3">
        <f>IF('3a Raw'!J344="","",MAX(-3,MIN(3,('3a Raw'!J344-$P3)/$P4)))</f>
        <v/>
      </c>
      <c r="Q344" s="3">
        <f>IF(P344="","",(P344-AVERAGE(P6:P1198))/(STDEV(P6:P1198)+1E-12))</f>
        <v/>
      </c>
      <c r="R344" s="3">
        <f>IF('3a Raw'!K344="","",MAX(-3,MIN(3,('3a Raw'!K344-$R3)/$R4)))</f>
        <v/>
      </c>
      <c r="S344" s="3">
        <f>IF(R344="","",(R344-AVERAGE(R6:R1198))/(STDEV(R6:R1198)+1E-12))</f>
        <v/>
      </c>
      <c r="T344" s="3">
        <f>IF('3a Raw'!L344="","",MAX(-3,MIN(3,('3a Raw'!L344-$T3)/$T4)))</f>
        <v/>
      </c>
      <c r="U344" s="3">
        <f>IF(T344="","",(T344-AVERAGE(T6:T1198))/(STDEV(T6:T1198)+1E-12))</f>
        <v/>
      </c>
      <c r="X344" s="3">
        <f>IF(U344="","",U344-($V$3*G344+$W$3))</f>
        <v/>
      </c>
      <c r="Y344" s="3">
        <f>IF(X344="","",MAX(-3,MIN(3,(X344-$X3)/$X4)))</f>
        <v/>
      </c>
      <c r="Z344" s="3">
        <f>IF(Y344="","",(Y344-AVERAGE(Y6:Y1198))/(STDEV(Y6:Y1198)+1E-12))</f>
        <v/>
      </c>
    </row>
    <row r="345">
      <c r="A345" t="inlineStr">
        <is>
          <t>BBG000BP0KQ8</t>
        </is>
      </c>
      <c r="B345" s="3">
        <f>IF('3a Raw'!C345="","",MAX(-3,MIN(3,('3a Raw'!C345-$B3)/$B4)))</f>
        <v/>
      </c>
      <c r="C345" s="3">
        <f>IF(B345="","",(B345-AVERAGE(B6:B1198))/(STDEV(B6:B1198)+1E-12))</f>
        <v/>
      </c>
      <c r="D345" s="3">
        <f>IF('3a Raw'!D345="","",MAX(-3,MIN(3,('3a Raw'!D345-$D3)/$D4)))</f>
        <v/>
      </c>
      <c r="E345" s="3">
        <f>IF(D345="","",(D345-AVERAGE(D6:D1198))/(STDEV(D6:D1198)+1E-12))</f>
        <v/>
      </c>
      <c r="F345" s="3">
        <f>IF('3a Raw'!E345="","",MAX(-3,MIN(3,('3a Raw'!E345-$F3)/$F4)))</f>
        <v/>
      </c>
      <c r="G345" s="3">
        <f>IF(F345="","",(F345-AVERAGE(F6:F1198))/(STDEV(F6:F1198)+1E-12))</f>
        <v/>
      </c>
      <c r="H345" s="3">
        <f>IF('3a Raw'!F345="","",MAX(-3,MIN(3,('3a Raw'!F345-$H3)/$H4)))</f>
        <v/>
      </c>
      <c r="I345" s="3">
        <f>IF(H345="","",(H345-AVERAGE(H6:H1198))/(STDEV(H6:H1198)+1E-12))</f>
        <v/>
      </c>
      <c r="J345" s="3">
        <f>IF('3a Raw'!G345="","",MAX(-3,MIN(3,('3a Raw'!G345-$J3)/$J4)))</f>
        <v/>
      </c>
      <c r="K345" s="3">
        <f>IF(J345="","",(J345-AVERAGE(J6:J1198))/(STDEV(J6:J1198)+1E-12))</f>
        <v/>
      </c>
      <c r="L345" s="3">
        <f>IF('3a Raw'!H345="","",MAX(-3,MIN(3,('3a Raw'!H345-$L3)/$L4)))</f>
        <v/>
      </c>
      <c r="M345" s="3">
        <f>IF(L345="","",(L345-AVERAGE(L6:L1198))/(STDEV(L6:L1198)+1E-12))</f>
        <v/>
      </c>
      <c r="N345" s="3">
        <f>IF('3a Raw'!I345="","",MAX(-3,MIN(3,('3a Raw'!I345-$N3)/$N4)))</f>
        <v/>
      </c>
      <c r="O345" s="3">
        <f>IF(N345="","",(N345-AVERAGE(N6:N1198))/(STDEV(N6:N1198)+1E-12))</f>
        <v/>
      </c>
      <c r="P345" s="3">
        <f>IF('3a Raw'!J345="","",MAX(-3,MIN(3,('3a Raw'!J345-$P3)/$P4)))</f>
        <v/>
      </c>
      <c r="Q345" s="3">
        <f>IF(P345="","",(P345-AVERAGE(P6:P1198))/(STDEV(P6:P1198)+1E-12))</f>
        <v/>
      </c>
      <c r="R345" s="3">
        <f>IF('3a Raw'!K345="","",MAX(-3,MIN(3,('3a Raw'!K345-$R3)/$R4)))</f>
        <v/>
      </c>
      <c r="S345" s="3">
        <f>IF(R345="","",(R345-AVERAGE(R6:R1198))/(STDEV(R6:R1198)+1E-12))</f>
        <v/>
      </c>
      <c r="T345" s="3">
        <f>IF('3a Raw'!L345="","",MAX(-3,MIN(3,('3a Raw'!L345-$T3)/$T4)))</f>
        <v/>
      </c>
      <c r="U345" s="3">
        <f>IF(T345="","",(T345-AVERAGE(T6:T1198))/(STDEV(T6:T1198)+1E-12))</f>
        <v/>
      </c>
      <c r="X345" s="3">
        <f>IF(U345="","",U345-($V$3*G345+$W$3))</f>
        <v/>
      </c>
      <c r="Y345" s="3">
        <f>IF(X345="","",MAX(-3,MIN(3,(X345-$X3)/$X4)))</f>
        <v/>
      </c>
      <c r="Z345" s="3">
        <f>IF(Y345="","",(Y345-AVERAGE(Y6:Y1198))/(STDEV(Y6:Y1198)+1E-12))</f>
        <v/>
      </c>
    </row>
    <row r="346">
      <c r="A346" t="inlineStr">
        <is>
          <t>BBG000BK28N7</t>
        </is>
      </c>
      <c r="B346" s="3">
        <f>IF('3a Raw'!C346="","",MAX(-3,MIN(3,('3a Raw'!C346-$B3)/$B4)))</f>
        <v/>
      </c>
      <c r="C346" s="3">
        <f>IF(B346="","",(B346-AVERAGE(B6:B1198))/(STDEV(B6:B1198)+1E-12))</f>
        <v/>
      </c>
      <c r="D346" s="3">
        <f>IF('3a Raw'!D346="","",MAX(-3,MIN(3,('3a Raw'!D346-$D3)/$D4)))</f>
        <v/>
      </c>
      <c r="E346" s="3">
        <f>IF(D346="","",(D346-AVERAGE(D6:D1198))/(STDEV(D6:D1198)+1E-12))</f>
        <v/>
      </c>
      <c r="F346" s="3">
        <f>IF('3a Raw'!E346="","",MAX(-3,MIN(3,('3a Raw'!E346-$F3)/$F4)))</f>
        <v/>
      </c>
      <c r="G346" s="3">
        <f>IF(F346="","",(F346-AVERAGE(F6:F1198))/(STDEV(F6:F1198)+1E-12))</f>
        <v/>
      </c>
      <c r="H346" s="3">
        <f>IF('3a Raw'!F346="","",MAX(-3,MIN(3,('3a Raw'!F346-$H3)/$H4)))</f>
        <v/>
      </c>
      <c r="I346" s="3">
        <f>IF(H346="","",(H346-AVERAGE(H6:H1198))/(STDEV(H6:H1198)+1E-12))</f>
        <v/>
      </c>
      <c r="J346" s="3">
        <f>IF('3a Raw'!G346="","",MAX(-3,MIN(3,('3a Raw'!G346-$J3)/$J4)))</f>
        <v/>
      </c>
      <c r="K346" s="3">
        <f>IF(J346="","",(J346-AVERAGE(J6:J1198))/(STDEV(J6:J1198)+1E-12))</f>
        <v/>
      </c>
      <c r="L346" s="3">
        <f>IF('3a Raw'!H346="","",MAX(-3,MIN(3,('3a Raw'!H346-$L3)/$L4)))</f>
        <v/>
      </c>
      <c r="M346" s="3">
        <f>IF(L346="","",(L346-AVERAGE(L6:L1198))/(STDEV(L6:L1198)+1E-12))</f>
        <v/>
      </c>
      <c r="N346" s="3">
        <f>IF('3a Raw'!I346="","",MAX(-3,MIN(3,('3a Raw'!I346-$N3)/$N4)))</f>
        <v/>
      </c>
      <c r="O346" s="3">
        <f>IF(N346="","",(N346-AVERAGE(N6:N1198))/(STDEV(N6:N1198)+1E-12))</f>
        <v/>
      </c>
      <c r="P346" s="3">
        <f>IF('3a Raw'!J346="","",MAX(-3,MIN(3,('3a Raw'!J346-$P3)/$P4)))</f>
        <v/>
      </c>
      <c r="Q346" s="3">
        <f>IF(P346="","",(P346-AVERAGE(P6:P1198))/(STDEV(P6:P1198)+1E-12))</f>
        <v/>
      </c>
      <c r="R346" s="3">
        <f>IF('3a Raw'!K346="","",MAX(-3,MIN(3,('3a Raw'!K346-$R3)/$R4)))</f>
        <v/>
      </c>
      <c r="S346" s="3">
        <f>IF(R346="","",(R346-AVERAGE(R6:R1198))/(STDEV(R6:R1198)+1E-12))</f>
        <v/>
      </c>
      <c r="T346" s="3">
        <f>IF('3a Raw'!L346="","",MAX(-3,MIN(3,('3a Raw'!L346-$T3)/$T4)))</f>
        <v/>
      </c>
      <c r="U346" s="3">
        <f>IF(T346="","",(T346-AVERAGE(T6:T1198))/(STDEV(T6:T1198)+1E-12))</f>
        <v/>
      </c>
      <c r="X346" s="3">
        <f>IF(U346="","",U346-($V$3*G346+$W$3))</f>
        <v/>
      </c>
      <c r="Y346" s="3">
        <f>IF(X346="","",MAX(-3,MIN(3,(X346-$X3)/$X4)))</f>
        <v/>
      </c>
      <c r="Z346" s="3">
        <f>IF(Y346="","",(Y346-AVERAGE(Y6:Y1198))/(STDEV(Y6:Y1198)+1E-12))</f>
        <v/>
      </c>
    </row>
    <row r="347">
      <c r="A347" t="inlineStr">
        <is>
          <t>BBG000C43RR5</t>
        </is>
      </c>
      <c r="B347" s="3">
        <f>IF('3a Raw'!C347="","",MAX(-3,MIN(3,('3a Raw'!C347-$B3)/$B4)))</f>
        <v/>
      </c>
      <c r="C347" s="3">
        <f>IF(B347="","",(B347-AVERAGE(B6:B1198))/(STDEV(B6:B1198)+1E-12))</f>
        <v/>
      </c>
      <c r="D347" s="3">
        <f>IF('3a Raw'!D347="","",MAX(-3,MIN(3,('3a Raw'!D347-$D3)/$D4)))</f>
        <v/>
      </c>
      <c r="E347" s="3">
        <f>IF(D347="","",(D347-AVERAGE(D6:D1198))/(STDEV(D6:D1198)+1E-12))</f>
        <v/>
      </c>
      <c r="F347" s="3">
        <f>IF('3a Raw'!E347="","",MAX(-3,MIN(3,('3a Raw'!E347-$F3)/$F4)))</f>
        <v/>
      </c>
      <c r="G347" s="3">
        <f>IF(F347="","",(F347-AVERAGE(F6:F1198))/(STDEV(F6:F1198)+1E-12))</f>
        <v/>
      </c>
      <c r="H347" s="3">
        <f>IF('3a Raw'!F347="","",MAX(-3,MIN(3,('3a Raw'!F347-$H3)/$H4)))</f>
        <v/>
      </c>
      <c r="I347" s="3">
        <f>IF(H347="","",(H347-AVERAGE(H6:H1198))/(STDEV(H6:H1198)+1E-12))</f>
        <v/>
      </c>
      <c r="J347" s="3">
        <f>IF('3a Raw'!G347="","",MAX(-3,MIN(3,('3a Raw'!G347-$J3)/$J4)))</f>
        <v/>
      </c>
      <c r="K347" s="3">
        <f>IF(J347="","",(J347-AVERAGE(J6:J1198))/(STDEV(J6:J1198)+1E-12))</f>
        <v/>
      </c>
      <c r="L347" s="3">
        <f>IF('3a Raw'!H347="","",MAX(-3,MIN(3,('3a Raw'!H347-$L3)/$L4)))</f>
        <v/>
      </c>
      <c r="M347" s="3">
        <f>IF(L347="","",(L347-AVERAGE(L6:L1198))/(STDEV(L6:L1198)+1E-12))</f>
        <v/>
      </c>
      <c r="N347" s="3">
        <f>IF('3a Raw'!I347="","",MAX(-3,MIN(3,('3a Raw'!I347-$N3)/$N4)))</f>
        <v/>
      </c>
      <c r="O347" s="3">
        <f>IF(N347="","",(N347-AVERAGE(N6:N1198))/(STDEV(N6:N1198)+1E-12))</f>
        <v/>
      </c>
      <c r="P347" s="3">
        <f>IF('3a Raw'!J347="","",MAX(-3,MIN(3,('3a Raw'!J347-$P3)/$P4)))</f>
        <v/>
      </c>
      <c r="Q347" s="3">
        <f>IF(P347="","",(P347-AVERAGE(P6:P1198))/(STDEV(P6:P1198)+1E-12))</f>
        <v/>
      </c>
      <c r="R347" s="3">
        <f>IF('3a Raw'!K347="","",MAX(-3,MIN(3,('3a Raw'!K347-$R3)/$R4)))</f>
        <v/>
      </c>
      <c r="S347" s="3">
        <f>IF(R347="","",(R347-AVERAGE(R6:R1198))/(STDEV(R6:R1198)+1E-12))</f>
        <v/>
      </c>
      <c r="T347" s="3">
        <f>IF('3a Raw'!L347="","",MAX(-3,MIN(3,('3a Raw'!L347-$T3)/$T4)))</f>
        <v/>
      </c>
      <c r="U347" s="3">
        <f>IF(T347="","",(T347-AVERAGE(T6:T1198))/(STDEV(T6:T1198)+1E-12))</f>
        <v/>
      </c>
      <c r="X347" s="3">
        <f>IF(U347="","",U347-($V$3*G347+$W$3))</f>
        <v/>
      </c>
      <c r="Y347" s="3">
        <f>IF(X347="","",MAX(-3,MIN(3,(X347-$X3)/$X4)))</f>
        <v/>
      </c>
      <c r="Z347" s="3">
        <f>IF(Y347="","",(Y347-AVERAGE(Y6:Y1198))/(STDEV(Y6:Y1198)+1E-12))</f>
        <v/>
      </c>
    </row>
    <row r="348">
      <c r="A348" t="inlineStr">
        <is>
          <t>BBG000BHKYH4</t>
        </is>
      </c>
      <c r="B348" s="3">
        <f>IF('3a Raw'!C348="","",MAX(-3,MIN(3,('3a Raw'!C348-$B3)/$B4)))</f>
        <v/>
      </c>
      <c r="C348" s="3">
        <f>IF(B348="","",(B348-AVERAGE(B6:B1198))/(STDEV(B6:B1198)+1E-12))</f>
        <v/>
      </c>
      <c r="D348" s="3">
        <f>IF('3a Raw'!D348="","",MAX(-3,MIN(3,('3a Raw'!D348-$D3)/$D4)))</f>
        <v/>
      </c>
      <c r="E348" s="3">
        <f>IF(D348="","",(D348-AVERAGE(D6:D1198))/(STDEV(D6:D1198)+1E-12))</f>
        <v/>
      </c>
      <c r="F348" s="3">
        <f>IF('3a Raw'!E348="","",MAX(-3,MIN(3,('3a Raw'!E348-$F3)/$F4)))</f>
        <v/>
      </c>
      <c r="G348" s="3">
        <f>IF(F348="","",(F348-AVERAGE(F6:F1198))/(STDEV(F6:F1198)+1E-12))</f>
        <v/>
      </c>
      <c r="H348" s="3">
        <f>IF('3a Raw'!F348="","",MAX(-3,MIN(3,('3a Raw'!F348-$H3)/$H4)))</f>
        <v/>
      </c>
      <c r="I348" s="3">
        <f>IF(H348="","",(H348-AVERAGE(H6:H1198))/(STDEV(H6:H1198)+1E-12))</f>
        <v/>
      </c>
      <c r="J348" s="3">
        <f>IF('3a Raw'!G348="","",MAX(-3,MIN(3,('3a Raw'!G348-$J3)/$J4)))</f>
        <v/>
      </c>
      <c r="K348" s="3">
        <f>IF(J348="","",(J348-AVERAGE(J6:J1198))/(STDEV(J6:J1198)+1E-12))</f>
        <v/>
      </c>
      <c r="L348" s="3">
        <f>IF('3a Raw'!H348="","",MAX(-3,MIN(3,('3a Raw'!H348-$L3)/$L4)))</f>
        <v/>
      </c>
      <c r="M348" s="3">
        <f>IF(L348="","",(L348-AVERAGE(L6:L1198))/(STDEV(L6:L1198)+1E-12))</f>
        <v/>
      </c>
      <c r="N348" s="3">
        <f>IF('3a Raw'!I348="","",MAX(-3,MIN(3,('3a Raw'!I348-$N3)/$N4)))</f>
        <v/>
      </c>
      <c r="O348" s="3">
        <f>IF(N348="","",(N348-AVERAGE(N6:N1198))/(STDEV(N6:N1198)+1E-12))</f>
        <v/>
      </c>
      <c r="P348" s="3">
        <f>IF('3a Raw'!J348="","",MAX(-3,MIN(3,('3a Raw'!J348-$P3)/$P4)))</f>
        <v/>
      </c>
      <c r="Q348" s="3">
        <f>IF(P348="","",(P348-AVERAGE(P6:P1198))/(STDEV(P6:P1198)+1E-12))</f>
        <v/>
      </c>
      <c r="R348" s="3">
        <f>IF('3a Raw'!K348="","",MAX(-3,MIN(3,('3a Raw'!K348-$R3)/$R4)))</f>
        <v/>
      </c>
      <c r="S348" s="3">
        <f>IF(R348="","",(R348-AVERAGE(R6:R1198))/(STDEV(R6:R1198)+1E-12))</f>
        <v/>
      </c>
      <c r="T348" s="3">
        <f>IF('3a Raw'!L348="","",MAX(-3,MIN(3,('3a Raw'!L348-$T3)/$T4)))</f>
        <v/>
      </c>
      <c r="U348" s="3">
        <f>IF(T348="","",(T348-AVERAGE(T6:T1198))/(STDEV(T6:T1198)+1E-12))</f>
        <v/>
      </c>
      <c r="X348" s="3">
        <f>IF(U348="","",U348-($V$3*G348+$W$3))</f>
        <v/>
      </c>
      <c r="Y348" s="3">
        <f>IF(X348="","",MAX(-3,MIN(3,(X348-$X3)/$X4)))</f>
        <v/>
      </c>
      <c r="Z348" s="3">
        <f>IF(Y348="","",(Y348-AVERAGE(Y6:Y1198))/(STDEV(Y6:Y1198)+1E-12))</f>
        <v/>
      </c>
    </row>
    <row r="349">
      <c r="A349" t="inlineStr">
        <is>
          <t>BBG00GX8YK99</t>
        </is>
      </c>
      <c r="B349" s="3">
        <f>IF('3a Raw'!C349="","",MAX(-3,MIN(3,('3a Raw'!C349-$B3)/$B4)))</f>
        <v/>
      </c>
      <c r="C349" s="3">
        <f>IF(B349="","",(B349-AVERAGE(B6:B1198))/(STDEV(B6:B1198)+1E-12))</f>
        <v/>
      </c>
      <c r="D349" s="3">
        <f>IF('3a Raw'!D349="","",MAX(-3,MIN(3,('3a Raw'!D349-$D3)/$D4)))</f>
        <v/>
      </c>
      <c r="E349" s="3">
        <f>IF(D349="","",(D349-AVERAGE(D6:D1198))/(STDEV(D6:D1198)+1E-12))</f>
        <v/>
      </c>
      <c r="F349" s="3">
        <f>IF('3a Raw'!E349="","",MAX(-3,MIN(3,('3a Raw'!E349-$F3)/$F4)))</f>
        <v/>
      </c>
      <c r="G349" s="3">
        <f>IF(F349="","",(F349-AVERAGE(F6:F1198))/(STDEV(F6:F1198)+1E-12))</f>
        <v/>
      </c>
      <c r="H349" s="3">
        <f>IF('3a Raw'!F349="","",MAX(-3,MIN(3,('3a Raw'!F349-$H3)/$H4)))</f>
        <v/>
      </c>
      <c r="I349" s="3">
        <f>IF(H349="","",(H349-AVERAGE(H6:H1198))/(STDEV(H6:H1198)+1E-12))</f>
        <v/>
      </c>
      <c r="J349" s="3">
        <f>IF('3a Raw'!G349="","",MAX(-3,MIN(3,('3a Raw'!G349-$J3)/$J4)))</f>
        <v/>
      </c>
      <c r="K349" s="3">
        <f>IF(J349="","",(J349-AVERAGE(J6:J1198))/(STDEV(J6:J1198)+1E-12))</f>
        <v/>
      </c>
      <c r="L349" s="3">
        <f>IF('3a Raw'!H349="","",MAX(-3,MIN(3,('3a Raw'!H349-$L3)/$L4)))</f>
        <v/>
      </c>
      <c r="M349" s="3">
        <f>IF(L349="","",(L349-AVERAGE(L6:L1198))/(STDEV(L6:L1198)+1E-12))</f>
        <v/>
      </c>
      <c r="N349" s="3">
        <f>IF('3a Raw'!I349="","",MAX(-3,MIN(3,('3a Raw'!I349-$N3)/$N4)))</f>
        <v/>
      </c>
      <c r="O349" s="3">
        <f>IF(N349="","",(N349-AVERAGE(N6:N1198))/(STDEV(N6:N1198)+1E-12))</f>
        <v/>
      </c>
      <c r="P349" s="3">
        <f>IF('3a Raw'!J349="","",MAX(-3,MIN(3,('3a Raw'!J349-$P3)/$P4)))</f>
        <v/>
      </c>
      <c r="Q349" s="3">
        <f>IF(P349="","",(P349-AVERAGE(P6:P1198))/(STDEV(P6:P1198)+1E-12))</f>
        <v/>
      </c>
      <c r="R349" s="3">
        <f>IF('3a Raw'!K349="","",MAX(-3,MIN(3,('3a Raw'!K349-$R3)/$R4)))</f>
        <v/>
      </c>
      <c r="S349" s="3">
        <f>IF(R349="","",(R349-AVERAGE(R6:R1198))/(STDEV(R6:R1198)+1E-12))</f>
        <v/>
      </c>
      <c r="T349" s="3">
        <f>IF('3a Raw'!L349="","",MAX(-3,MIN(3,('3a Raw'!L349-$T3)/$T4)))</f>
        <v/>
      </c>
      <c r="U349" s="3">
        <f>IF(T349="","",(T349-AVERAGE(T6:T1198))/(STDEV(T6:T1198)+1E-12))</f>
        <v/>
      </c>
      <c r="X349" s="3">
        <f>IF(U349="","",U349-($V$3*G349+$W$3))</f>
        <v/>
      </c>
      <c r="Y349" s="3">
        <f>IF(X349="","",MAX(-3,MIN(3,(X349-$X3)/$X4)))</f>
        <v/>
      </c>
      <c r="Z349" s="3">
        <f>IF(Y349="","",(Y349-AVERAGE(Y6:Y1198))/(STDEV(Y6:Y1198)+1E-12))</f>
        <v/>
      </c>
    </row>
    <row r="350">
      <c r="A350" t="inlineStr">
        <is>
          <t>BBG000BHLYS1</t>
        </is>
      </c>
      <c r="B350" s="3">
        <f>IF('3a Raw'!C350="","",MAX(-3,MIN(3,('3a Raw'!C350-$B3)/$B4)))</f>
        <v/>
      </c>
      <c r="C350" s="3">
        <f>IF(B350="","",(B350-AVERAGE(B6:B1198))/(STDEV(B6:B1198)+1E-12))</f>
        <v/>
      </c>
      <c r="D350" s="3">
        <f>IF('3a Raw'!D350="","",MAX(-3,MIN(3,('3a Raw'!D350-$D3)/$D4)))</f>
        <v/>
      </c>
      <c r="E350" s="3">
        <f>IF(D350="","",(D350-AVERAGE(D6:D1198))/(STDEV(D6:D1198)+1E-12))</f>
        <v/>
      </c>
      <c r="F350" s="3">
        <f>IF('3a Raw'!E350="","",MAX(-3,MIN(3,('3a Raw'!E350-$F3)/$F4)))</f>
        <v/>
      </c>
      <c r="G350" s="3">
        <f>IF(F350="","",(F350-AVERAGE(F6:F1198))/(STDEV(F6:F1198)+1E-12))</f>
        <v/>
      </c>
      <c r="H350" s="3">
        <f>IF('3a Raw'!F350="","",MAX(-3,MIN(3,('3a Raw'!F350-$H3)/$H4)))</f>
        <v/>
      </c>
      <c r="I350" s="3">
        <f>IF(H350="","",(H350-AVERAGE(H6:H1198))/(STDEV(H6:H1198)+1E-12))</f>
        <v/>
      </c>
      <c r="J350" s="3">
        <f>IF('3a Raw'!G350="","",MAX(-3,MIN(3,('3a Raw'!G350-$J3)/$J4)))</f>
        <v/>
      </c>
      <c r="K350" s="3">
        <f>IF(J350="","",(J350-AVERAGE(J6:J1198))/(STDEV(J6:J1198)+1E-12))</f>
        <v/>
      </c>
      <c r="L350" s="3">
        <f>IF('3a Raw'!H350="","",MAX(-3,MIN(3,('3a Raw'!H350-$L3)/$L4)))</f>
        <v/>
      </c>
      <c r="M350" s="3">
        <f>IF(L350="","",(L350-AVERAGE(L6:L1198))/(STDEV(L6:L1198)+1E-12))</f>
        <v/>
      </c>
      <c r="N350" s="3">
        <f>IF('3a Raw'!I350="","",MAX(-3,MIN(3,('3a Raw'!I350-$N3)/$N4)))</f>
        <v/>
      </c>
      <c r="O350" s="3">
        <f>IF(N350="","",(N350-AVERAGE(N6:N1198))/(STDEV(N6:N1198)+1E-12))</f>
        <v/>
      </c>
      <c r="P350" s="3">
        <f>IF('3a Raw'!J350="","",MAX(-3,MIN(3,('3a Raw'!J350-$P3)/$P4)))</f>
        <v/>
      </c>
      <c r="Q350" s="3">
        <f>IF(P350="","",(P350-AVERAGE(P6:P1198))/(STDEV(P6:P1198)+1E-12))</f>
        <v/>
      </c>
      <c r="R350" s="3">
        <f>IF('3a Raw'!K350="","",MAX(-3,MIN(3,('3a Raw'!K350-$R3)/$R4)))</f>
        <v/>
      </c>
      <c r="S350" s="3">
        <f>IF(R350="","",(R350-AVERAGE(R6:R1198))/(STDEV(R6:R1198)+1E-12))</f>
        <v/>
      </c>
      <c r="T350" s="3">
        <f>IF('3a Raw'!L350="","",MAX(-3,MIN(3,('3a Raw'!L350-$T3)/$T4)))</f>
        <v/>
      </c>
      <c r="U350" s="3">
        <f>IF(T350="","",(T350-AVERAGE(T6:T1198))/(STDEV(T6:T1198)+1E-12))</f>
        <v/>
      </c>
      <c r="X350" s="3">
        <f>IF(U350="","",U350-($V$3*G350+$W$3))</f>
        <v/>
      </c>
      <c r="Y350" s="3">
        <f>IF(X350="","",MAX(-3,MIN(3,(X350-$X3)/$X4)))</f>
        <v/>
      </c>
      <c r="Z350" s="3">
        <f>IF(Y350="","",(Y350-AVERAGE(Y6:Y1198))/(STDEV(Y6:Y1198)+1E-12))</f>
        <v/>
      </c>
    </row>
    <row r="351">
      <c r="A351" t="inlineStr">
        <is>
          <t>BBG000BMNBY1</t>
        </is>
      </c>
      <c r="B351" s="3">
        <f>IF('3a Raw'!C351="","",MAX(-3,MIN(3,('3a Raw'!C351-$B3)/$B4)))</f>
        <v/>
      </c>
      <c r="C351" s="3">
        <f>IF(B351="","",(B351-AVERAGE(B6:B1198))/(STDEV(B6:B1198)+1E-12))</f>
        <v/>
      </c>
      <c r="D351" s="3">
        <f>IF('3a Raw'!D351="","",MAX(-3,MIN(3,('3a Raw'!D351-$D3)/$D4)))</f>
        <v/>
      </c>
      <c r="E351" s="3">
        <f>IF(D351="","",(D351-AVERAGE(D6:D1198))/(STDEV(D6:D1198)+1E-12))</f>
        <v/>
      </c>
      <c r="F351" s="3">
        <f>IF('3a Raw'!E351="","",MAX(-3,MIN(3,('3a Raw'!E351-$F3)/$F4)))</f>
        <v/>
      </c>
      <c r="G351" s="3">
        <f>IF(F351="","",(F351-AVERAGE(F6:F1198))/(STDEV(F6:F1198)+1E-12))</f>
        <v/>
      </c>
      <c r="H351" s="3">
        <f>IF('3a Raw'!F351="","",MAX(-3,MIN(3,('3a Raw'!F351-$H3)/$H4)))</f>
        <v/>
      </c>
      <c r="I351" s="3">
        <f>IF(H351="","",(H351-AVERAGE(H6:H1198))/(STDEV(H6:H1198)+1E-12))</f>
        <v/>
      </c>
      <c r="J351" s="3">
        <f>IF('3a Raw'!G351="","",MAX(-3,MIN(3,('3a Raw'!G351-$J3)/$J4)))</f>
        <v/>
      </c>
      <c r="K351" s="3">
        <f>IF(J351="","",(J351-AVERAGE(J6:J1198))/(STDEV(J6:J1198)+1E-12))</f>
        <v/>
      </c>
      <c r="L351" s="3">
        <f>IF('3a Raw'!H351="","",MAX(-3,MIN(3,('3a Raw'!H351-$L3)/$L4)))</f>
        <v/>
      </c>
      <c r="M351" s="3">
        <f>IF(L351="","",(L351-AVERAGE(L6:L1198))/(STDEV(L6:L1198)+1E-12))</f>
        <v/>
      </c>
      <c r="N351" s="3">
        <f>IF('3a Raw'!I351="","",MAX(-3,MIN(3,('3a Raw'!I351-$N3)/$N4)))</f>
        <v/>
      </c>
      <c r="O351" s="3">
        <f>IF(N351="","",(N351-AVERAGE(N6:N1198))/(STDEV(N6:N1198)+1E-12))</f>
        <v/>
      </c>
      <c r="P351" s="3">
        <f>IF('3a Raw'!J351="","",MAX(-3,MIN(3,('3a Raw'!J351-$P3)/$P4)))</f>
        <v/>
      </c>
      <c r="Q351" s="3">
        <f>IF(P351="","",(P351-AVERAGE(P6:P1198))/(STDEV(P6:P1198)+1E-12))</f>
        <v/>
      </c>
      <c r="R351" s="3">
        <f>IF('3a Raw'!K351="","",MAX(-3,MIN(3,('3a Raw'!K351-$R3)/$R4)))</f>
        <v/>
      </c>
      <c r="S351" s="3">
        <f>IF(R351="","",(R351-AVERAGE(R6:R1198))/(STDEV(R6:R1198)+1E-12))</f>
        <v/>
      </c>
      <c r="T351" s="3">
        <f>IF('3a Raw'!L351="","",MAX(-3,MIN(3,('3a Raw'!L351-$T3)/$T4)))</f>
        <v/>
      </c>
      <c r="U351" s="3">
        <f>IF(T351="","",(T351-AVERAGE(T6:T1198))/(STDEV(T6:T1198)+1E-12))</f>
        <v/>
      </c>
      <c r="X351" s="3">
        <f>IF(U351="","",U351-($V$3*G351+$W$3))</f>
        <v/>
      </c>
      <c r="Y351" s="3">
        <f>IF(X351="","",MAX(-3,MIN(3,(X351-$X3)/$X4)))</f>
        <v/>
      </c>
      <c r="Z351" s="3">
        <f>IF(Y351="","",(Y351-AVERAGE(Y6:Y1198))/(STDEV(Y6:Y1198)+1E-12))</f>
        <v/>
      </c>
    </row>
    <row r="352">
      <c r="A352" t="inlineStr">
        <is>
          <t>BBG000FC4FJ8</t>
        </is>
      </c>
      <c r="B352" s="3">
        <f>IF('3a Raw'!C352="","",MAX(-3,MIN(3,('3a Raw'!C352-$B3)/$B4)))</f>
        <v/>
      </c>
      <c r="C352" s="3">
        <f>IF(B352="","",(B352-AVERAGE(B6:B1198))/(STDEV(B6:B1198)+1E-12))</f>
        <v/>
      </c>
      <c r="D352" s="3">
        <f>IF('3a Raw'!D352="","",MAX(-3,MIN(3,('3a Raw'!D352-$D3)/$D4)))</f>
        <v/>
      </c>
      <c r="E352" s="3">
        <f>IF(D352="","",(D352-AVERAGE(D6:D1198))/(STDEV(D6:D1198)+1E-12))</f>
        <v/>
      </c>
      <c r="F352" s="3">
        <f>IF('3a Raw'!E352="","",MAX(-3,MIN(3,('3a Raw'!E352-$F3)/$F4)))</f>
        <v/>
      </c>
      <c r="G352" s="3">
        <f>IF(F352="","",(F352-AVERAGE(F6:F1198))/(STDEV(F6:F1198)+1E-12))</f>
        <v/>
      </c>
      <c r="H352" s="3">
        <f>IF('3a Raw'!F352="","",MAX(-3,MIN(3,('3a Raw'!F352-$H3)/$H4)))</f>
        <v/>
      </c>
      <c r="I352" s="3">
        <f>IF(H352="","",(H352-AVERAGE(H6:H1198))/(STDEV(H6:H1198)+1E-12))</f>
        <v/>
      </c>
      <c r="J352" s="3">
        <f>IF('3a Raw'!G352="","",MAX(-3,MIN(3,('3a Raw'!G352-$J3)/$J4)))</f>
        <v/>
      </c>
      <c r="K352" s="3">
        <f>IF(J352="","",(J352-AVERAGE(J6:J1198))/(STDEV(J6:J1198)+1E-12))</f>
        <v/>
      </c>
      <c r="L352" s="3">
        <f>IF('3a Raw'!H352="","",MAX(-3,MIN(3,('3a Raw'!H352-$L3)/$L4)))</f>
        <v/>
      </c>
      <c r="M352" s="3">
        <f>IF(L352="","",(L352-AVERAGE(L6:L1198))/(STDEV(L6:L1198)+1E-12))</f>
        <v/>
      </c>
      <c r="N352" s="3">
        <f>IF('3a Raw'!I352="","",MAX(-3,MIN(3,('3a Raw'!I352-$N3)/$N4)))</f>
        <v/>
      </c>
      <c r="O352" s="3">
        <f>IF(N352="","",(N352-AVERAGE(N6:N1198))/(STDEV(N6:N1198)+1E-12))</f>
        <v/>
      </c>
      <c r="P352" s="3">
        <f>IF('3a Raw'!J352="","",MAX(-3,MIN(3,('3a Raw'!J352-$P3)/$P4)))</f>
        <v/>
      </c>
      <c r="Q352" s="3">
        <f>IF(P352="","",(P352-AVERAGE(P6:P1198))/(STDEV(P6:P1198)+1E-12))</f>
        <v/>
      </c>
      <c r="R352" s="3">
        <f>IF('3a Raw'!K352="","",MAX(-3,MIN(3,('3a Raw'!K352-$R3)/$R4)))</f>
        <v/>
      </c>
      <c r="S352" s="3">
        <f>IF(R352="","",(R352-AVERAGE(R6:R1198))/(STDEV(R6:R1198)+1E-12))</f>
        <v/>
      </c>
      <c r="T352" s="3">
        <f>IF('3a Raw'!L352="","",MAX(-3,MIN(3,('3a Raw'!L352-$T3)/$T4)))</f>
        <v/>
      </c>
      <c r="U352" s="3">
        <f>IF(T352="","",(T352-AVERAGE(T6:T1198))/(STDEV(T6:T1198)+1E-12))</f>
        <v/>
      </c>
      <c r="X352" s="3">
        <f>IF(U352="","",U352-($V$3*G352+$W$3))</f>
        <v/>
      </c>
      <c r="Y352" s="3">
        <f>IF(X352="","",MAX(-3,MIN(3,(X352-$X3)/$X4)))</f>
        <v/>
      </c>
      <c r="Z352" s="3">
        <f>IF(Y352="","",(Y352-AVERAGE(Y6:Y1198))/(STDEV(Y6:Y1198)+1E-12))</f>
        <v/>
      </c>
    </row>
    <row r="353">
      <c r="A353" t="inlineStr">
        <is>
          <t>BBG000BHPL78</t>
        </is>
      </c>
      <c r="B353" s="3">
        <f>IF('3a Raw'!C353="","",MAX(-3,MIN(3,('3a Raw'!C353-$B3)/$B4)))</f>
        <v/>
      </c>
      <c r="C353" s="3">
        <f>IF(B353="","",(B353-AVERAGE(B6:B1198))/(STDEV(B6:B1198)+1E-12))</f>
        <v/>
      </c>
      <c r="D353" s="3">
        <f>IF('3a Raw'!D353="","",MAX(-3,MIN(3,('3a Raw'!D353-$D3)/$D4)))</f>
        <v/>
      </c>
      <c r="E353" s="3">
        <f>IF(D353="","",(D353-AVERAGE(D6:D1198))/(STDEV(D6:D1198)+1E-12))</f>
        <v/>
      </c>
      <c r="F353" s="3">
        <f>IF('3a Raw'!E353="","",MAX(-3,MIN(3,('3a Raw'!E353-$F3)/$F4)))</f>
        <v/>
      </c>
      <c r="G353" s="3">
        <f>IF(F353="","",(F353-AVERAGE(F6:F1198))/(STDEV(F6:F1198)+1E-12))</f>
        <v/>
      </c>
      <c r="H353" s="3">
        <f>IF('3a Raw'!F353="","",MAX(-3,MIN(3,('3a Raw'!F353-$H3)/$H4)))</f>
        <v/>
      </c>
      <c r="I353" s="3">
        <f>IF(H353="","",(H353-AVERAGE(H6:H1198))/(STDEV(H6:H1198)+1E-12))</f>
        <v/>
      </c>
      <c r="J353" s="3">
        <f>IF('3a Raw'!G353="","",MAX(-3,MIN(3,('3a Raw'!G353-$J3)/$J4)))</f>
        <v/>
      </c>
      <c r="K353" s="3">
        <f>IF(J353="","",(J353-AVERAGE(J6:J1198))/(STDEV(J6:J1198)+1E-12))</f>
        <v/>
      </c>
      <c r="L353" s="3">
        <f>IF('3a Raw'!H353="","",MAX(-3,MIN(3,('3a Raw'!H353-$L3)/$L4)))</f>
        <v/>
      </c>
      <c r="M353" s="3">
        <f>IF(L353="","",(L353-AVERAGE(L6:L1198))/(STDEV(L6:L1198)+1E-12))</f>
        <v/>
      </c>
      <c r="N353" s="3">
        <f>IF('3a Raw'!I353="","",MAX(-3,MIN(3,('3a Raw'!I353-$N3)/$N4)))</f>
        <v/>
      </c>
      <c r="O353" s="3">
        <f>IF(N353="","",(N353-AVERAGE(N6:N1198))/(STDEV(N6:N1198)+1E-12))</f>
        <v/>
      </c>
      <c r="P353" s="3">
        <f>IF('3a Raw'!J353="","",MAX(-3,MIN(3,('3a Raw'!J353-$P3)/$P4)))</f>
        <v/>
      </c>
      <c r="Q353" s="3">
        <f>IF(P353="","",(P353-AVERAGE(P6:P1198))/(STDEV(P6:P1198)+1E-12))</f>
        <v/>
      </c>
      <c r="R353" s="3">
        <f>IF('3a Raw'!K353="","",MAX(-3,MIN(3,('3a Raw'!K353-$R3)/$R4)))</f>
        <v/>
      </c>
      <c r="S353" s="3">
        <f>IF(R353="","",(R353-AVERAGE(R6:R1198))/(STDEV(R6:R1198)+1E-12))</f>
        <v/>
      </c>
      <c r="T353" s="3">
        <f>IF('3a Raw'!L353="","",MAX(-3,MIN(3,('3a Raw'!L353-$T3)/$T4)))</f>
        <v/>
      </c>
      <c r="U353" s="3">
        <f>IF(T353="","",(T353-AVERAGE(T6:T1198))/(STDEV(T6:T1198)+1E-12))</f>
        <v/>
      </c>
      <c r="X353" s="3">
        <f>IF(U353="","",U353-($V$3*G353+$W$3))</f>
        <v/>
      </c>
      <c r="Y353" s="3">
        <f>IF(X353="","",MAX(-3,MIN(3,(X353-$X3)/$X4)))</f>
        <v/>
      </c>
      <c r="Z353" s="3">
        <f>IF(Y353="","",(Y353-AVERAGE(Y6:Y1198))/(STDEV(Y6:Y1198)+1E-12))</f>
        <v/>
      </c>
    </row>
    <row r="354">
      <c r="A354" t="inlineStr">
        <is>
          <t>eg</t>
        </is>
      </c>
      <c r="B354" s="3">
        <f>IF('3a Raw'!C354="","",MAX(-3,MIN(3,('3a Raw'!C354-$B3)/$B4)))</f>
        <v/>
      </c>
      <c r="C354" s="3">
        <f>IF(B354="","",(B354-AVERAGE(B6:B1198))/(STDEV(B6:B1198)+1E-12))</f>
        <v/>
      </c>
      <c r="D354" s="3">
        <f>IF('3a Raw'!D354="","",MAX(-3,MIN(3,('3a Raw'!D354-$D3)/$D4)))</f>
        <v/>
      </c>
      <c r="E354" s="3">
        <f>IF(D354="","",(D354-AVERAGE(D6:D1198))/(STDEV(D6:D1198)+1E-12))</f>
        <v/>
      </c>
      <c r="F354" s="3">
        <f>IF('3a Raw'!E354="","",MAX(-3,MIN(3,('3a Raw'!E354-$F3)/$F4)))</f>
        <v/>
      </c>
      <c r="G354" s="3">
        <f>IF(F354="","",(F354-AVERAGE(F6:F1198))/(STDEV(F6:F1198)+1E-12))</f>
        <v/>
      </c>
      <c r="H354" s="3">
        <f>IF('3a Raw'!F354="","",MAX(-3,MIN(3,('3a Raw'!F354-$H3)/$H4)))</f>
        <v/>
      </c>
      <c r="I354" s="3">
        <f>IF(H354="","",(H354-AVERAGE(H6:H1198))/(STDEV(H6:H1198)+1E-12))</f>
        <v/>
      </c>
      <c r="J354" s="3">
        <f>IF('3a Raw'!G354="","",MAX(-3,MIN(3,('3a Raw'!G354-$J3)/$J4)))</f>
        <v/>
      </c>
      <c r="K354" s="3">
        <f>IF(J354="","",(J354-AVERAGE(J6:J1198))/(STDEV(J6:J1198)+1E-12))</f>
        <v/>
      </c>
      <c r="L354" s="3">
        <f>IF('3a Raw'!H354="","",MAX(-3,MIN(3,('3a Raw'!H354-$L3)/$L4)))</f>
        <v/>
      </c>
      <c r="M354" s="3">
        <f>IF(L354="","",(L354-AVERAGE(L6:L1198))/(STDEV(L6:L1198)+1E-12))</f>
        <v/>
      </c>
      <c r="N354" s="3">
        <f>IF('3a Raw'!I354="","",MAX(-3,MIN(3,('3a Raw'!I354-$N3)/$N4)))</f>
        <v/>
      </c>
      <c r="O354" s="3">
        <f>IF(N354="","",(N354-AVERAGE(N6:N1198))/(STDEV(N6:N1198)+1E-12))</f>
        <v/>
      </c>
      <c r="P354" s="3">
        <f>IF('3a Raw'!J354="","",MAX(-3,MIN(3,('3a Raw'!J354-$P3)/$P4)))</f>
        <v/>
      </c>
      <c r="Q354" s="3">
        <f>IF(P354="","",(P354-AVERAGE(P6:P1198))/(STDEV(P6:P1198)+1E-12))</f>
        <v/>
      </c>
      <c r="R354" s="3">
        <f>IF('3a Raw'!K354="","",MAX(-3,MIN(3,('3a Raw'!K354-$R3)/$R4)))</f>
        <v/>
      </c>
      <c r="S354" s="3">
        <f>IF(R354="","",(R354-AVERAGE(R6:R1198))/(STDEV(R6:R1198)+1E-12))</f>
        <v/>
      </c>
      <c r="T354" s="3">
        <f>IF('3a Raw'!L354="","",MAX(-3,MIN(3,('3a Raw'!L354-$T3)/$T4)))</f>
        <v/>
      </c>
      <c r="U354" s="3">
        <f>IF(T354="","",(T354-AVERAGE(T6:T1198))/(STDEV(T6:T1198)+1E-12))</f>
        <v/>
      </c>
      <c r="X354" s="3">
        <f>IF(U354="","",U354-($V$3*G354+$W$3))</f>
        <v/>
      </c>
      <c r="Y354" s="3">
        <f>IF(X354="","",MAX(-3,MIN(3,(X354-$X3)/$X4)))</f>
        <v/>
      </c>
      <c r="Z354" s="3">
        <f>IF(Y354="","",(Y354-AVERAGE(Y6:Y1198))/(STDEV(Y6:Y1198)+1E-12))</f>
        <v/>
      </c>
    </row>
    <row r="355">
      <c r="A355" t="inlineStr">
        <is>
          <t>BBG000BCGHH7</t>
        </is>
      </c>
      <c r="B355" s="3">
        <f>IF('3a Raw'!C355="","",MAX(-3,MIN(3,('3a Raw'!C355-$B3)/$B4)))</f>
        <v/>
      </c>
      <c r="C355" s="3">
        <f>IF(B355="","",(B355-AVERAGE(B6:B1198))/(STDEV(B6:B1198)+1E-12))</f>
        <v/>
      </c>
      <c r="D355" s="3">
        <f>IF('3a Raw'!D355="","",MAX(-3,MIN(3,('3a Raw'!D355-$D3)/$D4)))</f>
        <v/>
      </c>
      <c r="E355" s="3">
        <f>IF(D355="","",(D355-AVERAGE(D6:D1198))/(STDEV(D6:D1198)+1E-12))</f>
        <v/>
      </c>
      <c r="F355" s="3">
        <f>IF('3a Raw'!E355="","",MAX(-3,MIN(3,('3a Raw'!E355-$F3)/$F4)))</f>
        <v/>
      </c>
      <c r="G355" s="3">
        <f>IF(F355="","",(F355-AVERAGE(F6:F1198))/(STDEV(F6:F1198)+1E-12))</f>
        <v/>
      </c>
      <c r="H355" s="3">
        <f>IF('3a Raw'!F355="","",MAX(-3,MIN(3,('3a Raw'!F355-$H3)/$H4)))</f>
        <v/>
      </c>
      <c r="I355" s="3">
        <f>IF(H355="","",(H355-AVERAGE(H6:H1198))/(STDEV(H6:H1198)+1E-12))</f>
        <v/>
      </c>
      <c r="J355" s="3">
        <f>IF('3a Raw'!G355="","",MAX(-3,MIN(3,('3a Raw'!G355-$J3)/$J4)))</f>
        <v/>
      </c>
      <c r="K355" s="3">
        <f>IF(J355="","",(J355-AVERAGE(J6:J1198))/(STDEV(J6:J1198)+1E-12))</f>
        <v/>
      </c>
      <c r="L355" s="3">
        <f>IF('3a Raw'!H355="","",MAX(-3,MIN(3,('3a Raw'!H355-$L3)/$L4)))</f>
        <v/>
      </c>
      <c r="M355" s="3">
        <f>IF(L355="","",(L355-AVERAGE(L6:L1198))/(STDEV(L6:L1198)+1E-12))</f>
        <v/>
      </c>
      <c r="N355" s="3">
        <f>IF('3a Raw'!I355="","",MAX(-3,MIN(3,('3a Raw'!I355-$N3)/$N4)))</f>
        <v/>
      </c>
      <c r="O355" s="3">
        <f>IF(N355="","",(N355-AVERAGE(N6:N1198))/(STDEV(N6:N1198)+1E-12))</f>
        <v/>
      </c>
      <c r="P355" s="3">
        <f>IF('3a Raw'!J355="","",MAX(-3,MIN(3,('3a Raw'!J355-$P3)/$P4)))</f>
        <v/>
      </c>
      <c r="Q355" s="3">
        <f>IF(P355="","",(P355-AVERAGE(P6:P1198))/(STDEV(P6:P1198)+1E-12))</f>
        <v/>
      </c>
      <c r="R355" s="3">
        <f>IF('3a Raw'!K355="","",MAX(-3,MIN(3,('3a Raw'!K355-$R3)/$R4)))</f>
        <v/>
      </c>
      <c r="S355" s="3">
        <f>IF(R355="","",(R355-AVERAGE(R6:R1198))/(STDEV(R6:R1198)+1E-12))</f>
        <v/>
      </c>
      <c r="T355" s="3">
        <f>IF('3a Raw'!L355="","",MAX(-3,MIN(3,('3a Raw'!L355-$T3)/$T4)))</f>
        <v/>
      </c>
      <c r="U355" s="3">
        <f>IF(T355="","",(T355-AVERAGE(T6:T1198))/(STDEV(T6:T1198)+1E-12))</f>
        <v/>
      </c>
      <c r="X355" s="3">
        <f>IF(U355="","",U355-($V$3*G355+$W$3))</f>
        <v/>
      </c>
      <c r="Y355" s="3">
        <f>IF(X355="","",MAX(-3,MIN(3,(X355-$X3)/$X4)))</f>
        <v/>
      </c>
      <c r="Z355" s="3">
        <f>IF(Y355="","",(Y355-AVERAGE(Y6:Y1198))/(STDEV(Y6:Y1198)+1E-12))</f>
        <v/>
      </c>
    </row>
    <row r="356">
      <c r="A356" t="inlineStr">
        <is>
          <t>BBG000BTBH21</t>
        </is>
      </c>
      <c r="B356" s="3">
        <f>IF('3a Raw'!C356="","",MAX(-3,MIN(3,('3a Raw'!C356-$B3)/$B4)))</f>
        <v/>
      </c>
      <c r="C356" s="3">
        <f>IF(B356="","",(B356-AVERAGE(B6:B1198))/(STDEV(B6:B1198)+1E-12))</f>
        <v/>
      </c>
      <c r="D356" s="3">
        <f>IF('3a Raw'!D356="","",MAX(-3,MIN(3,('3a Raw'!D356-$D3)/$D4)))</f>
        <v/>
      </c>
      <c r="E356" s="3">
        <f>IF(D356="","",(D356-AVERAGE(D6:D1198))/(STDEV(D6:D1198)+1E-12))</f>
        <v/>
      </c>
      <c r="F356" s="3">
        <f>IF('3a Raw'!E356="","",MAX(-3,MIN(3,('3a Raw'!E356-$F3)/$F4)))</f>
        <v/>
      </c>
      <c r="G356" s="3">
        <f>IF(F356="","",(F356-AVERAGE(F6:F1198))/(STDEV(F6:F1198)+1E-12))</f>
        <v/>
      </c>
      <c r="H356" s="3">
        <f>IF('3a Raw'!F356="","",MAX(-3,MIN(3,('3a Raw'!F356-$H3)/$H4)))</f>
        <v/>
      </c>
      <c r="I356" s="3">
        <f>IF(H356="","",(H356-AVERAGE(H6:H1198))/(STDEV(H6:H1198)+1E-12))</f>
        <v/>
      </c>
      <c r="J356" s="3">
        <f>IF('3a Raw'!G356="","",MAX(-3,MIN(3,('3a Raw'!G356-$J3)/$J4)))</f>
        <v/>
      </c>
      <c r="K356" s="3">
        <f>IF(J356="","",(J356-AVERAGE(J6:J1198))/(STDEV(J6:J1198)+1E-12))</f>
        <v/>
      </c>
      <c r="L356" s="3">
        <f>IF('3a Raw'!H356="","",MAX(-3,MIN(3,('3a Raw'!H356-$L3)/$L4)))</f>
        <v/>
      </c>
      <c r="M356" s="3">
        <f>IF(L356="","",(L356-AVERAGE(L6:L1198))/(STDEV(L6:L1198)+1E-12))</f>
        <v/>
      </c>
      <c r="N356" s="3">
        <f>IF('3a Raw'!I356="","",MAX(-3,MIN(3,('3a Raw'!I356-$N3)/$N4)))</f>
        <v/>
      </c>
      <c r="O356" s="3">
        <f>IF(N356="","",(N356-AVERAGE(N6:N1198))/(STDEV(N6:N1198)+1E-12))</f>
        <v/>
      </c>
      <c r="P356" s="3">
        <f>IF('3a Raw'!J356="","",MAX(-3,MIN(3,('3a Raw'!J356-$P3)/$P4)))</f>
        <v/>
      </c>
      <c r="Q356" s="3">
        <f>IF(P356="","",(P356-AVERAGE(P6:P1198))/(STDEV(P6:P1198)+1E-12))</f>
        <v/>
      </c>
      <c r="R356" s="3">
        <f>IF('3a Raw'!K356="","",MAX(-3,MIN(3,('3a Raw'!K356-$R3)/$R4)))</f>
        <v/>
      </c>
      <c r="S356" s="3">
        <f>IF(R356="","",(R356-AVERAGE(R6:R1198))/(STDEV(R6:R1198)+1E-12))</f>
        <v/>
      </c>
      <c r="T356" s="3">
        <f>IF('3a Raw'!L356="","",MAX(-3,MIN(3,('3a Raw'!L356-$T3)/$T4)))</f>
        <v/>
      </c>
      <c r="U356" s="3">
        <f>IF(T356="","",(T356-AVERAGE(T6:T1198))/(STDEV(T6:T1198)+1E-12))</f>
        <v/>
      </c>
      <c r="X356" s="3">
        <f>IF(U356="","",U356-($V$3*G356+$W$3))</f>
        <v/>
      </c>
      <c r="Y356" s="3">
        <f>IF(X356="","",MAX(-3,MIN(3,(X356-$X3)/$X4)))</f>
        <v/>
      </c>
      <c r="Z356" s="3">
        <f>IF(Y356="","",(Y356-AVERAGE(Y6:Y1198))/(STDEV(Y6:Y1198)+1E-12))</f>
        <v/>
      </c>
    </row>
    <row r="357">
      <c r="A357" t="inlineStr">
        <is>
          <t>BBG000P5JQX6</t>
        </is>
      </c>
      <c r="B357" s="3">
        <f>IF('3a Raw'!C357="","",MAX(-3,MIN(3,('3a Raw'!C357-$B3)/$B4)))</f>
        <v/>
      </c>
      <c r="C357" s="3">
        <f>IF(B357="","",(B357-AVERAGE(B6:B1198))/(STDEV(B6:B1198)+1E-12))</f>
        <v/>
      </c>
      <c r="D357" s="3">
        <f>IF('3a Raw'!D357="","",MAX(-3,MIN(3,('3a Raw'!D357-$D3)/$D4)))</f>
        <v/>
      </c>
      <c r="E357" s="3">
        <f>IF(D357="","",(D357-AVERAGE(D6:D1198))/(STDEV(D6:D1198)+1E-12))</f>
        <v/>
      </c>
      <c r="F357" s="3">
        <f>IF('3a Raw'!E357="","",MAX(-3,MIN(3,('3a Raw'!E357-$F3)/$F4)))</f>
        <v/>
      </c>
      <c r="G357" s="3">
        <f>IF(F357="","",(F357-AVERAGE(F6:F1198))/(STDEV(F6:F1198)+1E-12))</f>
        <v/>
      </c>
      <c r="H357" s="3">
        <f>IF('3a Raw'!F357="","",MAX(-3,MIN(3,('3a Raw'!F357-$H3)/$H4)))</f>
        <v/>
      </c>
      <c r="I357" s="3">
        <f>IF(H357="","",(H357-AVERAGE(H6:H1198))/(STDEV(H6:H1198)+1E-12))</f>
        <v/>
      </c>
      <c r="J357" s="3">
        <f>IF('3a Raw'!G357="","",MAX(-3,MIN(3,('3a Raw'!G357-$J3)/$J4)))</f>
        <v/>
      </c>
      <c r="K357" s="3">
        <f>IF(J357="","",(J357-AVERAGE(J6:J1198))/(STDEV(J6:J1198)+1E-12))</f>
        <v/>
      </c>
      <c r="L357" s="3">
        <f>IF('3a Raw'!H357="","",MAX(-3,MIN(3,('3a Raw'!H357-$L3)/$L4)))</f>
        <v/>
      </c>
      <c r="M357" s="3">
        <f>IF(L357="","",(L357-AVERAGE(L6:L1198))/(STDEV(L6:L1198)+1E-12))</f>
        <v/>
      </c>
      <c r="N357" s="3">
        <f>IF('3a Raw'!I357="","",MAX(-3,MIN(3,('3a Raw'!I357-$N3)/$N4)))</f>
        <v/>
      </c>
      <c r="O357" s="3">
        <f>IF(N357="","",(N357-AVERAGE(N6:N1198))/(STDEV(N6:N1198)+1E-12))</f>
        <v/>
      </c>
      <c r="P357" s="3">
        <f>IF('3a Raw'!J357="","",MAX(-3,MIN(3,('3a Raw'!J357-$P3)/$P4)))</f>
        <v/>
      </c>
      <c r="Q357" s="3">
        <f>IF(P357="","",(P357-AVERAGE(P6:P1198))/(STDEV(P6:P1198)+1E-12))</f>
        <v/>
      </c>
      <c r="R357" s="3">
        <f>IF('3a Raw'!K357="","",MAX(-3,MIN(3,('3a Raw'!K357-$R3)/$R4)))</f>
        <v/>
      </c>
      <c r="S357" s="3">
        <f>IF(R357="","",(R357-AVERAGE(R6:R1198))/(STDEV(R6:R1198)+1E-12))</f>
        <v/>
      </c>
      <c r="T357" s="3">
        <f>IF('3a Raw'!L357="","",MAX(-3,MIN(3,('3a Raw'!L357-$T3)/$T4)))</f>
        <v/>
      </c>
      <c r="U357" s="3">
        <f>IF(T357="","",(T357-AVERAGE(T6:T1198))/(STDEV(T6:T1198)+1E-12))</f>
        <v/>
      </c>
      <c r="X357" s="3">
        <f>IF(U357="","",U357-($V$3*G357+$W$3))</f>
        <v/>
      </c>
      <c r="Y357" s="3">
        <f>IF(X357="","",MAX(-3,MIN(3,(X357-$X3)/$X4)))</f>
        <v/>
      </c>
      <c r="Z357" s="3">
        <f>IF(Y357="","",(Y357-AVERAGE(Y6:Y1198))/(STDEV(Y6:Y1198)+1E-12))</f>
        <v/>
      </c>
    </row>
    <row r="358">
      <c r="A358" t="inlineStr">
        <is>
          <t>eix</t>
        </is>
      </c>
      <c r="B358" s="3">
        <f>IF('3a Raw'!C358="","",MAX(-3,MIN(3,('3a Raw'!C358-$B3)/$B4)))</f>
        <v/>
      </c>
      <c r="C358" s="3">
        <f>IF(B358="","",(B358-AVERAGE(B6:B1198))/(STDEV(B6:B1198)+1E-12))</f>
        <v/>
      </c>
      <c r="D358" s="3">
        <f>IF('3a Raw'!D358="","",MAX(-3,MIN(3,('3a Raw'!D358-$D3)/$D4)))</f>
        <v/>
      </c>
      <c r="E358" s="3">
        <f>IF(D358="","",(D358-AVERAGE(D6:D1198))/(STDEV(D6:D1198)+1E-12))</f>
        <v/>
      </c>
      <c r="F358" s="3">
        <f>IF('3a Raw'!E358="","",MAX(-3,MIN(3,('3a Raw'!E358-$F3)/$F4)))</f>
        <v/>
      </c>
      <c r="G358" s="3">
        <f>IF(F358="","",(F358-AVERAGE(F6:F1198))/(STDEV(F6:F1198)+1E-12))</f>
        <v/>
      </c>
      <c r="H358" s="3">
        <f>IF('3a Raw'!F358="","",MAX(-3,MIN(3,('3a Raw'!F358-$H3)/$H4)))</f>
        <v/>
      </c>
      <c r="I358" s="3">
        <f>IF(H358="","",(H358-AVERAGE(H6:H1198))/(STDEV(H6:H1198)+1E-12))</f>
        <v/>
      </c>
      <c r="J358" s="3">
        <f>IF('3a Raw'!G358="","",MAX(-3,MIN(3,('3a Raw'!G358-$J3)/$J4)))</f>
        <v/>
      </c>
      <c r="K358" s="3">
        <f>IF(J358="","",(J358-AVERAGE(J6:J1198))/(STDEV(J6:J1198)+1E-12))</f>
        <v/>
      </c>
      <c r="L358" s="3">
        <f>IF('3a Raw'!H358="","",MAX(-3,MIN(3,('3a Raw'!H358-$L3)/$L4)))</f>
        <v/>
      </c>
      <c r="M358" s="3">
        <f>IF(L358="","",(L358-AVERAGE(L6:L1198))/(STDEV(L6:L1198)+1E-12))</f>
        <v/>
      </c>
      <c r="N358" s="3">
        <f>IF('3a Raw'!I358="","",MAX(-3,MIN(3,('3a Raw'!I358-$N3)/$N4)))</f>
        <v/>
      </c>
      <c r="O358" s="3">
        <f>IF(N358="","",(N358-AVERAGE(N6:N1198))/(STDEV(N6:N1198)+1E-12))</f>
        <v/>
      </c>
      <c r="P358" s="3">
        <f>IF('3a Raw'!J358="","",MAX(-3,MIN(3,('3a Raw'!J358-$P3)/$P4)))</f>
        <v/>
      </c>
      <c r="Q358" s="3">
        <f>IF(P358="","",(P358-AVERAGE(P6:P1198))/(STDEV(P6:P1198)+1E-12))</f>
        <v/>
      </c>
      <c r="R358" s="3">
        <f>IF('3a Raw'!K358="","",MAX(-3,MIN(3,('3a Raw'!K358-$R3)/$R4)))</f>
        <v/>
      </c>
      <c r="S358" s="3">
        <f>IF(R358="","",(R358-AVERAGE(R6:R1198))/(STDEV(R6:R1198)+1E-12))</f>
        <v/>
      </c>
      <c r="T358" s="3">
        <f>IF('3a Raw'!L358="","",MAX(-3,MIN(3,('3a Raw'!L358-$T3)/$T4)))</f>
        <v/>
      </c>
      <c r="U358" s="3">
        <f>IF(T358="","",(T358-AVERAGE(T6:T1198))/(STDEV(T6:T1198)+1E-12))</f>
        <v/>
      </c>
      <c r="X358" s="3">
        <f>IF(U358="","",U358-($V$3*G358+$W$3))</f>
        <v/>
      </c>
      <c r="Y358" s="3">
        <f>IF(X358="","",MAX(-3,MIN(3,(X358-$X3)/$X4)))</f>
        <v/>
      </c>
      <c r="Z358" s="3">
        <f>IF(Y358="","",(Y358-AVERAGE(Y6:Y1198))/(STDEV(Y6:Y1198)+1E-12))</f>
        <v/>
      </c>
    </row>
    <row r="359">
      <c r="A359" t="inlineStr">
        <is>
          <t>BBG000FKJRC5</t>
        </is>
      </c>
      <c r="B359" s="3">
        <f>IF('3a Raw'!C359="","",MAX(-3,MIN(3,('3a Raw'!C359-$B3)/$B4)))</f>
        <v/>
      </c>
      <c r="C359" s="3">
        <f>IF(B359="","",(B359-AVERAGE(B6:B1198))/(STDEV(B6:B1198)+1E-12))</f>
        <v/>
      </c>
      <c r="D359" s="3">
        <f>IF('3a Raw'!D359="","",MAX(-3,MIN(3,('3a Raw'!D359-$D3)/$D4)))</f>
        <v/>
      </c>
      <c r="E359" s="3">
        <f>IF(D359="","",(D359-AVERAGE(D6:D1198))/(STDEV(D6:D1198)+1E-12))</f>
        <v/>
      </c>
      <c r="F359" s="3">
        <f>IF('3a Raw'!E359="","",MAX(-3,MIN(3,('3a Raw'!E359-$F3)/$F4)))</f>
        <v/>
      </c>
      <c r="G359" s="3">
        <f>IF(F359="","",(F359-AVERAGE(F6:F1198))/(STDEV(F6:F1198)+1E-12))</f>
        <v/>
      </c>
      <c r="H359" s="3">
        <f>IF('3a Raw'!F359="","",MAX(-3,MIN(3,('3a Raw'!F359-$H3)/$H4)))</f>
        <v/>
      </c>
      <c r="I359" s="3">
        <f>IF(H359="","",(H359-AVERAGE(H6:H1198))/(STDEV(H6:H1198)+1E-12))</f>
        <v/>
      </c>
      <c r="J359" s="3">
        <f>IF('3a Raw'!G359="","",MAX(-3,MIN(3,('3a Raw'!G359-$J3)/$J4)))</f>
        <v/>
      </c>
      <c r="K359" s="3">
        <f>IF(J359="","",(J359-AVERAGE(J6:J1198))/(STDEV(J6:J1198)+1E-12))</f>
        <v/>
      </c>
      <c r="L359" s="3">
        <f>IF('3a Raw'!H359="","",MAX(-3,MIN(3,('3a Raw'!H359-$L3)/$L4)))</f>
        <v/>
      </c>
      <c r="M359" s="3">
        <f>IF(L359="","",(L359-AVERAGE(L6:L1198))/(STDEV(L6:L1198)+1E-12))</f>
        <v/>
      </c>
      <c r="N359" s="3">
        <f>IF('3a Raw'!I359="","",MAX(-3,MIN(3,('3a Raw'!I359-$N3)/$N4)))</f>
        <v/>
      </c>
      <c r="O359" s="3">
        <f>IF(N359="","",(N359-AVERAGE(N6:N1198))/(STDEV(N6:N1198)+1E-12))</f>
        <v/>
      </c>
      <c r="P359" s="3">
        <f>IF('3a Raw'!J359="","",MAX(-3,MIN(3,('3a Raw'!J359-$P3)/$P4)))</f>
        <v/>
      </c>
      <c r="Q359" s="3">
        <f>IF(P359="","",(P359-AVERAGE(P6:P1198))/(STDEV(P6:P1198)+1E-12))</f>
        <v/>
      </c>
      <c r="R359" s="3">
        <f>IF('3a Raw'!K359="","",MAX(-3,MIN(3,('3a Raw'!K359-$R3)/$R4)))</f>
        <v/>
      </c>
      <c r="S359" s="3">
        <f>IF(R359="","",(R359-AVERAGE(R6:R1198))/(STDEV(R6:R1198)+1E-12))</f>
        <v/>
      </c>
      <c r="T359" s="3">
        <f>IF('3a Raw'!L359="","",MAX(-3,MIN(3,('3a Raw'!L359-$T3)/$T4)))</f>
        <v/>
      </c>
      <c r="U359" s="3">
        <f>IF(T359="","",(T359-AVERAGE(T6:T1198))/(STDEV(T6:T1198)+1E-12))</f>
        <v/>
      </c>
      <c r="X359" s="3">
        <f>IF(U359="","",U359-($V$3*G359+$W$3))</f>
        <v/>
      </c>
      <c r="Y359" s="3">
        <f>IF(X359="","",MAX(-3,MIN(3,(X359-$X3)/$X4)))</f>
        <v/>
      </c>
      <c r="Z359" s="3">
        <f>IF(Y359="","",(Y359-AVERAGE(Y6:Y1198))/(STDEV(Y6:Y1198)+1E-12))</f>
        <v/>
      </c>
    </row>
    <row r="360">
      <c r="A360" t="inlineStr">
        <is>
          <t>BBG00LJYS1P8</t>
        </is>
      </c>
      <c r="B360" s="3">
        <f>IF('3a Raw'!C360="","",MAX(-3,MIN(3,('3a Raw'!C360-$B3)/$B4)))</f>
        <v/>
      </c>
      <c r="C360" s="3">
        <f>IF(B360="","",(B360-AVERAGE(B6:B1198))/(STDEV(B6:B1198)+1E-12))</f>
        <v/>
      </c>
      <c r="D360" s="3">
        <f>IF('3a Raw'!D360="","",MAX(-3,MIN(3,('3a Raw'!D360-$D3)/$D4)))</f>
        <v/>
      </c>
      <c r="E360" s="3">
        <f>IF(D360="","",(D360-AVERAGE(D6:D1198))/(STDEV(D6:D1198)+1E-12))</f>
        <v/>
      </c>
      <c r="F360" s="3">
        <f>IF('3a Raw'!E360="","",MAX(-3,MIN(3,('3a Raw'!E360-$F3)/$F4)))</f>
        <v/>
      </c>
      <c r="G360" s="3">
        <f>IF(F360="","",(F360-AVERAGE(F6:F1198))/(STDEV(F6:F1198)+1E-12))</f>
        <v/>
      </c>
      <c r="H360" s="3">
        <f>IF('3a Raw'!F360="","",MAX(-3,MIN(3,('3a Raw'!F360-$H3)/$H4)))</f>
        <v/>
      </c>
      <c r="I360" s="3">
        <f>IF(H360="","",(H360-AVERAGE(H6:H1198))/(STDEV(H6:H1198)+1E-12))</f>
        <v/>
      </c>
      <c r="J360" s="3">
        <f>IF('3a Raw'!G360="","",MAX(-3,MIN(3,('3a Raw'!G360-$J3)/$J4)))</f>
        <v/>
      </c>
      <c r="K360" s="3">
        <f>IF(J360="","",(J360-AVERAGE(J6:J1198))/(STDEV(J6:J1198)+1E-12))</f>
        <v/>
      </c>
      <c r="L360" s="3">
        <f>IF('3a Raw'!H360="","",MAX(-3,MIN(3,('3a Raw'!H360-$L3)/$L4)))</f>
        <v/>
      </c>
      <c r="M360" s="3">
        <f>IF(L360="","",(L360-AVERAGE(L6:L1198))/(STDEV(L6:L1198)+1E-12))</f>
        <v/>
      </c>
      <c r="N360" s="3">
        <f>IF('3a Raw'!I360="","",MAX(-3,MIN(3,('3a Raw'!I360-$N3)/$N4)))</f>
        <v/>
      </c>
      <c r="O360" s="3">
        <f>IF(N360="","",(N360-AVERAGE(N6:N1198))/(STDEV(N6:N1198)+1E-12))</f>
        <v/>
      </c>
      <c r="P360" s="3">
        <f>IF('3a Raw'!J360="","",MAX(-3,MIN(3,('3a Raw'!J360-$P3)/$P4)))</f>
        <v/>
      </c>
      <c r="Q360" s="3">
        <f>IF(P360="","",(P360-AVERAGE(P6:P1198))/(STDEV(P6:P1198)+1E-12))</f>
        <v/>
      </c>
      <c r="R360" s="3">
        <f>IF('3a Raw'!K360="","",MAX(-3,MIN(3,('3a Raw'!K360-$R3)/$R4)))</f>
        <v/>
      </c>
      <c r="S360" s="3">
        <f>IF(R360="","",(R360-AVERAGE(R6:R1198))/(STDEV(R6:R1198)+1E-12))</f>
        <v/>
      </c>
      <c r="T360" s="3">
        <f>IF('3a Raw'!L360="","",MAX(-3,MIN(3,('3a Raw'!L360-$T3)/$T4)))</f>
        <v/>
      </c>
      <c r="U360" s="3">
        <f>IF(T360="","",(T360-AVERAGE(T6:T1198))/(STDEV(T6:T1198)+1E-12))</f>
        <v/>
      </c>
      <c r="X360" s="3">
        <f>IF(U360="","",U360-($V$3*G360+$W$3))</f>
        <v/>
      </c>
      <c r="Y360" s="3">
        <f>IF(X360="","",MAX(-3,MIN(3,(X360-$X3)/$X4)))</f>
        <v/>
      </c>
      <c r="Z360" s="3">
        <f>IF(Y360="","",(Y360-AVERAGE(Y6:Y1198))/(STDEV(Y6:Y1198)+1E-12))</f>
        <v/>
      </c>
    </row>
    <row r="361">
      <c r="A361" t="inlineStr">
        <is>
          <t>BBG000BCG930</t>
        </is>
      </c>
      <c r="B361" s="3">
        <f>IF('3a Raw'!C361="","",MAX(-3,MIN(3,('3a Raw'!C361-$B3)/$B4)))</f>
        <v/>
      </c>
      <c r="C361" s="3">
        <f>IF(B361="","",(B361-AVERAGE(B6:B1198))/(STDEV(B6:B1198)+1E-12))</f>
        <v/>
      </c>
      <c r="D361" s="3">
        <f>IF('3a Raw'!D361="","",MAX(-3,MIN(3,('3a Raw'!D361-$D3)/$D4)))</f>
        <v/>
      </c>
      <c r="E361" s="3">
        <f>IF(D361="","",(D361-AVERAGE(D6:D1198))/(STDEV(D6:D1198)+1E-12))</f>
        <v/>
      </c>
      <c r="F361" s="3">
        <f>IF('3a Raw'!E361="","",MAX(-3,MIN(3,('3a Raw'!E361-$F3)/$F4)))</f>
        <v/>
      </c>
      <c r="G361" s="3">
        <f>IF(F361="","",(F361-AVERAGE(F6:F1198))/(STDEV(F6:F1198)+1E-12))</f>
        <v/>
      </c>
      <c r="H361" s="3">
        <f>IF('3a Raw'!F361="","",MAX(-3,MIN(3,('3a Raw'!F361-$H3)/$H4)))</f>
        <v/>
      </c>
      <c r="I361" s="3">
        <f>IF(H361="","",(H361-AVERAGE(H6:H1198))/(STDEV(H6:H1198)+1E-12))</f>
        <v/>
      </c>
      <c r="J361" s="3">
        <f>IF('3a Raw'!G361="","",MAX(-3,MIN(3,('3a Raw'!G361-$J3)/$J4)))</f>
        <v/>
      </c>
      <c r="K361" s="3">
        <f>IF(J361="","",(J361-AVERAGE(J6:J1198))/(STDEV(J6:J1198)+1E-12))</f>
        <v/>
      </c>
      <c r="L361" s="3">
        <f>IF('3a Raw'!H361="","",MAX(-3,MIN(3,('3a Raw'!H361-$L3)/$L4)))</f>
        <v/>
      </c>
      <c r="M361" s="3">
        <f>IF(L361="","",(L361-AVERAGE(L6:L1198))/(STDEV(L6:L1198)+1E-12))</f>
        <v/>
      </c>
      <c r="N361" s="3">
        <f>IF('3a Raw'!I361="","",MAX(-3,MIN(3,('3a Raw'!I361-$N3)/$N4)))</f>
        <v/>
      </c>
      <c r="O361" s="3">
        <f>IF(N361="","",(N361-AVERAGE(N6:N1198))/(STDEV(N6:N1198)+1E-12))</f>
        <v/>
      </c>
      <c r="P361" s="3">
        <f>IF('3a Raw'!J361="","",MAX(-3,MIN(3,('3a Raw'!J361-$P3)/$P4)))</f>
        <v/>
      </c>
      <c r="Q361" s="3">
        <f>IF(P361="","",(P361-AVERAGE(P6:P1198))/(STDEV(P6:P1198)+1E-12))</f>
        <v/>
      </c>
      <c r="R361" s="3">
        <f>IF('3a Raw'!K361="","",MAX(-3,MIN(3,('3a Raw'!K361-$R3)/$R4)))</f>
        <v/>
      </c>
      <c r="S361" s="3">
        <f>IF(R361="","",(R361-AVERAGE(R6:R1198))/(STDEV(R6:R1198)+1E-12))</f>
        <v/>
      </c>
      <c r="T361" s="3">
        <f>IF('3a Raw'!L361="","",MAX(-3,MIN(3,('3a Raw'!L361-$T3)/$T4)))</f>
        <v/>
      </c>
      <c r="U361" s="3">
        <f>IF(T361="","",(T361-AVERAGE(T6:T1198))/(STDEV(T6:T1198)+1E-12))</f>
        <v/>
      </c>
      <c r="X361" s="3">
        <f>IF(U361="","",U361-($V$3*G361+$W$3))</f>
        <v/>
      </c>
      <c r="Y361" s="3">
        <f>IF(X361="","",MAX(-3,MIN(3,(X361-$X3)/$X4)))</f>
        <v/>
      </c>
      <c r="Z361" s="3">
        <f>IF(Y361="","",(Y361-AVERAGE(Y6:Y1198))/(STDEV(Y6:Y1198)+1E-12))</f>
        <v/>
      </c>
    </row>
    <row r="362">
      <c r="A362" t="inlineStr">
        <is>
          <t>BBG000BG3TV0</t>
        </is>
      </c>
      <c r="B362" s="3">
        <f>IF('3a Raw'!C362="","",MAX(-3,MIN(3,('3a Raw'!C362-$B3)/$B4)))</f>
        <v/>
      </c>
      <c r="C362" s="3">
        <f>IF(B362="","",(B362-AVERAGE(B6:B1198))/(STDEV(B6:B1198)+1E-12))</f>
        <v/>
      </c>
      <c r="D362" s="3">
        <f>IF('3a Raw'!D362="","",MAX(-3,MIN(3,('3a Raw'!D362-$D3)/$D4)))</f>
        <v/>
      </c>
      <c r="E362" s="3">
        <f>IF(D362="","",(D362-AVERAGE(D6:D1198))/(STDEV(D6:D1198)+1E-12))</f>
        <v/>
      </c>
      <c r="F362" s="3">
        <f>IF('3a Raw'!E362="","",MAX(-3,MIN(3,('3a Raw'!E362-$F3)/$F4)))</f>
        <v/>
      </c>
      <c r="G362" s="3">
        <f>IF(F362="","",(F362-AVERAGE(F6:F1198))/(STDEV(F6:F1198)+1E-12))</f>
        <v/>
      </c>
      <c r="H362" s="3">
        <f>IF('3a Raw'!F362="","",MAX(-3,MIN(3,('3a Raw'!F362-$H3)/$H4)))</f>
        <v/>
      </c>
      <c r="I362" s="3">
        <f>IF(H362="","",(H362-AVERAGE(H6:H1198))/(STDEV(H6:H1198)+1E-12))</f>
        <v/>
      </c>
      <c r="J362" s="3">
        <f>IF('3a Raw'!G362="","",MAX(-3,MIN(3,('3a Raw'!G362-$J3)/$J4)))</f>
        <v/>
      </c>
      <c r="K362" s="3">
        <f>IF(J362="","",(J362-AVERAGE(J6:J1198))/(STDEV(J6:J1198)+1E-12))</f>
        <v/>
      </c>
      <c r="L362" s="3">
        <f>IF('3a Raw'!H362="","",MAX(-3,MIN(3,('3a Raw'!H362-$L3)/$L4)))</f>
        <v/>
      </c>
      <c r="M362" s="3">
        <f>IF(L362="","",(L362-AVERAGE(L6:L1198))/(STDEV(L6:L1198)+1E-12))</f>
        <v/>
      </c>
      <c r="N362" s="3">
        <f>IF('3a Raw'!I362="","",MAX(-3,MIN(3,('3a Raw'!I362-$N3)/$N4)))</f>
        <v/>
      </c>
      <c r="O362" s="3">
        <f>IF(N362="","",(N362-AVERAGE(N6:N1198))/(STDEV(N6:N1198)+1E-12))</f>
        <v/>
      </c>
      <c r="P362" s="3">
        <f>IF('3a Raw'!J362="","",MAX(-3,MIN(3,('3a Raw'!J362-$P3)/$P4)))</f>
        <v/>
      </c>
      <c r="Q362" s="3">
        <f>IF(P362="","",(P362-AVERAGE(P6:P1198))/(STDEV(P6:P1198)+1E-12))</f>
        <v/>
      </c>
      <c r="R362" s="3">
        <f>IF('3a Raw'!K362="","",MAX(-3,MIN(3,('3a Raw'!K362-$R3)/$R4)))</f>
        <v/>
      </c>
      <c r="S362" s="3">
        <f>IF(R362="","",(R362-AVERAGE(R6:R1198))/(STDEV(R6:R1198)+1E-12))</f>
        <v/>
      </c>
      <c r="T362" s="3">
        <f>IF('3a Raw'!L362="","",MAX(-3,MIN(3,('3a Raw'!L362-$T3)/$T4)))</f>
        <v/>
      </c>
      <c r="U362" s="3">
        <f>IF(T362="","",(T362-AVERAGE(T6:T1198))/(STDEV(T6:T1198)+1E-12))</f>
        <v/>
      </c>
      <c r="X362" s="3">
        <f>IF(U362="","",U362-($V$3*G362+$W$3))</f>
        <v/>
      </c>
      <c r="Y362" s="3">
        <f>IF(X362="","",MAX(-3,MIN(3,(X362-$X3)/$X4)))</f>
        <v/>
      </c>
      <c r="Z362" s="3">
        <f>IF(Y362="","",(Y362-AVERAGE(Y6:Y1198))/(STDEV(Y6:Y1198)+1E-12))</f>
        <v/>
      </c>
    </row>
    <row r="363">
      <c r="A363" t="inlineStr">
        <is>
          <t>BBG000BBRPL4</t>
        </is>
      </c>
      <c r="B363" s="3">
        <f>IF('3a Raw'!C363="","",MAX(-3,MIN(3,('3a Raw'!C363-$B3)/$B4)))</f>
        <v/>
      </c>
      <c r="C363" s="3">
        <f>IF(B363="","",(B363-AVERAGE(B6:B1198))/(STDEV(B6:B1198)+1E-12))</f>
        <v/>
      </c>
      <c r="D363" s="3">
        <f>IF('3a Raw'!D363="","",MAX(-3,MIN(3,('3a Raw'!D363-$D3)/$D4)))</f>
        <v/>
      </c>
      <c r="E363" s="3">
        <f>IF(D363="","",(D363-AVERAGE(D6:D1198))/(STDEV(D6:D1198)+1E-12))</f>
        <v/>
      </c>
      <c r="F363" s="3">
        <f>IF('3a Raw'!E363="","",MAX(-3,MIN(3,('3a Raw'!E363-$F3)/$F4)))</f>
        <v/>
      </c>
      <c r="G363" s="3">
        <f>IF(F363="","",(F363-AVERAGE(F6:F1198))/(STDEV(F6:F1198)+1E-12))</f>
        <v/>
      </c>
      <c r="H363" s="3">
        <f>IF('3a Raw'!F363="","",MAX(-3,MIN(3,('3a Raw'!F363-$H3)/$H4)))</f>
        <v/>
      </c>
      <c r="I363" s="3">
        <f>IF(H363="","",(H363-AVERAGE(H6:H1198))/(STDEV(H6:H1198)+1E-12))</f>
        <v/>
      </c>
      <c r="J363" s="3">
        <f>IF('3a Raw'!G363="","",MAX(-3,MIN(3,('3a Raw'!G363-$J3)/$J4)))</f>
        <v/>
      </c>
      <c r="K363" s="3">
        <f>IF(J363="","",(J363-AVERAGE(J6:J1198))/(STDEV(J6:J1198)+1E-12))</f>
        <v/>
      </c>
      <c r="L363" s="3">
        <f>IF('3a Raw'!H363="","",MAX(-3,MIN(3,('3a Raw'!H363-$L3)/$L4)))</f>
        <v/>
      </c>
      <c r="M363" s="3">
        <f>IF(L363="","",(L363-AVERAGE(L6:L1198))/(STDEV(L6:L1198)+1E-12))</f>
        <v/>
      </c>
      <c r="N363" s="3">
        <f>IF('3a Raw'!I363="","",MAX(-3,MIN(3,('3a Raw'!I363-$N3)/$N4)))</f>
        <v/>
      </c>
      <c r="O363" s="3">
        <f>IF(N363="","",(N363-AVERAGE(N6:N1198))/(STDEV(N6:N1198)+1E-12))</f>
        <v/>
      </c>
      <c r="P363" s="3">
        <f>IF('3a Raw'!J363="","",MAX(-3,MIN(3,('3a Raw'!J363-$P3)/$P4)))</f>
        <v/>
      </c>
      <c r="Q363" s="3">
        <f>IF(P363="","",(P363-AVERAGE(P6:P1198))/(STDEV(P6:P1198)+1E-12))</f>
        <v/>
      </c>
      <c r="R363" s="3">
        <f>IF('3a Raw'!K363="","",MAX(-3,MIN(3,('3a Raw'!K363-$R3)/$R4)))</f>
        <v/>
      </c>
      <c r="S363" s="3">
        <f>IF(R363="","",(R363-AVERAGE(R6:R1198))/(STDEV(R6:R1198)+1E-12))</f>
        <v/>
      </c>
      <c r="T363" s="3">
        <f>IF('3a Raw'!L363="","",MAX(-3,MIN(3,('3a Raw'!L363-$T3)/$T4)))</f>
        <v/>
      </c>
      <c r="U363" s="3">
        <f>IF(T363="","",(T363-AVERAGE(T6:T1198))/(STDEV(T6:T1198)+1E-12))</f>
        <v/>
      </c>
      <c r="X363" s="3">
        <f>IF(U363="","",U363-($V$3*G363+$W$3))</f>
        <v/>
      </c>
      <c r="Y363" s="3">
        <f>IF(X363="","",MAX(-3,MIN(3,(X363-$X3)/$X4)))</f>
        <v/>
      </c>
      <c r="Z363" s="3">
        <f>IF(Y363="","",(Y363-AVERAGE(Y6:Y1198))/(STDEV(Y6:Y1198)+1E-12))</f>
        <v/>
      </c>
    </row>
    <row r="364">
      <c r="A364" t="inlineStr">
        <is>
          <t>BBG000BLW530</t>
        </is>
      </c>
      <c r="B364" s="3">
        <f>IF('3a Raw'!C364="","",MAX(-3,MIN(3,('3a Raw'!C364-$B3)/$B4)))</f>
        <v/>
      </c>
      <c r="C364" s="3">
        <f>IF(B364="","",(B364-AVERAGE(B6:B1198))/(STDEV(B6:B1198)+1E-12))</f>
        <v/>
      </c>
      <c r="D364" s="3">
        <f>IF('3a Raw'!D364="","",MAX(-3,MIN(3,('3a Raw'!D364-$D3)/$D4)))</f>
        <v/>
      </c>
      <c r="E364" s="3">
        <f>IF(D364="","",(D364-AVERAGE(D6:D1198))/(STDEV(D6:D1198)+1E-12))</f>
        <v/>
      </c>
      <c r="F364" s="3">
        <f>IF('3a Raw'!E364="","",MAX(-3,MIN(3,('3a Raw'!E364-$F3)/$F4)))</f>
        <v/>
      </c>
      <c r="G364" s="3">
        <f>IF(F364="","",(F364-AVERAGE(F6:F1198))/(STDEV(F6:F1198)+1E-12))</f>
        <v/>
      </c>
      <c r="H364" s="3">
        <f>IF('3a Raw'!F364="","",MAX(-3,MIN(3,('3a Raw'!F364-$H3)/$H4)))</f>
        <v/>
      </c>
      <c r="I364" s="3">
        <f>IF(H364="","",(H364-AVERAGE(H6:H1198))/(STDEV(H6:H1198)+1E-12))</f>
        <v/>
      </c>
      <c r="J364" s="3">
        <f>IF('3a Raw'!G364="","",MAX(-3,MIN(3,('3a Raw'!G364-$J3)/$J4)))</f>
        <v/>
      </c>
      <c r="K364" s="3">
        <f>IF(J364="","",(J364-AVERAGE(J6:J1198))/(STDEV(J6:J1198)+1E-12))</f>
        <v/>
      </c>
      <c r="L364" s="3">
        <f>IF('3a Raw'!H364="","",MAX(-3,MIN(3,('3a Raw'!H364-$L3)/$L4)))</f>
        <v/>
      </c>
      <c r="M364" s="3">
        <f>IF(L364="","",(L364-AVERAGE(L6:L1198))/(STDEV(L6:L1198)+1E-12))</f>
        <v/>
      </c>
      <c r="N364" s="3">
        <f>IF('3a Raw'!I364="","",MAX(-3,MIN(3,('3a Raw'!I364-$N3)/$N4)))</f>
        <v/>
      </c>
      <c r="O364" s="3">
        <f>IF(N364="","",(N364-AVERAGE(N6:N1198))/(STDEV(N6:N1198)+1E-12))</f>
        <v/>
      </c>
      <c r="P364" s="3">
        <f>IF('3a Raw'!J364="","",MAX(-3,MIN(3,('3a Raw'!J364-$P3)/$P4)))</f>
        <v/>
      </c>
      <c r="Q364" s="3">
        <f>IF(P364="","",(P364-AVERAGE(P6:P1198))/(STDEV(P6:P1198)+1E-12))</f>
        <v/>
      </c>
      <c r="R364" s="3">
        <f>IF('3a Raw'!K364="","",MAX(-3,MIN(3,('3a Raw'!K364-$R3)/$R4)))</f>
        <v/>
      </c>
      <c r="S364" s="3">
        <f>IF(R364="","",(R364-AVERAGE(R6:R1198))/(STDEV(R6:R1198)+1E-12))</f>
        <v/>
      </c>
      <c r="T364" s="3">
        <f>IF('3a Raw'!L364="","",MAX(-3,MIN(3,('3a Raw'!L364-$T3)/$T4)))</f>
        <v/>
      </c>
      <c r="U364" s="3">
        <f>IF(T364="","",(T364-AVERAGE(T6:T1198))/(STDEV(T6:T1198)+1E-12))</f>
        <v/>
      </c>
      <c r="X364" s="3">
        <f>IF(U364="","",U364-($V$3*G364+$W$3))</f>
        <v/>
      </c>
      <c r="Y364" s="3">
        <f>IF(X364="","",MAX(-3,MIN(3,(X364-$X3)/$X4)))</f>
        <v/>
      </c>
      <c r="Z364" s="3">
        <f>IF(Y364="","",(Y364-AVERAGE(Y6:Y1198))/(STDEV(Y6:Y1198)+1E-12))</f>
        <v/>
      </c>
    </row>
    <row r="365">
      <c r="A365" t="inlineStr">
        <is>
          <t>BBG000BHX7N2</t>
        </is>
      </c>
      <c r="B365" s="3">
        <f>IF('3a Raw'!C365="","",MAX(-3,MIN(3,('3a Raw'!C365-$B3)/$B4)))</f>
        <v/>
      </c>
      <c r="C365" s="3">
        <f>IF(B365="","",(B365-AVERAGE(B6:B1198))/(STDEV(B6:B1198)+1E-12))</f>
        <v/>
      </c>
      <c r="D365" s="3">
        <f>IF('3a Raw'!D365="","",MAX(-3,MIN(3,('3a Raw'!D365-$D3)/$D4)))</f>
        <v/>
      </c>
      <c r="E365" s="3">
        <f>IF(D365="","",(D365-AVERAGE(D6:D1198))/(STDEV(D6:D1198)+1E-12))</f>
        <v/>
      </c>
      <c r="F365" s="3">
        <f>IF('3a Raw'!E365="","",MAX(-3,MIN(3,('3a Raw'!E365-$F3)/$F4)))</f>
        <v/>
      </c>
      <c r="G365" s="3">
        <f>IF(F365="","",(F365-AVERAGE(F6:F1198))/(STDEV(F6:F1198)+1E-12))</f>
        <v/>
      </c>
      <c r="H365" s="3">
        <f>IF('3a Raw'!F365="","",MAX(-3,MIN(3,('3a Raw'!F365-$H3)/$H4)))</f>
        <v/>
      </c>
      <c r="I365" s="3">
        <f>IF(H365="","",(H365-AVERAGE(H6:H1198))/(STDEV(H6:H1198)+1E-12))</f>
        <v/>
      </c>
      <c r="J365" s="3">
        <f>IF('3a Raw'!G365="","",MAX(-3,MIN(3,('3a Raw'!G365-$J3)/$J4)))</f>
        <v/>
      </c>
      <c r="K365" s="3">
        <f>IF(J365="","",(J365-AVERAGE(J6:J1198))/(STDEV(J6:J1198)+1E-12))</f>
        <v/>
      </c>
      <c r="L365" s="3">
        <f>IF('3a Raw'!H365="","",MAX(-3,MIN(3,('3a Raw'!H365-$L3)/$L4)))</f>
        <v/>
      </c>
      <c r="M365" s="3">
        <f>IF(L365="","",(L365-AVERAGE(L6:L1198))/(STDEV(L6:L1198)+1E-12))</f>
        <v/>
      </c>
      <c r="N365" s="3">
        <f>IF('3a Raw'!I365="","",MAX(-3,MIN(3,('3a Raw'!I365-$N3)/$N4)))</f>
        <v/>
      </c>
      <c r="O365" s="3">
        <f>IF(N365="","",(N365-AVERAGE(N6:N1198))/(STDEV(N6:N1198)+1E-12))</f>
        <v/>
      </c>
      <c r="P365" s="3">
        <f>IF('3a Raw'!J365="","",MAX(-3,MIN(3,('3a Raw'!J365-$P3)/$P4)))</f>
        <v/>
      </c>
      <c r="Q365" s="3">
        <f>IF(P365="","",(P365-AVERAGE(P6:P1198))/(STDEV(P6:P1198)+1E-12))</f>
        <v/>
      </c>
      <c r="R365" s="3">
        <f>IF('3a Raw'!K365="","",MAX(-3,MIN(3,('3a Raw'!K365-$R3)/$R4)))</f>
        <v/>
      </c>
      <c r="S365" s="3">
        <f>IF(R365="","",(R365-AVERAGE(R6:R1198))/(STDEV(R6:R1198)+1E-12))</f>
        <v/>
      </c>
      <c r="T365" s="3">
        <f>IF('3a Raw'!L365="","",MAX(-3,MIN(3,('3a Raw'!L365-$T3)/$T4)))</f>
        <v/>
      </c>
      <c r="U365" s="3">
        <f>IF(T365="","",(T365-AVERAGE(T6:T1198))/(STDEV(T6:T1198)+1E-12))</f>
        <v/>
      </c>
      <c r="X365" s="3">
        <f>IF(U365="","",U365-($V$3*G365+$W$3))</f>
        <v/>
      </c>
      <c r="Y365" s="3">
        <f>IF(X365="","",MAX(-3,MIN(3,(X365-$X3)/$X4)))</f>
        <v/>
      </c>
      <c r="Z365" s="3">
        <f>IF(Y365="","",(Y365-AVERAGE(Y6:Y1198))/(STDEV(Y6:Y1198)+1E-12))</f>
        <v/>
      </c>
    </row>
    <row r="366">
      <c r="A366" t="inlineStr">
        <is>
          <t>BBG001R3MNY9</t>
        </is>
      </c>
      <c r="B366" s="3">
        <f>IF('3a Raw'!C366="","",MAX(-3,MIN(3,('3a Raw'!C366-$B3)/$B4)))</f>
        <v/>
      </c>
      <c r="C366" s="3">
        <f>IF(B366="","",(B366-AVERAGE(B6:B1198))/(STDEV(B6:B1198)+1E-12))</f>
        <v/>
      </c>
      <c r="D366" s="3">
        <f>IF('3a Raw'!D366="","",MAX(-3,MIN(3,('3a Raw'!D366-$D3)/$D4)))</f>
        <v/>
      </c>
      <c r="E366" s="3">
        <f>IF(D366="","",(D366-AVERAGE(D6:D1198))/(STDEV(D6:D1198)+1E-12))</f>
        <v/>
      </c>
      <c r="F366" s="3">
        <f>IF('3a Raw'!E366="","",MAX(-3,MIN(3,('3a Raw'!E366-$F3)/$F4)))</f>
        <v/>
      </c>
      <c r="G366" s="3">
        <f>IF(F366="","",(F366-AVERAGE(F6:F1198))/(STDEV(F6:F1198)+1E-12))</f>
        <v/>
      </c>
      <c r="H366" s="3">
        <f>IF('3a Raw'!F366="","",MAX(-3,MIN(3,('3a Raw'!F366-$H3)/$H4)))</f>
        <v/>
      </c>
      <c r="I366" s="3">
        <f>IF(H366="","",(H366-AVERAGE(H6:H1198))/(STDEV(H6:H1198)+1E-12))</f>
        <v/>
      </c>
      <c r="J366" s="3">
        <f>IF('3a Raw'!G366="","",MAX(-3,MIN(3,('3a Raw'!G366-$J3)/$J4)))</f>
        <v/>
      </c>
      <c r="K366" s="3">
        <f>IF(J366="","",(J366-AVERAGE(J6:J1198))/(STDEV(J6:J1198)+1E-12))</f>
        <v/>
      </c>
      <c r="L366" s="3">
        <f>IF('3a Raw'!H366="","",MAX(-3,MIN(3,('3a Raw'!H366-$L3)/$L4)))</f>
        <v/>
      </c>
      <c r="M366" s="3">
        <f>IF(L366="","",(L366-AVERAGE(L6:L1198))/(STDEV(L6:L1198)+1E-12))</f>
        <v/>
      </c>
      <c r="N366" s="3">
        <f>IF('3a Raw'!I366="","",MAX(-3,MIN(3,('3a Raw'!I366-$N3)/$N4)))</f>
        <v/>
      </c>
      <c r="O366" s="3">
        <f>IF(N366="","",(N366-AVERAGE(N6:N1198))/(STDEV(N6:N1198)+1E-12))</f>
        <v/>
      </c>
      <c r="P366" s="3">
        <f>IF('3a Raw'!J366="","",MAX(-3,MIN(3,('3a Raw'!J366-$P3)/$P4)))</f>
        <v/>
      </c>
      <c r="Q366" s="3">
        <f>IF(P366="","",(P366-AVERAGE(P6:P1198))/(STDEV(P6:P1198)+1E-12))</f>
        <v/>
      </c>
      <c r="R366" s="3">
        <f>IF('3a Raw'!K366="","",MAX(-3,MIN(3,('3a Raw'!K366-$R3)/$R4)))</f>
        <v/>
      </c>
      <c r="S366" s="3">
        <f>IF(R366="","",(R366-AVERAGE(R6:R1198))/(STDEV(R6:R1198)+1E-12))</f>
        <v/>
      </c>
      <c r="T366" s="3">
        <f>IF('3a Raw'!L366="","",MAX(-3,MIN(3,('3a Raw'!L366-$T3)/$T4)))</f>
        <v/>
      </c>
      <c r="U366" s="3">
        <f>IF(T366="","",(T366-AVERAGE(T6:T1198))/(STDEV(T6:T1198)+1E-12))</f>
        <v/>
      </c>
      <c r="X366" s="3">
        <f>IF(U366="","",U366-($V$3*G366+$W$3))</f>
        <v/>
      </c>
      <c r="Y366" s="3">
        <f>IF(X366="","",MAX(-3,MIN(3,(X366-$X3)/$X4)))</f>
        <v/>
      </c>
      <c r="Z366" s="3">
        <f>IF(Y366="","",(Y366-AVERAGE(Y6:Y1198))/(STDEV(Y6:Y1198)+1E-12))</f>
        <v/>
      </c>
    </row>
    <row r="367">
      <c r="A367" t="inlineStr">
        <is>
          <t>BBG006FCB019</t>
        </is>
      </c>
      <c r="B367" s="3">
        <f>IF('3a Raw'!C367="","",MAX(-3,MIN(3,('3a Raw'!C367-$B3)/$B4)))</f>
        <v/>
      </c>
      <c r="C367" s="3">
        <f>IF(B367="","",(B367-AVERAGE(B6:B1198))/(STDEV(B6:B1198)+1E-12))</f>
        <v/>
      </c>
      <c r="D367" s="3">
        <f>IF('3a Raw'!D367="","",MAX(-3,MIN(3,('3a Raw'!D367-$D3)/$D4)))</f>
        <v/>
      </c>
      <c r="E367" s="3">
        <f>IF(D367="","",(D367-AVERAGE(D6:D1198))/(STDEV(D6:D1198)+1E-12))</f>
        <v/>
      </c>
      <c r="F367" s="3">
        <f>IF('3a Raw'!E367="","",MAX(-3,MIN(3,('3a Raw'!E367-$F3)/$F4)))</f>
        <v/>
      </c>
      <c r="G367" s="3">
        <f>IF(F367="","",(F367-AVERAGE(F6:F1198))/(STDEV(F6:F1198)+1E-12))</f>
        <v/>
      </c>
      <c r="H367" s="3">
        <f>IF('3a Raw'!F367="","",MAX(-3,MIN(3,('3a Raw'!F367-$H3)/$H4)))</f>
        <v/>
      </c>
      <c r="I367" s="3">
        <f>IF(H367="","",(H367-AVERAGE(H6:H1198))/(STDEV(H6:H1198)+1E-12))</f>
        <v/>
      </c>
      <c r="J367" s="3">
        <f>IF('3a Raw'!G367="","",MAX(-3,MIN(3,('3a Raw'!G367-$J3)/$J4)))</f>
        <v/>
      </c>
      <c r="K367" s="3">
        <f>IF(J367="","",(J367-AVERAGE(J6:J1198))/(STDEV(J6:J1198)+1E-12))</f>
        <v/>
      </c>
      <c r="L367" s="3">
        <f>IF('3a Raw'!H367="","",MAX(-3,MIN(3,('3a Raw'!H367-$L3)/$L4)))</f>
        <v/>
      </c>
      <c r="M367" s="3">
        <f>IF(L367="","",(L367-AVERAGE(L6:L1198))/(STDEV(L6:L1198)+1E-12))</f>
        <v/>
      </c>
      <c r="N367" s="3">
        <f>IF('3a Raw'!I367="","",MAX(-3,MIN(3,('3a Raw'!I367-$N3)/$N4)))</f>
        <v/>
      </c>
      <c r="O367" s="3">
        <f>IF(N367="","",(N367-AVERAGE(N6:N1198))/(STDEV(N6:N1198)+1E-12))</f>
        <v/>
      </c>
      <c r="P367" s="3">
        <f>IF('3a Raw'!J367="","",MAX(-3,MIN(3,('3a Raw'!J367-$P3)/$P4)))</f>
        <v/>
      </c>
      <c r="Q367" s="3">
        <f>IF(P367="","",(P367-AVERAGE(P6:P1198))/(STDEV(P6:P1198)+1E-12))</f>
        <v/>
      </c>
      <c r="R367" s="3">
        <f>IF('3a Raw'!K367="","",MAX(-3,MIN(3,('3a Raw'!K367-$R3)/$R4)))</f>
        <v/>
      </c>
      <c r="S367" s="3">
        <f>IF(R367="","",(R367-AVERAGE(R6:R1198))/(STDEV(R6:R1198)+1E-12))</f>
        <v/>
      </c>
      <c r="T367" s="3">
        <f>IF('3a Raw'!L367="","",MAX(-3,MIN(3,('3a Raw'!L367-$T3)/$T4)))</f>
        <v/>
      </c>
      <c r="U367" s="3">
        <f>IF(T367="","",(T367-AVERAGE(T6:T1198))/(STDEV(T6:T1198)+1E-12))</f>
        <v/>
      </c>
      <c r="X367" s="3">
        <f>IF(U367="","",U367-($V$3*G367+$W$3))</f>
        <v/>
      </c>
      <c r="Y367" s="3">
        <f>IF(X367="","",MAX(-3,MIN(3,(X367-$X3)/$X4)))</f>
        <v/>
      </c>
      <c r="Z367" s="3">
        <f>IF(Y367="","",(Y367-AVERAGE(Y6:Y1198))/(STDEV(Y6:Y1198)+1E-12))</f>
        <v/>
      </c>
    </row>
    <row r="368">
      <c r="A368" t="inlineStr">
        <is>
          <t>BBG000PWTD92</t>
        </is>
      </c>
      <c r="B368" s="3">
        <f>IF('3a Raw'!C368="","",MAX(-3,MIN(3,('3a Raw'!C368-$B3)/$B4)))</f>
        <v/>
      </c>
      <c r="C368" s="3">
        <f>IF(B368="","",(B368-AVERAGE(B6:B1198))/(STDEV(B6:B1198)+1E-12))</f>
        <v/>
      </c>
      <c r="D368" s="3">
        <f>IF('3a Raw'!D368="","",MAX(-3,MIN(3,('3a Raw'!D368-$D3)/$D4)))</f>
        <v/>
      </c>
      <c r="E368" s="3">
        <f>IF(D368="","",(D368-AVERAGE(D6:D1198))/(STDEV(D6:D1198)+1E-12))</f>
        <v/>
      </c>
      <c r="F368" s="3">
        <f>IF('3a Raw'!E368="","",MAX(-3,MIN(3,('3a Raw'!E368-$F3)/$F4)))</f>
        <v/>
      </c>
      <c r="G368" s="3">
        <f>IF(F368="","",(F368-AVERAGE(F6:F1198))/(STDEV(F6:F1198)+1E-12))</f>
        <v/>
      </c>
      <c r="H368" s="3">
        <f>IF('3a Raw'!F368="","",MAX(-3,MIN(3,('3a Raw'!F368-$H3)/$H4)))</f>
        <v/>
      </c>
      <c r="I368" s="3">
        <f>IF(H368="","",(H368-AVERAGE(H6:H1198))/(STDEV(H6:H1198)+1E-12))</f>
        <v/>
      </c>
      <c r="J368" s="3">
        <f>IF('3a Raw'!G368="","",MAX(-3,MIN(3,('3a Raw'!G368-$J3)/$J4)))</f>
        <v/>
      </c>
      <c r="K368" s="3">
        <f>IF(J368="","",(J368-AVERAGE(J6:J1198))/(STDEV(J6:J1198)+1E-12))</f>
        <v/>
      </c>
      <c r="L368" s="3">
        <f>IF('3a Raw'!H368="","",MAX(-3,MIN(3,('3a Raw'!H368-$L3)/$L4)))</f>
        <v/>
      </c>
      <c r="M368" s="3">
        <f>IF(L368="","",(L368-AVERAGE(L6:L1198))/(STDEV(L6:L1198)+1E-12))</f>
        <v/>
      </c>
      <c r="N368" s="3">
        <f>IF('3a Raw'!I368="","",MAX(-3,MIN(3,('3a Raw'!I368-$N3)/$N4)))</f>
        <v/>
      </c>
      <c r="O368" s="3">
        <f>IF(N368="","",(N368-AVERAGE(N6:N1198))/(STDEV(N6:N1198)+1E-12))</f>
        <v/>
      </c>
      <c r="P368" s="3">
        <f>IF('3a Raw'!J368="","",MAX(-3,MIN(3,('3a Raw'!J368-$P3)/$P4)))</f>
        <v/>
      </c>
      <c r="Q368" s="3">
        <f>IF(P368="","",(P368-AVERAGE(P6:P1198))/(STDEV(P6:P1198)+1E-12))</f>
        <v/>
      </c>
      <c r="R368" s="3">
        <f>IF('3a Raw'!K368="","",MAX(-3,MIN(3,('3a Raw'!K368-$R3)/$R4)))</f>
        <v/>
      </c>
      <c r="S368" s="3">
        <f>IF(R368="","",(R368-AVERAGE(R6:R1198))/(STDEV(R6:R1198)+1E-12))</f>
        <v/>
      </c>
      <c r="T368" s="3">
        <f>IF('3a Raw'!L368="","",MAX(-3,MIN(3,('3a Raw'!L368-$T3)/$T4)))</f>
        <v/>
      </c>
      <c r="U368" s="3">
        <f>IF(T368="","",(T368-AVERAGE(T6:T1198))/(STDEV(T6:T1198)+1E-12))</f>
        <v/>
      </c>
      <c r="X368" s="3">
        <f>IF(U368="","",U368-($V$3*G368+$W$3))</f>
        <v/>
      </c>
      <c r="Y368" s="3">
        <f>IF(X368="","",MAX(-3,MIN(3,(X368-$X3)/$X4)))</f>
        <v/>
      </c>
      <c r="Z368" s="3">
        <f>IF(Y368="","",(Y368-AVERAGE(Y6:Y1198))/(STDEV(Y6:Y1198)+1E-12))</f>
        <v/>
      </c>
    </row>
    <row r="369">
      <c r="A369" t="inlineStr">
        <is>
          <t>eog</t>
        </is>
      </c>
      <c r="B369" s="3">
        <f>IF('3a Raw'!C369="","",MAX(-3,MIN(3,('3a Raw'!C369-$B3)/$B4)))</f>
        <v/>
      </c>
      <c r="C369" s="3">
        <f>IF(B369="","",(B369-AVERAGE(B6:B1198))/(STDEV(B6:B1198)+1E-12))</f>
        <v/>
      </c>
      <c r="D369" s="3">
        <f>IF('3a Raw'!D369="","",MAX(-3,MIN(3,('3a Raw'!D369-$D3)/$D4)))</f>
        <v/>
      </c>
      <c r="E369" s="3">
        <f>IF(D369="","",(D369-AVERAGE(D6:D1198))/(STDEV(D6:D1198)+1E-12))</f>
        <v/>
      </c>
      <c r="F369" s="3">
        <f>IF('3a Raw'!E369="","",MAX(-3,MIN(3,('3a Raw'!E369-$F3)/$F4)))</f>
        <v/>
      </c>
      <c r="G369" s="3">
        <f>IF(F369="","",(F369-AVERAGE(F6:F1198))/(STDEV(F6:F1198)+1E-12))</f>
        <v/>
      </c>
      <c r="H369" s="3">
        <f>IF('3a Raw'!F369="","",MAX(-3,MIN(3,('3a Raw'!F369-$H3)/$H4)))</f>
        <v/>
      </c>
      <c r="I369" s="3">
        <f>IF(H369="","",(H369-AVERAGE(H6:H1198))/(STDEV(H6:H1198)+1E-12))</f>
        <v/>
      </c>
      <c r="J369" s="3">
        <f>IF('3a Raw'!G369="","",MAX(-3,MIN(3,('3a Raw'!G369-$J3)/$J4)))</f>
        <v/>
      </c>
      <c r="K369" s="3">
        <f>IF(J369="","",(J369-AVERAGE(J6:J1198))/(STDEV(J6:J1198)+1E-12))</f>
        <v/>
      </c>
      <c r="L369" s="3">
        <f>IF('3a Raw'!H369="","",MAX(-3,MIN(3,('3a Raw'!H369-$L3)/$L4)))</f>
        <v/>
      </c>
      <c r="M369" s="3">
        <f>IF(L369="","",(L369-AVERAGE(L6:L1198))/(STDEV(L6:L1198)+1E-12))</f>
        <v/>
      </c>
      <c r="N369" s="3">
        <f>IF('3a Raw'!I369="","",MAX(-3,MIN(3,('3a Raw'!I369-$N3)/$N4)))</f>
        <v/>
      </c>
      <c r="O369" s="3">
        <f>IF(N369="","",(N369-AVERAGE(N6:N1198))/(STDEV(N6:N1198)+1E-12))</f>
        <v/>
      </c>
      <c r="P369" s="3">
        <f>IF('3a Raw'!J369="","",MAX(-3,MIN(3,('3a Raw'!J369-$P3)/$P4)))</f>
        <v/>
      </c>
      <c r="Q369" s="3">
        <f>IF(P369="","",(P369-AVERAGE(P6:P1198))/(STDEV(P6:P1198)+1E-12))</f>
        <v/>
      </c>
      <c r="R369" s="3">
        <f>IF('3a Raw'!K369="","",MAX(-3,MIN(3,('3a Raw'!K369-$R3)/$R4)))</f>
        <v/>
      </c>
      <c r="S369" s="3">
        <f>IF(R369="","",(R369-AVERAGE(R6:R1198))/(STDEV(R6:R1198)+1E-12))</f>
        <v/>
      </c>
      <c r="T369" s="3">
        <f>IF('3a Raw'!L369="","",MAX(-3,MIN(3,('3a Raw'!L369-$T3)/$T4)))</f>
        <v/>
      </c>
      <c r="U369" s="3">
        <f>IF(T369="","",(T369-AVERAGE(T6:T1198))/(STDEV(T6:T1198)+1E-12))</f>
        <v/>
      </c>
      <c r="X369" s="3">
        <f>IF(U369="","",U369-($V$3*G369+$W$3))</f>
        <v/>
      </c>
      <c r="Y369" s="3">
        <f>IF(X369="","",MAX(-3,MIN(3,(X369-$X3)/$X4)))</f>
        <v/>
      </c>
      <c r="Z369" s="3">
        <f>IF(Y369="","",(Y369-AVERAGE(Y6:Y1198))/(STDEV(Y6:Y1198)+1E-12))</f>
        <v/>
      </c>
    </row>
    <row r="370">
      <c r="A370" t="inlineStr">
        <is>
          <t>BBG005CX4HK8</t>
        </is>
      </c>
      <c r="B370" s="3">
        <f>IF('3a Raw'!C370="","",MAX(-3,MIN(3,('3a Raw'!C370-$B3)/$B4)))</f>
        <v/>
      </c>
      <c r="C370" s="3">
        <f>IF(B370="","",(B370-AVERAGE(B6:B1198))/(STDEV(B6:B1198)+1E-12))</f>
        <v/>
      </c>
      <c r="D370" s="3">
        <f>IF('3a Raw'!D370="","",MAX(-3,MIN(3,('3a Raw'!D370-$D3)/$D4)))</f>
        <v/>
      </c>
      <c r="E370" s="3">
        <f>IF(D370="","",(D370-AVERAGE(D6:D1198))/(STDEV(D6:D1198)+1E-12))</f>
        <v/>
      </c>
      <c r="F370" s="3">
        <f>IF('3a Raw'!E370="","",MAX(-3,MIN(3,('3a Raw'!E370-$F3)/$F4)))</f>
        <v/>
      </c>
      <c r="G370" s="3">
        <f>IF(F370="","",(F370-AVERAGE(F6:F1198))/(STDEV(F6:F1198)+1E-12))</f>
        <v/>
      </c>
      <c r="H370" s="3">
        <f>IF('3a Raw'!F370="","",MAX(-3,MIN(3,('3a Raw'!F370-$H3)/$H4)))</f>
        <v/>
      </c>
      <c r="I370" s="3">
        <f>IF(H370="","",(H370-AVERAGE(H6:H1198))/(STDEV(H6:H1198)+1E-12))</f>
        <v/>
      </c>
      <c r="J370" s="3">
        <f>IF('3a Raw'!G370="","",MAX(-3,MIN(3,('3a Raw'!G370-$J3)/$J4)))</f>
        <v/>
      </c>
      <c r="K370" s="3">
        <f>IF(J370="","",(J370-AVERAGE(J6:J1198))/(STDEV(J6:J1198)+1E-12))</f>
        <v/>
      </c>
      <c r="L370" s="3">
        <f>IF('3a Raw'!H370="","",MAX(-3,MIN(3,('3a Raw'!H370-$L3)/$L4)))</f>
        <v/>
      </c>
      <c r="M370" s="3">
        <f>IF(L370="","",(L370-AVERAGE(L6:L1198))/(STDEV(L6:L1198)+1E-12))</f>
        <v/>
      </c>
      <c r="N370" s="3">
        <f>IF('3a Raw'!I370="","",MAX(-3,MIN(3,('3a Raw'!I370-$N3)/$N4)))</f>
        <v/>
      </c>
      <c r="O370" s="3">
        <f>IF(N370="","",(N370-AVERAGE(N6:N1198))/(STDEV(N6:N1198)+1E-12))</f>
        <v/>
      </c>
      <c r="P370" s="3">
        <f>IF('3a Raw'!J370="","",MAX(-3,MIN(3,('3a Raw'!J370-$P3)/$P4)))</f>
        <v/>
      </c>
      <c r="Q370" s="3">
        <f>IF(P370="","",(P370-AVERAGE(P6:P1198))/(STDEV(P6:P1198)+1E-12))</f>
        <v/>
      </c>
      <c r="R370" s="3">
        <f>IF('3a Raw'!K370="","",MAX(-3,MIN(3,('3a Raw'!K370-$R3)/$R4)))</f>
        <v/>
      </c>
      <c r="S370" s="3">
        <f>IF(R370="","",(R370-AVERAGE(R6:R1198))/(STDEV(R6:R1198)+1E-12))</f>
        <v/>
      </c>
      <c r="T370" s="3">
        <f>IF('3a Raw'!L370="","",MAX(-3,MIN(3,('3a Raw'!L370-$T3)/$T4)))</f>
        <v/>
      </c>
      <c r="U370" s="3">
        <f>IF(T370="","",(T370-AVERAGE(T6:T1198))/(STDEV(T6:T1198)+1E-12))</f>
        <v/>
      </c>
      <c r="X370" s="3">
        <f>IF(U370="","",U370-($V$3*G370+$W$3))</f>
        <v/>
      </c>
      <c r="Y370" s="3">
        <f>IF(X370="","",MAX(-3,MIN(3,(X370-$X3)/$X4)))</f>
        <v/>
      </c>
      <c r="Z370" s="3">
        <f>IF(Y370="","",(Y370-AVERAGE(Y6:Y1198))/(STDEV(Y6:Y1198)+1E-12))</f>
        <v/>
      </c>
    </row>
    <row r="371">
      <c r="A371" t="inlineStr">
        <is>
          <t>BBG000BRW644</t>
        </is>
      </c>
      <c r="B371" s="3">
        <f>IF('3a Raw'!C371="","",MAX(-3,MIN(3,('3a Raw'!C371-$B3)/$B4)))</f>
        <v/>
      </c>
      <c r="C371" s="3">
        <f>IF(B371="","",(B371-AVERAGE(B6:B1198))/(STDEV(B6:B1198)+1E-12))</f>
        <v/>
      </c>
      <c r="D371" s="3">
        <f>IF('3a Raw'!D371="","",MAX(-3,MIN(3,('3a Raw'!D371-$D3)/$D4)))</f>
        <v/>
      </c>
      <c r="E371" s="3">
        <f>IF(D371="","",(D371-AVERAGE(D6:D1198))/(STDEV(D6:D1198)+1E-12))</f>
        <v/>
      </c>
      <c r="F371" s="3">
        <f>IF('3a Raw'!E371="","",MAX(-3,MIN(3,('3a Raw'!E371-$F3)/$F4)))</f>
        <v/>
      </c>
      <c r="G371" s="3">
        <f>IF(F371="","",(F371-AVERAGE(F6:F1198))/(STDEV(F6:F1198)+1E-12))</f>
        <v/>
      </c>
      <c r="H371" s="3">
        <f>IF('3a Raw'!F371="","",MAX(-3,MIN(3,('3a Raw'!F371-$H3)/$H4)))</f>
        <v/>
      </c>
      <c r="I371" s="3">
        <f>IF(H371="","",(H371-AVERAGE(H6:H1198))/(STDEV(H6:H1198)+1E-12))</f>
        <v/>
      </c>
      <c r="J371" s="3">
        <f>IF('3a Raw'!G371="","",MAX(-3,MIN(3,('3a Raw'!G371-$J3)/$J4)))</f>
        <v/>
      </c>
      <c r="K371" s="3">
        <f>IF(J371="","",(J371-AVERAGE(J6:J1198))/(STDEV(J6:J1198)+1E-12))</f>
        <v/>
      </c>
      <c r="L371" s="3">
        <f>IF('3a Raw'!H371="","",MAX(-3,MIN(3,('3a Raw'!H371-$L3)/$L4)))</f>
        <v/>
      </c>
      <c r="M371" s="3">
        <f>IF(L371="","",(L371-AVERAGE(L6:L1198))/(STDEV(L6:L1198)+1E-12))</f>
        <v/>
      </c>
      <c r="N371" s="3">
        <f>IF('3a Raw'!I371="","",MAX(-3,MIN(3,('3a Raw'!I371-$N3)/$N4)))</f>
        <v/>
      </c>
      <c r="O371" s="3">
        <f>IF(N371="","",(N371-AVERAGE(N6:N1198))/(STDEV(N6:N1198)+1E-12))</f>
        <v/>
      </c>
      <c r="P371" s="3">
        <f>IF('3a Raw'!J371="","",MAX(-3,MIN(3,('3a Raw'!J371-$P3)/$P4)))</f>
        <v/>
      </c>
      <c r="Q371" s="3">
        <f>IF(P371="","",(P371-AVERAGE(P6:P1198))/(STDEV(P6:P1198)+1E-12))</f>
        <v/>
      </c>
      <c r="R371" s="3">
        <f>IF('3a Raw'!K371="","",MAX(-3,MIN(3,('3a Raw'!K371-$R3)/$R4)))</f>
        <v/>
      </c>
      <c r="S371" s="3">
        <f>IF(R371="","",(R371-AVERAGE(R6:R1198))/(STDEV(R6:R1198)+1E-12))</f>
        <v/>
      </c>
      <c r="T371" s="3">
        <f>IF('3a Raw'!L371="","",MAX(-3,MIN(3,('3a Raw'!L371-$T3)/$T4)))</f>
        <v/>
      </c>
      <c r="U371" s="3">
        <f>IF(T371="","",(T371-AVERAGE(T6:T1198))/(STDEV(T6:T1198)+1E-12))</f>
        <v/>
      </c>
      <c r="X371" s="3">
        <f>IF(U371="","",U371-($V$3*G371+$W$3))</f>
        <v/>
      </c>
      <c r="Y371" s="3">
        <f>IF(X371="","",MAX(-3,MIN(3,(X371-$X3)/$X4)))</f>
        <v/>
      </c>
      <c r="Z371" s="3">
        <f>IF(Y371="","",(Y371-AVERAGE(Y6:Y1198))/(STDEV(Y6:Y1198)+1E-12))</f>
        <v/>
      </c>
    </row>
    <row r="372">
      <c r="A372" t="inlineStr">
        <is>
          <t>BBG000BR3012</t>
        </is>
      </c>
      <c r="B372" s="3">
        <f>IF('3a Raw'!C372="","",MAX(-3,MIN(3,('3a Raw'!C372-$B3)/$B4)))</f>
        <v/>
      </c>
      <c r="C372" s="3">
        <f>IF(B372="","",(B372-AVERAGE(B6:B1198))/(STDEV(B6:B1198)+1E-12))</f>
        <v/>
      </c>
      <c r="D372" s="3">
        <f>IF('3a Raw'!D372="","",MAX(-3,MIN(3,('3a Raw'!D372-$D3)/$D4)))</f>
        <v/>
      </c>
      <c r="E372" s="3">
        <f>IF(D372="","",(D372-AVERAGE(D6:D1198))/(STDEV(D6:D1198)+1E-12))</f>
        <v/>
      </c>
      <c r="F372" s="3">
        <f>IF('3a Raw'!E372="","",MAX(-3,MIN(3,('3a Raw'!E372-$F3)/$F4)))</f>
        <v/>
      </c>
      <c r="G372" s="3">
        <f>IF(F372="","",(F372-AVERAGE(F6:F1198))/(STDEV(F6:F1198)+1E-12))</f>
        <v/>
      </c>
      <c r="H372" s="3">
        <f>IF('3a Raw'!F372="","",MAX(-3,MIN(3,('3a Raw'!F372-$H3)/$H4)))</f>
        <v/>
      </c>
      <c r="I372" s="3">
        <f>IF(H372="","",(H372-AVERAGE(H6:H1198))/(STDEV(H6:H1198)+1E-12))</f>
        <v/>
      </c>
      <c r="J372" s="3">
        <f>IF('3a Raw'!G372="","",MAX(-3,MIN(3,('3a Raw'!G372-$J3)/$J4)))</f>
        <v/>
      </c>
      <c r="K372" s="3">
        <f>IF(J372="","",(J372-AVERAGE(J6:J1198))/(STDEV(J6:J1198)+1E-12))</f>
        <v/>
      </c>
      <c r="L372" s="3">
        <f>IF('3a Raw'!H372="","",MAX(-3,MIN(3,('3a Raw'!H372-$L3)/$L4)))</f>
        <v/>
      </c>
      <c r="M372" s="3">
        <f>IF(L372="","",(L372-AVERAGE(L6:L1198))/(STDEV(L6:L1198)+1E-12))</f>
        <v/>
      </c>
      <c r="N372" s="3">
        <f>IF('3a Raw'!I372="","",MAX(-3,MIN(3,('3a Raw'!I372-$N3)/$N4)))</f>
        <v/>
      </c>
      <c r="O372" s="3">
        <f>IF(N372="","",(N372-AVERAGE(N6:N1198))/(STDEV(N6:N1198)+1E-12))</f>
        <v/>
      </c>
      <c r="P372" s="3">
        <f>IF('3a Raw'!J372="","",MAX(-3,MIN(3,('3a Raw'!J372-$P3)/$P4)))</f>
        <v/>
      </c>
      <c r="Q372" s="3">
        <f>IF(P372="","",(P372-AVERAGE(P6:P1198))/(STDEV(P6:P1198)+1E-12))</f>
        <v/>
      </c>
      <c r="R372" s="3">
        <f>IF('3a Raw'!K372="","",MAX(-3,MIN(3,('3a Raw'!K372-$R3)/$R4)))</f>
        <v/>
      </c>
      <c r="S372" s="3">
        <f>IF(R372="","",(R372-AVERAGE(R6:R1198))/(STDEV(R6:R1198)+1E-12))</f>
        <v/>
      </c>
      <c r="T372" s="3">
        <f>IF('3a Raw'!L372="","",MAX(-3,MIN(3,('3a Raw'!L372-$T3)/$T4)))</f>
        <v/>
      </c>
      <c r="U372" s="3">
        <f>IF(T372="","",(T372-AVERAGE(T6:T1198))/(STDEV(T6:T1198)+1E-12))</f>
        <v/>
      </c>
      <c r="X372" s="3">
        <f>IF(U372="","",U372-($V$3*G372+$W$3))</f>
        <v/>
      </c>
      <c r="Y372" s="3">
        <f>IF(X372="","",MAX(-3,MIN(3,(X372-$X3)/$X4)))</f>
        <v/>
      </c>
      <c r="Z372" s="3">
        <f>IF(Y372="","",(Y372-AVERAGE(Y6:Y1198))/(STDEV(Y6:Y1198)+1E-12))</f>
        <v/>
      </c>
    </row>
    <row r="373">
      <c r="A373" t="inlineStr">
        <is>
          <t>BBG00J7CBVW8</t>
        </is>
      </c>
      <c r="B373" s="3">
        <f>IF('3a Raw'!C373="","",MAX(-3,MIN(3,('3a Raw'!C373-$B3)/$B4)))</f>
        <v/>
      </c>
      <c r="C373" s="3">
        <f>IF(B373="","",(B373-AVERAGE(B6:B1198))/(STDEV(B6:B1198)+1E-12))</f>
        <v/>
      </c>
      <c r="D373" s="3">
        <f>IF('3a Raw'!D373="","",MAX(-3,MIN(3,('3a Raw'!D373-$D3)/$D4)))</f>
        <v/>
      </c>
      <c r="E373" s="3">
        <f>IF(D373="","",(D373-AVERAGE(D6:D1198))/(STDEV(D6:D1198)+1E-12))</f>
        <v/>
      </c>
      <c r="F373" s="3">
        <f>IF('3a Raw'!E373="","",MAX(-3,MIN(3,('3a Raw'!E373-$F3)/$F4)))</f>
        <v/>
      </c>
      <c r="G373" s="3">
        <f>IF(F373="","",(F373-AVERAGE(F6:F1198))/(STDEV(F6:F1198)+1E-12))</f>
        <v/>
      </c>
      <c r="H373" s="3">
        <f>IF('3a Raw'!F373="","",MAX(-3,MIN(3,('3a Raw'!F373-$H3)/$H4)))</f>
        <v/>
      </c>
      <c r="I373" s="3">
        <f>IF(H373="","",(H373-AVERAGE(H6:H1198))/(STDEV(H6:H1198)+1E-12))</f>
        <v/>
      </c>
      <c r="J373" s="3">
        <f>IF('3a Raw'!G373="","",MAX(-3,MIN(3,('3a Raw'!G373-$J3)/$J4)))</f>
        <v/>
      </c>
      <c r="K373" s="3">
        <f>IF(J373="","",(J373-AVERAGE(J6:J1198))/(STDEV(J6:J1198)+1E-12))</f>
        <v/>
      </c>
      <c r="L373" s="3">
        <f>IF('3a Raw'!H373="","",MAX(-3,MIN(3,('3a Raw'!H373-$L3)/$L4)))</f>
        <v/>
      </c>
      <c r="M373" s="3">
        <f>IF(L373="","",(L373-AVERAGE(L6:L1198))/(STDEV(L6:L1198)+1E-12))</f>
        <v/>
      </c>
      <c r="N373" s="3">
        <f>IF('3a Raw'!I373="","",MAX(-3,MIN(3,('3a Raw'!I373-$N3)/$N4)))</f>
        <v/>
      </c>
      <c r="O373" s="3">
        <f>IF(N373="","",(N373-AVERAGE(N6:N1198))/(STDEV(N6:N1198)+1E-12))</f>
        <v/>
      </c>
      <c r="P373" s="3">
        <f>IF('3a Raw'!J373="","",MAX(-3,MIN(3,('3a Raw'!J373-$P3)/$P4)))</f>
        <v/>
      </c>
      <c r="Q373" s="3">
        <f>IF(P373="","",(P373-AVERAGE(P6:P1198))/(STDEV(P6:P1198)+1E-12))</f>
        <v/>
      </c>
      <c r="R373" s="3">
        <f>IF('3a Raw'!K373="","",MAX(-3,MIN(3,('3a Raw'!K373-$R3)/$R4)))</f>
        <v/>
      </c>
      <c r="S373" s="3">
        <f>IF(R373="","",(R373-AVERAGE(R6:R1198))/(STDEV(R6:R1198)+1E-12))</f>
        <v/>
      </c>
      <c r="T373" s="3">
        <f>IF('3a Raw'!L373="","",MAX(-3,MIN(3,('3a Raw'!L373-$T3)/$T4)))</f>
        <v/>
      </c>
      <c r="U373" s="3">
        <f>IF(T373="","",(T373-AVERAGE(T6:T1198))/(STDEV(T6:T1198)+1E-12))</f>
        <v/>
      </c>
      <c r="X373" s="3">
        <f>IF(U373="","",U373-($V$3*G373+$W$3))</f>
        <v/>
      </c>
      <c r="Y373" s="3">
        <f>IF(X373="","",MAX(-3,MIN(3,(X373-$X3)/$X4)))</f>
        <v/>
      </c>
      <c r="Z373" s="3">
        <f>IF(Y373="","",(Y373-AVERAGE(Y6:Y1198))/(STDEV(Y6:Y1198)+1E-12))</f>
        <v/>
      </c>
    </row>
    <row r="374">
      <c r="A374" t="inlineStr">
        <is>
          <t>BBG000MBDGM6</t>
        </is>
      </c>
      <c r="B374" s="3">
        <f>IF('3a Raw'!C374="","",MAX(-3,MIN(3,('3a Raw'!C374-$B3)/$B4)))</f>
        <v/>
      </c>
      <c r="C374" s="3">
        <f>IF(B374="","",(B374-AVERAGE(B6:B1198))/(STDEV(B6:B1198)+1E-12))</f>
        <v/>
      </c>
      <c r="D374" s="3">
        <f>IF('3a Raw'!D374="","",MAX(-3,MIN(3,('3a Raw'!D374-$D3)/$D4)))</f>
        <v/>
      </c>
      <c r="E374" s="3">
        <f>IF(D374="","",(D374-AVERAGE(D6:D1198))/(STDEV(D6:D1198)+1E-12))</f>
        <v/>
      </c>
      <c r="F374" s="3">
        <f>IF('3a Raw'!E374="","",MAX(-3,MIN(3,('3a Raw'!E374-$F3)/$F4)))</f>
        <v/>
      </c>
      <c r="G374" s="3">
        <f>IF(F374="","",(F374-AVERAGE(F6:F1198))/(STDEV(F6:F1198)+1E-12))</f>
        <v/>
      </c>
      <c r="H374" s="3">
        <f>IF('3a Raw'!F374="","",MAX(-3,MIN(3,('3a Raw'!F374-$H3)/$H4)))</f>
        <v/>
      </c>
      <c r="I374" s="3">
        <f>IF(H374="","",(H374-AVERAGE(H6:H1198))/(STDEV(H6:H1198)+1E-12))</f>
        <v/>
      </c>
      <c r="J374" s="3">
        <f>IF('3a Raw'!G374="","",MAX(-3,MIN(3,('3a Raw'!G374-$J3)/$J4)))</f>
        <v/>
      </c>
      <c r="K374" s="3">
        <f>IF(J374="","",(J374-AVERAGE(J6:J1198))/(STDEV(J6:J1198)+1E-12))</f>
        <v/>
      </c>
      <c r="L374" s="3">
        <f>IF('3a Raw'!H374="","",MAX(-3,MIN(3,('3a Raw'!H374-$L3)/$L4)))</f>
        <v/>
      </c>
      <c r="M374" s="3">
        <f>IF(L374="","",(L374-AVERAGE(L6:L1198))/(STDEV(L6:L1198)+1E-12))</f>
        <v/>
      </c>
      <c r="N374" s="3">
        <f>IF('3a Raw'!I374="","",MAX(-3,MIN(3,('3a Raw'!I374-$N3)/$N4)))</f>
        <v/>
      </c>
      <c r="O374" s="3">
        <f>IF(N374="","",(N374-AVERAGE(N6:N1198))/(STDEV(N6:N1198)+1E-12))</f>
        <v/>
      </c>
      <c r="P374" s="3">
        <f>IF('3a Raw'!J374="","",MAX(-3,MIN(3,('3a Raw'!J374-$P3)/$P4)))</f>
        <v/>
      </c>
      <c r="Q374" s="3">
        <f>IF(P374="","",(P374-AVERAGE(P6:P1198))/(STDEV(P6:P1198)+1E-12))</f>
        <v/>
      </c>
      <c r="R374" s="3">
        <f>IF('3a Raw'!K374="","",MAX(-3,MIN(3,('3a Raw'!K374-$R3)/$R4)))</f>
        <v/>
      </c>
      <c r="S374" s="3">
        <f>IF(R374="","",(R374-AVERAGE(R6:R1198))/(STDEV(R6:R1198)+1E-12))</f>
        <v/>
      </c>
      <c r="T374" s="3">
        <f>IF('3a Raw'!L374="","",MAX(-3,MIN(3,('3a Raw'!L374-$T3)/$T4)))</f>
        <v/>
      </c>
      <c r="U374" s="3">
        <f>IF(T374="","",(T374-AVERAGE(T6:T1198))/(STDEV(T6:T1198)+1E-12))</f>
        <v/>
      </c>
      <c r="X374" s="3">
        <f>IF(U374="","",U374-($V$3*G374+$W$3))</f>
        <v/>
      </c>
      <c r="Y374" s="3">
        <f>IF(X374="","",MAX(-3,MIN(3,(X374-$X3)/$X4)))</f>
        <v/>
      </c>
      <c r="Z374" s="3">
        <f>IF(Y374="","",(Y374-AVERAGE(Y6:Y1198))/(STDEV(Y6:Y1198)+1E-12))</f>
        <v/>
      </c>
    </row>
    <row r="375">
      <c r="A375" t="inlineStr">
        <is>
          <t>BBG000NT0ZZ4</t>
        </is>
      </c>
      <c r="B375" s="3">
        <f>IF('3a Raw'!C375="","",MAX(-3,MIN(3,('3a Raw'!C375-$B3)/$B4)))</f>
        <v/>
      </c>
      <c r="C375" s="3">
        <f>IF(B375="","",(B375-AVERAGE(B6:B1198))/(STDEV(B6:B1198)+1E-12))</f>
        <v/>
      </c>
      <c r="D375" s="3">
        <f>IF('3a Raw'!D375="","",MAX(-3,MIN(3,('3a Raw'!D375-$D3)/$D4)))</f>
        <v/>
      </c>
      <c r="E375" s="3">
        <f>IF(D375="","",(D375-AVERAGE(D6:D1198))/(STDEV(D6:D1198)+1E-12))</f>
        <v/>
      </c>
      <c r="F375" s="3">
        <f>IF('3a Raw'!E375="","",MAX(-3,MIN(3,('3a Raw'!E375-$F3)/$F4)))</f>
        <v/>
      </c>
      <c r="G375" s="3">
        <f>IF(F375="","",(F375-AVERAGE(F6:F1198))/(STDEV(F6:F1198)+1E-12))</f>
        <v/>
      </c>
      <c r="H375" s="3">
        <f>IF('3a Raw'!F375="","",MAX(-3,MIN(3,('3a Raw'!F375-$H3)/$H4)))</f>
        <v/>
      </c>
      <c r="I375" s="3">
        <f>IF(H375="","",(H375-AVERAGE(H6:H1198))/(STDEV(H6:H1198)+1E-12))</f>
        <v/>
      </c>
      <c r="J375" s="3">
        <f>IF('3a Raw'!G375="","",MAX(-3,MIN(3,('3a Raw'!G375-$J3)/$J4)))</f>
        <v/>
      </c>
      <c r="K375" s="3">
        <f>IF(J375="","",(J375-AVERAGE(J6:J1198))/(STDEV(J6:J1198)+1E-12))</f>
        <v/>
      </c>
      <c r="L375" s="3">
        <f>IF('3a Raw'!H375="","",MAX(-3,MIN(3,('3a Raw'!H375-$L3)/$L4)))</f>
        <v/>
      </c>
      <c r="M375" s="3">
        <f>IF(L375="","",(L375-AVERAGE(L6:L1198))/(STDEV(L6:L1198)+1E-12))</f>
        <v/>
      </c>
      <c r="N375" s="3">
        <f>IF('3a Raw'!I375="","",MAX(-3,MIN(3,('3a Raw'!I375-$N3)/$N4)))</f>
        <v/>
      </c>
      <c r="O375" s="3">
        <f>IF(N375="","",(N375-AVERAGE(N6:N1198))/(STDEV(N6:N1198)+1E-12))</f>
        <v/>
      </c>
      <c r="P375" s="3">
        <f>IF('3a Raw'!J375="","",MAX(-3,MIN(3,('3a Raw'!J375-$P3)/$P4)))</f>
        <v/>
      </c>
      <c r="Q375" s="3">
        <f>IF(P375="","",(P375-AVERAGE(P6:P1198))/(STDEV(P6:P1198)+1E-12))</f>
        <v/>
      </c>
      <c r="R375" s="3">
        <f>IF('3a Raw'!K375="","",MAX(-3,MIN(3,('3a Raw'!K375-$R3)/$R4)))</f>
        <v/>
      </c>
      <c r="S375" s="3">
        <f>IF(R375="","",(R375-AVERAGE(R6:R1198))/(STDEV(R6:R1198)+1E-12))</f>
        <v/>
      </c>
      <c r="T375" s="3">
        <f>IF('3a Raw'!L375="","",MAX(-3,MIN(3,('3a Raw'!L375-$T3)/$T4)))</f>
        <v/>
      </c>
      <c r="U375" s="3">
        <f>IF(T375="","",(T375-AVERAGE(T6:T1198))/(STDEV(T6:T1198)+1E-12))</f>
        <v/>
      </c>
      <c r="X375" s="3">
        <f>IF(U375="","",U375-($V$3*G375+$W$3))</f>
        <v/>
      </c>
      <c r="Y375" s="3">
        <f>IF(X375="","",MAX(-3,MIN(3,(X375-$X3)/$X4)))</f>
        <v/>
      </c>
      <c r="Z375" s="3">
        <f>IF(Y375="","",(Y375-AVERAGE(Y6:Y1198))/(STDEV(Y6:Y1198)+1E-12))</f>
        <v/>
      </c>
    </row>
    <row r="376">
      <c r="A376" t="inlineStr">
        <is>
          <t>BBG00CZT1CC0</t>
        </is>
      </c>
      <c r="B376" s="3">
        <f>IF('3a Raw'!C376="","",MAX(-3,MIN(3,('3a Raw'!C376-$B3)/$B4)))</f>
        <v/>
      </c>
      <c r="C376" s="3">
        <f>IF(B376="","",(B376-AVERAGE(B6:B1198))/(STDEV(B6:B1198)+1E-12))</f>
        <v/>
      </c>
      <c r="D376" s="3">
        <f>IF('3a Raw'!D376="","",MAX(-3,MIN(3,('3a Raw'!D376-$D3)/$D4)))</f>
        <v/>
      </c>
      <c r="E376" s="3">
        <f>IF(D376="","",(D376-AVERAGE(D6:D1198))/(STDEV(D6:D1198)+1E-12))</f>
        <v/>
      </c>
      <c r="F376" s="3">
        <f>IF('3a Raw'!E376="","",MAX(-3,MIN(3,('3a Raw'!E376-$F3)/$F4)))</f>
        <v/>
      </c>
      <c r="G376" s="3">
        <f>IF(F376="","",(F376-AVERAGE(F6:F1198))/(STDEV(F6:F1198)+1E-12))</f>
        <v/>
      </c>
      <c r="H376" s="3">
        <f>IF('3a Raw'!F376="","",MAX(-3,MIN(3,('3a Raw'!F376-$H3)/$H4)))</f>
        <v/>
      </c>
      <c r="I376" s="3">
        <f>IF(H376="","",(H376-AVERAGE(H6:H1198))/(STDEV(H6:H1198)+1E-12))</f>
        <v/>
      </c>
      <c r="J376" s="3">
        <f>IF('3a Raw'!G376="","",MAX(-3,MIN(3,('3a Raw'!G376-$J3)/$J4)))</f>
        <v/>
      </c>
      <c r="K376" s="3">
        <f>IF(J376="","",(J376-AVERAGE(J6:J1198))/(STDEV(J6:J1198)+1E-12))</f>
        <v/>
      </c>
      <c r="L376" s="3">
        <f>IF('3a Raw'!H376="","",MAX(-3,MIN(3,('3a Raw'!H376-$L3)/$L4)))</f>
        <v/>
      </c>
      <c r="M376" s="3">
        <f>IF(L376="","",(L376-AVERAGE(L6:L1198))/(STDEV(L6:L1198)+1E-12))</f>
        <v/>
      </c>
      <c r="N376" s="3">
        <f>IF('3a Raw'!I376="","",MAX(-3,MIN(3,('3a Raw'!I376-$N3)/$N4)))</f>
        <v/>
      </c>
      <c r="O376" s="3">
        <f>IF(N376="","",(N376-AVERAGE(N6:N1198))/(STDEV(N6:N1198)+1E-12))</f>
        <v/>
      </c>
      <c r="P376" s="3">
        <f>IF('3a Raw'!J376="","",MAX(-3,MIN(3,('3a Raw'!J376-$P3)/$P4)))</f>
        <v/>
      </c>
      <c r="Q376" s="3">
        <f>IF(P376="","",(P376-AVERAGE(P6:P1198))/(STDEV(P6:P1198)+1E-12))</f>
        <v/>
      </c>
      <c r="R376" s="3">
        <f>IF('3a Raw'!K376="","",MAX(-3,MIN(3,('3a Raw'!K376-$R3)/$R4)))</f>
        <v/>
      </c>
      <c r="S376" s="3">
        <f>IF(R376="","",(R376-AVERAGE(R6:R1198))/(STDEV(R6:R1198)+1E-12))</f>
        <v/>
      </c>
      <c r="T376" s="3">
        <f>IF('3a Raw'!L376="","",MAX(-3,MIN(3,('3a Raw'!L376-$T3)/$T4)))</f>
        <v/>
      </c>
      <c r="U376" s="3">
        <f>IF(T376="","",(T376-AVERAGE(T6:T1198))/(STDEV(T6:T1198)+1E-12))</f>
        <v/>
      </c>
      <c r="X376" s="3">
        <f>IF(U376="","",U376-($V$3*G376+$W$3))</f>
        <v/>
      </c>
      <c r="Y376" s="3">
        <f>IF(X376="","",MAX(-3,MIN(3,(X376-$X3)/$X4)))</f>
        <v/>
      </c>
      <c r="Z376" s="3">
        <f>IF(Y376="","",(Y376-AVERAGE(Y6:Y1198))/(STDEV(Y6:Y1198)+1E-12))</f>
        <v/>
      </c>
    </row>
    <row r="377">
      <c r="A377" t="inlineStr">
        <is>
          <t>BBG000BG8M31</t>
        </is>
      </c>
      <c r="B377" s="3">
        <f>IF('3a Raw'!C377="","",MAX(-3,MIN(3,('3a Raw'!C377-$B3)/$B4)))</f>
        <v/>
      </c>
      <c r="C377" s="3">
        <f>IF(B377="","",(B377-AVERAGE(B6:B1198))/(STDEV(B6:B1198)+1E-12))</f>
        <v/>
      </c>
      <c r="D377" s="3">
        <f>IF('3a Raw'!D377="","",MAX(-3,MIN(3,('3a Raw'!D377-$D3)/$D4)))</f>
        <v/>
      </c>
      <c r="E377" s="3">
        <f>IF(D377="","",(D377-AVERAGE(D6:D1198))/(STDEV(D6:D1198)+1E-12))</f>
        <v/>
      </c>
      <c r="F377" s="3">
        <f>IF('3a Raw'!E377="","",MAX(-3,MIN(3,('3a Raw'!E377-$F3)/$F4)))</f>
        <v/>
      </c>
      <c r="G377" s="3">
        <f>IF(F377="","",(F377-AVERAGE(F6:F1198))/(STDEV(F6:F1198)+1E-12))</f>
        <v/>
      </c>
      <c r="H377" s="3">
        <f>IF('3a Raw'!F377="","",MAX(-3,MIN(3,('3a Raw'!F377-$H3)/$H4)))</f>
        <v/>
      </c>
      <c r="I377" s="3">
        <f>IF(H377="","",(H377-AVERAGE(H6:H1198))/(STDEV(H6:H1198)+1E-12))</f>
        <v/>
      </c>
      <c r="J377" s="3">
        <f>IF('3a Raw'!G377="","",MAX(-3,MIN(3,('3a Raw'!G377-$J3)/$J4)))</f>
        <v/>
      </c>
      <c r="K377" s="3">
        <f>IF(J377="","",(J377-AVERAGE(J6:J1198))/(STDEV(J6:J1198)+1E-12))</f>
        <v/>
      </c>
      <c r="L377" s="3">
        <f>IF('3a Raw'!H377="","",MAX(-3,MIN(3,('3a Raw'!H377-$L3)/$L4)))</f>
        <v/>
      </c>
      <c r="M377" s="3">
        <f>IF(L377="","",(L377-AVERAGE(L6:L1198))/(STDEV(L6:L1198)+1E-12))</f>
        <v/>
      </c>
      <c r="N377" s="3">
        <f>IF('3a Raw'!I377="","",MAX(-3,MIN(3,('3a Raw'!I377-$N3)/$N4)))</f>
        <v/>
      </c>
      <c r="O377" s="3">
        <f>IF(N377="","",(N377-AVERAGE(N6:N1198))/(STDEV(N6:N1198)+1E-12))</f>
        <v/>
      </c>
      <c r="P377" s="3">
        <f>IF('3a Raw'!J377="","",MAX(-3,MIN(3,('3a Raw'!J377-$P3)/$P4)))</f>
        <v/>
      </c>
      <c r="Q377" s="3">
        <f>IF(P377="","",(P377-AVERAGE(P6:P1198))/(STDEV(P6:P1198)+1E-12))</f>
        <v/>
      </c>
      <c r="R377" s="3">
        <f>IF('3a Raw'!K377="","",MAX(-3,MIN(3,('3a Raw'!K377-$R3)/$R4)))</f>
        <v/>
      </c>
      <c r="S377" s="3">
        <f>IF(R377="","",(R377-AVERAGE(R6:R1198))/(STDEV(R6:R1198)+1E-12))</f>
        <v/>
      </c>
      <c r="T377" s="3">
        <f>IF('3a Raw'!L377="","",MAX(-3,MIN(3,('3a Raw'!L377-$T3)/$T4)))</f>
        <v/>
      </c>
      <c r="U377" s="3">
        <f>IF(T377="","",(T377-AVERAGE(T6:T1198))/(STDEV(T6:T1198)+1E-12))</f>
        <v/>
      </c>
      <c r="X377" s="3">
        <f>IF(U377="","",U377-($V$3*G377+$W$3))</f>
        <v/>
      </c>
      <c r="Y377" s="3">
        <f>IF(X377="","",MAX(-3,MIN(3,(X377-$X3)/$X4)))</f>
        <v/>
      </c>
      <c r="Z377" s="3">
        <f>IF(Y377="","",(Y377-AVERAGE(Y6:Y1198))/(STDEV(Y6:Y1198)+1E-12))</f>
        <v/>
      </c>
    </row>
    <row r="378">
      <c r="A378" t="inlineStr">
        <is>
          <t>BBG000BHZ5J9</t>
        </is>
      </c>
      <c r="B378" s="3">
        <f>IF('3a Raw'!C378="","",MAX(-3,MIN(3,('3a Raw'!C378-$B3)/$B4)))</f>
        <v/>
      </c>
      <c r="C378" s="3">
        <f>IF(B378="","",(B378-AVERAGE(B6:B1198))/(STDEV(B6:B1198)+1E-12))</f>
        <v/>
      </c>
      <c r="D378" s="3">
        <f>IF('3a Raw'!D378="","",MAX(-3,MIN(3,('3a Raw'!D378-$D3)/$D4)))</f>
        <v/>
      </c>
      <c r="E378" s="3">
        <f>IF(D378="","",(D378-AVERAGE(D6:D1198))/(STDEV(D6:D1198)+1E-12))</f>
        <v/>
      </c>
      <c r="F378" s="3">
        <f>IF('3a Raw'!E378="","",MAX(-3,MIN(3,('3a Raw'!E378-$F3)/$F4)))</f>
        <v/>
      </c>
      <c r="G378" s="3">
        <f>IF(F378="","",(F378-AVERAGE(F6:F1198))/(STDEV(F6:F1198)+1E-12))</f>
        <v/>
      </c>
      <c r="H378" s="3">
        <f>IF('3a Raw'!F378="","",MAX(-3,MIN(3,('3a Raw'!F378-$H3)/$H4)))</f>
        <v/>
      </c>
      <c r="I378" s="3">
        <f>IF(H378="","",(H378-AVERAGE(H6:H1198))/(STDEV(H6:H1198)+1E-12))</f>
        <v/>
      </c>
      <c r="J378" s="3">
        <f>IF('3a Raw'!G378="","",MAX(-3,MIN(3,('3a Raw'!G378-$J3)/$J4)))</f>
        <v/>
      </c>
      <c r="K378" s="3">
        <f>IF(J378="","",(J378-AVERAGE(J6:J1198))/(STDEV(J6:J1198)+1E-12))</f>
        <v/>
      </c>
      <c r="L378" s="3">
        <f>IF('3a Raw'!H378="","",MAX(-3,MIN(3,('3a Raw'!H378-$L3)/$L4)))</f>
        <v/>
      </c>
      <c r="M378" s="3">
        <f>IF(L378="","",(L378-AVERAGE(L6:L1198))/(STDEV(L6:L1198)+1E-12))</f>
        <v/>
      </c>
      <c r="N378" s="3">
        <f>IF('3a Raw'!I378="","",MAX(-3,MIN(3,('3a Raw'!I378-$N3)/$N4)))</f>
        <v/>
      </c>
      <c r="O378" s="3">
        <f>IF(N378="","",(N378-AVERAGE(N6:N1198))/(STDEV(N6:N1198)+1E-12))</f>
        <v/>
      </c>
      <c r="P378" s="3">
        <f>IF('3a Raw'!J378="","",MAX(-3,MIN(3,('3a Raw'!J378-$P3)/$P4)))</f>
        <v/>
      </c>
      <c r="Q378" s="3">
        <f>IF(P378="","",(P378-AVERAGE(P6:P1198))/(STDEV(P6:P1198)+1E-12))</f>
        <v/>
      </c>
      <c r="R378" s="3">
        <f>IF('3a Raw'!K378="","",MAX(-3,MIN(3,('3a Raw'!K378-$R3)/$R4)))</f>
        <v/>
      </c>
      <c r="S378" s="3">
        <f>IF(R378="","",(R378-AVERAGE(R6:R1198))/(STDEV(R6:R1198)+1E-12))</f>
        <v/>
      </c>
      <c r="T378" s="3">
        <f>IF('3a Raw'!L378="","",MAX(-3,MIN(3,('3a Raw'!L378-$T3)/$T4)))</f>
        <v/>
      </c>
      <c r="U378" s="3">
        <f>IF(T378="","",(T378-AVERAGE(T6:T1198))/(STDEV(T6:T1198)+1E-12))</f>
        <v/>
      </c>
      <c r="X378" s="3">
        <f>IF(U378="","",U378-($V$3*G378+$W$3))</f>
        <v/>
      </c>
      <c r="Y378" s="3">
        <f>IF(X378="","",MAX(-3,MIN(3,(X378-$X3)/$X4)))</f>
        <v/>
      </c>
      <c r="Z378" s="3">
        <f>IF(Y378="","",(Y378-AVERAGE(Y6:Y1198))/(STDEV(Y6:Y1198)+1E-12))</f>
        <v/>
      </c>
    </row>
    <row r="379">
      <c r="A379" t="inlineStr">
        <is>
          <t>BBG000BB0QF8</t>
        </is>
      </c>
      <c r="B379" s="3">
        <f>IF('3a Raw'!C379="","",MAX(-3,MIN(3,('3a Raw'!C379-$B3)/$B4)))</f>
        <v/>
      </c>
      <c r="C379" s="3">
        <f>IF(B379="","",(B379-AVERAGE(B6:B1198))/(STDEV(B6:B1198)+1E-12))</f>
        <v/>
      </c>
      <c r="D379" s="3">
        <f>IF('3a Raw'!D379="","",MAX(-3,MIN(3,('3a Raw'!D379-$D3)/$D4)))</f>
        <v/>
      </c>
      <c r="E379" s="3">
        <f>IF(D379="","",(D379-AVERAGE(D6:D1198))/(STDEV(D6:D1198)+1E-12))</f>
        <v/>
      </c>
      <c r="F379" s="3">
        <f>IF('3a Raw'!E379="","",MAX(-3,MIN(3,('3a Raw'!E379-$F3)/$F4)))</f>
        <v/>
      </c>
      <c r="G379" s="3">
        <f>IF(F379="","",(F379-AVERAGE(F6:F1198))/(STDEV(F6:F1198)+1E-12))</f>
        <v/>
      </c>
      <c r="H379" s="3">
        <f>IF('3a Raw'!F379="","",MAX(-3,MIN(3,('3a Raw'!F379-$H3)/$H4)))</f>
        <v/>
      </c>
      <c r="I379" s="3">
        <f>IF(H379="","",(H379-AVERAGE(H6:H1198))/(STDEV(H6:H1198)+1E-12))</f>
        <v/>
      </c>
      <c r="J379" s="3">
        <f>IF('3a Raw'!G379="","",MAX(-3,MIN(3,('3a Raw'!G379-$J3)/$J4)))</f>
        <v/>
      </c>
      <c r="K379" s="3">
        <f>IF(J379="","",(J379-AVERAGE(J6:J1198))/(STDEV(J6:J1198)+1E-12))</f>
        <v/>
      </c>
      <c r="L379" s="3">
        <f>IF('3a Raw'!H379="","",MAX(-3,MIN(3,('3a Raw'!H379-$L3)/$L4)))</f>
        <v/>
      </c>
      <c r="M379" s="3">
        <f>IF(L379="","",(L379-AVERAGE(L6:L1198))/(STDEV(L6:L1198)+1E-12))</f>
        <v/>
      </c>
      <c r="N379" s="3">
        <f>IF('3a Raw'!I379="","",MAX(-3,MIN(3,('3a Raw'!I379-$N3)/$N4)))</f>
        <v/>
      </c>
      <c r="O379" s="3">
        <f>IF(N379="","",(N379-AVERAGE(N6:N1198))/(STDEV(N6:N1198)+1E-12))</f>
        <v/>
      </c>
      <c r="P379" s="3">
        <f>IF('3a Raw'!J379="","",MAX(-3,MIN(3,('3a Raw'!J379-$P3)/$P4)))</f>
        <v/>
      </c>
      <c r="Q379" s="3">
        <f>IF(P379="","",(P379-AVERAGE(P6:P1198))/(STDEV(P6:P1198)+1E-12))</f>
        <v/>
      </c>
      <c r="R379" s="3">
        <f>IF('3a Raw'!K379="","",MAX(-3,MIN(3,('3a Raw'!K379-$R3)/$R4)))</f>
        <v/>
      </c>
      <c r="S379" s="3">
        <f>IF(R379="","",(R379-AVERAGE(R6:R1198))/(STDEV(R6:R1198)+1E-12))</f>
        <v/>
      </c>
      <c r="T379" s="3">
        <f>IF('3a Raw'!L379="","",MAX(-3,MIN(3,('3a Raw'!L379-$T3)/$T4)))</f>
        <v/>
      </c>
      <c r="U379" s="3">
        <f>IF(T379="","",(T379-AVERAGE(T6:T1198))/(STDEV(T6:T1198)+1E-12))</f>
        <v/>
      </c>
      <c r="X379" s="3">
        <f>IF(U379="","",U379-($V$3*G379+$W$3))</f>
        <v/>
      </c>
      <c r="Y379" s="3">
        <f>IF(X379="","",MAX(-3,MIN(3,(X379-$X3)/$X4)))</f>
        <v/>
      </c>
      <c r="Z379" s="3">
        <f>IF(Y379="","",(Y379-AVERAGE(Y6:Y1198))/(STDEV(Y6:Y1198)+1E-12))</f>
        <v/>
      </c>
    </row>
    <row r="380">
      <c r="A380" t="inlineStr">
        <is>
          <t>erie</t>
        </is>
      </c>
      <c r="B380" s="3">
        <f>IF('3a Raw'!C380="","",MAX(-3,MIN(3,('3a Raw'!C380-$B3)/$B4)))</f>
        <v/>
      </c>
      <c r="C380" s="3">
        <f>IF(B380="","",(B380-AVERAGE(B6:B1198))/(STDEV(B6:B1198)+1E-12))</f>
        <v/>
      </c>
      <c r="D380" s="3">
        <f>IF('3a Raw'!D380="","",MAX(-3,MIN(3,('3a Raw'!D380-$D3)/$D4)))</f>
        <v/>
      </c>
      <c r="E380" s="3">
        <f>IF(D380="","",(D380-AVERAGE(D6:D1198))/(STDEV(D6:D1198)+1E-12))</f>
        <v/>
      </c>
      <c r="F380" s="3">
        <f>IF('3a Raw'!E380="","",MAX(-3,MIN(3,('3a Raw'!E380-$F3)/$F4)))</f>
        <v/>
      </c>
      <c r="G380" s="3">
        <f>IF(F380="","",(F380-AVERAGE(F6:F1198))/(STDEV(F6:F1198)+1E-12))</f>
        <v/>
      </c>
      <c r="H380" s="3">
        <f>IF('3a Raw'!F380="","",MAX(-3,MIN(3,('3a Raw'!F380-$H3)/$H4)))</f>
        <v/>
      </c>
      <c r="I380" s="3">
        <f>IF(H380="","",(H380-AVERAGE(H6:H1198))/(STDEV(H6:H1198)+1E-12))</f>
        <v/>
      </c>
      <c r="J380" s="3">
        <f>IF('3a Raw'!G380="","",MAX(-3,MIN(3,('3a Raw'!G380-$J3)/$J4)))</f>
        <v/>
      </c>
      <c r="K380" s="3">
        <f>IF(J380="","",(J380-AVERAGE(J6:J1198))/(STDEV(J6:J1198)+1E-12))</f>
        <v/>
      </c>
      <c r="L380" s="3">
        <f>IF('3a Raw'!H380="","",MAX(-3,MIN(3,('3a Raw'!H380-$L3)/$L4)))</f>
        <v/>
      </c>
      <c r="M380" s="3">
        <f>IF(L380="","",(L380-AVERAGE(L6:L1198))/(STDEV(L6:L1198)+1E-12))</f>
        <v/>
      </c>
      <c r="N380" s="3">
        <f>IF('3a Raw'!I380="","",MAX(-3,MIN(3,('3a Raw'!I380-$N3)/$N4)))</f>
        <v/>
      </c>
      <c r="O380" s="3">
        <f>IF(N380="","",(N380-AVERAGE(N6:N1198))/(STDEV(N6:N1198)+1E-12))</f>
        <v/>
      </c>
      <c r="P380" s="3">
        <f>IF('3a Raw'!J380="","",MAX(-3,MIN(3,('3a Raw'!J380-$P3)/$P4)))</f>
        <v/>
      </c>
      <c r="Q380" s="3">
        <f>IF(P380="","",(P380-AVERAGE(P6:P1198))/(STDEV(P6:P1198)+1E-12))</f>
        <v/>
      </c>
      <c r="R380" s="3">
        <f>IF('3a Raw'!K380="","",MAX(-3,MIN(3,('3a Raw'!K380-$R3)/$R4)))</f>
        <v/>
      </c>
      <c r="S380" s="3">
        <f>IF(R380="","",(R380-AVERAGE(R6:R1198))/(STDEV(R6:R1198)+1E-12))</f>
        <v/>
      </c>
      <c r="T380" s="3">
        <f>IF('3a Raw'!L380="","",MAX(-3,MIN(3,('3a Raw'!L380-$T3)/$T4)))</f>
        <v/>
      </c>
      <c r="U380" s="3">
        <f>IF(T380="","",(T380-AVERAGE(T6:T1198))/(STDEV(T6:T1198)+1E-12))</f>
        <v/>
      </c>
      <c r="X380" s="3">
        <f>IF(U380="","",U380-($V$3*G380+$W$3))</f>
        <v/>
      </c>
      <c r="Y380" s="3">
        <f>IF(X380="","",MAX(-3,MIN(3,(X380-$X3)/$X4)))</f>
        <v/>
      </c>
      <c r="Z380" s="3">
        <f>IF(Y380="","",(Y380-AVERAGE(Y6:Y1198))/(STDEV(Y6:Y1198)+1E-12))</f>
        <v/>
      </c>
    </row>
    <row r="381">
      <c r="A381" t="inlineStr">
        <is>
          <t>BBG000BQ87N0</t>
        </is>
      </c>
      <c r="B381" s="3">
        <f>IF('3a Raw'!C381="","",MAX(-3,MIN(3,('3a Raw'!C381-$B3)/$B4)))</f>
        <v/>
      </c>
      <c r="C381" s="3">
        <f>IF(B381="","",(B381-AVERAGE(B6:B1198))/(STDEV(B6:B1198)+1E-12))</f>
        <v/>
      </c>
      <c r="D381" s="3">
        <f>IF('3a Raw'!D381="","",MAX(-3,MIN(3,('3a Raw'!D381-$D3)/$D4)))</f>
        <v/>
      </c>
      <c r="E381" s="3">
        <f>IF(D381="","",(D381-AVERAGE(D6:D1198))/(STDEV(D6:D1198)+1E-12))</f>
        <v/>
      </c>
      <c r="F381" s="3">
        <f>IF('3a Raw'!E381="","",MAX(-3,MIN(3,('3a Raw'!E381-$F3)/$F4)))</f>
        <v/>
      </c>
      <c r="G381" s="3">
        <f>IF(F381="","",(F381-AVERAGE(F6:F1198))/(STDEV(F6:F1198)+1E-12))</f>
        <v/>
      </c>
      <c r="H381" s="3">
        <f>IF('3a Raw'!F381="","",MAX(-3,MIN(3,('3a Raw'!F381-$H3)/$H4)))</f>
        <v/>
      </c>
      <c r="I381" s="3">
        <f>IF(H381="","",(H381-AVERAGE(H6:H1198))/(STDEV(H6:H1198)+1E-12))</f>
        <v/>
      </c>
      <c r="J381" s="3">
        <f>IF('3a Raw'!G381="","",MAX(-3,MIN(3,('3a Raw'!G381-$J3)/$J4)))</f>
        <v/>
      </c>
      <c r="K381" s="3">
        <f>IF(J381="","",(J381-AVERAGE(J6:J1198))/(STDEV(J6:J1198)+1E-12))</f>
        <v/>
      </c>
      <c r="L381" s="3">
        <f>IF('3a Raw'!H381="","",MAX(-3,MIN(3,('3a Raw'!H381-$L3)/$L4)))</f>
        <v/>
      </c>
      <c r="M381" s="3">
        <f>IF(L381="","",(L381-AVERAGE(L6:L1198))/(STDEV(L6:L1198)+1E-12))</f>
        <v/>
      </c>
      <c r="N381" s="3">
        <f>IF('3a Raw'!I381="","",MAX(-3,MIN(3,('3a Raw'!I381-$N3)/$N4)))</f>
        <v/>
      </c>
      <c r="O381" s="3">
        <f>IF(N381="","",(N381-AVERAGE(N6:N1198))/(STDEV(N6:N1198)+1E-12))</f>
        <v/>
      </c>
      <c r="P381" s="3">
        <f>IF('3a Raw'!J381="","",MAX(-3,MIN(3,('3a Raw'!J381-$P3)/$P4)))</f>
        <v/>
      </c>
      <c r="Q381" s="3">
        <f>IF(P381="","",(P381-AVERAGE(P6:P1198))/(STDEV(P6:P1198)+1E-12))</f>
        <v/>
      </c>
      <c r="R381" s="3">
        <f>IF('3a Raw'!K381="","",MAX(-3,MIN(3,('3a Raw'!K381-$R3)/$R4)))</f>
        <v/>
      </c>
      <c r="S381" s="3">
        <f>IF(R381="","",(R381-AVERAGE(R6:R1198))/(STDEV(R6:R1198)+1E-12))</f>
        <v/>
      </c>
      <c r="T381" s="3">
        <f>IF('3a Raw'!L381="","",MAX(-3,MIN(3,('3a Raw'!L381-$T3)/$T4)))</f>
        <v/>
      </c>
      <c r="U381" s="3">
        <f>IF(T381="","",(T381-AVERAGE(T6:T1198))/(STDEV(T6:T1198)+1E-12))</f>
        <v/>
      </c>
      <c r="X381" s="3">
        <f>IF(U381="","",U381-($V$3*G381+$W$3))</f>
        <v/>
      </c>
      <c r="Y381" s="3">
        <f>IF(X381="","",MAX(-3,MIN(3,(X381-$X3)/$X4)))</f>
        <v/>
      </c>
      <c r="Z381" s="3">
        <f>IF(Y381="","",(Y381-AVERAGE(Y6:Y1198))/(STDEV(Y6:Y1198)+1E-12))</f>
        <v/>
      </c>
    </row>
    <row r="382">
      <c r="A382" t="inlineStr">
        <is>
          <t>BBG000CGJMB9</t>
        </is>
      </c>
      <c r="B382" s="3">
        <f>IF('3a Raw'!C382="","",MAX(-3,MIN(3,('3a Raw'!C382-$B3)/$B4)))</f>
        <v/>
      </c>
      <c r="C382" s="3">
        <f>IF(B382="","",(B382-AVERAGE(B6:B1198))/(STDEV(B6:B1198)+1E-12))</f>
        <v/>
      </c>
      <c r="D382" s="3">
        <f>IF('3a Raw'!D382="","",MAX(-3,MIN(3,('3a Raw'!D382-$D3)/$D4)))</f>
        <v/>
      </c>
      <c r="E382" s="3">
        <f>IF(D382="","",(D382-AVERAGE(D6:D1198))/(STDEV(D6:D1198)+1E-12))</f>
        <v/>
      </c>
      <c r="F382" s="3">
        <f>IF('3a Raw'!E382="","",MAX(-3,MIN(3,('3a Raw'!E382-$F3)/$F4)))</f>
        <v/>
      </c>
      <c r="G382" s="3">
        <f>IF(F382="","",(F382-AVERAGE(F6:F1198))/(STDEV(F6:F1198)+1E-12))</f>
        <v/>
      </c>
      <c r="H382" s="3">
        <f>IF('3a Raw'!F382="","",MAX(-3,MIN(3,('3a Raw'!F382-$H3)/$H4)))</f>
        <v/>
      </c>
      <c r="I382" s="3">
        <f>IF(H382="","",(H382-AVERAGE(H6:H1198))/(STDEV(H6:H1198)+1E-12))</f>
        <v/>
      </c>
      <c r="J382" s="3">
        <f>IF('3a Raw'!G382="","",MAX(-3,MIN(3,('3a Raw'!G382-$J3)/$J4)))</f>
        <v/>
      </c>
      <c r="K382" s="3">
        <f>IF(J382="","",(J382-AVERAGE(J6:J1198))/(STDEV(J6:J1198)+1E-12))</f>
        <v/>
      </c>
      <c r="L382" s="3">
        <f>IF('3a Raw'!H382="","",MAX(-3,MIN(3,('3a Raw'!H382-$L3)/$L4)))</f>
        <v/>
      </c>
      <c r="M382" s="3">
        <f>IF(L382="","",(L382-AVERAGE(L6:L1198))/(STDEV(L6:L1198)+1E-12))</f>
        <v/>
      </c>
      <c r="N382" s="3">
        <f>IF('3a Raw'!I382="","",MAX(-3,MIN(3,('3a Raw'!I382-$N3)/$N4)))</f>
        <v/>
      </c>
      <c r="O382" s="3">
        <f>IF(N382="","",(N382-AVERAGE(N6:N1198))/(STDEV(N6:N1198)+1E-12))</f>
        <v/>
      </c>
      <c r="P382" s="3">
        <f>IF('3a Raw'!J382="","",MAX(-3,MIN(3,('3a Raw'!J382-$P3)/$P4)))</f>
        <v/>
      </c>
      <c r="Q382" s="3">
        <f>IF(P382="","",(P382-AVERAGE(P6:P1198))/(STDEV(P6:P1198)+1E-12))</f>
        <v/>
      </c>
      <c r="R382" s="3">
        <f>IF('3a Raw'!K382="","",MAX(-3,MIN(3,('3a Raw'!K382-$R3)/$R4)))</f>
        <v/>
      </c>
      <c r="S382" s="3">
        <f>IF(R382="","",(R382-AVERAGE(R6:R1198))/(STDEV(R6:R1198)+1E-12))</f>
        <v/>
      </c>
      <c r="T382" s="3">
        <f>IF('3a Raw'!L382="","",MAX(-3,MIN(3,('3a Raw'!L382-$T3)/$T4)))</f>
        <v/>
      </c>
      <c r="U382" s="3">
        <f>IF(T382="","",(T382-AVERAGE(T6:T1198))/(STDEV(T6:T1198)+1E-12))</f>
        <v/>
      </c>
      <c r="X382" s="3">
        <f>IF(U382="","",U382-($V$3*G382+$W$3))</f>
        <v/>
      </c>
      <c r="Y382" s="3">
        <f>IF(X382="","",MAX(-3,MIN(3,(X382-$X3)/$X4)))</f>
        <v/>
      </c>
      <c r="Z382" s="3">
        <f>IF(Y382="","",(Y382-AVERAGE(Y6:Y1198))/(STDEV(Y6:Y1198)+1E-12))</f>
        <v/>
      </c>
    </row>
    <row r="383">
      <c r="A383" t="inlineStr">
        <is>
          <t>BBG000BM2FL9</t>
        </is>
      </c>
      <c r="B383" s="3">
        <f>IF('3a Raw'!C383="","",MAX(-3,MIN(3,('3a Raw'!C383-$B3)/$B4)))</f>
        <v/>
      </c>
      <c r="C383" s="3">
        <f>IF(B383="","",(B383-AVERAGE(B6:B1198))/(STDEV(B6:B1198)+1E-12))</f>
        <v/>
      </c>
      <c r="D383" s="3">
        <f>IF('3a Raw'!D383="","",MAX(-3,MIN(3,('3a Raw'!D383-$D3)/$D4)))</f>
        <v/>
      </c>
      <c r="E383" s="3">
        <f>IF(D383="","",(D383-AVERAGE(D6:D1198))/(STDEV(D6:D1198)+1E-12))</f>
        <v/>
      </c>
      <c r="F383" s="3">
        <f>IF('3a Raw'!E383="","",MAX(-3,MIN(3,('3a Raw'!E383-$F3)/$F4)))</f>
        <v/>
      </c>
      <c r="G383" s="3">
        <f>IF(F383="","",(F383-AVERAGE(F6:F1198))/(STDEV(F6:F1198)+1E-12))</f>
        <v/>
      </c>
      <c r="H383" s="3">
        <f>IF('3a Raw'!F383="","",MAX(-3,MIN(3,('3a Raw'!F383-$H3)/$H4)))</f>
        <v/>
      </c>
      <c r="I383" s="3">
        <f>IF(H383="","",(H383-AVERAGE(H6:H1198))/(STDEV(H6:H1198)+1E-12))</f>
        <v/>
      </c>
      <c r="J383" s="3">
        <f>IF('3a Raw'!G383="","",MAX(-3,MIN(3,('3a Raw'!G383-$J3)/$J4)))</f>
        <v/>
      </c>
      <c r="K383" s="3">
        <f>IF(J383="","",(J383-AVERAGE(J6:J1198))/(STDEV(J6:J1198)+1E-12))</f>
        <v/>
      </c>
      <c r="L383" s="3">
        <f>IF('3a Raw'!H383="","",MAX(-3,MIN(3,('3a Raw'!H383-$L3)/$L4)))</f>
        <v/>
      </c>
      <c r="M383" s="3">
        <f>IF(L383="","",(L383-AVERAGE(L6:L1198))/(STDEV(L6:L1198)+1E-12))</f>
        <v/>
      </c>
      <c r="N383" s="3">
        <f>IF('3a Raw'!I383="","",MAX(-3,MIN(3,('3a Raw'!I383-$N3)/$N4)))</f>
        <v/>
      </c>
      <c r="O383" s="3">
        <f>IF(N383="","",(N383-AVERAGE(N6:N1198))/(STDEV(N6:N1198)+1E-12))</f>
        <v/>
      </c>
      <c r="P383" s="3">
        <f>IF('3a Raw'!J383="","",MAX(-3,MIN(3,('3a Raw'!J383-$P3)/$P4)))</f>
        <v/>
      </c>
      <c r="Q383" s="3">
        <f>IF(P383="","",(P383-AVERAGE(P6:P1198))/(STDEV(P6:P1198)+1E-12))</f>
        <v/>
      </c>
      <c r="R383" s="3">
        <f>IF('3a Raw'!K383="","",MAX(-3,MIN(3,('3a Raw'!K383-$R3)/$R4)))</f>
        <v/>
      </c>
      <c r="S383" s="3">
        <f>IF(R383="","",(R383-AVERAGE(R6:R1198))/(STDEV(R6:R1198)+1E-12))</f>
        <v/>
      </c>
      <c r="T383" s="3">
        <f>IF('3a Raw'!L383="","",MAX(-3,MIN(3,('3a Raw'!L383-$T3)/$T4)))</f>
        <v/>
      </c>
      <c r="U383" s="3">
        <f>IF(T383="","",(T383-AVERAGE(T6:T1198))/(STDEV(T6:T1198)+1E-12))</f>
        <v/>
      </c>
      <c r="X383" s="3">
        <f>IF(U383="","",U383-($V$3*G383+$W$3))</f>
        <v/>
      </c>
      <c r="Y383" s="3">
        <f>IF(X383="","",MAX(-3,MIN(3,(X383-$X3)/$X4)))</f>
        <v/>
      </c>
      <c r="Z383" s="3">
        <f>IF(Y383="","",(Y383-AVERAGE(Y6:Y1198))/(STDEV(Y6:Y1198)+1E-12))</f>
        <v/>
      </c>
    </row>
    <row r="384">
      <c r="A384" t="inlineStr">
        <is>
          <t>etn</t>
        </is>
      </c>
      <c r="B384" s="3">
        <f>IF('3a Raw'!C384="","",MAX(-3,MIN(3,('3a Raw'!C384-$B3)/$B4)))</f>
        <v/>
      </c>
      <c r="C384" s="3">
        <f>IF(B384="","",(B384-AVERAGE(B6:B1198))/(STDEV(B6:B1198)+1E-12))</f>
        <v/>
      </c>
      <c r="D384" s="3">
        <f>IF('3a Raw'!D384="","",MAX(-3,MIN(3,('3a Raw'!D384-$D3)/$D4)))</f>
        <v/>
      </c>
      <c r="E384" s="3">
        <f>IF(D384="","",(D384-AVERAGE(D6:D1198))/(STDEV(D6:D1198)+1E-12))</f>
        <v/>
      </c>
      <c r="F384" s="3">
        <f>IF('3a Raw'!E384="","",MAX(-3,MIN(3,('3a Raw'!E384-$F3)/$F4)))</f>
        <v/>
      </c>
      <c r="G384" s="3">
        <f>IF(F384="","",(F384-AVERAGE(F6:F1198))/(STDEV(F6:F1198)+1E-12))</f>
        <v/>
      </c>
      <c r="H384" s="3">
        <f>IF('3a Raw'!F384="","",MAX(-3,MIN(3,('3a Raw'!F384-$H3)/$H4)))</f>
        <v/>
      </c>
      <c r="I384" s="3">
        <f>IF(H384="","",(H384-AVERAGE(H6:H1198))/(STDEV(H6:H1198)+1E-12))</f>
        <v/>
      </c>
      <c r="J384" s="3">
        <f>IF('3a Raw'!G384="","",MAX(-3,MIN(3,('3a Raw'!G384-$J3)/$J4)))</f>
        <v/>
      </c>
      <c r="K384" s="3">
        <f>IF(J384="","",(J384-AVERAGE(J6:J1198))/(STDEV(J6:J1198)+1E-12))</f>
        <v/>
      </c>
      <c r="L384" s="3">
        <f>IF('3a Raw'!H384="","",MAX(-3,MIN(3,('3a Raw'!H384-$L3)/$L4)))</f>
        <v/>
      </c>
      <c r="M384" s="3">
        <f>IF(L384="","",(L384-AVERAGE(L6:L1198))/(STDEV(L6:L1198)+1E-12))</f>
        <v/>
      </c>
      <c r="N384" s="3">
        <f>IF('3a Raw'!I384="","",MAX(-3,MIN(3,('3a Raw'!I384-$N3)/$N4)))</f>
        <v/>
      </c>
      <c r="O384" s="3">
        <f>IF(N384="","",(N384-AVERAGE(N6:N1198))/(STDEV(N6:N1198)+1E-12))</f>
        <v/>
      </c>
      <c r="P384" s="3">
        <f>IF('3a Raw'!J384="","",MAX(-3,MIN(3,('3a Raw'!J384-$P3)/$P4)))</f>
        <v/>
      </c>
      <c r="Q384" s="3">
        <f>IF(P384="","",(P384-AVERAGE(P6:P1198))/(STDEV(P6:P1198)+1E-12))</f>
        <v/>
      </c>
      <c r="R384" s="3">
        <f>IF('3a Raw'!K384="","",MAX(-3,MIN(3,('3a Raw'!K384-$R3)/$R4)))</f>
        <v/>
      </c>
      <c r="S384" s="3">
        <f>IF(R384="","",(R384-AVERAGE(R6:R1198))/(STDEV(R6:R1198)+1E-12))</f>
        <v/>
      </c>
      <c r="T384" s="3">
        <f>IF('3a Raw'!L384="","",MAX(-3,MIN(3,('3a Raw'!L384-$T3)/$T4)))</f>
        <v/>
      </c>
      <c r="U384" s="3">
        <f>IF(T384="","",(T384-AVERAGE(T6:T1198))/(STDEV(T6:T1198)+1E-12))</f>
        <v/>
      </c>
      <c r="X384" s="3">
        <f>IF(U384="","",U384-($V$3*G384+$W$3))</f>
        <v/>
      </c>
      <c r="Y384" s="3">
        <f>IF(X384="","",MAX(-3,MIN(3,(X384-$X3)/$X4)))</f>
        <v/>
      </c>
      <c r="Z384" s="3">
        <f>IF(Y384="","",(Y384-AVERAGE(Y6:Y1198))/(STDEV(Y6:Y1198)+1E-12))</f>
        <v/>
      </c>
    </row>
    <row r="385">
      <c r="A385" t="inlineStr">
        <is>
          <t>BBG000C1FQS9</t>
        </is>
      </c>
      <c r="B385" s="3">
        <f>IF('3a Raw'!C385="","",MAX(-3,MIN(3,('3a Raw'!C385-$B3)/$B4)))</f>
        <v/>
      </c>
      <c r="C385" s="3">
        <f>IF(B385="","",(B385-AVERAGE(B6:B1198))/(STDEV(B6:B1198)+1E-12))</f>
        <v/>
      </c>
      <c r="D385" s="3">
        <f>IF('3a Raw'!D385="","",MAX(-3,MIN(3,('3a Raw'!D385-$D3)/$D4)))</f>
        <v/>
      </c>
      <c r="E385" s="3">
        <f>IF(D385="","",(D385-AVERAGE(D6:D1198))/(STDEV(D6:D1198)+1E-12))</f>
        <v/>
      </c>
      <c r="F385" s="3">
        <f>IF('3a Raw'!E385="","",MAX(-3,MIN(3,('3a Raw'!E385-$F3)/$F4)))</f>
        <v/>
      </c>
      <c r="G385" s="3">
        <f>IF(F385="","",(F385-AVERAGE(F6:F1198))/(STDEV(F6:F1198)+1E-12))</f>
        <v/>
      </c>
      <c r="H385" s="3">
        <f>IF('3a Raw'!F385="","",MAX(-3,MIN(3,('3a Raw'!F385-$H3)/$H4)))</f>
        <v/>
      </c>
      <c r="I385" s="3">
        <f>IF(H385="","",(H385-AVERAGE(H6:H1198))/(STDEV(H6:H1198)+1E-12))</f>
        <v/>
      </c>
      <c r="J385" s="3">
        <f>IF('3a Raw'!G385="","",MAX(-3,MIN(3,('3a Raw'!G385-$J3)/$J4)))</f>
        <v/>
      </c>
      <c r="K385" s="3">
        <f>IF(J385="","",(J385-AVERAGE(J6:J1198))/(STDEV(J6:J1198)+1E-12))</f>
        <v/>
      </c>
      <c r="L385" s="3">
        <f>IF('3a Raw'!H385="","",MAX(-3,MIN(3,('3a Raw'!H385-$L3)/$L4)))</f>
        <v/>
      </c>
      <c r="M385" s="3">
        <f>IF(L385="","",(L385-AVERAGE(L6:L1198))/(STDEV(L6:L1198)+1E-12))</f>
        <v/>
      </c>
      <c r="N385" s="3">
        <f>IF('3a Raw'!I385="","",MAX(-3,MIN(3,('3a Raw'!I385-$N3)/$N4)))</f>
        <v/>
      </c>
      <c r="O385" s="3">
        <f>IF(N385="","",(N385-AVERAGE(N6:N1198))/(STDEV(N6:N1198)+1E-12))</f>
        <v/>
      </c>
      <c r="P385" s="3">
        <f>IF('3a Raw'!J385="","",MAX(-3,MIN(3,('3a Raw'!J385-$P3)/$P4)))</f>
        <v/>
      </c>
      <c r="Q385" s="3">
        <f>IF(P385="","",(P385-AVERAGE(P6:P1198))/(STDEV(P6:P1198)+1E-12))</f>
        <v/>
      </c>
      <c r="R385" s="3">
        <f>IF('3a Raw'!K385="","",MAX(-3,MIN(3,('3a Raw'!K385-$R3)/$R4)))</f>
        <v/>
      </c>
      <c r="S385" s="3">
        <f>IF(R385="","",(R385-AVERAGE(R6:R1198))/(STDEV(R6:R1198)+1E-12))</f>
        <v/>
      </c>
      <c r="T385" s="3">
        <f>IF('3a Raw'!L385="","",MAX(-3,MIN(3,('3a Raw'!L385-$T3)/$T4)))</f>
        <v/>
      </c>
      <c r="U385" s="3">
        <f>IF(T385="","",(T385-AVERAGE(T6:T1198))/(STDEV(T6:T1198)+1E-12))</f>
        <v/>
      </c>
      <c r="X385" s="3">
        <f>IF(U385="","",U385-($V$3*G385+$W$3))</f>
        <v/>
      </c>
      <c r="Y385" s="3">
        <f>IF(X385="","",MAX(-3,MIN(3,(X385-$X3)/$X4)))</f>
        <v/>
      </c>
      <c r="Z385" s="3">
        <f>IF(Y385="","",(Y385-AVERAGE(Y6:Y1198))/(STDEV(Y6:Y1198)+1E-12))</f>
        <v/>
      </c>
    </row>
    <row r="386">
      <c r="A386" t="inlineStr">
        <is>
          <t>BBG000N7MXL8</t>
        </is>
      </c>
      <c r="B386" s="3">
        <f>IF('3a Raw'!C386="","",MAX(-3,MIN(3,('3a Raw'!C386-$B3)/$B4)))</f>
        <v/>
      </c>
      <c r="C386" s="3">
        <f>IF(B386="","",(B386-AVERAGE(B6:B1198))/(STDEV(B6:B1198)+1E-12))</f>
        <v/>
      </c>
      <c r="D386" s="3">
        <f>IF('3a Raw'!D386="","",MAX(-3,MIN(3,('3a Raw'!D386-$D3)/$D4)))</f>
        <v/>
      </c>
      <c r="E386" s="3">
        <f>IF(D386="","",(D386-AVERAGE(D6:D1198))/(STDEV(D6:D1198)+1E-12))</f>
        <v/>
      </c>
      <c r="F386" s="3">
        <f>IF('3a Raw'!E386="","",MAX(-3,MIN(3,('3a Raw'!E386-$F3)/$F4)))</f>
        <v/>
      </c>
      <c r="G386" s="3">
        <f>IF(F386="","",(F386-AVERAGE(F6:F1198))/(STDEV(F6:F1198)+1E-12))</f>
        <v/>
      </c>
      <c r="H386" s="3">
        <f>IF('3a Raw'!F386="","",MAX(-3,MIN(3,('3a Raw'!F386-$H3)/$H4)))</f>
        <v/>
      </c>
      <c r="I386" s="3">
        <f>IF(H386="","",(H386-AVERAGE(H6:H1198))/(STDEV(H6:H1198)+1E-12))</f>
        <v/>
      </c>
      <c r="J386" s="3">
        <f>IF('3a Raw'!G386="","",MAX(-3,MIN(3,('3a Raw'!G386-$J3)/$J4)))</f>
        <v/>
      </c>
      <c r="K386" s="3">
        <f>IF(J386="","",(J386-AVERAGE(J6:J1198))/(STDEV(J6:J1198)+1E-12))</f>
        <v/>
      </c>
      <c r="L386" s="3">
        <f>IF('3a Raw'!H386="","",MAX(-3,MIN(3,('3a Raw'!H386-$L3)/$L4)))</f>
        <v/>
      </c>
      <c r="M386" s="3">
        <f>IF(L386="","",(L386-AVERAGE(L6:L1198))/(STDEV(L6:L1198)+1E-12))</f>
        <v/>
      </c>
      <c r="N386" s="3">
        <f>IF('3a Raw'!I386="","",MAX(-3,MIN(3,('3a Raw'!I386-$N3)/$N4)))</f>
        <v/>
      </c>
      <c r="O386" s="3">
        <f>IF(N386="","",(N386-AVERAGE(N6:N1198))/(STDEV(N6:N1198)+1E-12))</f>
        <v/>
      </c>
      <c r="P386" s="3">
        <f>IF('3a Raw'!J386="","",MAX(-3,MIN(3,('3a Raw'!J386-$P3)/$P4)))</f>
        <v/>
      </c>
      <c r="Q386" s="3">
        <f>IF(P386="","",(P386-AVERAGE(P6:P1198))/(STDEV(P6:P1198)+1E-12))</f>
        <v/>
      </c>
      <c r="R386" s="3">
        <f>IF('3a Raw'!K386="","",MAX(-3,MIN(3,('3a Raw'!K386-$R3)/$R4)))</f>
        <v/>
      </c>
      <c r="S386" s="3">
        <f>IF(R386="","",(R386-AVERAGE(R6:R1198))/(STDEV(R6:R1198)+1E-12))</f>
        <v/>
      </c>
      <c r="T386" s="3">
        <f>IF('3a Raw'!L386="","",MAX(-3,MIN(3,('3a Raw'!L386-$T3)/$T4)))</f>
        <v/>
      </c>
      <c r="U386" s="3">
        <f>IF(T386="","",(T386-AVERAGE(T6:T1198))/(STDEV(T6:T1198)+1E-12))</f>
        <v/>
      </c>
      <c r="X386" s="3">
        <f>IF(U386="","",U386-($V$3*G386+$W$3))</f>
        <v/>
      </c>
      <c r="Y386" s="3">
        <f>IF(X386="","",MAX(-3,MIN(3,(X386-$X3)/$X4)))</f>
        <v/>
      </c>
      <c r="Z386" s="3">
        <f>IF(Y386="","",(Y386-AVERAGE(Y6:Y1198))/(STDEV(Y6:Y1198)+1E-12))</f>
        <v/>
      </c>
    </row>
    <row r="387">
      <c r="A387" t="inlineStr">
        <is>
          <t>BBG00XP21PQ0</t>
        </is>
      </c>
      <c r="B387" s="3">
        <f>IF('3a Raw'!C387="","",MAX(-3,MIN(3,('3a Raw'!C387-$B3)/$B4)))</f>
        <v/>
      </c>
      <c r="C387" s="3">
        <f>IF(B387="","",(B387-AVERAGE(B6:B1198))/(STDEV(B6:B1198)+1E-12))</f>
        <v/>
      </c>
      <c r="D387" s="3">
        <f>IF('3a Raw'!D387="","",MAX(-3,MIN(3,('3a Raw'!D387-$D3)/$D4)))</f>
        <v/>
      </c>
      <c r="E387" s="3">
        <f>IF(D387="","",(D387-AVERAGE(D6:D1198))/(STDEV(D6:D1198)+1E-12))</f>
        <v/>
      </c>
      <c r="F387" s="3">
        <f>IF('3a Raw'!E387="","",MAX(-3,MIN(3,('3a Raw'!E387-$F3)/$F4)))</f>
        <v/>
      </c>
      <c r="G387" s="3">
        <f>IF(F387="","",(F387-AVERAGE(F6:F1198))/(STDEV(F6:F1198)+1E-12))</f>
        <v/>
      </c>
      <c r="H387" s="3">
        <f>IF('3a Raw'!F387="","",MAX(-3,MIN(3,('3a Raw'!F387-$H3)/$H4)))</f>
        <v/>
      </c>
      <c r="I387" s="3">
        <f>IF(H387="","",(H387-AVERAGE(H6:H1198))/(STDEV(H6:H1198)+1E-12))</f>
        <v/>
      </c>
      <c r="J387" s="3">
        <f>IF('3a Raw'!G387="","",MAX(-3,MIN(3,('3a Raw'!G387-$J3)/$J4)))</f>
        <v/>
      </c>
      <c r="K387" s="3">
        <f>IF(J387="","",(J387-AVERAGE(J6:J1198))/(STDEV(J6:J1198)+1E-12))</f>
        <v/>
      </c>
      <c r="L387" s="3">
        <f>IF('3a Raw'!H387="","",MAX(-3,MIN(3,('3a Raw'!H387-$L3)/$L4)))</f>
        <v/>
      </c>
      <c r="M387" s="3">
        <f>IF(L387="","",(L387-AVERAGE(L6:L1198))/(STDEV(L6:L1198)+1E-12))</f>
        <v/>
      </c>
      <c r="N387" s="3">
        <f>IF('3a Raw'!I387="","",MAX(-3,MIN(3,('3a Raw'!I387-$N3)/$N4)))</f>
        <v/>
      </c>
      <c r="O387" s="3">
        <f>IF(N387="","",(N387-AVERAGE(N6:N1198))/(STDEV(N6:N1198)+1E-12))</f>
        <v/>
      </c>
      <c r="P387" s="3">
        <f>IF('3a Raw'!J387="","",MAX(-3,MIN(3,('3a Raw'!J387-$P3)/$P4)))</f>
        <v/>
      </c>
      <c r="Q387" s="3">
        <f>IF(P387="","",(P387-AVERAGE(P6:P1198))/(STDEV(P6:P1198)+1E-12))</f>
        <v/>
      </c>
      <c r="R387" s="3">
        <f>IF('3a Raw'!K387="","",MAX(-3,MIN(3,('3a Raw'!K387-$R3)/$R4)))</f>
        <v/>
      </c>
      <c r="S387" s="3">
        <f>IF(R387="","",(R387-AVERAGE(R6:R1198))/(STDEV(R6:R1198)+1E-12))</f>
        <v/>
      </c>
      <c r="T387" s="3">
        <f>IF('3a Raw'!L387="","",MAX(-3,MIN(3,('3a Raw'!L387-$T3)/$T4)))</f>
        <v/>
      </c>
      <c r="U387" s="3">
        <f>IF(T387="","",(T387-AVERAGE(T6:T1198))/(STDEV(T6:T1198)+1E-12))</f>
        <v/>
      </c>
      <c r="X387" s="3">
        <f>IF(U387="","",U387-($V$3*G387+$W$3))</f>
        <v/>
      </c>
      <c r="Y387" s="3">
        <f>IF(X387="","",MAX(-3,MIN(3,(X387-$X3)/$X4)))</f>
        <v/>
      </c>
      <c r="Z387" s="3">
        <f>IF(Y387="","",(Y387-AVERAGE(Y6:Y1198))/(STDEV(Y6:Y1198)+1E-12))</f>
        <v/>
      </c>
    </row>
    <row r="388">
      <c r="A388" t="inlineStr">
        <is>
          <t>BBG00W1PPKX4</t>
        </is>
      </c>
      <c r="B388" s="3">
        <f>IF('3a Raw'!C388="","",MAX(-3,MIN(3,('3a Raw'!C388-$B3)/$B4)))</f>
        <v/>
      </c>
      <c r="C388" s="3">
        <f>IF(B388="","",(B388-AVERAGE(B6:B1198))/(STDEV(B6:B1198)+1E-12))</f>
        <v/>
      </c>
      <c r="D388" s="3">
        <f>IF('3a Raw'!D388="","",MAX(-3,MIN(3,('3a Raw'!D388-$D3)/$D4)))</f>
        <v/>
      </c>
      <c r="E388" s="3">
        <f>IF(D388="","",(D388-AVERAGE(D6:D1198))/(STDEV(D6:D1198)+1E-12))</f>
        <v/>
      </c>
      <c r="F388" s="3">
        <f>IF('3a Raw'!E388="","",MAX(-3,MIN(3,('3a Raw'!E388-$F3)/$F4)))</f>
        <v/>
      </c>
      <c r="G388" s="3">
        <f>IF(F388="","",(F388-AVERAGE(F6:F1198))/(STDEV(F6:F1198)+1E-12))</f>
        <v/>
      </c>
      <c r="H388" s="3">
        <f>IF('3a Raw'!F388="","",MAX(-3,MIN(3,('3a Raw'!F388-$H3)/$H4)))</f>
        <v/>
      </c>
      <c r="I388" s="3">
        <f>IF(H388="","",(H388-AVERAGE(H6:H1198))/(STDEV(H6:H1198)+1E-12))</f>
        <v/>
      </c>
      <c r="J388" s="3">
        <f>IF('3a Raw'!G388="","",MAX(-3,MIN(3,('3a Raw'!G388-$J3)/$J4)))</f>
        <v/>
      </c>
      <c r="K388" s="3">
        <f>IF(J388="","",(J388-AVERAGE(J6:J1198))/(STDEV(J6:J1198)+1E-12))</f>
        <v/>
      </c>
      <c r="L388" s="3">
        <f>IF('3a Raw'!H388="","",MAX(-3,MIN(3,('3a Raw'!H388-$L3)/$L4)))</f>
        <v/>
      </c>
      <c r="M388" s="3">
        <f>IF(L388="","",(L388-AVERAGE(L6:L1198))/(STDEV(L6:L1198)+1E-12))</f>
        <v/>
      </c>
      <c r="N388" s="3">
        <f>IF('3a Raw'!I388="","",MAX(-3,MIN(3,('3a Raw'!I388-$N3)/$N4)))</f>
        <v/>
      </c>
      <c r="O388" s="3">
        <f>IF(N388="","",(N388-AVERAGE(N6:N1198))/(STDEV(N6:N1198)+1E-12))</f>
        <v/>
      </c>
      <c r="P388" s="3">
        <f>IF('3a Raw'!J388="","",MAX(-3,MIN(3,('3a Raw'!J388-$P3)/$P4)))</f>
        <v/>
      </c>
      <c r="Q388" s="3">
        <f>IF(P388="","",(P388-AVERAGE(P6:P1198))/(STDEV(P6:P1198)+1E-12))</f>
        <v/>
      </c>
      <c r="R388" s="3">
        <f>IF('3a Raw'!K388="","",MAX(-3,MIN(3,('3a Raw'!K388-$R3)/$R4)))</f>
        <v/>
      </c>
      <c r="S388" s="3">
        <f>IF(R388="","",(R388-AVERAGE(R6:R1198))/(STDEV(R6:R1198)+1E-12))</f>
        <v/>
      </c>
      <c r="T388" s="3">
        <f>IF('3a Raw'!L388="","",MAX(-3,MIN(3,('3a Raw'!L388-$T3)/$T4)))</f>
        <v/>
      </c>
      <c r="U388" s="3">
        <f>IF(T388="","",(T388-AVERAGE(T6:T1198))/(STDEV(T6:T1198)+1E-12))</f>
        <v/>
      </c>
      <c r="X388" s="3">
        <f>IF(U388="","",U388-($V$3*G388+$W$3))</f>
        <v/>
      </c>
      <c r="Y388" s="3">
        <f>IF(X388="","",MAX(-3,MIN(3,(X388-$X3)/$X4)))</f>
        <v/>
      </c>
      <c r="Z388" s="3">
        <f>IF(Y388="","",(Y388-AVERAGE(Y6:Y1198))/(STDEV(Y6:Y1198)+1E-12))</f>
        <v/>
      </c>
    </row>
    <row r="389">
      <c r="A389" t="inlineStr">
        <is>
          <t>BBG000BP30Y0</t>
        </is>
      </c>
      <c r="B389" s="3">
        <f>IF('3a Raw'!C389="","",MAX(-3,MIN(3,('3a Raw'!C389-$B3)/$B4)))</f>
        <v/>
      </c>
      <c r="C389" s="3">
        <f>IF(B389="","",(B389-AVERAGE(B6:B1198))/(STDEV(B6:B1198)+1E-12))</f>
        <v/>
      </c>
      <c r="D389" s="3">
        <f>IF('3a Raw'!D389="","",MAX(-3,MIN(3,('3a Raw'!D389-$D3)/$D4)))</f>
        <v/>
      </c>
      <c r="E389" s="3">
        <f>IF(D389="","",(D389-AVERAGE(D6:D1198))/(STDEV(D6:D1198)+1E-12))</f>
        <v/>
      </c>
      <c r="F389" s="3">
        <f>IF('3a Raw'!E389="","",MAX(-3,MIN(3,('3a Raw'!E389-$F3)/$F4)))</f>
        <v/>
      </c>
      <c r="G389" s="3">
        <f>IF(F389="","",(F389-AVERAGE(F6:F1198))/(STDEV(F6:F1198)+1E-12))</f>
        <v/>
      </c>
      <c r="H389" s="3">
        <f>IF('3a Raw'!F389="","",MAX(-3,MIN(3,('3a Raw'!F389-$H3)/$H4)))</f>
        <v/>
      </c>
      <c r="I389" s="3">
        <f>IF(H389="","",(H389-AVERAGE(H6:H1198))/(STDEV(H6:H1198)+1E-12))</f>
        <v/>
      </c>
      <c r="J389" s="3">
        <f>IF('3a Raw'!G389="","",MAX(-3,MIN(3,('3a Raw'!G389-$J3)/$J4)))</f>
        <v/>
      </c>
      <c r="K389" s="3">
        <f>IF(J389="","",(J389-AVERAGE(J6:J1198))/(STDEV(J6:J1198)+1E-12))</f>
        <v/>
      </c>
      <c r="L389" s="3">
        <f>IF('3a Raw'!H389="","",MAX(-3,MIN(3,('3a Raw'!H389-$L3)/$L4)))</f>
        <v/>
      </c>
      <c r="M389" s="3">
        <f>IF(L389="","",(L389-AVERAGE(L6:L1198))/(STDEV(L6:L1198)+1E-12))</f>
        <v/>
      </c>
      <c r="N389" s="3">
        <f>IF('3a Raw'!I389="","",MAX(-3,MIN(3,('3a Raw'!I389-$N3)/$N4)))</f>
        <v/>
      </c>
      <c r="O389" s="3">
        <f>IF(N389="","",(N389-AVERAGE(N6:N1198))/(STDEV(N6:N1198)+1E-12))</f>
        <v/>
      </c>
      <c r="P389" s="3">
        <f>IF('3a Raw'!J389="","",MAX(-3,MIN(3,('3a Raw'!J389-$P3)/$P4)))</f>
        <v/>
      </c>
      <c r="Q389" s="3">
        <f>IF(P389="","",(P389-AVERAGE(P6:P1198))/(STDEV(P6:P1198)+1E-12))</f>
        <v/>
      </c>
      <c r="R389" s="3">
        <f>IF('3a Raw'!K389="","",MAX(-3,MIN(3,('3a Raw'!K389-$R3)/$R4)))</f>
        <v/>
      </c>
      <c r="S389" s="3">
        <f>IF(R389="","",(R389-AVERAGE(R6:R1198))/(STDEV(R6:R1198)+1E-12))</f>
        <v/>
      </c>
      <c r="T389" s="3">
        <f>IF('3a Raw'!L389="","",MAX(-3,MIN(3,('3a Raw'!L389-$T3)/$T4)))</f>
        <v/>
      </c>
      <c r="U389" s="3">
        <f>IF(T389="","",(T389-AVERAGE(T6:T1198))/(STDEV(T6:T1198)+1E-12))</f>
        <v/>
      </c>
      <c r="X389" s="3">
        <f>IF(U389="","",U389-($V$3*G389+$W$3))</f>
        <v/>
      </c>
      <c r="Y389" s="3">
        <f>IF(X389="","",MAX(-3,MIN(3,(X389-$X3)/$X4)))</f>
        <v/>
      </c>
      <c r="Z389" s="3">
        <f>IF(Y389="","",(Y389-AVERAGE(Y6:Y1198))/(STDEV(Y6:Y1198)+1E-12))</f>
        <v/>
      </c>
    </row>
    <row r="390">
      <c r="A390" t="inlineStr">
        <is>
          <t>BBG00H433CR2</t>
        </is>
      </c>
      <c r="B390" s="3">
        <f>IF('3a Raw'!C390="","",MAX(-3,MIN(3,('3a Raw'!C390-$B3)/$B4)))</f>
        <v/>
      </c>
      <c r="C390" s="3">
        <f>IF(B390="","",(B390-AVERAGE(B6:B1198))/(STDEV(B6:B1198)+1E-12))</f>
        <v/>
      </c>
      <c r="D390" s="3">
        <f>IF('3a Raw'!D390="","",MAX(-3,MIN(3,('3a Raw'!D390-$D3)/$D4)))</f>
        <v/>
      </c>
      <c r="E390" s="3">
        <f>IF(D390="","",(D390-AVERAGE(D6:D1198))/(STDEV(D6:D1198)+1E-12))</f>
        <v/>
      </c>
      <c r="F390" s="3">
        <f>IF('3a Raw'!E390="","",MAX(-3,MIN(3,('3a Raw'!E390-$F3)/$F4)))</f>
        <v/>
      </c>
      <c r="G390" s="3">
        <f>IF(F390="","",(F390-AVERAGE(F6:F1198))/(STDEV(F6:F1198)+1E-12))</f>
        <v/>
      </c>
      <c r="H390" s="3">
        <f>IF('3a Raw'!F390="","",MAX(-3,MIN(3,('3a Raw'!F390-$H3)/$H4)))</f>
        <v/>
      </c>
      <c r="I390" s="3">
        <f>IF(H390="","",(H390-AVERAGE(H6:H1198))/(STDEV(H6:H1198)+1E-12))</f>
        <v/>
      </c>
      <c r="J390" s="3">
        <f>IF('3a Raw'!G390="","",MAX(-3,MIN(3,('3a Raw'!G390-$J3)/$J4)))</f>
        <v/>
      </c>
      <c r="K390" s="3">
        <f>IF(J390="","",(J390-AVERAGE(J6:J1198))/(STDEV(J6:J1198)+1E-12))</f>
        <v/>
      </c>
      <c r="L390" s="3">
        <f>IF('3a Raw'!H390="","",MAX(-3,MIN(3,('3a Raw'!H390-$L3)/$L4)))</f>
        <v/>
      </c>
      <c r="M390" s="3">
        <f>IF(L390="","",(L390-AVERAGE(L6:L1198))/(STDEV(L6:L1198)+1E-12))</f>
        <v/>
      </c>
      <c r="N390" s="3">
        <f>IF('3a Raw'!I390="","",MAX(-3,MIN(3,('3a Raw'!I390-$N3)/$N4)))</f>
        <v/>
      </c>
      <c r="O390" s="3">
        <f>IF(N390="","",(N390-AVERAGE(N6:N1198))/(STDEV(N6:N1198)+1E-12))</f>
        <v/>
      </c>
      <c r="P390" s="3">
        <f>IF('3a Raw'!J390="","",MAX(-3,MIN(3,('3a Raw'!J390-$P3)/$P4)))</f>
        <v/>
      </c>
      <c r="Q390" s="3">
        <f>IF(P390="","",(P390-AVERAGE(P6:P1198))/(STDEV(P6:P1198)+1E-12))</f>
        <v/>
      </c>
      <c r="R390" s="3">
        <f>IF('3a Raw'!K390="","",MAX(-3,MIN(3,('3a Raw'!K390-$R3)/$R4)))</f>
        <v/>
      </c>
      <c r="S390" s="3">
        <f>IF(R390="","",(R390-AVERAGE(R6:R1198))/(STDEV(R6:R1198)+1E-12))</f>
        <v/>
      </c>
      <c r="T390" s="3">
        <f>IF('3a Raw'!L390="","",MAX(-3,MIN(3,('3a Raw'!L390-$T3)/$T4)))</f>
        <v/>
      </c>
      <c r="U390" s="3">
        <f>IF(T390="","",(T390-AVERAGE(T6:T1198))/(STDEV(T6:T1198)+1E-12))</f>
        <v/>
      </c>
      <c r="X390" s="3">
        <f>IF(U390="","",U390-($V$3*G390+$W$3))</f>
        <v/>
      </c>
      <c r="Y390" s="3">
        <f>IF(X390="","",MAX(-3,MIN(3,(X390-$X3)/$X4)))</f>
        <v/>
      </c>
      <c r="Z390" s="3">
        <f>IF(Y390="","",(Y390-AVERAGE(Y6:Y1198))/(STDEV(Y6:Y1198)+1E-12))</f>
        <v/>
      </c>
    </row>
    <row r="391">
      <c r="A391" t="inlineStr">
        <is>
          <t>BBG000BRXP69</t>
        </is>
      </c>
      <c r="B391" s="3">
        <f>IF('3a Raw'!C391="","",MAX(-3,MIN(3,('3a Raw'!C391-$B3)/$B4)))</f>
        <v/>
      </c>
      <c r="C391" s="3">
        <f>IF(B391="","",(B391-AVERAGE(B6:B1198))/(STDEV(B6:B1198)+1E-12))</f>
        <v/>
      </c>
      <c r="D391" s="3">
        <f>IF('3a Raw'!D391="","",MAX(-3,MIN(3,('3a Raw'!D391-$D3)/$D4)))</f>
        <v/>
      </c>
      <c r="E391" s="3">
        <f>IF(D391="","",(D391-AVERAGE(D6:D1198))/(STDEV(D6:D1198)+1E-12))</f>
        <v/>
      </c>
      <c r="F391" s="3">
        <f>IF('3a Raw'!E391="","",MAX(-3,MIN(3,('3a Raw'!E391-$F3)/$F4)))</f>
        <v/>
      </c>
      <c r="G391" s="3">
        <f>IF(F391="","",(F391-AVERAGE(F6:F1198))/(STDEV(F6:F1198)+1E-12))</f>
        <v/>
      </c>
      <c r="H391" s="3">
        <f>IF('3a Raw'!F391="","",MAX(-3,MIN(3,('3a Raw'!F391-$H3)/$H4)))</f>
        <v/>
      </c>
      <c r="I391" s="3">
        <f>IF(H391="","",(H391-AVERAGE(H6:H1198))/(STDEV(H6:H1198)+1E-12))</f>
        <v/>
      </c>
      <c r="J391" s="3">
        <f>IF('3a Raw'!G391="","",MAX(-3,MIN(3,('3a Raw'!G391-$J3)/$J4)))</f>
        <v/>
      </c>
      <c r="K391" s="3">
        <f>IF(J391="","",(J391-AVERAGE(J6:J1198))/(STDEV(J6:J1198)+1E-12))</f>
        <v/>
      </c>
      <c r="L391" s="3">
        <f>IF('3a Raw'!H391="","",MAX(-3,MIN(3,('3a Raw'!H391-$L3)/$L4)))</f>
        <v/>
      </c>
      <c r="M391" s="3">
        <f>IF(L391="","",(L391-AVERAGE(L6:L1198))/(STDEV(L6:L1198)+1E-12))</f>
        <v/>
      </c>
      <c r="N391" s="3">
        <f>IF('3a Raw'!I391="","",MAX(-3,MIN(3,('3a Raw'!I391-$N3)/$N4)))</f>
        <v/>
      </c>
      <c r="O391" s="3">
        <f>IF(N391="","",(N391-AVERAGE(N6:N1198))/(STDEV(N6:N1198)+1E-12))</f>
        <v/>
      </c>
      <c r="P391" s="3">
        <f>IF('3a Raw'!J391="","",MAX(-3,MIN(3,('3a Raw'!J391-$P3)/$P4)))</f>
        <v/>
      </c>
      <c r="Q391" s="3">
        <f>IF(P391="","",(P391-AVERAGE(P6:P1198))/(STDEV(P6:P1198)+1E-12))</f>
        <v/>
      </c>
      <c r="R391" s="3">
        <f>IF('3a Raw'!K391="","",MAX(-3,MIN(3,('3a Raw'!K391-$R3)/$R4)))</f>
        <v/>
      </c>
      <c r="S391" s="3">
        <f>IF(R391="","",(R391-AVERAGE(R6:R1198))/(STDEV(R6:R1198)+1E-12))</f>
        <v/>
      </c>
      <c r="T391" s="3">
        <f>IF('3a Raw'!L391="","",MAX(-3,MIN(3,('3a Raw'!L391-$T3)/$T4)))</f>
        <v/>
      </c>
      <c r="U391" s="3">
        <f>IF(T391="","",(T391-AVERAGE(T6:T1198))/(STDEV(T6:T1198)+1E-12))</f>
        <v/>
      </c>
      <c r="X391" s="3">
        <f>IF(U391="","",U391-($V$3*G391+$W$3))</f>
        <v/>
      </c>
      <c r="Y391" s="3">
        <f>IF(X391="","",MAX(-3,MIN(3,(X391-$X3)/$X4)))</f>
        <v/>
      </c>
      <c r="Z391" s="3">
        <f>IF(Y391="","",(Y391-AVERAGE(Y6:Y1198))/(STDEV(Y6:Y1198)+1E-12))</f>
        <v/>
      </c>
    </row>
    <row r="392">
      <c r="A392" t="inlineStr">
        <is>
          <t>BBG000CR20B1</t>
        </is>
      </c>
      <c r="B392" s="3">
        <f>IF('3a Raw'!C392="","",MAX(-3,MIN(3,('3a Raw'!C392-$B3)/$B4)))</f>
        <v/>
      </c>
      <c r="C392" s="3">
        <f>IF(B392="","",(B392-AVERAGE(B6:B1198))/(STDEV(B6:B1198)+1E-12))</f>
        <v/>
      </c>
      <c r="D392" s="3">
        <f>IF('3a Raw'!D392="","",MAX(-3,MIN(3,('3a Raw'!D392-$D3)/$D4)))</f>
        <v/>
      </c>
      <c r="E392" s="3">
        <f>IF(D392="","",(D392-AVERAGE(D6:D1198))/(STDEV(D6:D1198)+1E-12))</f>
        <v/>
      </c>
      <c r="F392" s="3">
        <f>IF('3a Raw'!E392="","",MAX(-3,MIN(3,('3a Raw'!E392-$F3)/$F4)))</f>
        <v/>
      </c>
      <c r="G392" s="3">
        <f>IF(F392="","",(F392-AVERAGE(F6:F1198))/(STDEV(F6:F1198)+1E-12))</f>
        <v/>
      </c>
      <c r="H392" s="3">
        <f>IF('3a Raw'!F392="","",MAX(-3,MIN(3,('3a Raw'!F392-$H3)/$H4)))</f>
        <v/>
      </c>
      <c r="I392" s="3">
        <f>IF(H392="","",(H392-AVERAGE(H6:H1198))/(STDEV(H6:H1198)+1E-12))</f>
        <v/>
      </c>
      <c r="J392" s="3">
        <f>IF('3a Raw'!G392="","",MAX(-3,MIN(3,('3a Raw'!G392-$J3)/$J4)))</f>
        <v/>
      </c>
      <c r="K392" s="3">
        <f>IF(J392="","",(J392-AVERAGE(J6:J1198))/(STDEV(J6:J1198)+1E-12))</f>
        <v/>
      </c>
      <c r="L392" s="3">
        <f>IF('3a Raw'!H392="","",MAX(-3,MIN(3,('3a Raw'!H392-$L3)/$L4)))</f>
        <v/>
      </c>
      <c r="M392" s="3">
        <f>IF(L392="","",(L392-AVERAGE(L6:L1198))/(STDEV(L6:L1198)+1E-12))</f>
        <v/>
      </c>
      <c r="N392" s="3">
        <f>IF('3a Raw'!I392="","",MAX(-3,MIN(3,('3a Raw'!I392-$N3)/$N4)))</f>
        <v/>
      </c>
      <c r="O392" s="3">
        <f>IF(N392="","",(N392-AVERAGE(N6:N1198))/(STDEV(N6:N1198)+1E-12))</f>
        <v/>
      </c>
      <c r="P392" s="3">
        <f>IF('3a Raw'!J392="","",MAX(-3,MIN(3,('3a Raw'!J392-$P3)/$P4)))</f>
        <v/>
      </c>
      <c r="Q392" s="3">
        <f>IF(P392="","",(P392-AVERAGE(P6:P1198))/(STDEV(P6:P1198)+1E-12))</f>
        <v/>
      </c>
      <c r="R392" s="3">
        <f>IF('3a Raw'!K392="","",MAX(-3,MIN(3,('3a Raw'!K392-$R3)/$R4)))</f>
        <v/>
      </c>
      <c r="S392" s="3">
        <f>IF(R392="","",(R392-AVERAGE(R6:R1198))/(STDEV(R6:R1198)+1E-12))</f>
        <v/>
      </c>
      <c r="T392" s="3">
        <f>IF('3a Raw'!L392="","",MAX(-3,MIN(3,('3a Raw'!L392-$T3)/$T4)))</f>
        <v/>
      </c>
      <c r="U392" s="3">
        <f>IF(T392="","",(T392-AVERAGE(T6:T1198))/(STDEV(T6:T1198)+1E-12))</f>
        <v/>
      </c>
      <c r="X392" s="3">
        <f>IF(U392="","",U392-($V$3*G392+$W$3))</f>
        <v/>
      </c>
      <c r="Y392" s="3">
        <f>IF(X392="","",MAX(-3,MIN(3,(X392-$X3)/$X4)))</f>
        <v/>
      </c>
      <c r="Z392" s="3">
        <f>IF(Y392="","",(Y392-AVERAGE(Y6:Y1198))/(STDEV(Y6:Y1198)+1E-12))</f>
        <v/>
      </c>
    </row>
    <row r="393">
      <c r="A393" t="inlineStr">
        <is>
          <t>BBG000J6XT05</t>
        </is>
      </c>
      <c r="B393" s="3">
        <f>IF('3a Raw'!C393="","",MAX(-3,MIN(3,('3a Raw'!C393-$B3)/$B4)))</f>
        <v/>
      </c>
      <c r="C393" s="3">
        <f>IF(B393="","",(B393-AVERAGE(B6:B1198))/(STDEV(B6:B1198)+1E-12))</f>
        <v/>
      </c>
      <c r="D393" s="3">
        <f>IF('3a Raw'!D393="","",MAX(-3,MIN(3,('3a Raw'!D393-$D3)/$D4)))</f>
        <v/>
      </c>
      <c r="E393" s="3">
        <f>IF(D393="","",(D393-AVERAGE(D6:D1198))/(STDEV(D6:D1198)+1E-12))</f>
        <v/>
      </c>
      <c r="F393" s="3">
        <f>IF('3a Raw'!E393="","",MAX(-3,MIN(3,('3a Raw'!E393-$F3)/$F4)))</f>
        <v/>
      </c>
      <c r="G393" s="3">
        <f>IF(F393="","",(F393-AVERAGE(F6:F1198))/(STDEV(F6:F1198)+1E-12))</f>
        <v/>
      </c>
      <c r="H393" s="3">
        <f>IF('3a Raw'!F393="","",MAX(-3,MIN(3,('3a Raw'!F393-$H3)/$H4)))</f>
        <v/>
      </c>
      <c r="I393" s="3">
        <f>IF(H393="","",(H393-AVERAGE(H6:H1198))/(STDEV(H6:H1198)+1E-12))</f>
        <v/>
      </c>
      <c r="J393" s="3">
        <f>IF('3a Raw'!G393="","",MAX(-3,MIN(3,('3a Raw'!G393-$J3)/$J4)))</f>
        <v/>
      </c>
      <c r="K393" s="3">
        <f>IF(J393="","",(J393-AVERAGE(J6:J1198))/(STDEV(J6:J1198)+1E-12))</f>
        <v/>
      </c>
      <c r="L393" s="3">
        <f>IF('3a Raw'!H393="","",MAX(-3,MIN(3,('3a Raw'!H393-$L3)/$L4)))</f>
        <v/>
      </c>
      <c r="M393" s="3">
        <f>IF(L393="","",(L393-AVERAGE(L6:L1198))/(STDEV(L6:L1198)+1E-12))</f>
        <v/>
      </c>
      <c r="N393" s="3">
        <f>IF('3a Raw'!I393="","",MAX(-3,MIN(3,('3a Raw'!I393-$N3)/$N4)))</f>
        <v/>
      </c>
      <c r="O393" s="3">
        <f>IF(N393="","",(N393-AVERAGE(N6:N1198))/(STDEV(N6:N1198)+1E-12))</f>
        <v/>
      </c>
      <c r="P393" s="3">
        <f>IF('3a Raw'!J393="","",MAX(-3,MIN(3,('3a Raw'!J393-$P3)/$P4)))</f>
        <v/>
      </c>
      <c r="Q393" s="3">
        <f>IF(P393="","",(P393-AVERAGE(P6:P1198))/(STDEV(P6:P1198)+1E-12))</f>
        <v/>
      </c>
      <c r="R393" s="3">
        <f>IF('3a Raw'!K393="","",MAX(-3,MIN(3,('3a Raw'!K393-$R3)/$R4)))</f>
        <v/>
      </c>
      <c r="S393" s="3">
        <f>IF(R393="","",(R393-AVERAGE(R6:R1198))/(STDEV(R6:R1198)+1E-12))</f>
        <v/>
      </c>
      <c r="T393" s="3">
        <f>IF('3a Raw'!L393="","",MAX(-3,MIN(3,('3a Raw'!L393-$T3)/$T4)))</f>
        <v/>
      </c>
      <c r="U393" s="3">
        <f>IF(T393="","",(T393-AVERAGE(T6:T1198))/(STDEV(T6:T1198)+1E-12))</f>
        <v/>
      </c>
      <c r="X393" s="3">
        <f>IF(U393="","",U393-($V$3*G393+$W$3))</f>
        <v/>
      </c>
      <c r="Y393" s="3">
        <f>IF(X393="","",MAX(-3,MIN(3,(X393-$X3)/$X4)))</f>
        <v/>
      </c>
      <c r="Z393" s="3">
        <f>IF(Y393="","",(Y393-AVERAGE(Y6:Y1198))/(STDEV(Y6:Y1198)+1E-12))</f>
        <v/>
      </c>
    </row>
    <row r="394">
      <c r="A394" t="inlineStr">
        <is>
          <t>exe</t>
        </is>
      </c>
      <c r="B394" s="3">
        <f>IF('3a Raw'!C394="","",MAX(-3,MIN(3,('3a Raw'!C394-$B3)/$B4)))</f>
        <v/>
      </c>
      <c r="C394" s="3">
        <f>IF(B394="","",(B394-AVERAGE(B6:B1198))/(STDEV(B6:B1198)+1E-12))</f>
        <v/>
      </c>
      <c r="D394" s="3">
        <f>IF('3a Raw'!D394="","",MAX(-3,MIN(3,('3a Raw'!D394-$D3)/$D4)))</f>
        <v/>
      </c>
      <c r="E394" s="3">
        <f>IF(D394="","",(D394-AVERAGE(D6:D1198))/(STDEV(D6:D1198)+1E-12))</f>
        <v/>
      </c>
      <c r="F394" s="3">
        <f>IF('3a Raw'!E394="","",MAX(-3,MIN(3,('3a Raw'!E394-$F3)/$F4)))</f>
        <v/>
      </c>
      <c r="G394" s="3">
        <f>IF(F394="","",(F394-AVERAGE(F6:F1198))/(STDEV(F6:F1198)+1E-12))</f>
        <v/>
      </c>
      <c r="H394" s="3">
        <f>IF('3a Raw'!F394="","",MAX(-3,MIN(3,('3a Raw'!F394-$H3)/$H4)))</f>
        <v/>
      </c>
      <c r="I394" s="3">
        <f>IF(H394="","",(H394-AVERAGE(H6:H1198))/(STDEV(H6:H1198)+1E-12))</f>
        <v/>
      </c>
      <c r="J394" s="3">
        <f>IF('3a Raw'!G394="","",MAX(-3,MIN(3,('3a Raw'!G394-$J3)/$J4)))</f>
        <v/>
      </c>
      <c r="K394" s="3">
        <f>IF(J394="","",(J394-AVERAGE(J6:J1198))/(STDEV(J6:J1198)+1E-12))</f>
        <v/>
      </c>
      <c r="L394" s="3">
        <f>IF('3a Raw'!H394="","",MAX(-3,MIN(3,('3a Raw'!H394-$L3)/$L4)))</f>
        <v/>
      </c>
      <c r="M394" s="3">
        <f>IF(L394="","",(L394-AVERAGE(L6:L1198))/(STDEV(L6:L1198)+1E-12))</f>
        <v/>
      </c>
      <c r="N394" s="3">
        <f>IF('3a Raw'!I394="","",MAX(-3,MIN(3,('3a Raw'!I394-$N3)/$N4)))</f>
        <v/>
      </c>
      <c r="O394" s="3">
        <f>IF(N394="","",(N394-AVERAGE(N6:N1198))/(STDEV(N6:N1198)+1E-12))</f>
        <v/>
      </c>
      <c r="P394" s="3">
        <f>IF('3a Raw'!J394="","",MAX(-3,MIN(3,('3a Raw'!J394-$P3)/$P4)))</f>
        <v/>
      </c>
      <c r="Q394" s="3">
        <f>IF(P394="","",(P394-AVERAGE(P6:P1198))/(STDEV(P6:P1198)+1E-12))</f>
        <v/>
      </c>
      <c r="R394" s="3">
        <f>IF('3a Raw'!K394="","",MAX(-3,MIN(3,('3a Raw'!K394-$R3)/$R4)))</f>
        <v/>
      </c>
      <c r="S394" s="3">
        <f>IF(R394="","",(R394-AVERAGE(R6:R1198))/(STDEV(R6:R1198)+1E-12))</f>
        <v/>
      </c>
      <c r="T394" s="3">
        <f>IF('3a Raw'!L394="","",MAX(-3,MIN(3,('3a Raw'!L394-$T3)/$T4)))</f>
        <v/>
      </c>
      <c r="U394" s="3">
        <f>IF(T394="","",(T394-AVERAGE(T6:T1198))/(STDEV(T6:T1198)+1E-12))</f>
        <v/>
      </c>
      <c r="X394" s="3">
        <f>IF(U394="","",U394-($V$3*G394+$W$3))</f>
        <v/>
      </c>
      <c r="Y394" s="3">
        <f>IF(X394="","",MAX(-3,MIN(3,(X394-$X3)/$X4)))</f>
        <v/>
      </c>
      <c r="Z394" s="3">
        <f>IF(Y394="","",(Y394-AVERAGE(Y6:Y1198))/(STDEV(Y6:Y1198)+1E-12))</f>
        <v/>
      </c>
    </row>
    <row r="395">
      <c r="A395" t="inlineStr">
        <is>
          <t>BBG000BJW241</t>
        </is>
      </c>
      <c r="B395" s="3">
        <f>IF('3a Raw'!C395="","",MAX(-3,MIN(3,('3a Raw'!C395-$B3)/$B4)))</f>
        <v/>
      </c>
      <c r="C395" s="3">
        <f>IF(B395="","",(B395-AVERAGE(B6:B1198))/(STDEV(B6:B1198)+1E-12))</f>
        <v/>
      </c>
      <c r="D395" s="3">
        <f>IF('3a Raw'!D395="","",MAX(-3,MIN(3,('3a Raw'!D395-$D3)/$D4)))</f>
        <v/>
      </c>
      <c r="E395" s="3">
        <f>IF(D395="","",(D395-AVERAGE(D6:D1198))/(STDEV(D6:D1198)+1E-12))</f>
        <v/>
      </c>
      <c r="F395" s="3">
        <f>IF('3a Raw'!E395="","",MAX(-3,MIN(3,('3a Raw'!E395-$F3)/$F4)))</f>
        <v/>
      </c>
      <c r="G395" s="3">
        <f>IF(F395="","",(F395-AVERAGE(F6:F1198))/(STDEV(F6:F1198)+1E-12))</f>
        <v/>
      </c>
      <c r="H395" s="3">
        <f>IF('3a Raw'!F395="","",MAX(-3,MIN(3,('3a Raw'!F395-$H3)/$H4)))</f>
        <v/>
      </c>
      <c r="I395" s="3">
        <f>IF(H395="","",(H395-AVERAGE(H6:H1198))/(STDEV(H6:H1198)+1E-12))</f>
        <v/>
      </c>
      <c r="J395" s="3">
        <f>IF('3a Raw'!G395="","",MAX(-3,MIN(3,('3a Raw'!G395-$J3)/$J4)))</f>
        <v/>
      </c>
      <c r="K395" s="3">
        <f>IF(J395="","",(J395-AVERAGE(J6:J1198))/(STDEV(J6:J1198)+1E-12))</f>
        <v/>
      </c>
      <c r="L395" s="3">
        <f>IF('3a Raw'!H395="","",MAX(-3,MIN(3,('3a Raw'!H395-$L3)/$L4)))</f>
        <v/>
      </c>
      <c r="M395" s="3">
        <f>IF(L395="","",(L395-AVERAGE(L6:L1198))/(STDEV(L6:L1198)+1E-12))</f>
        <v/>
      </c>
      <c r="N395" s="3">
        <f>IF('3a Raw'!I395="","",MAX(-3,MIN(3,('3a Raw'!I395-$N3)/$N4)))</f>
        <v/>
      </c>
      <c r="O395" s="3">
        <f>IF(N395="","",(N395-AVERAGE(N6:N1198))/(STDEV(N6:N1198)+1E-12))</f>
        <v/>
      </c>
      <c r="P395" s="3">
        <f>IF('3a Raw'!J395="","",MAX(-3,MIN(3,('3a Raw'!J395-$P3)/$P4)))</f>
        <v/>
      </c>
      <c r="Q395" s="3">
        <f>IF(P395="","",(P395-AVERAGE(P6:P1198))/(STDEV(P6:P1198)+1E-12))</f>
        <v/>
      </c>
      <c r="R395" s="3">
        <f>IF('3a Raw'!K395="","",MAX(-3,MIN(3,('3a Raw'!K395-$R3)/$R4)))</f>
        <v/>
      </c>
      <c r="S395" s="3">
        <f>IF(R395="","",(R395-AVERAGE(R6:R1198))/(STDEV(R6:R1198)+1E-12))</f>
        <v/>
      </c>
      <c r="T395" s="3">
        <f>IF('3a Raw'!L395="","",MAX(-3,MIN(3,('3a Raw'!L395-$T3)/$T4)))</f>
        <v/>
      </c>
      <c r="U395" s="3">
        <f>IF(T395="","",(T395-AVERAGE(T6:T1198))/(STDEV(T6:T1198)+1E-12))</f>
        <v/>
      </c>
      <c r="X395" s="3">
        <f>IF(U395="","",U395-($V$3*G395+$W$3))</f>
        <v/>
      </c>
      <c r="Y395" s="3">
        <f>IF(X395="","",MAX(-3,MIN(3,(X395-$X3)/$X4)))</f>
        <v/>
      </c>
      <c r="Z395" s="3">
        <f>IF(Y395="","",(Y395-AVERAGE(Y6:Y1198))/(STDEV(Y6:Y1198)+1E-12))</f>
        <v/>
      </c>
    </row>
    <row r="396">
      <c r="A396" t="inlineStr">
        <is>
          <t>BBG000BJ5GK2</t>
        </is>
      </c>
      <c r="B396" s="3">
        <f>IF('3a Raw'!C396="","",MAX(-3,MIN(3,('3a Raw'!C396-$B3)/$B4)))</f>
        <v/>
      </c>
      <c r="C396" s="3">
        <f>IF(B396="","",(B396-AVERAGE(B6:B1198))/(STDEV(B6:B1198)+1E-12))</f>
        <v/>
      </c>
      <c r="D396" s="3">
        <f>IF('3a Raw'!D396="","",MAX(-3,MIN(3,('3a Raw'!D396-$D3)/$D4)))</f>
        <v/>
      </c>
      <c r="E396" s="3">
        <f>IF(D396="","",(D396-AVERAGE(D6:D1198))/(STDEV(D6:D1198)+1E-12))</f>
        <v/>
      </c>
      <c r="F396" s="3">
        <f>IF('3a Raw'!E396="","",MAX(-3,MIN(3,('3a Raw'!E396-$F3)/$F4)))</f>
        <v/>
      </c>
      <c r="G396" s="3">
        <f>IF(F396="","",(F396-AVERAGE(F6:F1198))/(STDEV(F6:F1198)+1E-12))</f>
        <v/>
      </c>
      <c r="H396" s="3">
        <f>IF('3a Raw'!F396="","",MAX(-3,MIN(3,('3a Raw'!F396-$H3)/$H4)))</f>
        <v/>
      </c>
      <c r="I396" s="3">
        <f>IF(H396="","",(H396-AVERAGE(H6:H1198))/(STDEV(H6:H1198)+1E-12))</f>
        <v/>
      </c>
      <c r="J396" s="3">
        <f>IF('3a Raw'!G396="","",MAX(-3,MIN(3,('3a Raw'!G396-$J3)/$J4)))</f>
        <v/>
      </c>
      <c r="K396" s="3">
        <f>IF(J396="","",(J396-AVERAGE(J6:J1198))/(STDEV(J6:J1198)+1E-12))</f>
        <v/>
      </c>
      <c r="L396" s="3">
        <f>IF('3a Raw'!H396="","",MAX(-3,MIN(3,('3a Raw'!H396-$L3)/$L4)))</f>
        <v/>
      </c>
      <c r="M396" s="3">
        <f>IF(L396="","",(L396-AVERAGE(L6:L1198))/(STDEV(L6:L1198)+1E-12))</f>
        <v/>
      </c>
      <c r="N396" s="3">
        <f>IF('3a Raw'!I396="","",MAX(-3,MIN(3,('3a Raw'!I396-$N3)/$N4)))</f>
        <v/>
      </c>
      <c r="O396" s="3">
        <f>IF(N396="","",(N396-AVERAGE(N6:N1198))/(STDEV(N6:N1198)+1E-12))</f>
        <v/>
      </c>
      <c r="P396" s="3">
        <f>IF('3a Raw'!J396="","",MAX(-3,MIN(3,('3a Raw'!J396-$P3)/$P4)))</f>
        <v/>
      </c>
      <c r="Q396" s="3">
        <f>IF(P396="","",(P396-AVERAGE(P6:P1198))/(STDEV(P6:P1198)+1E-12))</f>
        <v/>
      </c>
      <c r="R396" s="3">
        <f>IF('3a Raw'!K396="","",MAX(-3,MIN(3,('3a Raw'!K396-$R3)/$R4)))</f>
        <v/>
      </c>
      <c r="S396" s="3">
        <f>IF(R396="","",(R396-AVERAGE(R6:R1198))/(STDEV(R6:R1198)+1E-12))</f>
        <v/>
      </c>
      <c r="T396" s="3">
        <f>IF('3a Raw'!L396="","",MAX(-3,MIN(3,('3a Raw'!L396-$T3)/$T4)))</f>
        <v/>
      </c>
      <c r="U396" s="3">
        <f>IF(T396="","",(T396-AVERAGE(T6:T1198))/(STDEV(T6:T1198)+1E-12))</f>
        <v/>
      </c>
      <c r="X396" s="3">
        <f>IF(U396="","",U396-($V$3*G396+$W$3))</f>
        <v/>
      </c>
      <c r="Y396" s="3">
        <f>IF(X396="","",MAX(-3,MIN(3,(X396-$X3)/$X4)))</f>
        <v/>
      </c>
      <c r="Z396" s="3">
        <f>IF(Y396="","",(Y396-AVERAGE(Y6:Y1198))/(STDEV(Y6:Y1198)+1E-12))</f>
        <v/>
      </c>
    </row>
    <row r="397">
      <c r="A397" t="inlineStr">
        <is>
          <t>BBG000QY3XZ2</t>
        </is>
      </c>
      <c r="B397" s="3">
        <f>IF('3a Raw'!C397="","",MAX(-3,MIN(3,('3a Raw'!C397-$B3)/$B4)))</f>
        <v/>
      </c>
      <c r="C397" s="3">
        <f>IF(B397="","",(B397-AVERAGE(B6:B1198))/(STDEV(B6:B1198)+1E-12))</f>
        <v/>
      </c>
      <c r="D397" s="3">
        <f>IF('3a Raw'!D397="","",MAX(-3,MIN(3,('3a Raw'!D397-$D3)/$D4)))</f>
        <v/>
      </c>
      <c r="E397" s="3">
        <f>IF(D397="","",(D397-AVERAGE(D6:D1198))/(STDEV(D6:D1198)+1E-12))</f>
        <v/>
      </c>
      <c r="F397" s="3">
        <f>IF('3a Raw'!E397="","",MAX(-3,MIN(3,('3a Raw'!E397-$F3)/$F4)))</f>
        <v/>
      </c>
      <c r="G397" s="3">
        <f>IF(F397="","",(F397-AVERAGE(F6:F1198))/(STDEV(F6:F1198)+1E-12))</f>
        <v/>
      </c>
      <c r="H397" s="3">
        <f>IF('3a Raw'!F397="","",MAX(-3,MIN(3,('3a Raw'!F397-$H3)/$H4)))</f>
        <v/>
      </c>
      <c r="I397" s="3">
        <f>IF(H397="","",(H397-AVERAGE(H6:H1198))/(STDEV(H6:H1198)+1E-12))</f>
        <v/>
      </c>
      <c r="J397" s="3">
        <f>IF('3a Raw'!G397="","",MAX(-3,MIN(3,('3a Raw'!G397-$J3)/$J4)))</f>
        <v/>
      </c>
      <c r="K397" s="3">
        <f>IF(J397="","",(J397-AVERAGE(J6:J1198))/(STDEV(J6:J1198)+1E-12))</f>
        <v/>
      </c>
      <c r="L397" s="3">
        <f>IF('3a Raw'!H397="","",MAX(-3,MIN(3,('3a Raw'!H397-$L3)/$L4)))</f>
        <v/>
      </c>
      <c r="M397" s="3">
        <f>IF(L397="","",(L397-AVERAGE(L6:L1198))/(STDEV(L6:L1198)+1E-12))</f>
        <v/>
      </c>
      <c r="N397" s="3">
        <f>IF('3a Raw'!I397="","",MAX(-3,MIN(3,('3a Raw'!I397-$N3)/$N4)))</f>
        <v/>
      </c>
      <c r="O397" s="3">
        <f>IF(N397="","",(N397-AVERAGE(N6:N1198))/(STDEV(N6:N1198)+1E-12))</f>
        <v/>
      </c>
      <c r="P397" s="3">
        <f>IF('3a Raw'!J397="","",MAX(-3,MIN(3,('3a Raw'!J397-$P3)/$P4)))</f>
        <v/>
      </c>
      <c r="Q397" s="3">
        <f>IF(P397="","",(P397-AVERAGE(P6:P1198))/(STDEV(P6:P1198)+1E-12))</f>
        <v/>
      </c>
      <c r="R397" s="3">
        <f>IF('3a Raw'!K397="","",MAX(-3,MIN(3,('3a Raw'!K397-$R3)/$R4)))</f>
        <v/>
      </c>
      <c r="S397" s="3">
        <f>IF(R397="","",(R397-AVERAGE(R6:R1198))/(STDEV(R6:R1198)+1E-12))</f>
        <v/>
      </c>
      <c r="T397" s="3">
        <f>IF('3a Raw'!L397="","",MAX(-3,MIN(3,('3a Raw'!L397-$T3)/$T4)))</f>
        <v/>
      </c>
      <c r="U397" s="3">
        <f>IF(T397="","",(T397-AVERAGE(T6:T1198))/(STDEV(T6:T1198)+1E-12))</f>
        <v/>
      </c>
      <c r="X397" s="3">
        <f>IF(U397="","",U397-($V$3*G397+$W$3))</f>
        <v/>
      </c>
      <c r="Y397" s="3">
        <f>IF(X397="","",MAX(-3,MIN(3,(X397-$X3)/$X4)))</f>
        <v/>
      </c>
      <c r="Z397" s="3">
        <f>IF(Y397="","",(Y397-AVERAGE(Y6:Y1198))/(STDEV(Y6:Y1198)+1E-12))</f>
        <v/>
      </c>
    </row>
    <row r="398">
      <c r="A398" t="inlineStr">
        <is>
          <t>BBG000PV27K3</t>
        </is>
      </c>
      <c r="B398" s="3">
        <f>IF('3a Raw'!C398="","",MAX(-3,MIN(3,('3a Raw'!C398-$B3)/$B4)))</f>
        <v/>
      </c>
      <c r="C398" s="3">
        <f>IF(B398="","",(B398-AVERAGE(B6:B1198))/(STDEV(B6:B1198)+1E-12))</f>
        <v/>
      </c>
      <c r="D398" s="3">
        <f>IF('3a Raw'!D398="","",MAX(-3,MIN(3,('3a Raw'!D398-$D3)/$D4)))</f>
        <v/>
      </c>
      <c r="E398" s="3">
        <f>IF(D398="","",(D398-AVERAGE(D6:D1198))/(STDEV(D6:D1198)+1E-12))</f>
        <v/>
      </c>
      <c r="F398" s="3">
        <f>IF('3a Raw'!E398="","",MAX(-3,MIN(3,('3a Raw'!E398-$F3)/$F4)))</f>
        <v/>
      </c>
      <c r="G398" s="3">
        <f>IF(F398="","",(F398-AVERAGE(F6:F1198))/(STDEV(F6:F1198)+1E-12))</f>
        <v/>
      </c>
      <c r="H398" s="3">
        <f>IF('3a Raw'!F398="","",MAX(-3,MIN(3,('3a Raw'!F398-$H3)/$H4)))</f>
        <v/>
      </c>
      <c r="I398" s="3">
        <f>IF(H398="","",(H398-AVERAGE(H6:H1198))/(STDEV(H6:H1198)+1E-12))</f>
        <v/>
      </c>
      <c r="J398" s="3">
        <f>IF('3a Raw'!G398="","",MAX(-3,MIN(3,('3a Raw'!G398-$J3)/$J4)))</f>
        <v/>
      </c>
      <c r="K398" s="3">
        <f>IF(J398="","",(J398-AVERAGE(J6:J1198))/(STDEV(J6:J1198)+1E-12))</f>
        <v/>
      </c>
      <c r="L398" s="3">
        <f>IF('3a Raw'!H398="","",MAX(-3,MIN(3,('3a Raw'!H398-$L3)/$L4)))</f>
        <v/>
      </c>
      <c r="M398" s="3">
        <f>IF(L398="","",(L398-AVERAGE(L6:L1198))/(STDEV(L6:L1198)+1E-12))</f>
        <v/>
      </c>
      <c r="N398" s="3">
        <f>IF('3a Raw'!I398="","",MAX(-3,MIN(3,('3a Raw'!I398-$N3)/$N4)))</f>
        <v/>
      </c>
      <c r="O398" s="3">
        <f>IF(N398="","",(N398-AVERAGE(N6:N1198))/(STDEV(N6:N1198)+1E-12))</f>
        <v/>
      </c>
      <c r="P398" s="3">
        <f>IF('3a Raw'!J398="","",MAX(-3,MIN(3,('3a Raw'!J398-$P3)/$P4)))</f>
        <v/>
      </c>
      <c r="Q398" s="3">
        <f>IF(P398="","",(P398-AVERAGE(P6:P1198))/(STDEV(P6:P1198)+1E-12))</f>
        <v/>
      </c>
      <c r="R398" s="3">
        <f>IF('3a Raw'!K398="","",MAX(-3,MIN(3,('3a Raw'!K398-$R3)/$R4)))</f>
        <v/>
      </c>
      <c r="S398" s="3">
        <f>IF(R398="","",(R398-AVERAGE(R6:R1198))/(STDEV(R6:R1198)+1E-12))</f>
        <v/>
      </c>
      <c r="T398" s="3">
        <f>IF('3a Raw'!L398="","",MAX(-3,MIN(3,('3a Raw'!L398-$T3)/$T4)))</f>
        <v/>
      </c>
      <c r="U398" s="3">
        <f>IF(T398="","",(T398-AVERAGE(T6:T1198))/(STDEV(T6:T1198)+1E-12))</f>
        <v/>
      </c>
      <c r="X398" s="3">
        <f>IF(U398="","",U398-($V$3*G398+$W$3))</f>
        <v/>
      </c>
      <c r="Y398" s="3">
        <f>IF(X398="","",MAX(-3,MIN(3,(X398-$X3)/$X4)))</f>
        <v/>
      </c>
      <c r="Z398" s="3">
        <f>IF(Y398="","",(Y398-AVERAGE(Y6:Y1198))/(STDEV(Y6:Y1198)+1E-12))</f>
        <v/>
      </c>
    </row>
    <row r="399">
      <c r="A399" t="inlineStr">
        <is>
          <t>BBG000BFR0T2</t>
        </is>
      </c>
      <c r="B399" s="3">
        <f>IF('3a Raw'!C399="","",MAX(-3,MIN(3,('3a Raw'!C399-$B3)/$B4)))</f>
        <v/>
      </c>
      <c r="C399" s="3">
        <f>IF(B399="","",(B399-AVERAGE(B6:B1198))/(STDEV(B6:B1198)+1E-12))</f>
        <v/>
      </c>
      <c r="D399" s="3">
        <f>IF('3a Raw'!D399="","",MAX(-3,MIN(3,('3a Raw'!D399-$D3)/$D4)))</f>
        <v/>
      </c>
      <c r="E399" s="3">
        <f>IF(D399="","",(D399-AVERAGE(D6:D1198))/(STDEV(D6:D1198)+1E-12))</f>
        <v/>
      </c>
      <c r="F399" s="3">
        <f>IF('3a Raw'!E399="","",MAX(-3,MIN(3,('3a Raw'!E399-$F3)/$F4)))</f>
        <v/>
      </c>
      <c r="G399" s="3">
        <f>IF(F399="","",(F399-AVERAGE(F6:F1198))/(STDEV(F6:F1198)+1E-12))</f>
        <v/>
      </c>
      <c r="H399" s="3">
        <f>IF('3a Raw'!F399="","",MAX(-3,MIN(3,('3a Raw'!F399-$H3)/$H4)))</f>
        <v/>
      </c>
      <c r="I399" s="3">
        <f>IF(H399="","",(H399-AVERAGE(H6:H1198))/(STDEV(H6:H1198)+1E-12))</f>
        <v/>
      </c>
      <c r="J399" s="3">
        <f>IF('3a Raw'!G399="","",MAX(-3,MIN(3,('3a Raw'!G399-$J3)/$J4)))</f>
        <v/>
      </c>
      <c r="K399" s="3">
        <f>IF(J399="","",(J399-AVERAGE(J6:J1198))/(STDEV(J6:J1198)+1E-12))</f>
        <v/>
      </c>
      <c r="L399" s="3">
        <f>IF('3a Raw'!H399="","",MAX(-3,MIN(3,('3a Raw'!H399-$L3)/$L4)))</f>
        <v/>
      </c>
      <c r="M399" s="3">
        <f>IF(L399="","",(L399-AVERAGE(L6:L1198))/(STDEV(L6:L1198)+1E-12))</f>
        <v/>
      </c>
      <c r="N399" s="3">
        <f>IF('3a Raw'!I399="","",MAX(-3,MIN(3,('3a Raw'!I399-$N3)/$N4)))</f>
        <v/>
      </c>
      <c r="O399" s="3">
        <f>IF(N399="","",(N399-AVERAGE(N6:N1198))/(STDEV(N6:N1198)+1E-12))</f>
        <v/>
      </c>
      <c r="P399" s="3">
        <f>IF('3a Raw'!J399="","",MAX(-3,MIN(3,('3a Raw'!J399-$P3)/$P4)))</f>
        <v/>
      </c>
      <c r="Q399" s="3">
        <f>IF(P399="","",(P399-AVERAGE(P6:P1198))/(STDEV(P6:P1198)+1E-12))</f>
        <v/>
      </c>
      <c r="R399" s="3">
        <f>IF('3a Raw'!K399="","",MAX(-3,MIN(3,('3a Raw'!K399-$R3)/$R4)))</f>
        <v/>
      </c>
      <c r="S399" s="3">
        <f>IF(R399="","",(R399-AVERAGE(R6:R1198))/(STDEV(R6:R1198)+1E-12))</f>
        <v/>
      </c>
      <c r="T399" s="3">
        <f>IF('3a Raw'!L399="","",MAX(-3,MIN(3,('3a Raw'!L399-$T3)/$T4)))</f>
        <v/>
      </c>
      <c r="U399" s="3">
        <f>IF(T399="","",(T399-AVERAGE(T6:T1198))/(STDEV(T6:T1198)+1E-12))</f>
        <v/>
      </c>
      <c r="X399" s="3">
        <f>IF(U399="","",U399-($V$3*G399+$W$3))</f>
        <v/>
      </c>
      <c r="Y399" s="3">
        <f>IF(X399="","",MAX(-3,MIN(3,(X399-$X3)/$X4)))</f>
        <v/>
      </c>
      <c r="Z399" s="3">
        <f>IF(Y399="","",(Y399-AVERAGE(Y6:Y1198))/(STDEV(Y6:Y1198)+1E-12))</f>
        <v/>
      </c>
    </row>
    <row r="400">
      <c r="A400" t="inlineStr">
        <is>
          <t>BBG000BQPC32</t>
        </is>
      </c>
      <c r="B400" s="3">
        <f>IF('3a Raw'!C400="","",MAX(-3,MIN(3,('3a Raw'!C400-$B3)/$B4)))</f>
        <v/>
      </c>
      <c r="C400" s="3">
        <f>IF(B400="","",(B400-AVERAGE(B6:B1198))/(STDEV(B6:B1198)+1E-12))</f>
        <v/>
      </c>
      <c r="D400" s="3">
        <f>IF('3a Raw'!D400="","",MAX(-3,MIN(3,('3a Raw'!D400-$D3)/$D4)))</f>
        <v/>
      </c>
      <c r="E400" s="3">
        <f>IF(D400="","",(D400-AVERAGE(D6:D1198))/(STDEV(D6:D1198)+1E-12))</f>
        <v/>
      </c>
      <c r="F400" s="3">
        <f>IF('3a Raw'!E400="","",MAX(-3,MIN(3,('3a Raw'!E400-$F3)/$F4)))</f>
        <v/>
      </c>
      <c r="G400" s="3">
        <f>IF(F400="","",(F400-AVERAGE(F6:F1198))/(STDEV(F6:F1198)+1E-12))</f>
        <v/>
      </c>
      <c r="H400" s="3">
        <f>IF('3a Raw'!F400="","",MAX(-3,MIN(3,('3a Raw'!F400-$H3)/$H4)))</f>
        <v/>
      </c>
      <c r="I400" s="3">
        <f>IF(H400="","",(H400-AVERAGE(H6:H1198))/(STDEV(H6:H1198)+1E-12))</f>
        <v/>
      </c>
      <c r="J400" s="3">
        <f>IF('3a Raw'!G400="","",MAX(-3,MIN(3,('3a Raw'!G400-$J3)/$J4)))</f>
        <v/>
      </c>
      <c r="K400" s="3">
        <f>IF(J400="","",(J400-AVERAGE(J6:J1198))/(STDEV(J6:J1198)+1E-12))</f>
        <v/>
      </c>
      <c r="L400" s="3">
        <f>IF('3a Raw'!H400="","",MAX(-3,MIN(3,('3a Raw'!H400-$L3)/$L4)))</f>
        <v/>
      </c>
      <c r="M400" s="3">
        <f>IF(L400="","",(L400-AVERAGE(L6:L1198))/(STDEV(L6:L1198)+1E-12))</f>
        <v/>
      </c>
      <c r="N400" s="3">
        <f>IF('3a Raw'!I400="","",MAX(-3,MIN(3,('3a Raw'!I400-$N3)/$N4)))</f>
        <v/>
      </c>
      <c r="O400" s="3">
        <f>IF(N400="","",(N400-AVERAGE(N6:N1198))/(STDEV(N6:N1198)+1E-12))</f>
        <v/>
      </c>
      <c r="P400" s="3">
        <f>IF('3a Raw'!J400="","",MAX(-3,MIN(3,('3a Raw'!J400-$P3)/$P4)))</f>
        <v/>
      </c>
      <c r="Q400" s="3">
        <f>IF(P400="","",(P400-AVERAGE(P6:P1198))/(STDEV(P6:P1198)+1E-12))</f>
        <v/>
      </c>
      <c r="R400" s="3">
        <f>IF('3a Raw'!K400="","",MAX(-3,MIN(3,('3a Raw'!K400-$R3)/$R4)))</f>
        <v/>
      </c>
      <c r="S400" s="3">
        <f>IF(R400="","",(R400-AVERAGE(R6:R1198))/(STDEV(R6:R1198)+1E-12))</f>
        <v/>
      </c>
      <c r="T400" s="3">
        <f>IF('3a Raw'!L400="","",MAX(-3,MIN(3,('3a Raw'!L400-$T3)/$T4)))</f>
        <v/>
      </c>
      <c r="U400" s="3">
        <f>IF(T400="","",(T400-AVERAGE(T6:T1198))/(STDEV(T6:T1198)+1E-12))</f>
        <v/>
      </c>
      <c r="X400" s="3">
        <f>IF(U400="","",U400-($V$3*G400+$W$3))</f>
        <v/>
      </c>
      <c r="Y400" s="3">
        <f>IF(X400="","",MAX(-3,MIN(3,(X400-$X3)/$X4)))</f>
        <v/>
      </c>
      <c r="Z400" s="3">
        <f>IF(Y400="","",(Y400-AVERAGE(Y6:Y1198))/(STDEV(Y6:Y1198)+1E-12))</f>
        <v/>
      </c>
    </row>
    <row r="401">
      <c r="A401" t="inlineStr">
        <is>
          <t>BBG002PHSYX9</t>
        </is>
      </c>
      <c r="B401" s="3">
        <f>IF('3a Raw'!C401="","",MAX(-3,MIN(3,('3a Raw'!C401-$B3)/$B4)))</f>
        <v/>
      </c>
      <c r="C401" s="3">
        <f>IF(B401="","",(B401-AVERAGE(B6:B1198))/(STDEV(B6:B1198)+1E-12))</f>
        <v/>
      </c>
      <c r="D401" s="3">
        <f>IF('3a Raw'!D401="","",MAX(-3,MIN(3,('3a Raw'!D401-$D3)/$D4)))</f>
        <v/>
      </c>
      <c r="E401" s="3">
        <f>IF(D401="","",(D401-AVERAGE(D6:D1198))/(STDEV(D6:D1198)+1E-12))</f>
        <v/>
      </c>
      <c r="F401" s="3">
        <f>IF('3a Raw'!E401="","",MAX(-3,MIN(3,('3a Raw'!E401-$F3)/$F4)))</f>
        <v/>
      </c>
      <c r="G401" s="3">
        <f>IF(F401="","",(F401-AVERAGE(F6:F1198))/(STDEV(F6:F1198)+1E-12))</f>
        <v/>
      </c>
      <c r="H401" s="3">
        <f>IF('3a Raw'!F401="","",MAX(-3,MIN(3,('3a Raw'!F401-$H3)/$H4)))</f>
        <v/>
      </c>
      <c r="I401" s="3">
        <f>IF(H401="","",(H401-AVERAGE(H6:H1198))/(STDEV(H6:H1198)+1E-12))</f>
        <v/>
      </c>
      <c r="J401" s="3">
        <f>IF('3a Raw'!G401="","",MAX(-3,MIN(3,('3a Raw'!G401-$J3)/$J4)))</f>
        <v/>
      </c>
      <c r="K401" s="3">
        <f>IF(J401="","",(J401-AVERAGE(J6:J1198))/(STDEV(J6:J1198)+1E-12))</f>
        <v/>
      </c>
      <c r="L401" s="3">
        <f>IF('3a Raw'!H401="","",MAX(-3,MIN(3,('3a Raw'!H401-$L3)/$L4)))</f>
        <v/>
      </c>
      <c r="M401" s="3">
        <f>IF(L401="","",(L401-AVERAGE(L6:L1198))/(STDEV(L6:L1198)+1E-12))</f>
        <v/>
      </c>
      <c r="N401" s="3">
        <f>IF('3a Raw'!I401="","",MAX(-3,MIN(3,('3a Raw'!I401-$N3)/$N4)))</f>
        <v/>
      </c>
      <c r="O401" s="3">
        <f>IF(N401="","",(N401-AVERAGE(N6:N1198))/(STDEV(N6:N1198)+1E-12))</f>
        <v/>
      </c>
      <c r="P401" s="3">
        <f>IF('3a Raw'!J401="","",MAX(-3,MIN(3,('3a Raw'!J401-$P3)/$P4)))</f>
        <v/>
      </c>
      <c r="Q401" s="3">
        <f>IF(P401="","",(P401-AVERAGE(P6:P1198))/(STDEV(P6:P1198)+1E-12))</f>
        <v/>
      </c>
      <c r="R401" s="3">
        <f>IF('3a Raw'!K401="","",MAX(-3,MIN(3,('3a Raw'!K401-$R3)/$R4)))</f>
        <v/>
      </c>
      <c r="S401" s="3">
        <f>IF(R401="","",(R401-AVERAGE(R6:R1198))/(STDEV(R6:R1198)+1E-12))</f>
        <v/>
      </c>
      <c r="T401" s="3">
        <f>IF('3a Raw'!L401="","",MAX(-3,MIN(3,('3a Raw'!L401-$T3)/$T4)))</f>
        <v/>
      </c>
      <c r="U401" s="3">
        <f>IF(T401="","",(T401-AVERAGE(T6:T1198))/(STDEV(T6:T1198)+1E-12))</f>
        <v/>
      </c>
      <c r="X401" s="3">
        <f>IF(U401="","",U401-($V$3*G401+$W$3))</f>
        <v/>
      </c>
      <c r="Y401" s="3">
        <f>IF(X401="","",MAX(-3,MIN(3,(X401-$X3)/$X4)))</f>
        <v/>
      </c>
      <c r="Z401" s="3">
        <f>IF(Y401="","",(Y401-AVERAGE(Y6:Y1198))/(STDEV(Y6:Y1198)+1E-12))</f>
        <v/>
      </c>
    </row>
    <row r="402">
      <c r="A402" t="inlineStr">
        <is>
          <t>fast</t>
        </is>
      </c>
      <c r="B402" s="3">
        <f>IF('3a Raw'!C402="","",MAX(-3,MIN(3,('3a Raw'!C402-$B3)/$B4)))</f>
        <v/>
      </c>
      <c r="C402" s="3">
        <f>IF(B402="","",(B402-AVERAGE(B6:B1198))/(STDEV(B6:B1198)+1E-12))</f>
        <v/>
      </c>
      <c r="D402" s="3">
        <f>IF('3a Raw'!D402="","",MAX(-3,MIN(3,('3a Raw'!D402-$D3)/$D4)))</f>
        <v/>
      </c>
      <c r="E402" s="3">
        <f>IF(D402="","",(D402-AVERAGE(D6:D1198))/(STDEV(D6:D1198)+1E-12))</f>
        <v/>
      </c>
      <c r="F402" s="3">
        <f>IF('3a Raw'!E402="","",MAX(-3,MIN(3,('3a Raw'!E402-$F3)/$F4)))</f>
        <v/>
      </c>
      <c r="G402" s="3">
        <f>IF(F402="","",(F402-AVERAGE(F6:F1198))/(STDEV(F6:F1198)+1E-12))</f>
        <v/>
      </c>
      <c r="H402" s="3">
        <f>IF('3a Raw'!F402="","",MAX(-3,MIN(3,('3a Raw'!F402-$H3)/$H4)))</f>
        <v/>
      </c>
      <c r="I402" s="3">
        <f>IF(H402="","",(H402-AVERAGE(H6:H1198))/(STDEV(H6:H1198)+1E-12))</f>
        <v/>
      </c>
      <c r="J402" s="3">
        <f>IF('3a Raw'!G402="","",MAX(-3,MIN(3,('3a Raw'!G402-$J3)/$J4)))</f>
        <v/>
      </c>
      <c r="K402" s="3">
        <f>IF(J402="","",(J402-AVERAGE(J6:J1198))/(STDEV(J6:J1198)+1E-12))</f>
        <v/>
      </c>
      <c r="L402" s="3">
        <f>IF('3a Raw'!H402="","",MAX(-3,MIN(3,('3a Raw'!H402-$L3)/$L4)))</f>
        <v/>
      </c>
      <c r="M402" s="3">
        <f>IF(L402="","",(L402-AVERAGE(L6:L1198))/(STDEV(L6:L1198)+1E-12))</f>
        <v/>
      </c>
      <c r="N402" s="3">
        <f>IF('3a Raw'!I402="","",MAX(-3,MIN(3,('3a Raw'!I402-$N3)/$N4)))</f>
        <v/>
      </c>
      <c r="O402" s="3">
        <f>IF(N402="","",(N402-AVERAGE(N6:N1198))/(STDEV(N6:N1198)+1E-12))</f>
        <v/>
      </c>
      <c r="P402" s="3">
        <f>IF('3a Raw'!J402="","",MAX(-3,MIN(3,('3a Raw'!J402-$P3)/$P4)))</f>
        <v/>
      </c>
      <c r="Q402" s="3">
        <f>IF(P402="","",(P402-AVERAGE(P6:P1198))/(STDEV(P6:P1198)+1E-12))</f>
        <v/>
      </c>
      <c r="R402" s="3">
        <f>IF('3a Raw'!K402="","",MAX(-3,MIN(3,('3a Raw'!K402-$R3)/$R4)))</f>
        <v/>
      </c>
      <c r="S402" s="3">
        <f>IF(R402="","",(R402-AVERAGE(R6:R1198))/(STDEV(R6:R1198)+1E-12))</f>
        <v/>
      </c>
      <c r="T402" s="3">
        <f>IF('3a Raw'!L402="","",MAX(-3,MIN(3,('3a Raw'!L402-$T3)/$T4)))</f>
        <v/>
      </c>
      <c r="U402" s="3">
        <f>IF(T402="","",(T402-AVERAGE(T6:T1198))/(STDEV(T6:T1198)+1E-12))</f>
        <v/>
      </c>
      <c r="X402" s="3">
        <f>IF(U402="","",U402-($V$3*G402+$W$3))</f>
        <v/>
      </c>
      <c r="Y402" s="3">
        <f>IF(X402="","",MAX(-3,MIN(3,(X402-$X3)/$X4)))</f>
        <v/>
      </c>
      <c r="Z402" s="3">
        <f>IF(Y402="","",(Y402-AVERAGE(Y6:Y1198))/(STDEV(Y6:Y1198)+1E-12))</f>
        <v/>
      </c>
    </row>
    <row r="403">
      <c r="A403" t="inlineStr">
        <is>
          <t>BBG000BJCDS3</t>
        </is>
      </c>
      <c r="B403" s="3">
        <f>IF('3a Raw'!C403="","",MAX(-3,MIN(3,('3a Raw'!C403-$B3)/$B4)))</f>
        <v/>
      </c>
      <c r="C403" s="3">
        <f>IF(B403="","",(B403-AVERAGE(B6:B1198))/(STDEV(B6:B1198)+1E-12))</f>
        <v/>
      </c>
      <c r="D403" s="3">
        <f>IF('3a Raw'!D403="","",MAX(-3,MIN(3,('3a Raw'!D403-$D3)/$D4)))</f>
        <v/>
      </c>
      <c r="E403" s="3">
        <f>IF(D403="","",(D403-AVERAGE(D6:D1198))/(STDEV(D6:D1198)+1E-12))</f>
        <v/>
      </c>
      <c r="F403" s="3">
        <f>IF('3a Raw'!E403="","",MAX(-3,MIN(3,('3a Raw'!E403-$F3)/$F4)))</f>
        <v/>
      </c>
      <c r="G403" s="3">
        <f>IF(F403="","",(F403-AVERAGE(F6:F1198))/(STDEV(F6:F1198)+1E-12))</f>
        <v/>
      </c>
      <c r="H403" s="3">
        <f>IF('3a Raw'!F403="","",MAX(-3,MIN(3,('3a Raw'!F403-$H3)/$H4)))</f>
        <v/>
      </c>
      <c r="I403" s="3">
        <f>IF(H403="","",(H403-AVERAGE(H6:H1198))/(STDEV(H6:H1198)+1E-12))</f>
        <v/>
      </c>
      <c r="J403" s="3">
        <f>IF('3a Raw'!G403="","",MAX(-3,MIN(3,('3a Raw'!G403-$J3)/$J4)))</f>
        <v/>
      </c>
      <c r="K403" s="3">
        <f>IF(J403="","",(J403-AVERAGE(J6:J1198))/(STDEV(J6:J1198)+1E-12))</f>
        <v/>
      </c>
      <c r="L403" s="3">
        <f>IF('3a Raw'!H403="","",MAX(-3,MIN(3,('3a Raw'!H403-$L3)/$L4)))</f>
        <v/>
      </c>
      <c r="M403" s="3">
        <f>IF(L403="","",(L403-AVERAGE(L6:L1198))/(STDEV(L6:L1198)+1E-12))</f>
        <v/>
      </c>
      <c r="N403" s="3">
        <f>IF('3a Raw'!I403="","",MAX(-3,MIN(3,('3a Raw'!I403-$N3)/$N4)))</f>
        <v/>
      </c>
      <c r="O403" s="3">
        <f>IF(N403="","",(N403-AVERAGE(N6:N1198))/(STDEV(N6:N1198)+1E-12))</f>
        <v/>
      </c>
      <c r="P403" s="3">
        <f>IF('3a Raw'!J403="","",MAX(-3,MIN(3,('3a Raw'!J403-$P3)/$P4)))</f>
        <v/>
      </c>
      <c r="Q403" s="3">
        <f>IF(P403="","",(P403-AVERAGE(P6:P1198))/(STDEV(P6:P1198)+1E-12))</f>
        <v/>
      </c>
      <c r="R403" s="3">
        <f>IF('3a Raw'!K403="","",MAX(-3,MIN(3,('3a Raw'!K403-$R3)/$R4)))</f>
        <v/>
      </c>
      <c r="S403" s="3">
        <f>IF(R403="","",(R403-AVERAGE(R6:R1198))/(STDEV(R6:R1198)+1E-12))</f>
        <v/>
      </c>
      <c r="T403" s="3">
        <f>IF('3a Raw'!L403="","",MAX(-3,MIN(3,('3a Raw'!L403-$T3)/$T4)))</f>
        <v/>
      </c>
      <c r="U403" s="3">
        <f>IF(T403="","",(T403-AVERAGE(T6:T1198))/(STDEV(T6:T1198)+1E-12))</f>
        <v/>
      </c>
      <c r="X403" s="3">
        <f>IF(U403="","",U403-($V$3*G403+$W$3))</f>
        <v/>
      </c>
      <c r="Y403" s="3">
        <f>IF(X403="","",MAX(-3,MIN(3,(X403-$X3)/$X4)))</f>
        <v/>
      </c>
      <c r="Z403" s="3">
        <f>IF(Y403="","",(Y403-AVERAGE(Y6:Y1198))/(STDEV(Y6:Y1198)+1E-12))</f>
        <v/>
      </c>
    </row>
    <row r="404">
      <c r="A404" t="inlineStr">
        <is>
          <t>BBG000BJDB15</t>
        </is>
      </c>
      <c r="B404" s="3">
        <f>IF('3a Raw'!C404="","",MAX(-3,MIN(3,('3a Raw'!C404-$B3)/$B4)))</f>
        <v/>
      </c>
      <c r="C404" s="3">
        <f>IF(B404="","",(B404-AVERAGE(B6:B1198))/(STDEV(B6:B1198)+1E-12))</f>
        <v/>
      </c>
      <c r="D404" s="3">
        <f>IF('3a Raw'!D404="","",MAX(-3,MIN(3,('3a Raw'!D404-$D3)/$D4)))</f>
        <v/>
      </c>
      <c r="E404" s="3">
        <f>IF(D404="","",(D404-AVERAGE(D6:D1198))/(STDEV(D6:D1198)+1E-12))</f>
        <v/>
      </c>
      <c r="F404" s="3">
        <f>IF('3a Raw'!E404="","",MAX(-3,MIN(3,('3a Raw'!E404-$F3)/$F4)))</f>
        <v/>
      </c>
      <c r="G404" s="3">
        <f>IF(F404="","",(F404-AVERAGE(F6:F1198))/(STDEV(F6:F1198)+1E-12))</f>
        <v/>
      </c>
      <c r="H404" s="3">
        <f>IF('3a Raw'!F404="","",MAX(-3,MIN(3,('3a Raw'!F404-$H3)/$H4)))</f>
        <v/>
      </c>
      <c r="I404" s="3">
        <f>IF(H404="","",(H404-AVERAGE(H6:H1198))/(STDEV(H6:H1198)+1E-12))</f>
        <v/>
      </c>
      <c r="J404" s="3">
        <f>IF('3a Raw'!G404="","",MAX(-3,MIN(3,('3a Raw'!G404-$J3)/$J4)))</f>
        <v/>
      </c>
      <c r="K404" s="3">
        <f>IF(J404="","",(J404-AVERAGE(J6:J1198))/(STDEV(J6:J1198)+1E-12))</f>
        <v/>
      </c>
      <c r="L404" s="3">
        <f>IF('3a Raw'!H404="","",MAX(-3,MIN(3,('3a Raw'!H404-$L3)/$L4)))</f>
        <v/>
      </c>
      <c r="M404" s="3">
        <f>IF(L404="","",(L404-AVERAGE(L6:L1198))/(STDEV(L6:L1198)+1E-12))</f>
        <v/>
      </c>
      <c r="N404" s="3">
        <f>IF('3a Raw'!I404="","",MAX(-3,MIN(3,('3a Raw'!I404-$N3)/$N4)))</f>
        <v/>
      </c>
      <c r="O404" s="3">
        <f>IF(N404="","",(N404-AVERAGE(N6:N1198))/(STDEV(N6:N1198)+1E-12))</f>
        <v/>
      </c>
      <c r="P404" s="3">
        <f>IF('3a Raw'!J404="","",MAX(-3,MIN(3,('3a Raw'!J404-$P3)/$P4)))</f>
        <v/>
      </c>
      <c r="Q404" s="3">
        <f>IF(P404="","",(P404-AVERAGE(P6:P1198))/(STDEV(P6:P1198)+1E-12))</f>
        <v/>
      </c>
      <c r="R404" s="3">
        <f>IF('3a Raw'!K404="","",MAX(-3,MIN(3,('3a Raw'!K404-$R3)/$R4)))</f>
        <v/>
      </c>
      <c r="S404" s="3">
        <f>IF(R404="","",(R404-AVERAGE(R6:R1198))/(STDEV(R6:R1198)+1E-12))</f>
        <v/>
      </c>
      <c r="T404" s="3">
        <f>IF('3a Raw'!L404="","",MAX(-3,MIN(3,('3a Raw'!L404-$T3)/$T4)))</f>
        <v/>
      </c>
      <c r="U404" s="3">
        <f>IF(T404="","",(T404-AVERAGE(T6:T1198))/(STDEV(T6:T1198)+1E-12))</f>
        <v/>
      </c>
      <c r="X404" s="3">
        <f>IF(U404="","",U404-($V$3*G404+$W$3))</f>
        <v/>
      </c>
      <c r="Y404" s="3">
        <f>IF(X404="","",MAX(-3,MIN(3,(X404-$X3)/$X4)))</f>
        <v/>
      </c>
      <c r="Z404" s="3">
        <f>IF(Y404="","",(Y404-AVERAGE(Y6:Y1198))/(STDEV(Y6:Y1198)+1E-12))</f>
        <v/>
      </c>
    </row>
    <row r="405">
      <c r="A405" t="inlineStr">
        <is>
          <t>BBG00QG40R88</t>
        </is>
      </c>
      <c r="B405" s="3">
        <f>IF('3a Raw'!C405="","",MAX(-3,MIN(3,('3a Raw'!C405-$B3)/$B4)))</f>
        <v/>
      </c>
      <c r="C405" s="3">
        <f>IF(B405="","",(B405-AVERAGE(B6:B1198))/(STDEV(B6:B1198)+1E-12))</f>
        <v/>
      </c>
      <c r="D405" s="3">
        <f>IF('3a Raw'!D405="","",MAX(-3,MIN(3,('3a Raw'!D405-$D3)/$D4)))</f>
        <v/>
      </c>
      <c r="E405" s="3">
        <f>IF(D405="","",(D405-AVERAGE(D6:D1198))/(STDEV(D6:D1198)+1E-12))</f>
        <v/>
      </c>
      <c r="F405" s="3">
        <f>IF('3a Raw'!E405="","",MAX(-3,MIN(3,('3a Raw'!E405-$F3)/$F4)))</f>
        <v/>
      </c>
      <c r="G405" s="3">
        <f>IF(F405="","",(F405-AVERAGE(F6:F1198))/(STDEV(F6:F1198)+1E-12))</f>
        <v/>
      </c>
      <c r="H405" s="3">
        <f>IF('3a Raw'!F405="","",MAX(-3,MIN(3,('3a Raw'!F405-$H3)/$H4)))</f>
        <v/>
      </c>
      <c r="I405" s="3">
        <f>IF(H405="","",(H405-AVERAGE(H6:H1198))/(STDEV(H6:H1198)+1E-12))</f>
        <v/>
      </c>
      <c r="J405" s="3">
        <f>IF('3a Raw'!G405="","",MAX(-3,MIN(3,('3a Raw'!G405-$J3)/$J4)))</f>
        <v/>
      </c>
      <c r="K405" s="3">
        <f>IF(J405="","",(J405-AVERAGE(J6:J1198))/(STDEV(J6:J1198)+1E-12))</f>
        <v/>
      </c>
      <c r="L405" s="3">
        <f>IF('3a Raw'!H405="","",MAX(-3,MIN(3,('3a Raw'!H405-$L3)/$L4)))</f>
        <v/>
      </c>
      <c r="M405" s="3">
        <f>IF(L405="","",(L405-AVERAGE(L6:L1198))/(STDEV(L6:L1198)+1E-12))</f>
        <v/>
      </c>
      <c r="N405" s="3">
        <f>IF('3a Raw'!I405="","",MAX(-3,MIN(3,('3a Raw'!I405-$N3)/$N4)))</f>
        <v/>
      </c>
      <c r="O405" s="3">
        <f>IF(N405="","",(N405-AVERAGE(N6:N1198))/(STDEV(N6:N1198)+1E-12))</f>
        <v/>
      </c>
      <c r="P405" s="3">
        <f>IF('3a Raw'!J405="","",MAX(-3,MIN(3,('3a Raw'!J405-$P3)/$P4)))</f>
        <v/>
      </c>
      <c r="Q405" s="3">
        <f>IF(P405="","",(P405-AVERAGE(P6:P1198))/(STDEV(P6:P1198)+1E-12))</f>
        <v/>
      </c>
      <c r="R405" s="3">
        <f>IF('3a Raw'!K405="","",MAX(-3,MIN(3,('3a Raw'!K405-$R3)/$R4)))</f>
        <v/>
      </c>
      <c r="S405" s="3">
        <f>IF(R405="","",(R405-AVERAGE(R6:R1198))/(STDEV(R6:R1198)+1E-12))</f>
        <v/>
      </c>
      <c r="T405" s="3">
        <f>IF('3a Raw'!L405="","",MAX(-3,MIN(3,('3a Raw'!L405-$T3)/$T4)))</f>
        <v/>
      </c>
      <c r="U405" s="3">
        <f>IF(T405="","",(T405-AVERAGE(T6:T1198))/(STDEV(T6:T1198)+1E-12))</f>
        <v/>
      </c>
      <c r="X405" s="3">
        <f>IF(U405="","",U405-($V$3*G405+$W$3))</f>
        <v/>
      </c>
      <c r="Y405" s="3">
        <f>IF(X405="","",MAX(-3,MIN(3,(X405-$X3)/$X4)))</f>
        <v/>
      </c>
      <c r="Z405" s="3">
        <f>IF(Y405="","",(Y405-AVERAGE(Y6:Y1198))/(STDEV(Y6:Y1198)+1E-12))</f>
        <v/>
      </c>
    </row>
    <row r="406">
      <c r="A406" t="inlineStr">
        <is>
          <t>fds</t>
        </is>
      </c>
      <c r="B406" s="3">
        <f>IF('3a Raw'!C406="","",MAX(-3,MIN(3,('3a Raw'!C406-$B3)/$B4)))</f>
        <v/>
      </c>
      <c r="C406" s="3">
        <f>IF(B406="","",(B406-AVERAGE(B6:B1198))/(STDEV(B6:B1198)+1E-12))</f>
        <v/>
      </c>
      <c r="D406" s="3">
        <f>IF('3a Raw'!D406="","",MAX(-3,MIN(3,('3a Raw'!D406-$D3)/$D4)))</f>
        <v/>
      </c>
      <c r="E406" s="3">
        <f>IF(D406="","",(D406-AVERAGE(D6:D1198))/(STDEV(D6:D1198)+1E-12))</f>
        <v/>
      </c>
      <c r="F406" s="3">
        <f>IF('3a Raw'!E406="","",MAX(-3,MIN(3,('3a Raw'!E406-$F3)/$F4)))</f>
        <v/>
      </c>
      <c r="G406" s="3">
        <f>IF(F406="","",(F406-AVERAGE(F6:F1198))/(STDEV(F6:F1198)+1E-12))</f>
        <v/>
      </c>
      <c r="H406" s="3">
        <f>IF('3a Raw'!F406="","",MAX(-3,MIN(3,('3a Raw'!F406-$H3)/$H4)))</f>
        <v/>
      </c>
      <c r="I406" s="3">
        <f>IF(H406="","",(H406-AVERAGE(H6:H1198))/(STDEV(H6:H1198)+1E-12))</f>
        <v/>
      </c>
      <c r="J406" s="3">
        <f>IF('3a Raw'!G406="","",MAX(-3,MIN(3,('3a Raw'!G406-$J3)/$J4)))</f>
        <v/>
      </c>
      <c r="K406" s="3">
        <f>IF(J406="","",(J406-AVERAGE(J6:J1198))/(STDEV(J6:J1198)+1E-12))</f>
        <v/>
      </c>
      <c r="L406" s="3">
        <f>IF('3a Raw'!H406="","",MAX(-3,MIN(3,('3a Raw'!H406-$L3)/$L4)))</f>
        <v/>
      </c>
      <c r="M406" s="3">
        <f>IF(L406="","",(L406-AVERAGE(L6:L1198))/(STDEV(L6:L1198)+1E-12))</f>
        <v/>
      </c>
      <c r="N406" s="3">
        <f>IF('3a Raw'!I406="","",MAX(-3,MIN(3,('3a Raw'!I406-$N3)/$N4)))</f>
        <v/>
      </c>
      <c r="O406" s="3">
        <f>IF(N406="","",(N406-AVERAGE(N6:N1198))/(STDEV(N6:N1198)+1E-12))</f>
        <v/>
      </c>
      <c r="P406" s="3">
        <f>IF('3a Raw'!J406="","",MAX(-3,MIN(3,('3a Raw'!J406-$P3)/$P4)))</f>
        <v/>
      </c>
      <c r="Q406" s="3">
        <f>IF(P406="","",(P406-AVERAGE(P6:P1198))/(STDEV(P6:P1198)+1E-12))</f>
        <v/>
      </c>
      <c r="R406" s="3">
        <f>IF('3a Raw'!K406="","",MAX(-3,MIN(3,('3a Raw'!K406-$R3)/$R4)))</f>
        <v/>
      </c>
      <c r="S406" s="3">
        <f>IF(R406="","",(R406-AVERAGE(R6:R1198))/(STDEV(R6:R1198)+1E-12))</f>
        <v/>
      </c>
      <c r="T406" s="3">
        <f>IF('3a Raw'!L406="","",MAX(-3,MIN(3,('3a Raw'!L406-$T3)/$T4)))</f>
        <v/>
      </c>
      <c r="U406" s="3">
        <f>IF(T406="","",(T406-AVERAGE(T6:T1198))/(STDEV(T6:T1198)+1E-12))</f>
        <v/>
      </c>
      <c r="X406" s="3">
        <f>IF(U406="","",U406-($V$3*G406+$W$3))</f>
        <v/>
      </c>
      <c r="Y406" s="3">
        <f>IF(X406="","",MAX(-3,MIN(3,(X406-$X3)/$X4)))</f>
        <v/>
      </c>
      <c r="Z406" s="3">
        <f>IF(Y406="","",(Y406-AVERAGE(Y6:Y1198))/(STDEV(Y6:Y1198)+1E-12))</f>
        <v/>
      </c>
    </row>
    <row r="407">
      <c r="A407" t="inlineStr">
        <is>
          <t>BBG000BJF1Z8</t>
        </is>
      </c>
      <c r="B407" s="3">
        <f>IF('3a Raw'!C407="","",MAX(-3,MIN(3,('3a Raw'!C407-$B3)/$B4)))</f>
        <v/>
      </c>
      <c r="C407" s="3">
        <f>IF(B407="","",(B407-AVERAGE(B6:B1198))/(STDEV(B6:B1198)+1E-12))</f>
        <v/>
      </c>
      <c r="D407" s="3">
        <f>IF('3a Raw'!D407="","",MAX(-3,MIN(3,('3a Raw'!D407-$D3)/$D4)))</f>
        <v/>
      </c>
      <c r="E407" s="3">
        <f>IF(D407="","",(D407-AVERAGE(D6:D1198))/(STDEV(D6:D1198)+1E-12))</f>
        <v/>
      </c>
      <c r="F407" s="3">
        <f>IF('3a Raw'!E407="","",MAX(-3,MIN(3,('3a Raw'!E407-$F3)/$F4)))</f>
        <v/>
      </c>
      <c r="G407" s="3">
        <f>IF(F407="","",(F407-AVERAGE(F6:F1198))/(STDEV(F6:F1198)+1E-12))</f>
        <v/>
      </c>
      <c r="H407" s="3">
        <f>IF('3a Raw'!F407="","",MAX(-3,MIN(3,('3a Raw'!F407-$H3)/$H4)))</f>
        <v/>
      </c>
      <c r="I407" s="3">
        <f>IF(H407="","",(H407-AVERAGE(H6:H1198))/(STDEV(H6:H1198)+1E-12))</f>
        <v/>
      </c>
      <c r="J407" s="3">
        <f>IF('3a Raw'!G407="","",MAX(-3,MIN(3,('3a Raw'!G407-$J3)/$J4)))</f>
        <v/>
      </c>
      <c r="K407" s="3">
        <f>IF(J407="","",(J407-AVERAGE(J6:J1198))/(STDEV(J6:J1198)+1E-12))</f>
        <v/>
      </c>
      <c r="L407" s="3">
        <f>IF('3a Raw'!H407="","",MAX(-3,MIN(3,('3a Raw'!H407-$L3)/$L4)))</f>
        <v/>
      </c>
      <c r="M407" s="3">
        <f>IF(L407="","",(L407-AVERAGE(L6:L1198))/(STDEV(L6:L1198)+1E-12))</f>
        <v/>
      </c>
      <c r="N407" s="3">
        <f>IF('3a Raw'!I407="","",MAX(-3,MIN(3,('3a Raw'!I407-$N3)/$N4)))</f>
        <v/>
      </c>
      <c r="O407" s="3">
        <f>IF(N407="","",(N407-AVERAGE(N6:N1198))/(STDEV(N6:N1198)+1E-12))</f>
        <v/>
      </c>
      <c r="P407" s="3">
        <f>IF('3a Raw'!J407="","",MAX(-3,MIN(3,('3a Raw'!J407-$P3)/$P4)))</f>
        <v/>
      </c>
      <c r="Q407" s="3">
        <f>IF(P407="","",(P407-AVERAGE(P6:P1198))/(STDEV(P6:P1198)+1E-12))</f>
        <v/>
      </c>
      <c r="R407" s="3">
        <f>IF('3a Raw'!K407="","",MAX(-3,MIN(3,('3a Raw'!K407-$R3)/$R4)))</f>
        <v/>
      </c>
      <c r="S407" s="3">
        <f>IF(R407="","",(R407-AVERAGE(R6:R1198))/(STDEV(R6:R1198)+1E-12))</f>
        <v/>
      </c>
      <c r="T407" s="3">
        <f>IF('3a Raw'!L407="","",MAX(-3,MIN(3,('3a Raw'!L407-$T3)/$T4)))</f>
        <v/>
      </c>
      <c r="U407" s="3">
        <f>IF(T407="","",(T407-AVERAGE(T6:T1198))/(STDEV(T6:T1198)+1E-12))</f>
        <v/>
      </c>
      <c r="X407" s="3">
        <f>IF(U407="","",U407-($V$3*G407+$W$3))</f>
        <v/>
      </c>
      <c r="Y407" s="3">
        <f>IF(X407="","",MAX(-3,MIN(3,(X407-$X3)/$X4)))</f>
        <v/>
      </c>
      <c r="Z407" s="3">
        <f>IF(Y407="","",(Y407-AVERAGE(Y6:Y1198))/(STDEV(Y6:Y1198)+1E-12))</f>
        <v/>
      </c>
    </row>
    <row r="408">
      <c r="A408" t="inlineStr">
        <is>
          <t>BBG000BB6M98</t>
        </is>
      </c>
      <c r="B408" s="3">
        <f>IF('3a Raw'!C408="","",MAX(-3,MIN(3,('3a Raw'!C408-$B3)/$B4)))</f>
        <v/>
      </c>
      <c r="C408" s="3">
        <f>IF(B408="","",(B408-AVERAGE(B6:B1198))/(STDEV(B6:B1198)+1E-12))</f>
        <v/>
      </c>
      <c r="D408" s="3">
        <f>IF('3a Raw'!D408="","",MAX(-3,MIN(3,('3a Raw'!D408-$D3)/$D4)))</f>
        <v/>
      </c>
      <c r="E408" s="3">
        <f>IF(D408="","",(D408-AVERAGE(D6:D1198))/(STDEV(D6:D1198)+1E-12))</f>
        <v/>
      </c>
      <c r="F408" s="3">
        <f>IF('3a Raw'!E408="","",MAX(-3,MIN(3,('3a Raw'!E408-$F3)/$F4)))</f>
        <v/>
      </c>
      <c r="G408" s="3">
        <f>IF(F408="","",(F408-AVERAGE(F6:F1198))/(STDEV(F6:F1198)+1E-12))</f>
        <v/>
      </c>
      <c r="H408" s="3">
        <f>IF('3a Raw'!F408="","",MAX(-3,MIN(3,('3a Raw'!F408-$H3)/$H4)))</f>
        <v/>
      </c>
      <c r="I408" s="3">
        <f>IF(H408="","",(H408-AVERAGE(H6:H1198))/(STDEV(H6:H1198)+1E-12))</f>
        <v/>
      </c>
      <c r="J408" s="3">
        <f>IF('3a Raw'!G408="","",MAX(-3,MIN(3,('3a Raw'!G408-$J3)/$J4)))</f>
        <v/>
      </c>
      <c r="K408" s="3">
        <f>IF(J408="","",(J408-AVERAGE(J6:J1198))/(STDEV(J6:J1198)+1E-12))</f>
        <v/>
      </c>
      <c r="L408" s="3">
        <f>IF('3a Raw'!H408="","",MAX(-3,MIN(3,('3a Raw'!H408-$L3)/$L4)))</f>
        <v/>
      </c>
      <c r="M408" s="3">
        <f>IF(L408="","",(L408-AVERAGE(L6:L1198))/(STDEV(L6:L1198)+1E-12))</f>
        <v/>
      </c>
      <c r="N408" s="3">
        <f>IF('3a Raw'!I408="","",MAX(-3,MIN(3,('3a Raw'!I408-$N3)/$N4)))</f>
        <v/>
      </c>
      <c r="O408" s="3">
        <f>IF(N408="","",(N408-AVERAGE(N6:N1198))/(STDEV(N6:N1198)+1E-12))</f>
        <v/>
      </c>
      <c r="P408" s="3">
        <f>IF('3a Raw'!J408="","",MAX(-3,MIN(3,('3a Raw'!J408-$P3)/$P4)))</f>
        <v/>
      </c>
      <c r="Q408" s="3">
        <f>IF(P408="","",(P408-AVERAGE(P6:P1198))/(STDEV(P6:P1198)+1E-12))</f>
        <v/>
      </c>
      <c r="R408" s="3">
        <f>IF('3a Raw'!K408="","",MAX(-3,MIN(3,('3a Raw'!K408-$R3)/$R4)))</f>
        <v/>
      </c>
      <c r="S408" s="3">
        <f>IF(R408="","",(R408-AVERAGE(R6:R1198))/(STDEV(R6:R1198)+1E-12))</f>
        <v/>
      </c>
      <c r="T408" s="3">
        <f>IF('3a Raw'!L408="","",MAX(-3,MIN(3,('3a Raw'!L408-$T3)/$T4)))</f>
        <v/>
      </c>
      <c r="U408" s="3">
        <f>IF(T408="","",(T408-AVERAGE(T6:T1198))/(STDEV(T6:T1198)+1E-12))</f>
        <v/>
      </c>
      <c r="X408" s="3">
        <f>IF(U408="","",U408-($V$3*G408+$W$3))</f>
        <v/>
      </c>
      <c r="Y408" s="3">
        <f>IF(X408="","",MAX(-3,MIN(3,(X408-$X3)/$X4)))</f>
        <v/>
      </c>
      <c r="Z408" s="3">
        <f>IF(Y408="","",(Y408-AVERAGE(Y6:Y1198))/(STDEV(Y6:Y1198)+1E-12))</f>
        <v/>
      </c>
    </row>
    <row r="409">
      <c r="A409" t="inlineStr">
        <is>
          <t>BBG000CXYSZ6</t>
        </is>
      </c>
      <c r="B409" s="3">
        <f>IF('3a Raw'!C409="","",MAX(-3,MIN(3,('3a Raw'!C409-$B3)/$B4)))</f>
        <v/>
      </c>
      <c r="C409" s="3">
        <f>IF(B409="","",(B409-AVERAGE(B6:B1198))/(STDEV(B6:B1198)+1E-12))</f>
        <v/>
      </c>
      <c r="D409" s="3">
        <f>IF('3a Raw'!D409="","",MAX(-3,MIN(3,('3a Raw'!D409-$D3)/$D4)))</f>
        <v/>
      </c>
      <c r="E409" s="3">
        <f>IF(D409="","",(D409-AVERAGE(D6:D1198))/(STDEV(D6:D1198)+1E-12))</f>
        <v/>
      </c>
      <c r="F409" s="3">
        <f>IF('3a Raw'!E409="","",MAX(-3,MIN(3,('3a Raw'!E409-$F3)/$F4)))</f>
        <v/>
      </c>
      <c r="G409" s="3">
        <f>IF(F409="","",(F409-AVERAGE(F6:F1198))/(STDEV(F6:F1198)+1E-12))</f>
        <v/>
      </c>
      <c r="H409" s="3">
        <f>IF('3a Raw'!F409="","",MAX(-3,MIN(3,('3a Raw'!F409-$H3)/$H4)))</f>
        <v/>
      </c>
      <c r="I409" s="3">
        <f>IF(H409="","",(H409-AVERAGE(H6:H1198))/(STDEV(H6:H1198)+1E-12))</f>
        <v/>
      </c>
      <c r="J409" s="3">
        <f>IF('3a Raw'!G409="","",MAX(-3,MIN(3,('3a Raw'!G409-$J3)/$J4)))</f>
        <v/>
      </c>
      <c r="K409" s="3">
        <f>IF(J409="","",(J409-AVERAGE(J6:J1198))/(STDEV(J6:J1198)+1E-12))</f>
        <v/>
      </c>
      <c r="L409" s="3">
        <f>IF('3a Raw'!H409="","",MAX(-3,MIN(3,('3a Raw'!H409-$L3)/$L4)))</f>
        <v/>
      </c>
      <c r="M409" s="3">
        <f>IF(L409="","",(L409-AVERAGE(L6:L1198))/(STDEV(L6:L1198)+1E-12))</f>
        <v/>
      </c>
      <c r="N409" s="3">
        <f>IF('3a Raw'!I409="","",MAX(-3,MIN(3,('3a Raw'!I409-$N3)/$N4)))</f>
        <v/>
      </c>
      <c r="O409" s="3">
        <f>IF(N409="","",(N409-AVERAGE(N6:N1198))/(STDEV(N6:N1198)+1E-12))</f>
        <v/>
      </c>
      <c r="P409" s="3">
        <f>IF('3a Raw'!J409="","",MAX(-3,MIN(3,('3a Raw'!J409-$P3)/$P4)))</f>
        <v/>
      </c>
      <c r="Q409" s="3">
        <f>IF(P409="","",(P409-AVERAGE(P6:P1198))/(STDEV(P6:P1198)+1E-12))</f>
        <v/>
      </c>
      <c r="R409" s="3">
        <f>IF('3a Raw'!K409="","",MAX(-3,MIN(3,('3a Raw'!K409-$R3)/$R4)))</f>
        <v/>
      </c>
      <c r="S409" s="3">
        <f>IF(R409="","",(R409-AVERAGE(R6:R1198))/(STDEV(R6:R1198)+1E-12))</f>
        <v/>
      </c>
      <c r="T409" s="3">
        <f>IF('3a Raw'!L409="","",MAX(-3,MIN(3,('3a Raw'!L409-$T3)/$T4)))</f>
        <v/>
      </c>
      <c r="U409" s="3">
        <f>IF(T409="","",(T409-AVERAGE(T6:T1198))/(STDEV(T6:T1198)+1E-12))</f>
        <v/>
      </c>
      <c r="X409" s="3">
        <f>IF(U409="","",U409-($V$3*G409+$W$3))</f>
        <v/>
      </c>
      <c r="Y409" s="3">
        <f>IF(X409="","",MAX(-3,MIN(3,(X409-$X3)/$X4)))</f>
        <v/>
      </c>
      <c r="Z409" s="3">
        <f>IF(Y409="","",(Y409-AVERAGE(Y6:Y1198))/(STDEV(Y6:Y1198)+1E-12))</f>
        <v/>
      </c>
    </row>
    <row r="410">
      <c r="A410" t="inlineStr">
        <is>
          <t>BBG01BGVGG87</t>
        </is>
      </c>
      <c r="B410" s="3">
        <f>IF('3a Raw'!C410="","",MAX(-3,MIN(3,('3a Raw'!C410-$B3)/$B4)))</f>
        <v/>
      </c>
      <c r="C410" s="3">
        <f>IF(B410="","",(B410-AVERAGE(B6:B1198))/(STDEV(B6:B1198)+1E-12))</f>
        <v/>
      </c>
      <c r="D410" s="3">
        <f>IF('3a Raw'!D410="","",MAX(-3,MIN(3,('3a Raw'!D410-$D3)/$D4)))</f>
        <v/>
      </c>
      <c r="E410" s="3">
        <f>IF(D410="","",(D410-AVERAGE(D6:D1198))/(STDEV(D6:D1198)+1E-12))</f>
        <v/>
      </c>
      <c r="F410" s="3">
        <f>IF('3a Raw'!E410="","",MAX(-3,MIN(3,('3a Raw'!E410-$F3)/$F4)))</f>
        <v/>
      </c>
      <c r="G410" s="3">
        <f>IF(F410="","",(F410-AVERAGE(F6:F1198))/(STDEV(F6:F1198)+1E-12))</f>
        <v/>
      </c>
      <c r="H410" s="3">
        <f>IF('3a Raw'!F410="","",MAX(-3,MIN(3,('3a Raw'!F410-$H3)/$H4)))</f>
        <v/>
      </c>
      <c r="I410" s="3">
        <f>IF(H410="","",(H410-AVERAGE(H6:H1198))/(STDEV(H6:H1198)+1E-12))</f>
        <v/>
      </c>
      <c r="J410" s="3">
        <f>IF('3a Raw'!G410="","",MAX(-3,MIN(3,('3a Raw'!G410-$J3)/$J4)))</f>
        <v/>
      </c>
      <c r="K410" s="3">
        <f>IF(J410="","",(J410-AVERAGE(J6:J1198))/(STDEV(J6:J1198)+1E-12))</f>
        <v/>
      </c>
      <c r="L410" s="3">
        <f>IF('3a Raw'!H410="","",MAX(-3,MIN(3,('3a Raw'!H410-$L3)/$L4)))</f>
        <v/>
      </c>
      <c r="M410" s="3">
        <f>IF(L410="","",(L410-AVERAGE(L6:L1198))/(STDEV(L6:L1198)+1E-12))</f>
        <v/>
      </c>
      <c r="N410" s="3">
        <f>IF('3a Raw'!I410="","",MAX(-3,MIN(3,('3a Raw'!I410-$N3)/$N4)))</f>
        <v/>
      </c>
      <c r="O410" s="3">
        <f>IF(N410="","",(N410-AVERAGE(N6:N1198))/(STDEV(N6:N1198)+1E-12))</f>
        <v/>
      </c>
      <c r="P410" s="3">
        <f>IF('3a Raw'!J410="","",MAX(-3,MIN(3,('3a Raw'!J410-$P3)/$P4)))</f>
        <v/>
      </c>
      <c r="Q410" s="3">
        <f>IF(P410="","",(P410-AVERAGE(P6:P1198))/(STDEV(P6:P1198)+1E-12))</f>
        <v/>
      </c>
      <c r="R410" s="3">
        <f>IF('3a Raw'!K410="","",MAX(-3,MIN(3,('3a Raw'!K410-$R3)/$R4)))</f>
        <v/>
      </c>
      <c r="S410" s="3">
        <f>IF(R410="","",(R410-AVERAGE(R6:R1198))/(STDEV(R6:R1198)+1E-12))</f>
        <v/>
      </c>
      <c r="T410" s="3">
        <f>IF('3a Raw'!L410="","",MAX(-3,MIN(3,('3a Raw'!L410-$T3)/$T4)))</f>
        <v/>
      </c>
      <c r="U410" s="3">
        <f>IF(T410="","",(T410-AVERAGE(T6:T1198))/(STDEV(T6:T1198)+1E-12))</f>
        <v/>
      </c>
      <c r="X410" s="3">
        <f>IF(U410="","",U410-($V$3*G410+$W$3))</f>
        <v/>
      </c>
      <c r="Y410" s="3">
        <f>IF(X410="","",MAX(-3,MIN(3,(X410-$X3)/$X4)))</f>
        <v/>
      </c>
      <c r="Z410" s="3">
        <f>IF(Y410="","",(Y410-AVERAGE(Y6:Y1198))/(STDEV(Y6:Y1198)+1E-12))</f>
        <v/>
      </c>
    </row>
    <row r="411">
      <c r="A411" t="inlineStr">
        <is>
          <t>BBG0046LJYT2</t>
        </is>
      </c>
      <c r="B411" s="3">
        <f>IF('3a Raw'!C411="","",MAX(-3,MIN(3,('3a Raw'!C411-$B3)/$B4)))</f>
        <v/>
      </c>
      <c r="C411" s="3">
        <f>IF(B411="","",(B411-AVERAGE(B6:B1198))/(STDEV(B6:B1198)+1E-12))</f>
        <v/>
      </c>
      <c r="D411" s="3">
        <f>IF('3a Raw'!D411="","",MAX(-3,MIN(3,('3a Raw'!D411-$D3)/$D4)))</f>
        <v/>
      </c>
      <c r="E411" s="3">
        <f>IF(D411="","",(D411-AVERAGE(D6:D1198))/(STDEV(D6:D1198)+1E-12))</f>
        <v/>
      </c>
      <c r="F411" s="3">
        <f>IF('3a Raw'!E411="","",MAX(-3,MIN(3,('3a Raw'!E411-$F3)/$F4)))</f>
        <v/>
      </c>
      <c r="G411" s="3">
        <f>IF(F411="","",(F411-AVERAGE(F6:F1198))/(STDEV(F6:F1198)+1E-12))</f>
        <v/>
      </c>
      <c r="H411" s="3">
        <f>IF('3a Raw'!F411="","",MAX(-3,MIN(3,('3a Raw'!F411-$H3)/$H4)))</f>
        <v/>
      </c>
      <c r="I411" s="3">
        <f>IF(H411="","",(H411-AVERAGE(H6:H1198))/(STDEV(H6:H1198)+1E-12))</f>
        <v/>
      </c>
      <c r="J411" s="3">
        <f>IF('3a Raw'!G411="","",MAX(-3,MIN(3,('3a Raw'!G411-$J3)/$J4)))</f>
        <v/>
      </c>
      <c r="K411" s="3">
        <f>IF(J411="","",(J411-AVERAGE(J6:J1198))/(STDEV(J6:J1198)+1E-12))</f>
        <v/>
      </c>
      <c r="L411" s="3">
        <f>IF('3a Raw'!H411="","",MAX(-3,MIN(3,('3a Raw'!H411-$L3)/$L4)))</f>
        <v/>
      </c>
      <c r="M411" s="3">
        <f>IF(L411="","",(L411-AVERAGE(L6:L1198))/(STDEV(L6:L1198)+1E-12))</f>
        <v/>
      </c>
      <c r="N411" s="3">
        <f>IF('3a Raw'!I411="","",MAX(-3,MIN(3,('3a Raw'!I411-$N3)/$N4)))</f>
        <v/>
      </c>
      <c r="O411" s="3">
        <f>IF(N411="","",(N411-AVERAGE(N6:N1198))/(STDEV(N6:N1198)+1E-12))</f>
        <v/>
      </c>
      <c r="P411" s="3">
        <f>IF('3a Raw'!J411="","",MAX(-3,MIN(3,('3a Raw'!J411-$P3)/$P4)))</f>
        <v/>
      </c>
      <c r="Q411" s="3">
        <f>IF(P411="","",(P411-AVERAGE(P6:P1198))/(STDEV(P6:P1198)+1E-12))</f>
        <v/>
      </c>
      <c r="R411" s="3">
        <f>IF('3a Raw'!K411="","",MAX(-3,MIN(3,('3a Raw'!K411-$R3)/$R4)))</f>
        <v/>
      </c>
      <c r="S411" s="3">
        <f>IF(R411="","",(R411-AVERAGE(R6:R1198))/(STDEV(R6:R1198)+1E-12))</f>
        <v/>
      </c>
      <c r="T411" s="3">
        <f>IF('3a Raw'!L411="","",MAX(-3,MIN(3,('3a Raw'!L411-$T3)/$T4)))</f>
        <v/>
      </c>
      <c r="U411" s="3">
        <f>IF(T411="","",(T411-AVERAGE(T6:T1198))/(STDEV(T6:T1198)+1E-12))</f>
        <v/>
      </c>
      <c r="X411" s="3">
        <f>IF(U411="","",U411-($V$3*G411+$W$3))</f>
        <v/>
      </c>
      <c r="Y411" s="3">
        <f>IF(X411="","",MAX(-3,MIN(3,(X411-$X3)/$X4)))</f>
        <v/>
      </c>
      <c r="Z411" s="3">
        <f>IF(Y411="","",(Y411-AVERAGE(Y6:Y1198))/(STDEV(Y6:Y1198)+1E-12))</f>
        <v/>
      </c>
    </row>
    <row r="412">
      <c r="A412" t="inlineStr">
        <is>
          <t>BBG000GHZSZ6</t>
        </is>
      </c>
      <c r="B412" s="3">
        <f>IF('3a Raw'!C412="","",MAX(-3,MIN(3,('3a Raw'!C412-$B3)/$B4)))</f>
        <v/>
      </c>
      <c r="C412" s="3">
        <f>IF(B412="","",(B412-AVERAGE(B6:B1198))/(STDEV(B6:B1198)+1E-12))</f>
        <v/>
      </c>
      <c r="D412" s="3">
        <f>IF('3a Raw'!D412="","",MAX(-3,MIN(3,('3a Raw'!D412-$D3)/$D4)))</f>
        <v/>
      </c>
      <c r="E412" s="3">
        <f>IF(D412="","",(D412-AVERAGE(D6:D1198))/(STDEV(D6:D1198)+1E-12))</f>
        <v/>
      </c>
      <c r="F412" s="3">
        <f>IF('3a Raw'!E412="","",MAX(-3,MIN(3,('3a Raw'!E412-$F3)/$F4)))</f>
        <v/>
      </c>
      <c r="G412" s="3">
        <f>IF(F412="","",(F412-AVERAGE(F6:F1198))/(STDEV(F6:F1198)+1E-12))</f>
        <v/>
      </c>
      <c r="H412" s="3">
        <f>IF('3a Raw'!F412="","",MAX(-3,MIN(3,('3a Raw'!F412-$H3)/$H4)))</f>
        <v/>
      </c>
      <c r="I412" s="3">
        <f>IF(H412="","",(H412-AVERAGE(H6:H1198))/(STDEV(H6:H1198)+1E-12))</f>
        <v/>
      </c>
      <c r="J412" s="3">
        <f>IF('3a Raw'!G412="","",MAX(-3,MIN(3,('3a Raw'!G412-$J3)/$J4)))</f>
        <v/>
      </c>
      <c r="K412" s="3">
        <f>IF(J412="","",(J412-AVERAGE(J6:J1198))/(STDEV(J6:J1198)+1E-12))</f>
        <v/>
      </c>
      <c r="L412" s="3">
        <f>IF('3a Raw'!H412="","",MAX(-3,MIN(3,('3a Raw'!H412-$L3)/$L4)))</f>
        <v/>
      </c>
      <c r="M412" s="3">
        <f>IF(L412="","",(L412-AVERAGE(L6:L1198))/(STDEV(L6:L1198)+1E-12))</f>
        <v/>
      </c>
      <c r="N412" s="3">
        <f>IF('3a Raw'!I412="","",MAX(-3,MIN(3,('3a Raw'!I412-$N3)/$N4)))</f>
        <v/>
      </c>
      <c r="O412" s="3">
        <f>IF(N412="","",(N412-AVERAGE(N6:N1198))/(STDEV(N6:N1198)+1E-12))</f>
        <v/>
      </c>
      <c r="P412" s="3">
        <f>IF('3a Raw'!J412="","",MAX(-3,MIN(3,('3a Raw'!J412-$P3)/$P4)))</f>
        <v/>
      </c>
      <c r="Q412" s="3">
        <f>IF(P412="","",(P412-AVERAGE(P6:P1198))/(STDEV(P6:P1198)+1E-12))</f>
        <v/>
      </c>
      <c r="R412" s="3">
        <f>IF('3a Raw'!K412="","",MAX(-3,MIN(3,('3a Raw'!K412-$R3)/$R4)))</f>
        <v/>
      </c>
      <c r="S412" s="3">
        <f>IF(R412="","",(R412-AVERAGE(R6:R1198))/(STDEV(R6:R1198)+1E-12))</f>
        <v/>
      </c>
      <c r="T412" s="3">
        <f>IF('3a Raw'!L412="","",MAX(-3,MIN(3,('3a Raw'!L412-$T3)/$T4)))</f>
        <v/>
      </c>
      <c r="U412" s="3">
        <f>IF(T412="","",(T412-AVERAGE(T6:T1198))/(STDEV(T6:T1198)+1E-12))</f>
        <v/>
      </c>
      <c r="X412" s="3">
        <f>IF(U412="","",U412-($V$3*G412+$W$3))</f>
        <v/>
      </c>
      <c r="Y412" s="3">
        <f>IF(X412="","",MAX(-3,MIN(3,(X412-$X3)/$X4)))</f>
        <v/>
      </c>
      <c r="Z412" s="3">
        <f>IF(Y412="","",(Y412-AVERAGE(Y6:Y1198))/(STDEV(Y6:Y1198)+1E-12))</f>
        <v/>
      </c>
    </row>
    <row r="413">
      <c r="A413" t="inlineStr">
        <is>
          <t>BBG000DW76Y6</t>
        </is>
      </c>
      <c r="B413" s="3">
        <f>IF('3a Raw'!C413="","",MAX(-3,MIN(3,('3a Raw'!C413-$B3)/$B4)))</f>
        <v/>
      </c>
      <c r="C413" s="3">
        <f>IF(B413="","",(B413-AVERAGE(B6:B1198))/(STDEV(B6:B1198)+1E-12))</f>
        <v/>
      </c>
      <c r="D413" s="3">
        <f>IF('3a Raw'!D413="","",MAX(-3,MIN(3,('3a Raw'!D413-$D3)/$D4)))</f>
        <v/>
      </c>
      <c r="E413" s="3">
        <f>IF(D413="","",(D413-AVERAGE(D6:D1198))/(STDEV(D6:D1198)+1E-12))</f>
        <v/>
      </c>
      <c r="F413" s="3">
        <f>IF('3a Raw'!E413="","",MAX(-3,MIN(3,('3a Raw'!E413-$F3)/$F4)))</f>
        <v/>
      </c>
      <c r="G413" s="3">
        <f>IF(F413="","",(F413-AVERAGE(F6:F1198))/(STDEV(F6:F1198)+1E-12))</f>
        <v/>
      </c>
      <c r="H413" s="3">
        <f>IF('3a Raw'!F413="","",MAX(-3,MIN(3,('3a Raw'!F413-$H3)/$H4)))</f>
        <v/>
      </c>
      <c r="I413" s="3">
        <f>IF(H413="","",(H413-AVERAGE(H6:H1198))/(STDEV(H6:H1198)+1E-12))</f>
        <v/>
      </c>
      <c r="J413" s="3">
        <f>IF('3a Raw'!G413="","",MAX(-3,MIN(3,('3a Raw'!G413-$J3)/$J4)))</f>
        <v/>
      </c>
      <c r="K413" s="3">
        <f>IF(J413="","",(J413-AVERAGE(J6:J1198))/(STDEV(J6:J1198)+1E-12))</f>
        <v/>
      </c>
      <c r="L413" s="3">
        <f>IF('3a Raw'!H413="","",MAX(-3,MIN(3,('3a Raw'!H413-$L3)/$L4)))</f>
        <v/>
      </c>
      <c r="M413" s="3">
        <f>IF(L413="","",(L413-AVERAGE(L6:L1198))/(STDEV(L6:L1198)+1E-12))</f>
        <v/>
      </c>
      <c r="N413" s="3">
        <f>IF('3a Raw'!I413="","",MAX(-3,MIN(3,('3a Raw'!I413-$N3)/$N4)))</f>
        <v/>
      </c>
      <c r="O413" s="3">
        <f>IF(N413="","",(N413-AVERAGE(N6:N1198))/(STDEV(N6:N1198)+1E-12))</f>
        <v/>
      </c>
      <c r="P413" s="3">
        <f>IF('3a Raw'!J413="","",MAX(-3,MIN(3,('3a Raw'!J413-$P3)/$P4)))</f>
        <v/>
      </c>
      <c r="Q413" s="3">
        <f>IF(P413="","",(P413-AVERAGE(P6:P1198))/(STDEV(P6:P1198)+1E-12))</f>
        <v/>
      </c>
      <c r="R413" s="3">
        <f>IF('3a Raw'!K413="","",MAX(-3,MIN(3,('3a Raw'!K413-$R3)/$R4)))</f>
        <v/>
      </c>
      <c r="S413" s="3">
        <f>IF(R413="","",(R413-AVERAGE(R6:R1198))/(STDEV(R6:R1198)+1E-12))</f>
        <v/>
      </c>
      <c r="T413" s="3">
        <f>IF('3a Raw'!L413="","",MAX(-3,MIN(3,('3a Raw'!L413-$T3)/$T4)))</f>
        <v/>
      </c>
      <c r="U413" s="3">
        <f>IF(T413="","",(T413-AVERAGE(T6:T1198))/(STDEV(T6:T1198)+1E-12))</f>
        <v/>
      </c>
      <c r="X413" s="3">
        <f>IF(U413="","",U413-($V$3*G413+$W$3))</f>
        <v/>
      </c>
      <c r="Y413" s="3">
        <f>IF(X413="","",MAX(-3,MIN(3,(X413-$X3)/$X4)))</f>
        <v/>
      </c>
      <c r="Z413" s="3">
        <f>IF(Y413="","",(Y413-AVERAGE(Y6:Y1198))/(STDEV(Y6:Y1198)+1E-12))</f>
        <v/>
      </c>
    </row>
    <row r="414">
      <c r="A414" t="inlineStr">
        <is>
          <t>BBG00BLZ2CD1</t>
        </is>
      </c>
      <c r="B414" s="3">
        <f>IF('3a Raw'!C414="","",MAX(-3,MIN(3,('3a Raw'!C414-$B3)/$B4)))</f>
        <v/>
      </c>
      <c r="C414" s="3">
        <f>IF(B414="","",(B414-AVERAGE(B6:B1198))/(STDEV(B6:B1198)+1E-12))</f>
        <v/>
      </c>
      <c r="D414" s="3">
        <f>IF('3a Raw'!D414="","",MAX(-3,MIN(3,('3a Raw'!D414-$D3)/$D4)))</f>
        <v/>
      </c>
      <c r="E414" s="3">
        <f>IF(D414="","",(D414-AVERAGE(D6:D1198))/(STDEV(D6:D1198)+1E-12))</f>
        <v/>
      </c>
      <c r="F414" s="3">
        <f>IF('3a Raw'!E414="","",MAX(-3,MIN(3,('3a Raw'!E414-$F3)/$F4)))</f>
        <v/>
      </c>
      <c r="G414" s="3">
        <f>IF(F414="","",(F414-AVERAGE(F6:F1198))/(STDEV(F6:F1198)+1E-12))</f>
        <v/>
      </c>
      <c r="H414" s="3">
        <f>IF('3a Raw'!F414="","",MAX(-3,MIN(3,('3a Raw'!F414-$H3)/$H4)))</f>
        <v/>
      </c>
      <c r="I414" s="3">
        <f>IF(H414="","",(H414-AVERAGE(H6:H1198))/(STDEV(H6:H1198)+1E-12))</f>
        <v/>
      </c>
      <c r="J414" s="3">
        <f>IF('3a Raw'!G414="","",MAX(-3,MIN(3,('3a Raw'!G414-$J3)/$J4)))</f>
        <v/>
      </c>
      <c r="K414" s="3">
        <f>IF(J414="","",(J414-AVERAGE(J6:J1198))/(STDEV(J6:J1198)+1E-12))</f>
        <v/>
      </c>
      <c r="L414" s="3">
        <f>IF('3a Raw'!H414="","",MAX(-3,MIN(3,('3a Raw'!H414-$L3)/$L4)))</f>
        <v/>
      </c>
      <c r="M414" s="3">
        <f>IF(L414="","",(L414-AVERAGE(L6:L1198))/(STDEV(L6:L1198)+1E-12))</f>
        <v/>
      </c>
      <c r="N414" s="3">
        <f>IF('3a Raw'!I414="","",MAX(-3,MIN(3,('3a Raw'!I414-$N3)/$N4)))</f>
        <v/>
      </c>
      <c r="O414" s="3">
        <f>IF(N414="","",(N414-AVERAGE(N6:N1198))/(STDEV(N6:N1198)+1E-12))</f>
        <v/>
      </c>
      <c r="P414" s="3">
        <f>IF('3a Raw'!J414="","",MAX(-3,MIN(3,('3a Raw'!J414-$P3)/$P4)))</f>
        <v/>
      </c>
      <c r="Q414" s="3">
        <f>IF(P414="","",(P414-AVERAGE(P6:P1198))/(STDEV(P6:P1198)+1E-12))</f>
        <v/>
      </c>
      <c r="R414" s="3">
        <f>IF('3a Raw'!K414="","",MAX(-3,MIN(3,('3a Raw'!K414-$R3)/$R4)))</f>
        <v/>
      </c>
      <c r="S414" s="3">
        <f>IF(R414="","",(R414-AVERAGE(R6:R1198))/(STDEV(R6:R1198)+1E-12))</f>
        <v/>
      </c>
      <c r="T414" s="3">
        <f>IF('3a Raw'!L414="","",MAX(-3,MIN(3,('3a Raw'!L414-$T3)/$T4)))</f>
        <v/>
      </c>
      <c r="U414" s="3">
        <f>IF(T414="","",(T414-AVERAGE(T6:T1198))/(STDEV(T6:T1198)+1E-12))</f>
        <v/>
      </c>
      <c r="X414" s="3">
        <f>IF(U414="","",U414-($V$3*G414+$W$3))</f>
        <v/>
      </c>
      <c r="Y414" s="3">
        <f>IF(X414="","",MAX(-3,MIN(3,(X414-$X3)/$X4)))</f>
        <v/>
      </c>
      <c r="Z414" s="3">
        <f>IF(Y414="","",(Y414-AVERAGE(Y6:Y1198))/(STDEV(Y6:Y1198)+1E-12))</f>
        <v/>
      </c>
    </row>
    <row r="415">
      <c r="A415" t="inlineStr">
        <is>
          <t>BBG01NGH78G1</t>
        </is>
      </c>
      <c r="B415" s="3">
        <f>IF('3a Raw'!C415="","",MAX(-3,MIN(3,('3a Raw'!C415-$B3)/$B4)))</f>
        <v/>
      </c>
      <c r="C415" s="3">
        <f>IF(B415="","",(B415-AVERAGE(B6:B1198))/(STDEV(B6:B1198)+1E-12))</f>
        <v/>
      </c>
      <c r="D415" s="3">
        <f>IF('3a Raw'!D415="","",MAX(-3,MIN(3,('3a Raw'!D415-$D3)/$D4)))</f>
        <v/>
      </c>
      <c r="E415" s="3">
        <f>IF(D415="","",(D415-AVERAGE(D6:D1198))/(STDEV(D6:D1198)+1E-12))</f>
        <v/>
      </c>
      <c r="F415" s="3">
        <f>IF('3a Raw'!E415="","",MAX(-3,MIN(3,('3a Raw'!E415-$F3)/$F4)))</f>
        <v/>
      </c>
      <c r="G415" s="3">
        <f>IF(F415="","",(F415-AVERAGE(F6:F1198))/(STDEV(F6:F1198)+1E-12))</f>
        <v/>
      </c>
      <c r="H415" s="3">
        <f>IF('3a Raw'!F415="","",MAX(-3,MIN(3,('3a Raw'!F415-$H3)/$H4)))</f>
        <v/>
      </c>
      <c r="I415" s="3">
        <f>IF(H415="","",(H415-AVERAGE(H6:H1198))/(STDEV(H6:H1198)+1E-12))</f>
        <v/>
      </c>
      <c r="J415" s="3">
        <f>IF('3a Raw'!G415="","",MAX(-3,MIN(3,('3a Raw'!G415-$J3)/$J4)))</f>
        <v/>
      </c>
      <c r="K415" s="3">
        <f>IF(J415="","",(J415-AVERAGE(J6:J1198))/(STDEV(J6:J1198)+1E-12))</f>
        <v/>
      </c>
      <c r="L415" s="3">
        <f>IF('3a Raw'!H415="","",MAX(-3,MIN(3,('3a Raw'!H415-$L3)/$L4)))</f>
        <v/>
      </c>
      <c r="M415" s="3">
        <f>IF(L415="","",(L415-AVERAGE(L6:L1198))/(STDEV(L6:L1198)+1E-12))</f>
        <v/>
      </c>
      <c r="N415" s="3">
        <f>IF('3a Raw'!I415="","",MAX(-3,MIN(3,('3a Raw'!I415-$N3)/$N4)))</f>
        <v/>
      </c>
      <c r="O415" s="3">
        <f>IF(N415="","",(N415-AVERAGE(N6:N1198))/(STDEV(N6:N1198)+1E-12))</f>
        <v/>
      </c>
      <c r="P415" s="3">
        <f>IF('3a Raw'!J415="","",MAX(-3,MIN(3,('3a Raw'!J415-$P3)/$P4)))</f>
        <v/>
      </c>
      <c r="Q415" s="3">
        <f>IF(P415="","",(P415-AVERAGE(P6:P1198))/(STDEV(P6:P1198)+1E-12))</f>
        <v/>
      </c>
      <c r="R415" s="3">
        <f>IF('3a Raw'!K415="","",MAX(-3,MIN(3,('3a Raw'!K415-$R3)/$R4)))</f>
        <v/>
      </c>
      <c r="S415" s="3">
        <f>IF(R415="","",(R415-AVERAGE(R6:R1198))/(STDEV(R6:R1198)+1E-12))</f>
        <v/>
      </c>
      <c r="T415" s="3">
        <f>IF('3a Raw'!L415="","",MAX(-3,MIN(3,('3a Raw'!L415-$T3)/$T4)))</f>
        <v/>
      </c>
      <c r="U415" s="3">
        <f>IF(T415="","",(T415-AVERAGE(T6:T1198))/(STDEV(T6:T1198)+1E-12))</f>
        <v/>
      </c>
      <c r="X415" s="3">
        <f>IF(U415="","",U415-($V$3*G415+$W$3))</f>
        <v/>
      </c>
      <c r="Y415" s="3">
        <f>IF(X415="","",MAX(-3,MIN(3,(X415-$X3)/$X4)))</f>
        <v/>
      </c>
      <c r="Z415" s="3">
        <f>IF(Y415="","",(Y415-AVERAGE(Y6:Y1198))/(STDEV(Y6:Y1198)+1E-12))</f>
        <v/>
      </c>
    </row>
    <row r="416">
      <c r="A416" t="inlineStr">
        <is>
          <t>BBG004SK5VL9</t>
        </is>
      </c>
      <c r="B416" s="3">
        <f>IF('3a Raw'!C416="","",MAX(-3,MIN(3,('3a Raw'!C416-$B3)/$B4)))</f>
        <v/>
      </c>
      <c r="C416" s="3">
        <f>IF(B416="","",(B416-AVERAGE(B6:B1198))/(STDEV(B6:B1198)+1E-12))</f>
        <v/>
      </c>
      <c r="D416" s="3">
        <f>IF('3a Raw'!D416="","",MAX(-3,MIN(3,('3a Raw'!D416-$D3)/$D4)))</f>
        <v/>
      </c>
      <c r="E416" s="3">
        <f>IF(D416="","",(D416-AVERAGE(D6:D1198))/(STDEV(D6:D1198)+1E-12))</f>
        <v/>
      </c>
      <c r="F416" s="3">
        <f>IF('3a Raw'!E416="","",MAX(-3,MIN(3,('3a Raw'!E416-$F3)/$F4)))</f>
        <v/>
      </c>
      <c r="G416" s="3">
        <f>IF(F416="","",(F416-AVERAGE(F6:F1198))/(STDEV(F6:F1198)+1E-12))</f>
        <v/>
      </c>
      <c r="H416" s="3">
        <f>IF('3a Raw'!F416="","",MAX(-3,MIN(3,('3a Raw'!F416-$H3)/$H4)))</f>
        <v/>
      </c>
      <c r="I416" s="3">
        <f>IF(H416="","",(H416-AVERAGE(H6:H1198))/(STDEV(H6:H1198)+1E-12))</f>
        <v/>
      </c>
      <c r="J416" s="3">
        <f>IF('3a Raw'!G416="","",MAX(-3,MIN(3,('3a Raw'!G416-$J3)/$J4)))</f>
        <v/>
      </c>
      <c r="K416" s="3">
        <f>IF(J416="","",(J416-AVERAGE(J6:J1198))/(STDEV(J6:J1198)+1E-12))</f>
        <v/>
      </c>
      <c r="L416" s="3">
        <f>IF('3a Raw'!H416="","",MAX(-3,MIN(3,('3a Raw'!H416-$L3)/$L4)))</f>
        <v/>
      </c>
      <c r="M416" s="3">
        <f>IF(L416="","",(L416-AVERAGE(L6:L1198))/(STDEV(L6:L1198)+1E-12))</f>
        <v/>
      </c>
      <c r="N416" s="3">
        <f>IF('3a Raw'!I416="","",MAX(-3,MIN(3,('3a Raw'!I416-$N3)/$N4)))</f>
        <v/>
      </c>
      <c r="O416" s="3">
        <f>IF(N416="","",(N416-AVERAGE(N6:N1198))/(STDEV(N6:N1198)+1E-12))</f>
        <v/>
      </c>
      <c r="P416" s="3">
        <f>IF('3a Raw'!J416="","",MAX(-3,MIN(3,('3a Raw'!J416-$P3)/$P4)))</f>
        <v/>
      </c>
      <c r="Q416" s="3">
        <f>IF(P416="","",(P416-AVERAGE(P6:P1198))/(STDEV(P6:P1198)+1E-12))</f>
        <v/>
      </c>
      <c r="R416" s="3">
        <f>IF('3a Raw'!K416="","",MAX(-3,MIN(3,('3a Raw'!K416-$R3)/$R4)))</f>
        <v/>
      </c>
      <c r="S416" s="3">
        <f>IF(R416="","",(R416-AVERAGE(R6:R1198))/(STDEV(R6:R1198)+1E-12))</f>
        <v/>
      </c>
      <c r="T416" s="3">
        <f>IF('3a Raw'!L416="","",MAX(-3,MIN(3,('3a Raw'!L416-$T3)/$T4)))</f>
        <v/>
      </c>
      <c r="U416" s="3">
        <f>IF(T416="","",(T416-AVERAGE(T6:T1198))/(STDEV(T6:T1198)+1E-12))</f>
        <v/>
      </c>
      <c r="X416" s="3">
        <f>IF(U416="","",U416-($V$3*G416+$W$3))</f>
        <v/>
      </c>
      <c r="Y416" s="3">
        <f>IF(X416="","",MAX(-3,MIN(3,(X416-$X3)/$X4)))</f>
        <v/>
      </c>
      <c r="Z416" s="3">
        <f>IF(Y416="","",(Y416-AVERAGE(Y6:Y1198))/(STDEV(Y6:Y1198)+1E-12))</f>
        <v/>
      </c>
    </row>
    <row r="417">
      <c r="A417" t="inlineStr">
        <is>
          <t>fis</t>
        </is>
      </c>
      <c r="B417" s="3">
        <f>IF('3a Raw'!C417="","",MAX(-3,MIN(3,('3a Raw'!C417-$B3)/$B4)))</f>
        <v/>
      </c>
      <c r="C417" s="3">
        <f>IF(B417="","",(B417-AVERAGE(B6:B1198))/(STDEV(B6:B1198)+1E-12))</f>
        <v/>
      </c>
      <c r="D417" s="3">
        <f>IF('3a Raw'!D417="","",MAX(-3,MIN(3,('3a Raw'!D417-$D3)/$D4)))</f>
        <v/>
      </c>
      <c r="E417" s="3">
        <f>IF(D417="","",(D417-AVERAGE(D6:D1198))/(STDEV(D6:D1198)+1E-12))</f>
        <v/>
      </c>
      <c r="F417" s="3">
        <f>IF('3a Raw'!E417="","",MAX(-3,MIN(3,('3a Raw'!E417-$F3)/$F4)))</f>
        <v/>
      </c>
      <c r="G417" s="3">
        <f>IF(F417="","",(F417-AVERAGE(F6:F1198))/(STDEV(F6:F1198)+1E-12))</f>
        <v/>
      </c>
      <c r="H417" s="3">
        <f>IF('3a Raw'!F417="","",MAX(-3,MIN(3,('3a Raw'!F417-$H3)/$H4)))</f>
        <v/>
      </c>
      <c r="I417" s="3">
        <f>IF(H417="","",(H417-AVERAGE(H6:H1198))/(STDEV(H6:H1198)+1E-12))</f>
        <v/>
      </c>
      <c r="J417" s="3">
        <f>IF('3a Raw'!G417="","",MAX(-3,MIN(3,('3a Raw'!G417-$J3)/$J4)))</f>
        <v/>
      </c>
      <c r="K417" s="3">
        <f>IF(J417="","",(J417-AVERAGE(J6:J1198))/(STDEV(J6:J1198)+1E-12))</f>
        <v/>
      </c>
      <c r="L417" s="3">
        <f>IF('3a Raw'!H417="","",MAX(-3,MIN(3,('3a Raw'!H417-$L3)/$L4)))</f>
        <v/>
      </c>
      <c r="M417" s="3">
        <f>IF(L417="","",(L417-AVERAGE(L6:L1198))/(STDEV(L6:L1198)+1E-12))</f>
        <v/>
      </c>
      <c r="N417" s="3">
        <f>IF('3a Raw'!I417="","",MAX(-3,MIN(3,('3a Raw'!I417-$N3)/$N4)))</f>
        <v/>
      </c>
      <c r="O417" s="3">
        <f>IF(N417="","",(N417-AVERAGE(N6:N1198))/(STDEV(N6:N1198)+1E-12))</f>
        <v/>
      </c>
      <c r="P417" s="3">
        <f>IF('3a Raw'!J417="","",MAX(-3,MIN(3,('3a Raw'!J417-$P3)/$P4)))</f>
        <v/>
      </c>
      <c r="Q417" s="3">
        <f>IF(P417="","",(P417-AVERAGE(P6:P1198))/(STDEV(P6:P1198)+1E-12))</f>
        <v/>
      </c>
      <c r="R417" s="3">
        <f>IF('3a Raw'!K417="","",MAX(-3,MIN(3,('3a Raw'!K417-$R3)/$R4)))</f>
        <v/>
      </c>
      <c r="S417" s="3">
        <f>IF(R417="","",(R417-AVERAGE(R6:R1198))/(STDEV(R6:R1198)+1E-12))</f>
        <v/>
      </c>
      <c r="T417" s="3">
        <f>IF('3a Raw'!L417="","",MAX(-3,MIN(3,('3a Raw'!L417-$T3)/$T4)))</f>
        <v/>
      </c>
      <c r="U417" s="3">
        <f>IF(T417="","",(T417-AVERAGE(T6:T1198))/(STDEV(T6:T1198)+1E-12))</f>
        <v/>
      </c>
      <c r="X417" s="3">
        <f>IF(U417="","",U417-($V$3*G417+$W$3))</f>
        <v/>
      </c>
      <c r="Y417" s="3">
        <f>IF(X417="","",MAX(-3,MIN(3,(X417-$X3)/$X4)))</f>
        <v/>
      </c>
      <c r="Z417" s="3">
        <f>IF(Y417="","",(Y417-AVERAGE(Y6:Y1198))/(STDEV(Y6:Y1198)+1E-12))</f>
        <v/>
      </c>
    </row>
    <row r="418">
      <c r="A418" t="inlineStr">
        <is>
          <t>fisv</t>
        </is>
      </c>
      <c r="B418" s="3">
        <f>IF('3a Raw'!C418="","",MAX(-3,MIN(3,('3a Raw'!C418-$B3)/$B4)))</f>
        <v/>
      </c>
      <c r="C418" s="3">
        <f>IF(B418="","",(B418-AVERAGE(B6:B1198))/(STDEV(B6:B1198)+1E-12))</f>
        <v/>
      </c>
      <c r="D418" s="3">
        <f>IF('3a Raw'!D418="","",MAX(-3,MIN(3,('3a Raw'!D418-$D3)/$D4)))</f>
        <v/>
      </c>
      <c r="E418" s="3">
        <f>IF(D418="","",(D418-AVERAGE(D6:D1198))/(STDEV(D6:D1198)+1E-12))</f>
        <v/>
      </c>
      <c r="F418" s="3">
        <f>IF('3a Raw'!E418="","",MAX(-3,MIN(3,('3a Raw'!E418-$F3)/$F4)))</f>
        <v/>
      </c>
      <c r="G418" s="3">
        <f>IF(F418="","",(F418-AVERAGE(F6:F1198))/(STDEV(F6:F1198)+1E-12))</f>
        <v/>
      </c>
      <c r="H418" s="3">
        <f>IF('3a Raw'!F418="","",MAX(-3,MIN(3,('3a Raw'!F418-$H3)/$H4)))</f>
        <v/>
      </c>
      <c r="I418" s="3">
        <f>IF(H418="","",(H418-AVERAGE(H6:H1198))/(STDEV(H6:H1198)+1E-12))</f>
        <v/>
      </c>
      <c r="J418" s="3">
        <f>IF('3a Raw'!G418="","",MAX(-3,MIN(3,('3a Raw'!G418-$J3)/$J4)))</f>
        <v/>
      </c>
      <c r="K418" s="3">
        <f>IF(J418="","",(J418-AVERAGE(J6:J1198))/(STDEV(J6:J1198)+1E-12))</f>
        <v/>
      </c>
      <c r="L418" s="3">
        <f>IF('3a Raw'!H418="","",MAX(-3,MIN(3,('3a Raw'!H418-$L3)/$L4)))</f>
        <v/>
      </c>
      <c r="M418" s="3">
        <f>IF(L418="","",(L418-AVERAGE(L6:L1198))/(STDEV(L6:L1198)+1E-12))</f>
        <v/>
      </c>
      <c r="N418" s="3">
        <f>IF('3a Raw'!I418="","",MAX(-3,MIN(3,('3a Raw'!I418-$N3)/$N4)))</f>
        <v/>
      </c>
      <c r="O418" s="3">
        <f>IF(N418="","",(N418-AVERAGE(N6:N1198))/(STDEV(N6:N1198)+1E-12))</f>
        <v/>
      </c>
      <c r="P418" s="3">
        <f>IF('3a Raw'!J418="","",MAX(-3,MIN(3,('3a Raw'!J418-$P3)/$P4)))</f>
        <v/>
      </c>
      <c r="Q418" s="3">
        <f>IF(P418="","",(P418-AVERAGE(P6:P1198))/(STDEV(P6:P1198)+1E-12))</f>
        <v/>
      </c>
      <c r="R418" s="3">
        <f>IF('3a Raw'!K418="","",MAX(-3,MIN(3,('3a Raw'!K418-$R3)/$R4)))</f>
        <v/>
      </c>
      <c r="S418" s="3">
        <f>IF(R418="","",(R418-AVERAGE(R6:R1198))/(STDEV(R6:R1198)+1E-12))</f>
        <v/>
      </c>
      <c r="T418" s="3">
        <f>IF('3a Raw'!L418="","",MAX(-3,MIN(3,('3a Raw'!L418-$T3)/$T4)))</f>
        <v/>
      </c>
      <c r="U418" s="3">
        <f>IF(T418="","",(T418-AVERAGE(T6:T1198))/(STDEV(T6:T1198)+1E-12))</f>
        <v/>
      </c>
      <c r="X418" s="3">
        <f>IF(U418="","",U418-($V$3*G418+$W$3))</f>
        <v/>
      </c>
      <c r="Y418" s="3">
        <f>IF(X418="","",MAX(-3,MIN(3,(X418-$X3)/$X4)))</f>
        <v/>
      </c>
      <c r="Z418" s="3">
        <f>IF(Y418="","",(Y418-AVERAGE(Y6:Y1198))/(STDEV(Y6:Y1198)+1E-12))</f>
        <v/>
      </c>
    </row>
    <row r="419">
      <c r="A419" t="inlineStr">
        <is>
          <t>BBG000BJL3N0</t>
        </is>
      </c>
      <c r="B419" s="3">
        <f>IF('3a Raw'!C419="","",MAX(-3,MIN(3,('3a Raw'!C419-$B3)/$B4)))</f>
        <v/>
      </c>
      <c r="C419" s="3">
        <f>IF(B419="","",(B419-AVERAGE(B6:B1198))/(STDEV(B6:B1198)+1E-12))</f>
        <v/>
      </c>
      <c r="D419" s="3">
        <f>IF('3a Raw'!D419="","",MAX(-3,MIN(3,('3a Raw'!D419-$D3)/$D4)))</f>
        <v/>
      </c>
      <c r="E419" s="3">
        <f>IF(D419="","",(D419-AVERAGE(D6:D1198))/(STDEV(D6:D1198)+1E-12))</f>
        <v/>
      </c>
      <c r="F419" s="3">
        <f>IF('3a Raw'!E419="","",MAX(-3,MIN(3,('3a Raw'!E419-$F3)/$F4)))</f>
        <v/>
      </c>
      <c r="G419" s="3">
        <f>IF(F419="","",(F419-AVERAGE(F6:F1198))/(STDEV(F6:F1198)+1E-12))</f>
        <v/>
      </c>
      <c r="H419" s="3">
        <f>IF('3a Raw'!F419="","",MAX(-3,MIN(3,('3a Raw'!F419-$H3)/$H4)))</f>
        <v/>
      </c>
      <c r="I419" s="3">
        <f>IF(H419="","",(H419-AVERAGE(H6:H1198))/(STDEV(H6:H1198)+1E-12))</f>
        <v/>
      </c>
      <c r="J419" s="3">
        <f>IF('3a Raw'!G419="","",MAX(-3,MIN(3,('3a Raw'!G419-$J3)/$J4)))</f>
        <v/>
      </c>
      <c r="K419" s="3">
        <f>IF(J419="","",(J419-AVERAGE(J6:J1198))/(STDEV(J6:J1198)+1E-12))</f>
        <v/>
      </c>
      <c r="L419" s="3">
        <f>IF('3a Raw'!H419="","",MAX(-3,MIN(3,('3a Raw'!H419-$L3)/$L4)))</f>
        <v/>
      </c>
      <c r="M419" s="3">
        <f>IF(L419="","",(L419-AVERAGE(L6:L1198))/(STDEV(L6:L1198)+1E-12))</f>
        <v/>
      </c>
      <c r="N419" s="3">
        <f>IF('3a Raw'!I419="","",MAX(-3,MIN(3,('3a Raw'!I419-$N3)/$N4)))</f>
        <v/>
      </c>
      <c r="O419" s="3">
        <f>IF(N419="","",(N419-AVERAGE(N6:N1198))/(STDEV(N6:N1198)+1E-12))</f>
        <v/>
      </c>
      <c r="P419" s="3">
        <f>IF('3a Raw'!J419="","",MAX(-3,MIN(3,('3a Raw'!J419-$P3)/$P4)))</f>
        <v/>
      </c>
      <c r="Q419" s="3">
        <f>IF(P419="","",(P419-AVERAGE(P6:P1198))/(STDEV(P6:P1198)+1E-12))</f>
        <v/>
      </c>
      <c r="R419" s="3">
        <f>IF('3a Raw'!K419="","",MAX(-3,MIN(3,('3a Raw'!K419-$R3)/$R4)))</f>
        <v/>
      </c>
      <c r="S419" s="3">
        <f>IF(R419="","",(R419-AVERAGE(R6:R1198))/(STDEV(R6:R1198)+1E-12))</f>
        <v/>
      </c>
      <c r="T419" s="3">
        <f>IF('3a Raw'!L419="","",MAX(-3,MIN(3,('3a Raw'!L419-$T3)/$T4)))</f>
        <v/>
      </c>
      <c r="U419" s="3">
        <f>IF(T419="","",(T419-AVERAGE(T6:T1198))/(STDEV(T6:T1198)+1E-12))</f>
        <v/>
      </c>
      <c r="X419" s="3">
        <f>IF(U419="","",U419-($V$3*G419+$W$3))</f>
        <v/>
      </c>
      <c r="Y419" s="3">
        <f>IF(X419="","",MAX(-3,MIN(3,(X419-$X3)/$X4)))</f>
        <v/>
      </c>
      <c r="Z419" s="3">
        <f>IF(Y419="","",(Y419-AVERAGE(Y6:Y1198))/(STDEV(Y6:Y1198)+1E-12))</f>
        <v/>
      </c>
    </row>
    <row r="420">
      <c r="A420" t="inlineStr">
        <is>
          <t>BBG001636CR2</t>
        </is>
      </c>
      <c r="B420" s="3">
        <f>IF('3a Raw'!C420="","",MAX(-3,MIN(3,('3a Raw'!C420-$B3)/$B4)))</f>
        <v/>
      </c>
      <c r="C420" s="3">
        <f>IF(B420="","",(B420-AVERAGE(B6:B1198))/(STDEV(B6:B1198)+1E-12))</f>
        <v/>
      </c>
      <c r="D420" s="3">
        <f>IF('3a Raw'!D420="","",MAX(-3,MIN(3,('3a Raw'!D420-$D3)/$D4)))</f>
        <v/>
      </c>
      <c r="E420" s="3">
        <f>IF(D420="","",(D420-AVERAGE(D6:D1198))/(STDEV(D6:D1198)+1E-12))</f>
        <v/>
      </c>
      <c r="F420" s="3">
        <f>IF('3a Raw'!E420="","",MAX(-3,MIN(3,('3a Raw'!E420-$F3)/$F4)))</f>
        <v/>
      </c>
      <c r="G420" s="3">
        <f>IF(F420="","",(F420-AVERAGE(F6:F1198))/(STDEV(F6:F1198)+1E-12))</f>
        <v/>
      </c>
      <c r="H420" s="3">
        <f>IF('3a Raw'!F420="","",MAX(-3,MIN(3,('3a Raw'!F420-$H3)/$H4)))</f>
        <v/>
      </c>
      <c r="I420" s="3">
        <f>IF(H420="","",(H420-AVERAGE(H6:H1198))/(STDEV(H6:H1198)+1E-12))</f>
        <v/>
      </c>
      <c r="J420" s="3">
        <f>IF('3a Raw'!G420="","",MAX(-3,MIN(3,('3a Raw'!G420-$J3)/$J4)))</f>
        <v/>
      </c>
      <c r="K420" s="3">
        <f>IF(J420="","",(J420-AVERAGE(J6:J1198))/(STDEV(J6:J1198)+1E-12))</f>
        <v/>
      </c>
      <c r="L420" s="3">
        <f>IF('3a Raw'!H420="","",MAX(-3,MIN(3,('3a Raw'!H420-$L3)/$L4)))</f>
        <v/>
      </c>
      <c r="M420" s="3">
        <f>IF(L420="","",(L420-AVERAGE(L6:L1198))/(STDEV(L6:L1198)+1E-12))</f>
        <v/>
      </c>
      <c r="N420" s="3">
        <f>IF('3a Raw'!I420="","",MAX(-3,MIN(3,('3a Raw'!I420-$N3)/$N4)))</f>
        <v/>
      </c>
      <c r="O420" s="3">
        <f>IF(N420="","",(N420-AVERAGE(N6:N1198))/(STDEV(N6:N1198)+1E-12))</f>
        <v/>
      </c>
      <c r="P420" s="3">
        <f>IF('3a Raw'!J420="","",MAX(-3,MIN(3,('3a Raw'!J420-$P3)/$P4)))</f>
        <v/>
      </c>
      <c r="Q420" s="3">
        <f>IF(P420="","",(P420-AVERAGE(P6:P1198))/(STDEV(P6:P1198)+1E-12))</f>
        <v/>
      </c>
      <c r="R420" s="3">
        <f>IF('3a Raw'!K420="","",MAX(-3,MIN(3,('3a Raw'!K420-$R3)/$R4)))</f>
        <v/>
      </c>
      <c r="S420" s="3">
        <f>IF(R420="","",(R420-AVERAGE(R6:R1198))/(STDEV(R6:R1198)+1E-12))</f>
        <v/>
      </c>
      <c r="T420" s="3">
        <f>IF('3a Raw'!L420="","",MAX(-3,MIN(3,('3a Raw'!L420-$T3)/$T4)))</f>
        <v/>
      </c>
      <c r="U420" s="3">
        <f>IF(T420="","",(T420-AVERAGE(T6:T1198))/(STDEV(T6:T1198)+1E-12))</f>
        <v/>
      </c>
      <c r="X420" s="3">
        <f>IF(U420="","",U420-($V$3*G420+$W$3))</f>
        <v/>
      </c>
      <c r="Y420" s="3">
        <f>IF(X420="","",MAX(-3,MIN(3,(X420-$X3)/$X4)))</f>
        <v/>
      </c>
      <c r="Z420" s="3">
        <f>IF(Y420="","",(Y420-AVERAGE(Y6:Y1198))/(STDEV(Y6:Y1198)+1E-12))</f>
        <v/>
      </c>
    </row>
    <row r="421">
      <c r="A421" t="inlineStr">
        <is>
          <t>BBG001KHJM17</t>
        </is>
      </c>
      <c r="B421" s="3">
        <f>IF('3a Raw'!C421="","",MAX(-3,MIN(3,('3a Raw'!C421-$B3)/$B4)))</f>
        <v/>
      </c>
      <c r="C421" s="3">
        <f>IF(B421="","",(B421-AVERAGE(B6:B1198))/(STDEV(B6:B1198)+1E-12))</f>
        <v/>
      </c>
      <c r="D421" s="3">
        <f>IF('3a Raw'!D421="","",MAX(-3,MIN(3,('3a Raw'!D421-$D3)/$D4)))</f>
        <v/>
      </c>
      <c r="E421" s="3">
        <f>IF(D421="","",(D421-AVERAGE(D6:D1198))/(STDEV(D6:D1198)+1E-12))</f>
        <v/>
      </c>
      <c r="F421" s="3">
        <f>IF('3a Raw'!E421="","",MAX(-3,MIN(3,('3a Raw'!E421-$F3)/$F4)))</f>
        <v/>
      </c>
      <c r="G421" s="3">
        <f>IF(F421="","",(F421-AVERAGE(F6:F1198))/(STDEV(F6:F1198)+1E-12))</f>
        <v/>
      </c>
      <c r="H421" s="3">
        <f>IF('3a Raw'!F421="","",MAX(-3,MIN(3,('3a Raw'!F421-$H3)/$H4)))</f>
        <v/>
      </c>
      <c r="I421" s="3">
        <f>IF(H421="","",(H421-AVERAGE(H6:H1198))/(STDEV(H6:H1198)+1E-12))</f>
        <v/>
      </c>
      <c r="J421" s="3">
        <f>IF('3a Raw'!G421="","",MAX(-3,MIN(3,('3a Raw'!G421-$J3)/$J4)))</f>
        <v/>
      </c>
      <c r="K421" s="3">
        <f>IF(J421="","",(J421-AVERAGE(J6:J1198))/(STDEV(J6:J1198)+1E-12))</f>
        <v/>
      </c>
      <c r="L421" s="3">
        <f>IF('3a Raw'!H421="","",MAX(-3,MIN(3,('3a Raw'!H421-$L3)/$L4)))</f>
        <v/>
      </c>
      <c r="M421" s="3">
        <f>IF(L421="","",(L421-AVERAGE(L6:L1198))/(STDEV(L6:L1198)+1E-12))</f>
        <v/>
      </c>
      <c r="N421" s="3">
        <f>IF('3a Raw'!I421="","",MAX(-3,MIN(3,('3a Raw'!I421-$N3)/$N4)))</f>
        <v/>
      </c>
      <c r="O421" s="3">
        <f>IF(N421="","",(N421-AVERAGE(N6:N1198))/(STDEV(N6:N1198)+1E-12))</f>
        <v/>
      </c>
      <c r="P421" s="3">
        <f>IF('3a Raw'!J421="","",MAX(-3,MIN(3,('3a Raw'!J421-$P3)/$P4)))</f>
        <v/>
      </c>
      <c r="Q421" s="3">
        <f>IF(P421="","",(P421-AVERAGE(P6:P1198))/(STDEV(P6:P1198)+1E-12))</f>
        <v/>
      </c>
      <c r="R421" s="3">
        <f>IF('3a Raw'!K421="","",MAX(-3,MIN(3,('3a Raw'!K421-$R3)/$R4)))</f>
        <v/>
      </c>
      <c r="S421" s="3">
        <f>IF(R421="","",(R421-AVERAGE(R6:R1198))/(STDEV(R6:R1198)+1E-12))</f>
        <v/>
      </c>
      <c r="T421" s="3">
        <f>IF('3a Raw'!L421="","",MAX(-3,MIN(3,('3a Raw'!L421-$T3)/$T4)))</f>
        <v/>
      </c>
      <c r="U421" s="3">
        <f>IF(T421="","",(T421-AVERAGE(T6:T1198))/(STDEV(T6:T1198)+1E-12))</f>
        <v/>
      </c>
      <c r="X421" s="3">
        <f>IF(U421="","",U421-($V$3*G421+$W$3))</f>
        <v/>
      </c>
      <c r="Y421" s="3">
        <f>IF(X421="","",MAX(-3,MIN(3,(X421-$X3)/$X4)))</f>
        <v/>
      </c>
      <c r="Z421" s="3">
        <f>IF(Y421="","",(Y421-AVERAGE(Y6:Y1198))/(STDEV(Y6:Y1198)+1E-12))</f>
        <v/>
      </c>
    </row>
    <row r="422">
      <c r="A422" t="inlineStr">
        <is>
          <t>fix</t>
        </is>
      </c>
      <c r="B422" s="3">
        <f>IF('3a Raw'!C422="","",MAX(-3,MIN(3,('3a Raw'!C422-$B3)/$B4)))</f>
        <v/>
      </c>
      <c r="C422" s="3">
        <f>IF(B422="","",(B422-AVERAGE(B6:B1198))/(STDEV(B6:B1198)+1E-12))</f>
        <v/>
      </c>
      <c r="D422" s="3">
        <f>IF('3a Raw'!D422="","",MAX(-3,MIN(3,('3a Raw'!D422-$D3)/$D4)))</f>
        <v/>
      </c>
      <c r="E422" s="3">
        <f>IF(D422="","",(D422-AVERAGE(D6:D1198))/(STDEV(D6:D1198)+1E-12))</f>
        <v/>
      </c>
      <c r="F422" s="3">
        <f>IF('3a Raw'!E422="","",MAX(-3,MIN(3,('3a Raw'!E422-$F3)/$F4)))</f>
        <v/>
      </c>
      <c r="G422" s="3">
        <f>IF(F422="","",(F422-AVERAGE(F6:F1198))/(STDEV(F6:F1198)+1E-12))</f>
        <v/>
      </c>
      <c r="H422" s="3">
        <f>IF('3a Raw'!F422="","",MAX(-3,MIN(3,('3a Raw'!F422-$H3)/$H4)))</f>
        <v/>
      </c>
      <c r="I422" s="3">
        <f>IF(H422="","",(H422-AVERAGE(H6:H1198))/(STDEV(H6:H1198)+1E-12))</f>
        <v/>
      </c>
      <c r="J422" s="3">
        <f>IF('3a Raw'!G422="","",MAX(-3,MIN(3,('3a Raw'!G422-$J3)/$J4)))</f>
        <v/>
      </c>
      <c r="K422" s="3">
        <f>IF(J422="","",(J422-AVERAGE(J6:J1198))/(STDEV(J6:J1198)+1E-12))</f>
        <v/>
      </c>
      <c r="L422" s="3">
        <f>IF('3a Raw'!H422="","",MAX(-3,MIN(3,('3a Raw'!H422-$L3)/$L4)))</f>
        <v/>
      </c>
      <c r="M422" s="3">
        <f>IF(L422="","",(L422-AVERAGE(L6:L1198))/(STDEV(L6:L1198)+1E-12))</f>
        <v/>
      </c>
      <c r="N422" s="3">
        <f>IF('3a Raw'!I422="","",MAX(-3,MIN(3,('3a Raw'!I422-$N3)/$N4)))</f>
        <v/>
      </c>
      <c r="O422" s="3">
        <f>IF(N422="","",(N422-AVERAGE(N6:N1198))/(STDEV(N6:N1198)+1E-12))</f>
        <v/>
      </c>
      <c r="P422" s="3">
        <f>IF('3a Raw'!J422="","",MAX(-3,MIN(3,('3a Raw'!J422-$P3)/$P4)))</f>
        <v/>
      </c>
      <c r="Q422" s="3">
        <f>IF(P422="","",(P422-AVERAGE(P6:P1198))/(STDEV(P6:P1198)+1E-12))</f>
        <v/>
      </c>
      <c r="R422" s="3">
        <f>IF('3a Raw'!K422="","",MAX(-3,MIN(3,('3a Raw'!K422-$R3)/$R4)))</f>
        <v/>
      </c>
      <c r="S422" s="3">
        <f>IF(R422="","",(R422-AVERAGE(R6:R1198))/(STDEV(R6:R1198)+1E-12))</f>
        <v/>
      </c>
      <c r="T422" s="3">
        <f>IF('3a Raw'!L422="","",MAX(-3,MIN(3,('3a Raw'!L422-$T3)/$T4)))</f>
        <v/>
      </c>
      <c r="U422" s="3">
        <f>IF(T422="","",(T422-AVERAGE(T6:T1198))/(STDEV(T6:T1198)+1E-12))</f>
        <v/>
      </c>
      <c r="X422" s="3">
        <f>IF(U422="","",U422-($V$3*G422+$W$3))</f>
        <v/>
      </c>
      <c r="Y422" s="3">
        <f>IF(X422="","",MAX(-3,MIN(3,(X422-$X3)/$X4)))</f>
        <v/>
      </c>
      <c r="Z422" s="3">
        <f>IF(Y422="","",(Y422-AVERAGE(Y6:Y1198))/(STDEV(Y6:Y1198)+1E-12))</f>
        <v/>
      </c>
    </row>
    <row r="423">
      <c r="A423" t="inlineStr">
        <is>
          <t>BBG000BF8CB6</t>
        </is>
      </c>
      <c r="B423" s="3">
        <f>IF('3a Raw'!C423="","",MAX(-3,MIN(3,('3a Raw'!C423-$B3)/$B4)))</f>
        <v/>
      </c>
      <c r="C423" s="3">
        <f>IF(B423="","",(B423-AVERAGE(B6:B1198))/(STDEV(B6:B1198)+1E-12))</f>
        <v/>
      </c>
      <c r="D423" s="3">
        <f>IF('3a Raw'!D423="","",MAX(-3,MIN(3,('3a Raw'!D423-$D3)/$D4)))</f>
        <v/>
      </c>
      <c r="E423" s="3">
        <f>IF(D423="","",(D423-AVERAGE(D6:D1198))/(STDEV(D6:D1198)+1E-12))</f>
        <v/>
      </c>
      <c r="F423" s="3">
        <f>IF('3a Raw'!E423="","",MAX(-3,MIN(3,('3a Raw'!E423-$F3)/$F4)))</f>
        <v/>
      </c>
      <c r="G423" s="3">
        <f>IF(F423="","",(F423-AVERAGE(F6:F1198))/(STDEV(F6:F1198)+1E-12))</f>
        <v/>
      </c>
      <c r="H423" s="3">
        <f>IF('3a Raw'!F423="","",MAX(-3,MIN(3,('3a Raw'!F423-$H3)/$H4)))</f>
        <v/>
      </c>
      <c r="I423" s="3">
        <f>IF(H423="","",(H423-AVERAGE(H6:H1198))/(STDEV(H6:H1198)+1E-12))</f>
        <v/>
      </c>
      <c r="J423" s="3">
        <f>IF('3a Raw'!G423="","",MAX(-3,MIN(3,('3a Raw'!G423-$J3)/$J4)))</f>
        <v/>
      </c>
      <c r="K423" s="3">
        <f>IF(J423="","",(J423-AVERAGE(J6:J1198))/(STDEV(J6:J1198)+1E-12))</f>
        <v/>
      </c>
      <c r="L423" s="3">
        <f>IF('3a Raw'!H423="","",MAX(-3,MIN(3,('3a Raw'!H423-$L3)/$L4)))</f>
        <v/>
      </c>
      <c r="M423" s="3">
        <f>IF(L423="","",(L423-AVERAGE(L6:L1198))/(STDEV(L6:L1198)+1E-12))</f>
        <v/>
      </c>
      <c r="N423" s="3">
        <f>IF('3a Raw'!I423="","",MAX(-3,MIN(3,('3a Raw'!I423-$N3)/$N4)))</f>
        <v/>
      </c>
      <c r="O423" s="3">
        <f>IF(N423="","",(N423-AVERAGE(N6:N1198))/(STDEV(N6:N1198)+1E-12))</f>
        <v/>
      </c>
      <c r="P423" s="3">
        <f>IF('3a Raw'!J423="","",MAX(-3,MIN(3,('3a Raw'!J423-$P3)/$P4)))</f>
        <v/>
      </c>
      <c r="Q423" s="3">
        <f>IF(P423="","",(P423-AVERAGE(P6:P1198))/(STDEV(P6:P1198)+1E-12))</f>
        <v/>
      </c>
      <c r="R423" s="3">
        <f>IF('3a Raw'!K423="","",MAX(-3,MIN(3,('3a Raw'!K423-$R3)/$R4)))</f>
        <v/>
      </c>
      <c r="S423" s="3">
        <f>IF(R423="","",(R423-AVERAGE(R6:R1198))/(STDEV(R6:R1198)+1E-12))</f>
        <v/>
      </c>
      <c r="T423" s="3">
        <f>IF('3a Raw'!L423="","",MAX(-3,MIN(3,('3a Raw'!L423-$T3)/$T4)))</f>
        <v/>
      </c>
      <c r="U423" s="3">
        <f>IF(T423="","",(T423-AVERAGE(T6:T1198))/(STDEV(T6:T1198)+1E-12))</f>
        <v/>
      </c>
      <c r="X423" s="3">
        <f>IF(U423="","",U423-($V$3*G423+$W$3))</f>
        <v/>
      </c>
      <c r="Y423" s="3">
        <f>IF(X423="","",MAX(-3,MIN(3,(X423-$X3)/$X4)))</f>
        <v/>
      </c>
      <c r="Z423" s="3">
        <f>IF(Y423="","",(Y423-AVERAGE(Y6:Y1198))/(STDEV(Y6:Y1198)+1E-12))</f>
        <v/>
      </c>
    </row>
    <row r="424">
      <c r="A424" t="inlineStr">
        <is>
          <t>BBG012QSDSK6</t>
        </is>
      </c>
      <c r="B424" s="3">
        <f>IF('3a Raw'!C424="","",MAX(-3,MIN(3,('3a Raw'!C424-$B3)/$B4)))</f>
        <v/>
      </c>
      <c r="C424" s="3">
        <f>IF(B424="","",(B424-AVERAGE(B6:B1198))/(STDEV(B6:B1198)+1E-12))</f>
        <v/>
      </c>
      <c r="D424" s="3">
        <f>IF('3a Raw'!D424="","",MAX(-3,MIN(3,('3a Raw'!D424-$D3)/$D4)))</f>
        <v/>
      </c>
      <c r="E424" s="3">
        <f>IF(D424="","",(D424-AVERAGE(D6:D1198))/(STDEV(D6:D1198)+1E-12))</f>
        <v/>
      </c>
      <c r="F424" s="3">
        <f>IF('3a Raw'!E424="","",MAX(-3,MIN(3,('3a Raw'!E424-$F3)/$F4)))</f>
        <v/>
      </c>
      <c r="G424" s="3">
        <f>IF(F424="","",(F424-AVERAGE(F6:F1198))/(STDEV(F6:F1198)+1E-12))</f>
        <v/>
      </c>
      <c r="H424" s="3">
        <f>IF('3a Raw'!F424="","",MAX(-3,MIN(3,('3a Raw'!F424-$H3)/$H4)))</f>
        <v/>
      </c>
      <c r="I424" s="3">
        <f>IF(H424="","",(H424-AVERAGE(H6:H1198))/(STDEV(H6:H1198)+1E-12))</f>
        <v/>
      </c>
      <c r="J424" s="3">
        <f>IF('3a Raw'!G424="","",MAX(-3,MIN(3,('3a Raw'!G424-$J3)/$J4)))</f>
        <v/>
      </c>
      <c r="K424" s="3">
        <f>IF(J424="","",(J424-AVERAGE(J6:J1198))/(STDEV(J6:J1198)+1E-12))</f>
        <v/>
      </c>
      <c r="L424" s="3">
        <f>IF('3a Raw'!H424="","",MAX(-3,MIN(3,('3a Raw'!H424-$L3)/$L4)))</f>
        <v/>
      </c>
      <c r="M424" s="3">
        <f>IF(L424="","",(L424-AVERAGE(L6:L1198))/(STDEV(L6:L1198)+1E-12))</f>
        <v/>
      </c>
      <c r="N424" s="3">
        <f>IF('3a Raw'!I424="","",MAX(-3,MIN(3,('3a Raw'!I424-$N3)/$N4)))</f>
        <v/>
      </c>
      <c r="O424" s="3">
        <f>IF(N424="","",(N424-AVERAGE(N6:N1198))/(STDEV(N6:N1198)+1E-12))</f>
        <v/>
      </c>
      <c r="P424" s="3">
        <f>IF('3a Raw'!J424="","",MAX(-3,MIN(3,('3a Raw'!J424-$P3)/$P4)))</f>
        <v/>
      </c>
      <c r="Q424" s="3">
        <f>IF(P424="","",(P424-AVERAGE(P6:P1198))/(STDEV(P6:P1198)+1E-12))</f>
        <v/>
      </c>
      <c r="R424" s="3">
        <f>IF('3a Raw'!K424="","",MAX(-3,MIN(3,('3a Raw'!K424-$R3)/$R4)))</f>
        <v/>
      </c>
      <c r="S424" s="3">
        <f>IF(R424="","",(R424-AVERAGE(R6:R1198))/(STDEV(R6:R1198)+1E-12))</f>
        <v/>
      </c>
      <c r="T424" s="3">
        <f>IF('3a Raw'!L424="","",MAX(-3,MIN(3,('3a Raw'!L424-$T3)/$T4)))</f>
        <v/>
      </c>
      <c r="U424" s="3">
        <f>IF(T424="","",(T424-AVERAGE(T6:T1198))/(STDEV(T6:T1198)+1E-12))</f>
        <v/>
      </c>
      <c r="X424" s="3">
        <f>IF(U424="","",U424-($V$3*G424+$W$3))</f>
        <v/>
      </c>
      <c r="Y424" s="3">
        <f>IF(X424="","",MAX(-3,MIN(3,(X424-$X3)/$X4)))</f>
        <v/>
      </c>
      <c r="Z424" s="3">
        <f>IF(Y424="","",(Y424-AVERAGE(Y6:Y1198))/(STDEV(Y6:Y1198)+1E-12))</f>
        <v/>
      </c>
    </row>
    <row r="425">
      <c r="A425" t="inlineStr">
        <is>
          <t>BBG000BB1TH9</t>
        </is>
      </c>
      <c r="B425" s="3">
        <f>IF('3a Raw'!C425="","",MAX(-3,MIN(3,('3a Raw'!C425-$B3)/$B4)))</f>
        <v/>
      </c>
      <c r="C425" s="3">
        <f>IF(B425="","",(B425-AVERAGE(B6:B1198))/(STDEV(B6:B1198)+1E-12))</f>
        <v/>
      </c>
      <c r="D425" s="3">
        <f>IF('3a Raw'!D425="","",MAX(-3,MIN(3,('3a Raw'!D425-$D3)/$D4)))</f>
        <v/>
      </c>
      <c r="E425" s="3">
        <f>IF(D425="","",(D425-AVERAGE(D6:D1198))/(STDEV(D6:D1198)+1E-12))</f>
        <v/>
      </c>
      <c r="F425" s="3">
        <f>IF('3a Raw'!E425="","",MAX(-3,MIN(3,('3a Raw'!E425-$F3)/$F4)))</f>
        <v/>
      </c>
      <c r="G425" s="3">
        <f>IF(F425="","",(F425-AVERAGE(F6:F1198))/(STDEV(F6:F1198)+1E-12))</f>
        <v/>
      </c>
      <c r="H425" s="3">
        <f>IF('3a Raw'!F425="","",MAX(-3,MIN(3,('3a Raw'!F425-$H3)/$H4)))</f>
        <v/>
      </c>
      <c r="I425" s="3">
        <f>IF(H425="","",(H425-AVERAGE(H6:H1198))/(STDEV(H6:H1198)+1E-12))</f>
        <v/>
      </c>
      <c r="J425" s="3">
        <f>IF('3a Raw'!G425="","",MAX(-3,MIN(3,('3a Raw'!G425-$J3)/$J4)))</f>
        <v/>
      </c>
      <c r="K425" s="3">
        <f>IF(J425="","",(J425-AVERAGE(J6:J1198))/(STDEV(J6:J1198)+1E-12))</f>
        <v/>
      </c>
      <c r="L425" s="3">
        <f>IF('3a Raw'!H425="","",MAX(-3,MIN(3,('3a Raw'!H425-$L3)/$L4)))</f>
        <v/>
      </c>
      <c r="M425" s="3">
        <f>IF(L425="","",(L425-AVERAGE(L6:L1198))/(STDEV(L6:L1198)+1E-12))</f>
        <v/>
      </c>
      <c r="N425" s="3">
        <f>IF('3a Raw'!I425="","",MAX(-3,MIN(3,('3a Raw'!I425-$N3)/$N4)))</f>
        <v/>
      </c>
      <c r="O425" s="3">
        <f>IF(N425="","",(N425-AVERAGE(N6:N1198))/(STDEV(N6:N1198)+1E-12))</f>
        <v/>
      </c>
      <c r="P425" s="3">
        <f>IF('3a Raw'!J425="","",MAX(-3,MIN(3,('3a Raw'!J425-$P3)/$P4)))</f>
        <v/>
      </c>
      <c r="Q425" s="3">
        <f>IF(P425="","",(P425-AVERAGE(P6:P1198))/(STDEV(P6:P1198)+1E-12))</f>
        <v/>
      </c>
      <c r="R425" s="3">
        <f>IF('3a Raw'!K425="","",MAX(-3,MIN(3,('3a Raw'!K425-$R3)/$R4)))</f>
        <v/>
      </c>
      <c r="S425" s="3">
        <f>IF(R425="","",(R425-AVERAGE(R6:R1198))/(STDEV(R6:R1198)+1E-12))</f>
        <v/>
      </c>
      <c r="T425" s="3">
        <f>IF('3a Raw'!L425="","",MAX(-3,MIN(3,('3a Raw'!L425-$T3)/$T4)))</f>
        <v/>
      </c>
      <c r="U425" s="3">
        <f>IF(T425="","",(T425-AVERAGE(T6:T1198))/(STDEV(T6:T1198)+1E-12))</f>
        <v/>
      </c>
      <c r="X425" s="3">
        <f>IF(U425="","",U425-($V$3*G425+$W$3))</f>
        <v/>
      </c>
      <c r="Y425" s="3">
        <f>IF(X425="","",MAX(-3,MIN(3,(X425-$X3)/$X4)))</f>
        <v/>
      </c>
      <c r="Z425" s="3">
        <f>IF(Y425="","",(Y425-AVERAGE(Y6:Y1198))/(STDEV(Y6:Y1198)+1E-12))</f>
        <v/>
      </c>
    </row>
    <row r="426">
      <c r="A426" t="inlineStr">
        <is>
          <t>BBG000BJP882</t>
        </is>
      </c>
      <c r="B426" s="3">
        <f>IF('3a Raw'!C426="","",MAX(-3,MIN(3,('3a Raw'!C426-$B3)/$B4)))</f>
        <v/>
      </c>
      <c r="C426" s="3">
        <f>IF(B426="","",(B426-AVERAGE(B6:B1198))/(STDEV(B6:B1198)+1E-12))</f>
        <v/>
      </c>
      <c r="D426" s="3">
        <f>IF('3a Raw'!D426="","",MAX(-3,MIN(3,('3a Raw'!D426-$D3)/$D4)))</f>
        <v/>
      </c>
      <c r="E426" s="3">
        <f>IF(D426="","",(D426-AVERAGE(D6:D1198))/(STDEV(D6:D1198)+1E-12))</f>
        <v/>
      </c>
      <c r="F426" s="3">
        <f>IF('3a Raw'!E426="","",MAX(-3,MIN(3,('3a Raw'!E426-$F3)/$F4)))</f>
        <v/>
      </c>
      <c r="G426" s="3">
        <f>IF(F426="","",(F426-AVERAGE(F6:F1198))/(STDEV(F6:F1198)+1E-12))</f>
        <v/>
      </c>
      <c r="H426" s="3">
        <f>IF('3a Raw'!F426="","",MAX(-3,MIN(3,('3a Raw'!F426-$H3)/$H4)))</f>
        <v/>
      </c>
      <c r="I426" s="3">
        <f>IF(H426="","",(H426-AVERAGE(H6:H1198))/(STDEV(H6:H1198)+1E-12))</f>
        <v/>
      </c>
      <c r="J426" s="3">
        <f>IF('3a Raw'!G426="","",MAX(-3,MIN(3,('3a Raw'!G426-$J3)/$J4)))</f>
        <v/>
      </c>
      <c r="K426" s="3">
        <f>IF(J426="","",(J426-AVERAGE(J6:J1198))/(STDEV(J6:J1198)+1E-12))</f>
        <v/>
      </c>
      <c r="L426" s="3">
        <f>IF('3a Raw'!H426="","",MAX(-3,MIN(3,('3a Raw'!H426-$L3)/$L4)))</f>
        <v/>
      </c>
      <c r="M426" s="3">
        <f>IF(L426="","",(L426-AVERAGE(L6:L1198))/(STDEV(L6:L1198)+1E-12))</f>
        <v/>
      </c>
      <c r="N426" s="3">
        <f>IF('3a Raw'!I426="","",MAX(-3,MIN(3,('3a Raw'!I426-$N3)/$N4)))</f>
        <v/>
      </c>
      <c r="O426" s="3">
        <f>IF(N426="","",(N426-AVERAGE(N6:N1198))/(STDEV(N6:N1198)+1E-12))</f>
        <v/>
      </c>
      <c r="P426" s="3">
        <f>IF('3a Raw'!J426="","",MAX(-3,MIN(3,('3a Raw'!J426-$P3)/$P4)))</f>
        <v/>
      </c>
      <c r="Q426" s="3">
        <f>IF(P426="","",(P426-AVERAGE(P6:P1198))/(STDEV(P6:P1198)+1E-12))</f>
        <v/>
      </c>
      <c r="R426" s="3">
        <f>IF('3a Raw'!K426="","",MAX(-3,MIN(3,('3a Raw'!K426-$R3)/$R4)))</f>
        <v/>
      </c>
      <c r="S426" s="3">
        <f>IF(R426="","",(R426-AVERAGE(R6:R1198))/(STDEV(R6:R1198)+1E-12))</f>
        <v/>
      </c>
      <c r="T426" s="3">
        <f>IF('3a Raw'!L426="","",MAX(-3,MIN(3,('3a Raw'!L426-$T3)/$T4)))</f>
        <v/>
      </c>
      <c r="U426" s="3">
        <f>IF(T426="","",(T426-AVERAGE(T6:T1198))/(STDEV(T6:T1198)+1E-12))</f>
        <v/>
      </c>
      <c r="X426" s="3">
        <f>IF(U426="","",U426-($V$3*G426+$W$3))</f>
        <v/>
      </c>
      <c r="Y426" s="3">
        <f>IF(X426="","",MAX(-3,MIN(3,(X426-$X3)/$X4)))</f>
        <v/>
      </c>
      <c r="Z426" s="3">
        <f>IF(Y426="","",(Y426-AVERAGE(Y6:Y1198))/(STDEV(Y6:Y1198)+1E-12))</f>
        <v/>
      </c>
    </row>
    <row r="427">
      <c r="A427" t="inlineStr">
        <is>
          <t>BBG007GJ2F81</t>
        </is>
      </c>
      <c r="B427" s="3">
        <f>IF('3a Raw'!C427="","",MAX(-3,MIN(3,('3a Raw'!C427-$B3)/$B4)))</f>
        <v/>
      </c>
      <c r="C427" s="3">
        <f>IF(B427="","",(B427-AVERAGE(B6:B1198))/(STDEV(B6:B1198)+1E-12))</f>
        <v/>
      </c>
      <c r="D427" s="3">
        <f>IF('3a Raw'!D427="","",MAX(-3,MIN(3,('3a Raw'!D427-$D3)/$D4)))</f>
        <v/>
      </c>
      <c r="E427" s="3">
        <f>IF(D427="","",(D427-AVERAGE(D6:D1198))/(STDEV(D6:D1198)+1E-12))</f>
        <v/>
      </c>
      <c r="F427" s="3">
        <f>IF('3a Raw'!E427="","",MAX(-3,MIN(3,('3a Raw'!E427-$F3)/$F4)))</f>
        <v/>
      </c>
      <c r="G427" s="3">
        <f>IF(F427="","",(F427-AVERAGE(F6:F1198))/(STDEV(F6:F1198)+1E-12))</f>
        <v/>
      </c>
      <c r="H427" s="3">
        <f>IF('3a Raw'!F427="","",MAX(-3,MIN(3,('3a Raw'!F427-$H3)/$H4)))</f>
        <v/>
      </c>
      <c r="I427" s="3">
        <f>IF(H427="","",(H427-AVERAGE(H6:H1198))/(STDEV(H6:H1198)+1E-12))</f>
        <v/>
      </c>
      <c r="J427" s="3">
        <f>IF('3a Raw'!G427="","",MAX(-3,MIN(3,('3a Raw'!G427-$J3)/$J4)))</f>
        <v/>
      </c>
      <c r="K427" s="3">
        <f>IF(J427="","",(J427-AVERAGE(J6:J1198))/(STDEV(J6:J1198)+1E-12))</f>
        <v/>
      </c>
      <c r="L427" s="3">
        <f>IF('3a Raw'!H427="","",MAX(-3,MIN(3,('3a Raw'!H427-$L3)/$L4)))</f>
        <v/>
      </c>
      <c r="M427" s="3">
        <f>IF(L427="","",(L427-AVERAGE(L6:L1198))/(STDEV(L6:L1198)+1E-12))</f>
        <v/>
      </c>
      <c r="N427" s="3">
        <f>IF('3a Raw'!I427="","",MAX(-3,MIN(3,('3a Raw'!I427-$N3)/$N4)))</f>
        <v/>
      </c>
      <c r="O427" s="3">
        <f>IF(N427="","",(N427-AVERAGE(N6:N1198))/(STDEV(N6:N1198)+1E-12))</f>
        <v/>
      </c>
      <c r="P427" s="3">
        <f>IF('3a Raw'!J427="","",MAX(-3,MIN(3,('3a Raw'!J427-$P3)/$P4)))</f>
        <v/>
      </c>
      <c r="Q427" s="3">
        <f>IF(P427="","",(P427-AVERAGE(P6:P1198))/(STDEV(P6:P1198)+1E-12))</f>
        <v/>
      </c>
      <c r="R427" s="3">
        <f>IF('3a Raw'!K427="","",MAX(-3,MIN(3,('3a Raw'!K427-$R3)/$R4)))</f>
        <v/>
      </c>
      <c r="S427" s="3">
        <f>IF(R427="","",(R427-AVERAGE(R6:R1198))/(STDEV(R6:R1198)+1E-12))</f>
        <v/>
      </c>
      <c r="T427" s="3">
        <f>IF('3a Raw'!L427="","",MAX(-3,MIN(3,('3a Raw'!L427-$T3)/$T4)))</f>
        <v/>
      </c>
      <c r="U427" s="3">
        <f>IF(T427="","",(T427-AVERAGE(T6:T1198))/(STDEV(T6:T1198)+1E-12))</f>
        <v/>
      </c>
      <c r="X427" s="3">
        <f>IF(U427="","",U427-($V$3*G427+$W$3))</f>
        <v/>
      </c>
      <c r="Y427" s="3">
        <f>IF(X427="","",MAX(-3,MIN(3,(X427-$X3)/$X4)))</f>
        <v/>
      </c>
      <c r="Z427" s="3">
        <f>IF(Y427="","",(Y427-AVERAGE(Y6:Y1198))/(STDEV(Y6:Y1198)+1E-12))</f>
        <v/>
      </c>
    </row>
    <row r="428">
      <c r="A428" t="inlineStr">
        <is>
          <t>BBG000RD3CL8</t>
        </is>
      </c>
      <c r="B428" s="3">
        <f>IF('3a Raw'!C428="","",MAX(-3,MIN(3,('3a Raw'!C428-$B3)/$B4)))</f>
        <v/>
      </c>
      <c r="C428" s="3">
        <f>IF(B428="","",(B428-AVERAGE(B6:B1198))/(STDEV(B6:B1198)+1E-12))</f>
        <v/>
      </c>
      <c r="D428" s="3">
        <f>IF('3a Raw'!D428="","",MAX(-3,MIN(3,('3a Raw'!D428-$D3)/$D4)))</f>
        <v/>
      </c>
      <c r="E428" s="3">
        <f>IF(D428="","",(D428-AVERAGE(D6:D1198))/(STDEV(D6:D1198)+1E-12))</f>
        <v/>
      </c>
      <c r="F428" s="3">
        <f>IF('3a Raw'!E428="","",MAX(-3,MIN(3,('3a Raw'!E428-$F3)/$F4)))</f>
        <v/>
      </c>
      <c r="G428" s="3">
        <f>IF(F428="","",(F428-AVERAGE(F6:F1198))/(STDEV(F6:F1198)+1E-12))</f>
        <v/>
      </c>
      <c r="H428" s="3">
        <f>IF('3a Raw'!F428="","",MAX(-3,MIN(3,('3a Raw'!F428-$H3)/$H4)))</f>
        <v/>
      </c>
      <c r="I428" s="3">
        <f>IF(H428="","",(H428-AVERAGE(H6:H1198))/(STDEV(H6:H1198)+1E-12))</f>
        <v/>
      </c>
      <c r="J428" s="3">
        <f>IF('3a Raw'!G428="","",MAX(-3,MIN(3,('3a Raw'!G428-$J3)/$J4)))</f>
        <v/>
      </c>
      <c r="K428" s="3">
        <f>IF(J428="","",(J428-AVERAGE(J6:J1198))/(STDEV(J6:J1198)+1E-12))</f>
        <v/>
      </c>
      <c r="L428" s="3">
        <f>IF('3a Raw'!H428="","",MAX(-3,MIN(3,('3a Raw'!H428-$L3)/$L4)))</f>
        <v/>
      </c>
      <c r="M428" s="3">
        <f>IF(L428="","",(L428-AVERAGE(L6:L1198))/(STDEV(L6:L1198)+1E-12))</f>
        <v/>
      </c>
      <c r="N428" s="3">
        <f>IF('3a Raw'!I428="","",MAX(-3,MIN(3,('3a Raw'!I428-$N3)/$N4)))</f>
        <v/>
      </c>
      <c r="O428" s="3">
        <f>IF(N428="","",(N428-AVERAGE(N6:N1198))/(STDEV(N6:N1198)+1E-12))</f>
        <v/>
      </c>
      <c r="P428" s="3">
        <f>IF('3a Raw'!J428="","",MAX(-3,MIN(3,('3a Raw'!J428-$P3)/$P4)))</f>
        <v/>
      </c>
      <c r="Q428" s="3">
        <f>IF(P428="","",(P428-AVERAGE(P6:P1198))/(STDEV(P6:P1198)+1E-12))</f>
        <v/>
      </c>
      <c r="R428" s="3">
        <f>IF('3a Raw'!K428="","",MAX(-3,MIN(3,('3a Raw'!K428-$R3)/$R4)))</f>
        <v/>
      </c>
      <c r="S428" s="3">
        <f>IF(R428="","",(R428-AVERAGE(R6:R1198))/(STDEV(R6:R1198)+1E-12))</f>
        <v/>
      </c>
      <c r="T428" s="3">
        <f>IF('3a Raw'!L428="","",MAX(-3,MIN(3,('3a Raw'!L428-$T3)/$T4)))</f>
        <v/>
      </c>
      <c r="U428" s="3">
        <f>IF(T428="","",(T428-AVERAGE(T6:T1198))/(STDEV(T6:T1198)+1E-12))</f>
        <v/>
      </c>
      <c r="X428" s="3">
        <f>IF(U428="","",U428-($V$3*G428+$W$3))</f>
        <v/>
      </c>
      <c r="Y428" s="3">
        <f>IF(X428="","",MAX(-3,MIN(3,(X428-$X3)/$X4)))</f>
        <v/>
      </c>
      <c r="Z428" s="3">
        <f>IF(Y428="","",(Y428-AVERAGE(Y6:Y1198))/(STDEV(Y6:Y1198)+1E-12))</f>
        <v/>
      </c>
    </row>
    <row r="429">
      <c r="A429" t="inlineStr">
        <is>
          <t>fox</t>
        </is>
      </c>
      <c r="B429" s="3">
        <f>IF('3a Raw'!C429="","",MAX(-3,MIN(3,('3a Raw'!C429-$B3)/$B4)))</f>
        <v/>
      </c>
      <c r="C429" s="3">
        <f>IF(B429="","",(B429-AVERAGE(B6:B1198))/(STDEV(B6:B1198)+1E-12))</f>
        <v/>
      </c>
      <c r="D429" s="3">
        <f>IF('3a Raw'!D429="","",MAX(-3,MIN(3,('3a Raw'!D429-$D3)/$D4)))</f>
        <v/>
      </c>
      <c r="E429" s="3">
        <f>IF(D429="","",(D429-AVERAGE(D6:D1198))/(STDEV(D6:D1198)+1E-12))</f>
        <v/>
      </c>
      <c r="F429" s="3">
        <f>IF('3a Raw'!E429="","",MAX(-3,MIN(3,('3a Raw'!E429-$F3)/$F4)))</f>
        <v/>
      </c>
      <c r="G429" s="3">
        <f>IF(F429="","",(F429-AVERAGE(F6:F1198))/(STDEV(F6:F1198)+1E-12))</f>
        <v/>
      </c>
      <c r="H429" s="3">
        <f>IF('3a Raw'!F429="","",MAX(-3,MIN(3,('3a Raw'!F429-$H3)/$H4)))</f>
        <v/>
      </c>
      <c r="I429" s="3">
        <f>IF(H429="","",(H429-AVERAGE(H6:H1198))/(STDEV(H6:H1198)+1E-12))</f>
        <v/>
      </c>
      <c r="J429" s="3">
        <f>IF('3a Raw'!G429="","",MAX(-3,MIN(3,('3a Raw'!G429-$J3)/$J4)))</f>
        <v/>
      </c>
      <c r="K429" s="3">
        <f>IF(J429="","",(J429-AVERAGE(J6:J1198))/(STDEV(J6:J1198)+1E-12))</f>
        <v/>
      </c>
      <c r="L429" s="3">
        <f>IF('3a Raw'!H429="","",MAX(-3,MIN(3,('3a Raw'!H429-$L3)/$L4)))</f>
        <v/>
      </c>
      <c r="M429" s="3">
        <f>IF(L429="","",(L429-AVERAGE(L6:L1198))/(STDEV(L6:L1198)+1E-12))</f>
        <v/>
      </c>
      <c r="N429" s="3">
        <f>IF('3a Raw'!I429="","",MAX(-3,MIN(3,('3a Raw'!I429-$N3)/$N4)))</f>
        <v/>
      </c>
      <c r="O429" s="3">
        <f>IF(N429="","",(N429-AVERAGE(N6:N1198))/(STDEV(N6:N1198)+1E-12))</f>
        <v/>
      </c>
      <c r="P429" s="3">
        <f>IF('3a Raw'!J429="","",MAX(-3,MIN(3,('3a Raw'!J429-$P3)/$P4)))</f>
        <v/>
      </c>
      <c r="Q429" s="3">
        <f>IF(P429="","",(P429-AVERAGE(P6:P1198))/(STDEV(P6:P1198)+1E-12))</f>
        <v/>
      </c>
      <c r="R429" s="3">
        <f>IF('3a Raw'!K429="","",MAX(-3,MIN(3,('3a Raw'!K429-$R3)/$R4)))</f>
        <v/>
      </c>
      <c r="S429" s="3">
        <f>IF(R429="","",(R429-AVERAGE(R6:R1198))/(STDEV(R6:R1198)+1E-12))</f>
        <v/>
      </c>
      <c r="T429" s="3">
        <f>IF('3a Raw'!L429="","",MAX(-3,MIN(3,('3a Raw'!L429-$T3)/$T4)))</f>
        <v/>
      </c>
      <c r="U429" s="3">
        <f>IF(T429="","",(T429-AVERAGE(T6:T1198))/(STDEV(T6:T1198)+1E-12))</f>
        <v/>
      </c>
      <c r="X429" s="3">
        <f>IF(U429="","",U429-($V$3*G429+$W$3))</f>
        <v/>
      </c>
      <c r="Y429" s="3">
        <f>IF(X429="","",MAX(-3,MIN(3,(X429-$X3)/$X4)))</f>
        <v/>
      </c>
      <c r="Z429" s="3">
        <f>IF(Y429="","",(Y429-AVERAGE(Y6:Y1198))/(STDEV(Y6:Y1198)+1E-12))</f>
        <v/>
      </c>
    </row>
    <row r="430">
      <c r="A430" t="inlineStr">
        <is>
          <t>foxa</t>
        </is>
      </c>
      <c r="B430" s="3">
        <f>IF('3a Raw'!C430="","",MAX(-3,MIN(3,('3a Raw'!C430-$B3)/$B4)))</f>
        <v/>
      </c>
      <c r="C430" s="3">
        <f>IF(B430="","",(B430-AVERAGE(B6:B1198))/(STDEV(B6:B1198)+1E-12))</f>
        <v/>
      </c>
      <c r="D430" s="3">
        <f>IF('3a Raw'!D430="","",MAX(-3,MIN(3,('3a Raw'!D430-$D3)/$D4)))</f>
        <v/>
      </c>
      <c r="E430" s="3">
        <f>IF(D430="","",(D430-AVERAGE(D6:D1198))/(STDEV(D6:D1198)+1E-12))</f>
        <v/>
      </c>
      <c r="F430" s="3">
        <f>IF('3a Raw'!E430="","",MAX(-3,MIN(3,('3a Raw'!E430-$F3)/$F4)))</f>
        <v/>
      </c>
      <c r="G430" s="3">
        <f>IF(F430="","",(F430-AVERAGE(F6:F1198))/(STDEV(F6:F1198)+1E-12))</f>
        <v/>
      </c>
      <c r="H430" s="3">
        <f>IF('3a Raw'!F430="","",MAX(-3,MIN(3,('3a Raw'!F430-$H3)/$H4)))</f>
        <v/>
      </c>
      <c r="I430" s="3">
        <f>IF(H430="","",(H430-AVERAGE(H6:H1198))/(STDEV(H6:H1198)+1E-12))</f>
        <v/>
      </c>
      <c r="J430" s="3">
        <f>IF('3a Raw'!G430="","",MAX(-3,MIN(3,('3a Raw'!G430-$J3)/$J4)))</f>
        <v/>
      </c>
      <c r="K430" s="3">
        <f>IF(J430="","",(J430-AVERAGE(J6:J1198))/(STDEV(J6:J1198)+1E-12))</f>
        <v/>
      </c>
      <c r="L430" s="3">
        <f>IF('3a Raw'!H430="","",MAX(-3,MIN(3,('3a Raw'!H430-$L3)/$L4)))</f>
        <v/>
      </c>
      <c r="M430" s="3">
        <f>IF(L430="","",(L430-AVERAGE(L6:L1198))/(STDEV(L6:L1198)+1E-12))</f>
        <v/>
      </c>
      <c r="N430" s="3">
        <f>IF('3a Raw'!I430="","",MAX(-3,MIN(3,('3a Raw'!I430-$N3)/$N4)))</f>
        <v/>
      </c>
      <c r="O430" s="3">
        <f>IF(N430="","",(N430-AVERAGE(N6:N1198))/(STDEV(N6:N1198)+1E-12))</f>
        <v/>
      </c>
      <c r="P430" s="3">
        <f>IF('3a Raw'!J430="","",MAX(-3,MIN(3,('3a Raw'!J430-$P3)/$P4)))</f>
        <v/>
      </c>
      <c r="Q430" s="3">
        <f>IF(P430="","",(P430-AVERAGE(P6:P1198))/(STDEV(P6:P1198)+1E-12))</f>
        <v/>
      </c>
      <c r="R430" s="3">
        <f>IF('3a Raw'!K430="","",MAX(-3,MIN(3,('3a Raw'!K430-$R3)/$R4)))</f>
        <v/>
      </c>
      <c r="S430" s="3">
        <f>IF(R430="","",(R430-AVERAGE(R6:R1198))/(STDEV(R6:R1198)+1E-12))</f>
        <v/>
      </c>
      <c r="T430" s="3">
        <f>IF('3a Raw'!L430="","",MAX(-3,MIN(3,('3a Raw'!L430-$T3)/$T4)))</f>
        <v/>
      </c>
      <c r="U430" s="3">
        <f>IF(T430="","",(T430-AVERAGE(T6:T1198))/(STDEV(T6:T1198)+1E-12))</f>
        <v/>
      </c>
      <c r="X430" s="3">
        <f>IF(U430="","",U430-($V$3*G430+$W$3))</f>
        <v/>
      </c>
      <c r="Y430" s="3">
        <f>IF(X430="","",MAX(-3,MIN(3,(X430-$X3)/$X4)))</f>
        <v/>
      </c>
      <c r="Z430" s="3">
        <f>IF(Y430="","",(Y430-AVERAGE(Y6:Y1198))/(STDEV(Y6:Y1198)+1E-12))</f>
        <v/>
      </c>
    </row>
    <row r="431">
      <c r="A431" t="inlineStr">
        <is>
          <t>BBG01ZJ9DR98</t>
        </is>
      </c>
      <c r="B431" s="3">
        <f>IF('3a Raw'!C431="","",MAX(-3,MIN(3,('3a Raw'!C431-$B3)/$B4)))</f>
        <v/>
      </c>
      <c r="C431" s="3">
        <f>IF(B431="","",(B431-AVERAGE(B6:B1198))/(STDEV(B6:B1198)+1E-12))</f>
        <v/>
      </c>
      <c r="D431" s="3">
        <f>IF('3a Raw'!D431="","",MAX(-3,MIN(3,('3a Raw'!D431-$D3)/$D4)))</f>
        <v/>
      </c>
      <c r="E431" s="3">
        <f>IF(D431="","",(D431-AVERAGE(D6:D1198))/(STDEV(D6:D1198)+1E-12))</f>
        <v/>
      </c>
      <c r="F431" s="3">
        <f>IF('3a Raw'!E431="","",MAX(-3,MIN(3,('3a Raw'!E431-$F3)/$F4)))</f>
        <v/>
      </c>
      <c r="G431" s="3">
        <f>IF(F431="","",(F431-AVERAGE(F6:F1198))/(STDEV(F6:F1198)+1E-12))</f>
        <v/>
      </c>
      <c r="H431" s="3">
        <f>IF('3a Raw'!F431="","",MAX(-3,MIN(3,('3a Raw'!F431-$H3)/$H4)))</f>
        <v/>
      </c>
      <c r="I431" s="3">
        <f>IF(H431="","",(H431-AVERAGE(H6:H1198))/(STDEV(H6:H1198)+1E-12))</f>
        <v/>
      </c>
      <c r="J431" s="3">
        <f>IF('3a Raw'!G431="","",MAX(-3,MIN(3,('3a Raw'!G431-$J3)/$J4)))</f>
        <v/>
      </c>
      <c r="K431" s="3">
        <f>IF(J431="","",(J431-AVERAGE(J6:J1198))/(STDEV(J6:J1198)+1E-12))</f>
        <v/>
      </c>
      <c r="L431" s="3">
        <f>IF('3a Raw'!H431="","",MAX(-3,MIN(3,('3a Raw'!H431-$L3)/$L4)))</f>
        <v/>
      </c>
      <c r="M431" s="3">
        <f>IF(L431="","",(L431-AVERAGE(L6:L1198))/(STDEV(L6:L1198)+1E-12))</f>
        <v/>
      </c>
      <c r="N431" s="3">
        <f>IF('3a Raw'!I431="","",MAX(-3,MIN(3,('3a Raw'!I431-$N3)/$N4)))</f>
        <v/>
      </c>
      <c r="O431" s="3">
        <f>IF(N431="","",(N431-AVERAGE(N6:N1198))/(STDEV(N6:N1198)+1E-12))</f>
        <v/>
      </c>
      <c r="P431" s="3">
        <f>IF('3a Raw'!J431="","",MAX(-3,MIN(3,('3a Raw'!J431-$P3)/$P4)))</f>
        <v/>
      </c>
      <c r="Q431" s="3">
        <f>IF(P431="","",(P431-AVERAGE(P6:P1198))/(STDEV(P6:P1198)+1E-12))</f>
        <v/>
      </c>
      <c r="R431" s="3">
        <f>IF('3a Raw'!K431="","",MAX(-3,MIN(3,('3a Raw'!K431-$R3)/$R4)))</f>
        <v/>
      </c>
      <c r="S431" s="3">
        <f>IF(R431="","",(R431-AVERAGE(R6:R1198))/(STDEV(R6:R1198)+1E-12))</f>
        <v/>
      </c>
      <c r="T431" s="3">
        <f>IF('3a Raw'!L431="","",MAX(-3,MIN(3,('3a Raw'!L431-$T3)/$T4)))</f>
        <v/>
      </c>
      <c r="U431" s="3">
        <f>IF(T431="","",(T431-AVERAGE(T6:T1198))/(STDEV(T6:T1198)+1E-12))</f>
        <v/>
      </c>
      <c r="X431" s="3">
        <f>IF(U431="","",U431-($V$3*G431+$W$3))</f>
        <v/>
      </c>
      <c r="Y431" s="3">
        <f>IF(X431="","",MAX(-3,MIN(3,(X431-$X3)/$X4)))</f>
        <v/>
      </c>
      <c r="Z431" s="3">
        <f>IF(Y431="","",(Y431-AVERAGE(Y6:Y1198))/(STDEV(Y6:Y1198)+1E-12))</f>
        <v/>
      </c>
    </row>
    <row r="432">
      <c r="A432" t="inlineStr">
        <is>
          <t>BBG000CKGDS5</t>
        </is>
      </c>
      <c r="B432" s="3">
        <f>IF('3a Raw'!C432="","",MAX(-3,MIN(3,('3a Raw'!C432-$B3)/$B4)))</f>
        <v/>
      </c>
      <c r="C432" s="3">
        <f>IF(B432="","",(B432-AVERAGE(B6:B1198))/(STDEV(B6:B1198)+1E-12))</f>
        <v/>
      </c>
      <c r="D432" s="3">
        <f>IF('3a Raw'!D432="","",MAX(-3,MIN(3,('3a Raw'!D432-$D3)/$D4)))</f>
        <v/>
      </c>
      <c r="E432" s="3">
        <f>IF(D432="","",(D432-AVERAGE(D6:D1198))/(STDEV(D6:D1198)+1E-12))</f>
        <v/>
      </c>
      <c r="F432" s="3">
        <f>IF('3a Raw'!E432="","",MAX(-3,MIN(3,('3a Raw'!E432-$F3)/$F4)))</f>
        <v/>
      </c>
      <c r="G432" s="3">
        <f>IF(F432="","",(F432-AVERAGE(F6:F1198))/(STDEV(F6:F1198)+1E-12))</f>
        <v/>
      </c>
      <c r="H432" s="3">
        <f>IF('3a Raw'!F432="","",MAX(-3,MIN(3,('3a Raw'!F432-$H3)/$H4)))</f>
        <v/>
      </c>
      <c r="I432" s="3">
        <f>IF(H432="","",(H432-AVERAGE(H6:H1198))/(STDEV(H6:H1198)+1E-12))</f>
        <v/>
      </c>
      <c r="J432" s="3">
        <f>IF('3a Raw'!G432="","",MAX(-3,MIN(3,('3a Raw'!G432-$J3)/$J4)))</f>
        <v/>
      </c>
      <c r="K432" s="3">
        <f>IF(J432="","",(J432-AVERAGE(J6:J1198))/(STDEV(J6:J1198)+1E-12))</f>
        <v/>
      </c>
      <c r="L432" s="3">
        <f>IF('3a Raw'!H432="","",MAX(-3,MIN(3,('3a Raw'!H432-$L3)/$L4)))</f>
        <v/>
      </c>
      <c r="M432" s="3">
        <f>IF(L432="","",(L432-AVERAGE(L6:L1198))/(STDEV(L6:L1198)+1E-12))</f>
        <v/>
      </c>
      <c r="N432" s="3">
        <f>IF('3a Raw'!I432="","",MAX(-3,MIN(3,('3a Raw'!I432-$N3)/$N4)))</f>
        <v/>
      </c>
      <c r="O432" s="3">
        <f>IF(N432="","",(N432-AVERAGE(N6:N1198))/(STDEV(N6:N1198)+1E-12))</f>
        <v/>
      </c>
      <c r="P432" s="3">
        <f>IF('3a Raw'!J432="","",MAX(-3,MIN(3,('3a Raw'!J432-$P3)/$P4)))</f>
        <v/>
      </c>
      <c r="Q432" s="3">
        <f>IF(P432="","",(P432-AVERAGE(P6:P1198))/(STDEV(P6:P1198)+1E-12))</f>
        <v/>
      </c>
      <c r="R432" s="3">
        <f>IF('3a Raw'!K432="","",MAX(-3,MIN(3,('3a Raw'!K432-$R3)/$R4)))</f>
        <v/>
      </c>
      <c r="S432" s="3">
        <f>IF(R432="","",(R432-AVERAGE(R6:R1198))/(STDEV(R6:R1198)+1E-12))</f>
        <v/>
      </c>
      <c r="T432" s="3">
        <f>IF('3a Raw'!L432="","",MAX(-3,MIN(3,('3a Raw'!L432-$T3)/$T4)))</f>
        <v/>
      </c>
      <c r="U432" s="3">
        <f>IF(T432="","",(T432-AVERAGE(T6:T1198))/(STDEV(T6:T1198)+1E-12))</f>
        <v/>
      </c>
      <c r="X432" s="3">
        <f>IF(U432="","",U432-($V$3*G432+$W$3))</f>
        <v/>
      </c>
      <c r="Y432" s="3">
        <f>IF(X432="","",MAX(-3,MIN(3,(X432-$X3)/$X4)))</f>
        <v/>
      </c>
      <c r="Z432" s="3">
        <f>IF(Y432="","",(Y432-AVERAGE(Y6:Y1198))/(STDEV(Y6:Y1198)+1E-12))</f>
        <v/>
      </c>
    </row>
    <row r="433">
      <c r="A433" t="inlineStr">
        <is>
          <t>BBG01X4QY3R1</t>
        </is>
      </c>
      <c r="B433" s="3">
        <f>IF('3a Raw'!C433="","",MAX(-3,MIN(3,('3a Raw'!C433-$B3)/$B4)))</f>
        <v/>
      </c>
      <c r="C433" s="3">
        <f>IF(B433="","",(B433-AVERAGE(B6:B1198))/(STDEV(B6:B1198)+1E-12))</f>
        <v/>
      </c>
      <c r="D433" s="3">
        <f>IF('3a Raw'!D433="","",MAX(-3,MIN(3,('3a Raw'!D433-$D3)/$D4)))</f>
        <v/>
      </c>
      <c r="E433" s="3">
        <f>IF(D433="","",(D433-AVERAGE(D6:D1198))/(STDEV(D6:D1198)+1E-12))</f>
        <v/>
      </c>
      <c r="F433" s="3">
        <f>IF('3a Raw'!E433="","",MAX(-3,MIN(3,('3a Raw'!E433-$F3)/$F4)))</f>
        <v/>
      </c>
      <c r="G433" s="3">
        <f>IF(F433="","",(F433-AVERAGE(F6:F1198))/(STDEV(F6:F1198)+1E-12))</f>
        <v/>
      </c>
      <c r="H433" s="3">
        <f>IF('3a Raw'!F433="","",MAX(-3,MIN(3,('3a Raw'!F433-$H3)/$H4)))</f>
        <v/>
      </c>
      <c r="I433" s="3">
        <f>IF(H433="","",(H433-AVERAGE(H6:H1198))/(STDEV(H6:H1198)+1E-12))</f>
        <v/>
      </c>
      <c r="J433" s="3">
        <f>IF('3a Raw'!G433="","",MAX(-3,MIN(3,('3a Raw'!G433-$J3)/$J4)))</f>
        <v/>
      </c>
      <c r="K433" s="3">
        <f>IF(J433="","",(J433-AVERAGE(J6:J1198))/(STDEV(J6:J1198)+1E-12))</f>
        <v/>
      </c>
      <c r="L433" s="3">
        <f>IF('3a Raw'!H433="","",MAX(-3,MIN(3,('3a Raw'!H433-$L3)/$L4)))</f>
        <v/>
      </c>
      <c r="M433" s="3">
        <f>IF(L433="","",(L433-AVERAGE(L6:L1198))/(STDEV(L6:L1198)+1E-12))</f>
        <v/>
      </c>
      <c r="N433" s="3">
        <f>IF('3a Raw'!I433="","",MAX(-3,MIN(3,('3a Raw'!I433-$N3)/$N4)))</f>
        <v/>
      </c>
      <c r="O433" s="3">
        <f>IF(N433="","",(N433-AVERAGE(N6:N1198))/(STDEV(N6:N1198)+1E-12))</f>
        <v/>
      </c>
      <c r="P433" s="3">
        <f>IF('3a Raw'!J433="","",MAX(-3,MIN(3,('3a Raw'!J433-$P3)/$P4)))</f>
        <v/>
      </c>
      <c r="Q433" s="3">
        <f>IF(P433="","",(P433-AVERAGE(P6:P1198))/(STDEV(P6:P1198)+1E-12))</f>
        <v/>
      </c>
      <c r="R433" s="3">
        <f>IF('3a Raw'!K433="","",MAX(-3,MIN(3,('3a Raw'!K433-$R3)/$R4)))</f>
        <v/>
      </c>
      <c r="S433" s="3">
        <f>IF(R433="","",(R433-AVERAGE(R6:R1198))/(STDEV(R6:R1198)+1E-12))</f>
        <v/>
      </c>
      <c r="T433" s="3">
        <f>IF('3a Raw'!L433="","",MAX(-3,MIN(3,('3a Raw'!L433-$T3)/$T4)))</f>
        <v/>
      </c>
      <c r="U433" s="3">
        <f>IF(T433="","",(T433-AVERAGE(T6:T1198))/(STDEV(T6:T1198)+1E-12))</f>
        <v/>
      </c>
      <c r="X433" s="3">
        <f>IF(U433="","",U433-($V$3*G433+$W$3))</f>
        <v/>
      </c>
      <c r="Y433" s="3">
        <f>IF(X433="","",MAX(-3,MIN(3,(X433-$X3)/$X4)))</f>
        <v/>
      </c>
      <c r="Z433" s="3">
        <f>IF(Y433="","",(Y433-AVERAGE(Y6:Y1198))/(STDEV(Y6:Y1198)+1E-12))</f>
        <v/>
      </c>
    </row>
    <row r="434">
      <c r="A434" t="inlineStr">
        <is>
          <t>BBG00H1CP0B4</t>
        </is>
      </c>
      <c r="B434" s="3">
        <f>IF('3a Raw'!C434="","",MAX(-3,MIN(3,('3a Raw'!C434-$B3)/$B4)))</f>
        <v/>
      </c>
      <c r="C434" s="3">
        <f>IF(B434="","",(B434-AVERAGE(B6:B1198))/(STDEV(B6:B1198)+1E-12))</f>
        <v/>
      </c>
      <c r="D434" s="3">
        <f>IF('3a Raw'!D434="","",MAX(-3,MIN(3,('3a Raw'!D434-$D3)/$D4)))</f>
        <v/>
      </c>
      <c r="E434" s="3">
        <f>IF(D434="","",(D434-AVERAGE(D6:D1198))/(STDEV(D6:D1198)+1E-12))</f>
        <v/>
      </c>
      <c r="F434" s="3">
        <f>IF('3a Raw'!E434="","",MAX(-3,MIN(3,('3a Raw'!E434-$F3)/$F4)))</f>
        <v/>
      </c>
      <c r="G434" s="3">
        <f>IF(F434="","",(F434-AVERAGE(F6:F1198))/(STDEV(F6:F1198)+1E-12))</f>
        <v/>
      </c>
      <c r="H434" s="3">
        <f>IF('3a Raw'!F434="","",MAX(-3,MIN(3,('3a Raw'!F434-$H3)/$H4)))</f>
        <v/>
      </c>
      <c r="I434" s="3">
        <f>IF(H434="","",(H434-AVERAGE(H6:H1198))/(STDEV(H6:H1198)+1E-12))</f>
        <v/>
      </c>
      <c r="J434" s="3">
        <f>IF('3a Raw'!G434="","",MAX(-3,MIN(3,('3a Raw'!G434-$J3)/$J4)))</f>
        <v/>
      </c>
      <c r="K434" s="3">
        <f>IF(J434="","",(J434-AVERAGE(J6:J1198))/(STDEV(J6:J1198)+1E-12))</f>
        <v/>
      </c>
      <c r="L434" s="3">
        <f>IF('3a Raw'!H434="","",MAX(-3,MIN(3,('3a Raw'!H434-$L3)/$L4)))</f>
        <v/>
      </c>
      <c r="M434" s="3">
        <f>IF(L434="","",(L434-AVERAGE(L6:L1198))/(STDEV(L6:L1198)+1E-12))</f>
        <v/>
      </c>
      <c r="N434" s="3">
        <f>IF('3a Raw'!I434="","",MAX(-3,MIN(3,('3a Raw'!I434-$N3)/$N4)))</f>
        <v/>
      </c>
      <c r="O434" s="3">
        <f>IF(N434="","",(N434-AVERAGE(N6:N1198))/(STDEV(N6:N1198)+1E-12))</f>
        <v/>
      </c>
      <c r="P434" s="3">
        <f>IF('3a Raw'!J434="","",MAX(-3,MIN(3,('3a Raw'!J434-$P3)/$P4)))</f>
        <v/>
      </c>
      <c r="Q434" s="3">
        <f>IF(P434="","",(P434-AVERAGE(P6:P1198))/(STDEV(P6:P1198)+1E-12))</f>
        <v/>
      </c>
      <c r="R434" s="3">
        <f>IF('3a Raw'!K434="","",MAX(-3,MIN(3,('3a Raw'!K434-$R3)/$R4)))</f>
        <v/>
      </c>
      <c r="S434" s="3">
        <f>IF(R434="","",(R434-AVERAGE(R6:R1198))/(STDEV(R6:R1198)+1E-12))</f>
        <v/>
      </c>
      <c r="T434" s="3">
        <f>IF('3a Raw'!L434="","",MAX(-3,MIN(3,('3a Raw'!L434-$T3)/$T4)))</f>
        <v/>
      </c>
      <c r="U434" s="3">
        <f>IF(T434="","",(T434-AVERAGE(T6:T1198))/(STDEV(T6:T1198)+1E-12))</f>
        <v/>
      </c>
      <c r="X434" s="3">
        <f>IF(U434="","",U434-($V$3*G434+$W$3))</f>
        <v/>
      </c>
      <c r="Y434" s="3">
        <f>IF(X434="","",MAX(-3,MIN(3,(X434-$X3)/$X4)))</f>
        <v/>
      </c>
      <c r="Z434" s="3">
        <f>IF(Y434="","",(Y434-AVERAGE(Y6:Y1198))/(STDEV(Y6:Y1198)+1E-12))</f>
        <v/>
      </c>
    </row>
    <row r="435">
      <c r="A435" t="inlineStr">
        <is>
          <t>BBG001D0HB36</t>
        </is>
      </c>
      <c r="B435" s="3">
        <f>IF('3a Raw'!C435="","",MAX(-3,MIN(3,('3a Raw'!C435-$B3)/$B4)))</f>
        <v/>
      </c>
      <c r="C435" s="3">
        <f>IF(B435="","",(B435-AVERAGE(B6:B1198))/(STDEV(B6:B1198)+1E-12))</f>
        <v/>
      </c>
      <c r="D435" s="3">
        <f>IF('3a Raw'!D435="","",MAX(-3,MIN(3,('3a Raw'!D435-$D3)/$D4)))</f>
        <v/>
      </c>
      <c r="E435" s="3">
        <f>IF(D435="","",(D435-AVERAGE(D6:D1198))/(STDEV(D6:D1198)+1E-12))</f>
        <v/>
      </c>
      <c r="F435" s="3">
        <f>IF('3a Raw'!E435="","",MAX(-3,MIN(3,('3a Raw'!E435-$F3)/$F4)))</f>
        <v/>
      </c>
      <c r="G435" s="3">
        <f>IF(F435="","",(F435-AVERAGE(F6:F1198))/(STDEV(F6:F1198)+1E-12))</f>
        <v/>
      </c>
      <c r="H435" s="3">
        <f>IF('3a Raw'!F435="","",MAX(-3,MIN(3,('3a Raw'!F435-$H3)/$H4)))</f>
        <v/>
      </c>
      <c r="I435" s="3">
        <f>IF(H435="","",(H435-AVERAGE(H6:H1198))/(STDEV(H6:H1198)+1E-12))</f>
        <v/>
      </c>
      <c r="J435" s="3">
        <f>IF('3a Raw'!G435="","",MAX(-3,MIN(3,('3a Raw'!G435-$J3)/$J4)))</f>
        <v/>
      </c>
      <c r="K435" s="3">
        <f>IF(J435="","",(J435-AVERAGE(J6:J1198))/(STDEV(J6:J1198)+1E-12))</f>
        <v/>
      </c>
      <c r="L435" s="3">
        <f>IF('3a Raw'!H435="","",MAX(-3,MIN(3,('3a Raw'!H435-$L3)/$L4)))</f>
        <v/>
      </c>
      <c r="M435" s="3">
        <f>IF(L435="","",(L435-AVERAGE(L6:L1198))/(STDEV(L6:L1198)+1E-12))</f>
        <v/>
      </c>
      <c r="N435" s="3">
        <f>IF('3a Raw'!I435="","",MAX(-3,MIN(3,('3a Raw'!I435-$N3)/$N4)))</f>
        <v/>
      </c>
      <c r="O435" s="3">
        <f>IF(N435="","",(N435-AVERAGE(N6:N1198))/(STDEV(N6:N1198)+1E-12))</f>
        <v/>
      </c>
      <c r="P435" s="3">
        <f>IF('3a Raw'!J435="","",MAX(-3,MIN(3,('3a Raw'!J435-$P3)/$P4)))</f>
        <v/>
      </c>
      <c r="Q435" s="3">
        <f>IF(P435="","",(P435-AVERAGE(P6:P1198))/(STDEV(P6:P1198)+1E-12))</f>
        <v/>
      </c>
      <c r="R435" s="3">
        <f>IF('3a Raw'!K435="","",MAX(-3,MIN(3,('3a Raw'!K435-$R3)/$R4)))</f>
        <v/>
      </c>
      <c r="S435" s="3">
        <f>IF(R435="","",(R435-AVERAGE(R6:R1198))/(STDEV(R6:R1198)+1E-12))</f>
        <v/>
      </c>
      <c r="T435" s="3">
        <f>IF('3a Raw'!L435="","",MAX(-3,MIN(3,('3a Raw'!L435-$T3)/$T4)))</f>
        <v/>
      </c>
      <c r="U435" s="3">
        <f>IF(T435="","",(T435-AVERAGE(T6:T1198))/(STDEV(T6:T1198)+1E-12))</f>
        <v/>
      </c>
      <c r="X435" s="3">
        <f>IF(U435="","",U435-($V$3*G435+$W$3))</f>
        <v/>
      </c>
      <c r="Y435" s="3">
        <f>IF(X435="","",MAX(-3,MIN(3,(X435-$X3)/$X4)))</f>
        <v/>
      </c>
      <c r="Z435" s="3">
        <f>IF(Y435="","",(Y435-AVERAGE(Y6:Y1198))/(STDEV(Y6:Y1198)+1E-12))</f>
        <v/>
      </c>
    </row>
    <row r="436">
      <c r="A436" t="inlineStr">
        <is>
          <t>BBG0029KYGL5</t>
        </is>
      </c>
      <c r="B436" s="3">
        <f>IF('3a Raw'!C436="","",MAX(-3,MIN(3,('3a Raw'!C436-$B3)/$B4)))</f>
        <v/>
      </c>
      <c r="C436" s="3">
        <f>IF(B436="","",(B436-AVERAGE(B6:B1198))/(STDEV(B6:B1198)+1E-12))</f>
        <v/>
      </c>
      <c r="D436" s="3">
        <f>IF('3a Raw'!D436="","",MAX(-3,MIN(3,('3a Raw'!D436-$D3)/$D4)))</f>
        <v/>
      </c>
      <c r="E436" s="3">
        <f>IF(D436="","",(D436-AVERAGE(D6:D1198))/(STDEV(D6:D1198)+1E-12))</f>
        <v/>
      </c>
      <c r="F436" s="3">
        <f>IF('3a Raw'!E436="","",MAX(-3,MIN(3,('3a Raw'!E436-$F3)/$F4)))</f>
        <v/>
      </c>
      <c r="G436" s="3">
        <f>IF(F436="","",(F436-AVERAGE(F6:F1198))/(STDEV(F6:F1198)+1E-12))</f>
        <v/>
      </c>
      <c r="H436" s="3">
        <f>IF('3a Raw'!F436="","",MAX(-3,MIN(3,('3a Raw'!F436-$H3)/$H4)))</f>
        <v/>
      </c>
      <c r="I436" s="3">
        <f>IF(H436="","",(H436-AVERAGE(H6:H1198))/(STDEV(H6:H1198)+1E-12))</f>
        <v/>
      </c>
      <c r="J436" s="3">
        <f>IF('3a Raw'!G436="","",MAX(-3,MIN(3,('3a Raw'!G436-$J3)/$J4)))</f>
        <v/>
      </c>
      <c r="K436" s="3">
        <f>IF(J436="","",(J436-AVERAGE(J6:J1198))/(STDEV(J6:J1198)+1E-12))</f>
        <v/>
      </c>
      <c r="L436" s="3">
        <f>IF('3a Raw'!H436="","",MAX(-3,MIN(3,('3a Raw'!H436-$L3)/$L4)))</f>
        <v/>
      </c>
      <c r="M436" s="3">
        <f>IF(L436="","",(L436-AVERAGE(L6:L1198))/(STDEV(L6:L1198)+1E-12))</f>
        <v/>
      </c>
      <c r="N436" s="3">
        <f>IF('3a Raw'!I436="","",MAX(-3,MIN(3,('3a Raw'!I436-$N3)/$N4)))</f>
        <v/>
      </c>
      <c r="O436" s="3">
        <f>IF(N436="","",(N436-AVERAGE(N6:N1198))/(STDEV(N6:N1198)+1E-12))</f>
        <v/>
      </c>
      <c r="P436" s="3">
        <f>IF('3a Raw'!J436="","",MAX(-3,MIN(3,('3a Raw'!J436-$P3)/$P4)))</f>
        <v/>
      </c>
      <c r="Q436" s="3">
        <f>IF(P436="","",(P436-AVERAGE(P6:P1198))/(STDEV(P6:P1198)+1E-12))</f>
        <v/>
      </c>
      <c r="R436" s="3">
        <f>IF('3a Raw'!K436="","",MAX(-3,MIN(3,('3a Raw'!K436-$R3)/$R4)))</f>
        <v/>
      </c>
      <c r="S436" s="3">
        <f>IF(R436="","",(R436-AVERAGE(R6:R1198))/(STDEV(R6:R1198)+1E-12))</f>
        <v/>
      </c>
      <c r="T436" s="3">
        <f>IF('3a Raw'!L436="","",MAX(-3,MIN(3,('3a Raw'!L436-$T3)/$T4)))</f>
        <v/>
      </c>
      <c r="U436" s="3">
        <f>IF(T436="","",(T436-AVERAGE(T6:T1198))/(STDEV(T6:T1198)+1E-12))</f>
        <v/>
      </c>
      <c r="X436" s="3">
        <f>IF(U436="","",U436-($V$3*G436+$W$3))</f>
        <v/>
      </c>
      <c r="Y436" s="3">
        <f>IF(X436="","",MAX(-3,MIN(3,(X436-$X3)/$X4)))</f>
        <v/>
      </c>
      <c r="Z436" s="3">
        <f>IF(Y436="","",(Y436-AVERAGE(Y6:Y1198))/(STDEV(Y6:Y1198)+1E-12))</f>
        <v/>
      </c>
    </row>
    <row r="437">
      <c r="A437" t="inlineStr">
        <is>
          <t>frt</t>
        </is>
      </c>
      <c r="B437" s="3">
        <f>IF('3a Raw'!C437="","",MAX(-3,MIN(3,('3a Raw'!C437-$B3)/$B4)))</f>
        <v/>
      </c>
      <c r="C437" s="3">
        <f>IF(B437="","",(B437-AVERAGE(B6:B1198))/(STDEV(B6:B1198)+1E-12))</f>
        <v/>
      </c>
      <c r="D437" s="3">
        <f>IF('3a Raw'!D437="","",MAX(-3,MIN(3,('3a Raw'!D437-$D3)/$D4)))</f>
        <v/>
      </c>
      <c r="E437" s="3">
        <f>IF(D437="","",(D437-AVERAGE(D6:D1198))/(STDEV(D6:D1198)+1E-12))</f>
        <v/>
      </c>
      <c r="F437" s="3">
        <f>IF('3a Raw'!E437="","",MAX(-3,MIN(3,('3a Raw'!E437-$F3)/$F4)))</f>
        <v/>
      </c>
      <c r="G437" s="3">
        <f>IF(F437="","",(F437-AVERAGE(F6:F1198))/(STDEV(F6:F1198)+1E-12))</f>
        <v/>
      </c>
      <c r="H437" s="3">
        <f>IF('3a Raw'!F437="","",MAX(-3,MIN(3,('3a Raw'!F437-$H3)/$H4)))</f>
        <v/>
      </c>
      <c r="I437" s="3">
        <f>IF(H437="","",(H437-AVERAGE(H6:H1198))/(STDEV(H6:H1198)+1E-12))</f>
        <v/>
      </c>
      <c r="J437" s="3">
        <f>IF('3a Raw'!G437="","",MAX(-3,MIN(3,('3a Raw'!G437-$J3)/$J4)))</f>
        <v/>
      </c>
      <c r="K437" s="3">
        <f>IF(J437="","",(J437-AVERAGE(J6:J1198))/(STDEV(J6:J1198)+1E-12))</f>
        <v/>
      </c>
      <c r="L437" s="3">
        <f>IF('3a Raw'!H437="","",MAX(-3,MIN(3,('3a Raw'!H437-$L3)/$L4)))</f>
        <v/>
      </c>
      <c r="M437" s="3">
        <f>IF(L437="","",(L437-AVERAGE(L6:L1198))/(STDEV(L6:L1198)+1E-12))</f>
        <v/>
      </c>
      <c r="N437" s="3">
        <f>IF('3a Raw'!I437="","",MAX(-3,MIN(3,('3a Raw'!I437-$N3)/$N4)))</f>
        <v/>
      </c>
      <c r="O437" s="3">
        <f>IF(N437="","",(N437-AVERAGE(N6:N1198))/(STDEV(N6:N1198)+1E-12))</f>
        <v/>
      </c>
      <c r="P437" s="3">
        <f>IF('3a Raw'!J437="","",MAX(-3,MIN(3,('3a Raw'!J437-$P3)/$P4)))</f>
        <v/>
      </c>
      <c r="Q437" s="3">
        <f>IF(P437="","",(P437-AVERAGE(P6:P1198))/(STDEV(P6:P1198)+1E-12))</f>
        <v/>
      </c>
      <c r="R437" s="3">
        <f>IF('3a Raw'!K437="","",MAX(-3,MIN(3,('3a Raw'!K437-$R3)/$R4)))</f>
        <v/>
      </c>
      <c r="S437" s="3">
        <f>IF(R437="","",(R437-AVERAGE(R6:R1198))/(STDEV(R6:R1198)+1E-12))</f>
        <v/>
      </c>
      <c r="T437" s="3">
        <f>IF('3a Raw'!L437="","",MAX(-3,MIN(3,('3a Raw'!L437-$T3)/$T4)))</f>
        <v/>
      </c>
      <c r="U437" s="3">
        <f>IF(T437="","",(T437-AVERAGE(T6:T1198))/(STDEV(T6:T1198)+1E-12))</f>
        <v/>
      </c>
      <c r="X437" s="3">
        <f>IF(U437="","",U437-($V$3*G437+$W$3))</f>
        <v/>
      </c>
      <c r="Y437" s="3">
        <f>IF(X437="","",MAX(-3,MIN(3,(X437-$X3)/$X4)))</f>
        <v/>
      </c>
      <c r="Z437" s="3">
        <f>IF(Y437="","",(Y437-AVERAGE(Y6:Y1198))/(STDEV(Y6:Y1198)+1E-12))</f>
        <v/>
      </c>
    </row>
    <row r="438">
      <c r="A438" t="inlineStr">
        <is>
          <t>BBG000BFL116</t>
        </is>
      </c>
      <c r="B438" s="3">
        <f>IF('3a Raw'!C438="","",MAX(-3,MIN(3,('3a Raw'!C438-$B3)/$B4)))</f>
        <v/>
      </c>
      <c r="C438" s="3">
        <f>IF(B438="","",(B438-AVERAGE(B6:B1198))/(STDEV(B6:B1198)+1E-12))</f>
        <v/>
      </c>
      <c r="D438" s="3">
        <f>IF('3a Raw'!D438="","",MAX(-3,MIN(3,('3a Raw'!D438-$D3)/$D4)))</f>
        <v/>
      </c>
      <c r="E438" s="3">
        <f>IF(D438="","",(D438-AVERAGE(D6:D1198))/(STDEV(D6:D1198)+1E-12))</f>
        <v/>
      </c>
      <c r="F438" s="3">
        <f>IF('3a Raw'!E438="","",MAX(-3,MIN(3,('3a Raw'!E438-$F3)/$F4)))</f>
        <v/>
      </c>
      <c r="G438" s="3">
        <f>IF(F438="","",(F438-AVERAGE(F6:F1198))/(STDEV(F6:F1198)+1E-12))</f>
        <v/>
      </c>
      <c r="H438" s="3">
        <f>IF('3a Raw'!F438="","",MAX(-3,MIN(3,('3a Raw'!F438-$H3)/$H4)))</f>
        <v/>
      </c>
      <c r="I438" s="3">
        <f>IF(H438="","",(H438-AVERAGE(H6:H1198))/(STDEV(H6:H1198)+1E-12))</f>
        <v/>
      </c>
      <c r="J438" s="3">
        <f>IF('3a Raw'!G438="","",MAX(-3,MIN(3,('3a Raw'!G438-$J3)/$J4)))</f>
        <v/>
      </c>
      <c r="K438" s="3">
        <f>IF(J438="","",(J438-AVERAGE(J6:J1198))/(STDEV(J6:J1198)+1E-12))</f>
        <v/>
      </c>
      <c r="L438" s="3">
        <f>IF('3a Raw'!H438="","",MAX(-3,MIN(3,('3a Raw'!H438-$L3)/$L4)))</f>
        <v/>
      </c>
      <c r="M438" s="3">
        <f>IF(L438="","",(L438-AVERAGE(L6:L1198))/(STDEV(L6:L1198)+1E-12))</f>
        <v/>
      </c>
      <c r="N438" s="3">
        <f>IF('3a Raw'!I438="","",MAX(-3,MIN(3,('3a Raw'!I438-$N3)/$N4)))</f>
        <v/>
      </c>
      <c r="O438" s="3">
        <f>IF(N438="","",(N438-AVERAGE(N6:N1198))/(STDEV(N6:N1198)+1E-12))</f>
        <v/>
      </c>
      <c r="P438" s="3">
        <f>IF('3a Raw'!J438="","",MAX(-3,MIN(3,('3a Raw'!J438-$P3)/$P4)))</f>
        <v/>
      </c>
      <c r="Q438" s="3">
        <f>IF(P438="","",(P438-AVERAGE(P6:P1198))/(STDEV(P6:P1198)+1E-12))</f>
        <v/>
      </c>
      <c r="R438" s="3">
        <f>IF('3a Raw'!K438="","",MAX(-3,MIN(3,('3a Raw'!K438-$R3)/$R4)))</f>
        <v/>
      </c>
      <c r="S438" s="3">
        <f>IF(R438="","",(R438-AVERAGE(R6:R1198))/(STDEV(R6:R1198)+1E-12))</f>
        <v/>
      </c>
      <c r="T438" s="3">
        <f>IF('3a Raw'!L438="","",MAX(-3,MIN(3,('3a Raw'!L438-$T3)/$T4)))</f>
        <v/>
      </c>
      <c r="U438" s="3">
        <f>IF(T438="","",(T438-AVERAGE(T6:T1198))/(STDEV(T6:T1198)+1E-12))</f>
        <v/>
      </c>
      <c r="X438" s="3">
        <f>IF(U438="","",U438-($V$3*G438+$W$3))</f>
        <v/>
      </c>
      <c r="Y438" s="3">
        <f>IF(X438="","",MAX(-3,MIN(3,(X438-$X3)/$X4)))</f>
        <v/>
      </c>
      <c r="Z438" s="3">
        <f>IF(Y438="","",(Y438-AVERAGE(Y6:Y1198))/(STDEV(Y6:Y1198)+1E-12))</f>
        <v/>
      </c>
    </row>
    <row r="439">
      <c r="A439" t="inlineStr">
        <is>
          <t>BBG004NLQHL0</t>
        </is>
      </c>
      <c r="B439" s="3">
        <f>IF('3a Raw'!C439="","",MAX(-3,MIN(3,('3a Raw'!C439-$B3)/$B4)))</f>
        <v/>
      </c>
      <c r="C439" s="3">
        <f>IF(B439="","",(B439-AVERAGE(B6:B1198))/(STDEV(B6:B1198)+1E-12))</f>
        <v/>
      </c>
      <c r="D439" s="3">
        <f>IF('3a Raw'!D439="","",MAX(-3,MIN(3,('3a Raw'!D439-$D3)/$D4)))</f>
        <v/>
      </c>
      <c r="E439" s="3">
        <f>IF(D439="","",(D439-AVERAGE(D6:D1198))/(STDEV(D6:D1198)+1E-12))</f>
        <v/>
      </c>
      <c r="F439" s="3">
        <f>IF('3a Raw'!E439="","",MAX(-3,MIN(3,('3a Raw'!E439-$F3)/$F4)))</f>
        <v/>
      </c>
      <c r="G439" s="3">
        <f>IF(F439="","",(F439-AVERAGE(F6:F1198))/(STDEV(F6:F1198)+1E-12))</f>
        <v/>
      </c>
      <c r="H439" s="3">
        <f>IF('3a Raw'!F439="","",MAX(-3,MIN(3,('3a Raw'!F439-$H3)/$H4)))</f>
        <v/>
      </c>
      <c r="I439" s="3">
        <f>IF(H439="","",(H439-AVERAGE(H6:H1198))/(STDEV(H6:H1198)+1E-12))</f>
        <v/>
      </c>
      <c r="J439" s="3">
        <f>IF('3a Raw'!G439="","",MAX(-3,MIN(3,('3a Raw'!G439-$J3)/$J4)))</f>
        <v/>
      </c>
      <c r="K439" s="3">
        <f>IF(J439="","",(J439-AVERAGE(J6:J1198))/(STDEV(J6:J1198)+1E-12))</f>
        <v/>
      </c>
      <c r="L439" s="3">
        <f>IF('3a Raw'!H439="","",MAX(-3,MIN(3,('3a Raw'!H439-$L3)/$L4)))</f>
        <v/>
      </c>
      <c r="M439" s="3">
        <f>IF(L439="","",(L439-AVERAGE(L6:L1198))/(STDEV(L6:L1198)+1E-12))</f>
        <v/>
      </c>
      <c r="N439" s="3">
        <f>IF('3a Raw'!I439="","",MAX(-3,MIN(3,('3a Raw'!I439-$N3)/$N4)))</f>
        <v/>
      </c>
      <c r="O439" s="3">
        <f>IF(N439="","",(N439-AVERAGE(N6:N1198))/(STDEV(N6:N1198)+1E-12))</f>
        <v/>
      </c>
      <c r="P439" s="3">
        <f>IF('3a Raw'!J439="","",MAX(-3,MIN(3,('3a Raw'!J439-$P3)/$P4)))</f>
        <v/>
      </c>
      <c r="Q439" s="3">
        <f>IF(P439="","",(P439-AVERAGE(P6:P1198))/(STDEV(P6:P1198)+1E-12))</f>
        <v/>
      </c>
      <c r="R439" s="3">
        <f>IF('3a Raw'!K439="","",MAX(-3,MIN(3,('3a Raw'!K439-$R3)/$R4)))</f>
        <v/>
      </c>
      <c r="S439" s="3">
        <f>IF(R439="","",(R439-AVERAGE(R6:R1198))/(STDEV(R6:R1198)+1E-12))</f>
        <v/>
      </c>
      <c r="T439" s="3">
        <f>IF('3a Raw'!L439="","",MAX(-3,MIN(3,('3a Raw'!L439-$T3)/$T4)))</f>
        <v/>
      </c>
      <c r="U439" s="3">
        <f>IF(T439="","",(T439-AVERAGE(T6:T1198))/(STDEV(T6:T1198)+1E-12))</f>
        <v/>
      </c>
      <c r="X439" s="3">
        <f>IF(U439="","",U439-($V$3*G439+$W$3))</f>
        <v/>
      </c>
      <c r="Y439" s="3">
        <f>IF(X439="","",MAX(-3,MIN(3,(X439-$X3)/$X4)))</f>
        <v/>
      </c>
      <c r="Z439" s="3">
        <f>IF(Y439="","",(Y439-AVERAGE(Y6:Y1198))/(STDEV(Y6:Y1198)+1E-12))</f>
        <v/>
      </c>
    </row>
    <row r="440">
      <c r="A440" t="inlineStr">
        <is>
          <t>BBG000QJGX36</t>
        </is>
      </c>
      <c r="B440" s="3">
        <f>IF('3a Raw'!C440="","",MAX(-3,MIN(3,('3a Raw'!C440-$B3)/$B4)))</f>
        <v/>
      </c>
      <c r="C440" s="3">
        <f>IF(B440="","",(B440-AVERAGE(B6:B1198))/(STDEV(B6:B1198)+1E-12))</f>
        <v/>
      </c>
      <c r="D440" s="3">
        <f>IF('3a Raw'!D440="","",MAX(-3,MIN(3,('3a Raw'!D440-$D3)/$D4)))</f>
        <v/>
      </c>
      <c r="E440" s="3">
        <f>IF(D440="","",(D440-AVERAGE(D6:D1198))/(STDEV(D6:D1198)+1E-12))</f>
        <v/>
      </c>
      <c r="F440" s="3">
        <f>IF('3a Raw'!E440="","",MAX(-3,MIN(3,('3a Raw'!E440-$F3)/$F4)))</f>
        <v/>
      </c>
      <c r="G440" s="3">
        <f>IF(F440="","",(F440-AVERAGE(F6:F1198))/(STDEV(F6:F1198)+1E-12))</f>
        <v/>
      </c>
      <c r="H440" s="3">
        <f>IF('3a Raw'!F440="","",MAX(-3,MIN(3,('3a Raw'!F440-$H3)/$H4)))</f>
        <v/>
      </c>
      <c r="I440" s="3">
        <f>IF(H440="","",(H440-AVERAGE(H6:H1198))/(STDEV(H6:H1198)+1E-12))</f>
        <v/>
      </c>
      <c r="J440" s="3">
        <f>IF('3a Raw'!G440="","",MAX(-3,MIN(3,('3a Raw'!G440-$J3)/$J4)))</f>
        <v/>
      </c>
      <c r="K440" s="3">
        <f>IF(J440="","",(J440-AVERAGE(J6:J1198))/(STDEV(J6:J1198)+1E-12))</f>
        <v/>
      </c>
      <c r="L440" s="3">
        <f>IF('3a Raw'!H440="","",MAX(-3,MIN(3,('3a Raw'!H440-$L3)/$L4)))</f>
        <v/>
      </c>
      <c r="M440" s="3">
        <f>IF(L440="","",(L440-AVERAGE(L6:L1198))/(STDEV(L6:L1198)+1E-12))</f>
        <v/>
      </c>
      <c r="N440" s="3">
        <f>IF('3a Raw'!I440="","",MAX(-3,MIN(3,('3a Raw'!I440-$N3)/$N4)))</f>
        <v/>
      </c>
      <c r="O440" s="3">
        <f>IF(N440="","",(N440-AVERAGE(N6:N1198))/(STDEV(N6:N1198)+1E-12))</f>
        <v/>
      </c>
      <c r="P440" s="3">
        <f>IF('3a Raw'!J440="","",MAX(-3,MIN(3,('3a Raw'!J440-$P3)/$P4)))</f>
        <v/>
      </c>
      <c r="Q440" s="3">
        <f>IF(P440="","",(P440-AVERAGE(P6:P1198))/(STDEV(P6:P1198)+1E-12))</f>
        <v/>
      </c>
      <c r="R440" s="3">
        <f>IF('3a Raw'!K440="","",MAX(-3,MIN(3,('3a Raw'!K440-$R3)/$R4)))</f>
        <v/>
      </c>
      <c r="S440" s="3">
        <f>IF(R440="","",(R440-AVERAGE(R6:R1198))/(STDEV(R6:R1198)+1E-12))</f>
        <v/>
      </c>
      <c r="T440" s="3">
        <f>IF('3a Raw'!L440="","",MAX(-3,MIN(3,('3a Raw'!L440-$T3)/$T4)))</f>
        <v/>
      </c>
      <c r="U440" s="3">
        <f>IF(T440="","",(T440-AVERAGE(T6:T1198))/(STDEV(T6:T1198)+1E-12))</f>
        <v/>
      </c>
      <c r="X440" s="3">
        <f>IF(U440="","",U440-($V$3*G440+$W$3))</f>
        <v/>
      </c>
      <c r="Y440" s="3">
        <f>IF(X440="","",MAX(-3,MIN(3,(X440-$X3)/$X4)))</f>
        <v/>
      </c>
      <c r="Z440" s="3">
        <f>IF(Y440="","",(Y440-AVERAGE(Y6:Y1198))/(STDEV(Y6:Y1198)+1E-12))</f>
        <v/>
      </c>
    </row>
    <row r="441">
      <c r="A441" t="inlineStr">
        <is>
          <t>BBG000BCMBG4</t>
        </is>
      </c>
      <c r="B441" s="3">
        <f>IF('3a Raw'!C441="","",MAX(-3,MIN(3,('3a Raw'!C441-$B3)/$B4)))</f>
        <v/>
      </c>
      <c r="C441" s="3">
        <f>IF(B441="","",(B441-AVERAGE(B6:B1198))/(STDEV(B6:B1198)+1E-12))</f>
        <v/>
      </c>
      <c r="D441" s="3">
        <f>IF('3a Raw'!D441="","",MAX(-3,MIN(3,('3a Raw'!D441-$D3)/$D4)))</f>
        <v/>
      </c>
      <c r="E441" s="3">
        <f>IF(D441="","",(D441-AVERAGE(D6:D1198))/(STDEV(D6:D1198)+1E-12))</f>
        <v/>
      </c>
      <c r="F441" s="3">
        <f>IF('3a Raw'!E441="","",MAX(-3,MIN(3,('3a Raw'!E441-$F3)/$F4)))</f>
        <v/>
      </c>
      <c r="G441" s="3">
        <f>IF(F441="","",(F441-AVERAGE(F6:F1198))/(STDEV(F6:F1198)+1E-12))</f>
        <v/>
      </c>
      <c r="H441" s="3">
        <f>IF('3a Raw'!F441="","",MAX(-3,MIN(3,('3a Raw'!F441-$H3)/$H4)))</f>
        <v/>
      </c>
      <c r="I441" s="3">
        <f>IF(H441="","",(H441-AVERAGE(H6:H1198))/(STDEV(H6:H1198)+1E-12))</f>
        <v/>
      </c>
      <c r="J441" s="3">
        <f>IF('3a Raw'!G441="","",MAX(-3,MIN(3,('3a Raw'!G441-$J3)/$J4)))</f>
        <v/>
      </c>
      <c r="K441" s="3">
        <f>IF(J441="","",(J441-AVERAGE(J6:J1198))/(STDEV(J6:J1198)+1E-12))</f>
        <v/>
      </c>
      <c r="L441" s="3">
        <f>IF('3a Raw'!H441="","",MAX(-3,MIN(3,('3a Raw'!H441-$L3)/$L4)))</f>
        <v/>
      </c>
      <c r="M441" s="3">
        <f>IF(L441="","",(L441-AVERAGE(L6:L1198))/(STDEV(L6:L1198)+1E-12))</f>
        <v/>
      </c>
      <c r="N441" s="3">
        <f>IF('3a Raw'!I441="","",MAX(-3,MIN(3,('3a Raw'!I441-$N3)/$N4)))</f>
        <v/>
      </c>
      <c r="O441" s="3">
        <f>IF(N441="","",(N441-AVERAGE(N6:N1198))/(STDEV(N6:N1198)+1E-12))</f>
        <v/>
      </c>
      <c r="P441" s="3">
        <f>IF('3a Raw'!J441="","",MAX(-3,MIN(3,('3a Raw'!J441-$P3)/$P4)))</f>
        <v/>
      </c>
      <c r="Q441" s="3">
        <f>IF(P441="","",(P441-AVERAGE(P6:P1198))/(STDEV(P6:P1198)+1E-12))</f>
        <v/>
      </c>
      <c r="R441" s="3">
        <f>IF('3a Raw'!K441="","",MAX(-3,MIN(3,('3a Raw'!K441-$R3)/$R4)))</f>
        <v/>
      </c>
      <c r="S441" s="3">
        <f>IF(R441="","",(R441-AVERAGE(R6:R1198))/(STDEV(R6:R1198)+1E-12))</f>
        <v/>
      </c>
      <c r="T441" s="3">
        <f>IF('3a Raw'!L441="","",MAX(-3,MIN(3,('3a Raw'!L441-$T3)/$T4)))</f>
        <v/>
      </c>
      <c r="U441" s="3">
        <f>IF(T441="","",(T441-AVERAGE(T6:T1198))/(STDEV(T6:T1198)+1E-12))</f>
        <v/>
      </c>
      <c r="X441" s="3">
        <f>IF(U441="","",U441-($V$3*G441+$W$3))</f>
        <v/>
      </c>
      <c r="Y441" s="3">
        <f>IF(X441="","",MAX(-3,MIN(3,(X441-$X3)/$X4)))</f>
        <v/>
      </c>
      <c r="Z441" s="3">
        <f>IF(Y441="","",(Y441-AVERAGE(Y6:Y1198))/(STDEV(Y6:Y1198)+1E-12))</f>
        <v/>
      </c>
    </row>
    <row r="442">
      <c r="A442" t="inlineStr">
        <is>
          <t>BBG01GZF9VY6</t>
        </is>
      </c>
      <c r="B442" s="3">
        <f>IF('3a Raw'!C442="","",MAX(-3,MIN(3,('3a Raw'!C442-$B3)/$B4)))</f>
        <v/>
      </c>
      <c r="C442" s="3">
        <f>IF(B442="","",(B442-AVERAGE(B6:B1198))/(STDEV(B6:B1198)+1E-12))</f>
        <v/>
      </c>
      <c r="D442" s="3">
        <f>IF('3a Raw'!D442="","",MAX(-3,MIN(3,('3a Raw'!D442-$D3)/$D4)))</f>
        <v/>
      </c>
      <c r="E442" s="3">
        <f>IF(D442="","",(D442-AVERAGE(D6:D1198))/(STDEV(D6:D1198)+1E-12))</f>
        <v/>
      </c>
      <c r="F442" s="3">
        <f>IF('3a Raw'!E442="","",MAX(-3,MIN(3,('3a Raw'!E442-$F3)/$F4)))</f>
        <v/>
      </c>
      <c r="G442" s="3">
        <f>IF(F442="","",(F442-AVERAGE(F6:F1198))/(STDEV(F6:F1198)+1E-12))</f>
        <v/>
      </c>
      <c r="H442" s="3">
        <f>IF('3a Raw'!F442="","",MAX(-3,MIN(3,('3a Raw'!F442-$H3)/$H4)))</f>
        <v/>
      </c>
      <c r="I442" s="3">
        <f>IF(H442="","",(H442-AVERAGE(H6:H1198))/(STDEV(H6:H1198)+1E-12))</f>
        <v/>
      </c>
      <c r="J442" s="3">
        <f>IF('3a Raw'!G442="","",MAX(-3,MIN(3,('3a Raw'!G442-$J3)/$J4)))</f>
        <v/>
      </c>
      <c r="K442" s="3">
        <f>IF(J442="","",(J442-AVERAGE(J6:J1198))/(STDEV(J6:J1198)+1E-12))</f>
        <v/>
      </c>
      <c r="L442" s="3">
        <f>IF('3a Raw'!H442="","",MAX(-3,MIN(3,('3a Raw'!H442-$L3)/$L4)))</f>
        <v/>
      </c>
      <c r="M442" s="3">
        <f>IF(L442="","",(L442-AVERAGE(L6:L1198))/(STDEV(L6:L1198)+1E-12))</f>
        <v/>
      </c>
      <c r="N442" s="3">
        <f>IF('3a Raw'!I442="","",MAX(-3,MIN(3,('3a Raw'!I442-$N3)/$N4)))</f>
        <v/>
      </c>
      <c r="O442" s="3">
        <f>IF(N442="","",(N442-AVERAGE(N6:N1198))/(STDEV(N6:N1198)+1E-12))</f>
        <v/>
      </c>
      <c r="P442" s="3">
        <f>IF('3a Raw'!J442="","",MAX(-3,MIN(3,('3a Raw'!J442-$P3)/$P4)))</f>
        <v/>
      </c>
      <c r="Q442" s="3">
        <f>IF(P442="","",(P442-AVERAGE(P6:P1198))/(STDEV(P6:P1198)+1E-12))</f>
        <v/>
      </c>
      <c r="R442" s="3">
        <f>IF('3a Raw'!K442="","",MAX(-3,MIN(3,('3a Raw'!K442-$R3)/$R4)))</f>
        <v/>
      </c>
      <c r="S442" s="3">
        <f>IF(R442="","",(R442-AVERAGE(R6:R1198))/(STDEV(R6:R1198)+1E-12))</f>
        <v/>
      </c>
      <c r="T442" s="3">
        <f>IF('3a Raw'!L442="","",MAX(-3,MIN(3,('3a Raw'!L442-$T3)/$T4)))</f>
        <v/>
      </c>
      <c r="U442" s="3">
        <f>IF(T442="","",(T442-AVERAGE(T6:T1198))/(STDEV(T6:T1198)+1E-12))</f>
        <v/>
      </c>
      <c r="X442" s="3">
        <f>IF(U442="","",U442-($V$3*G442+$W$3))</f>
        <v/>
      </c>
      <c r="Y442" s="3">
        <f>IF(X442="","",MAX(-3,MIN(3,(X442-$X3)/$X4)))</f>
        <v/>
      </c>
      <c r="Z442" s="3">
        <f>IF(Y442="","",(Y442-AVERAGE(Y6:Y1198))/(STDEV(Y6:Y1198)+1E-12))</f>
        <v/>
      </c>
    </row>
    <row r="443">
      <c r="A443" t="inlineStr">
        <is>
          <t>BBG00BLVZ228</t>
        </is>
      </c>
      <c r="B443" s="3">
        <f>IF('3a Raw'!C443="","",MAX(-3,MIN(3,('3a Raw'!C443-$B3)/$B4)))</f>
        <v/>
      </c>
      <c r="C443" s="3">
        <f>IF(B443="","",(B443-AVERAGE(B6:B1198))/(STDEV(B6:B1198)+1E-12))</f>
        <v/>
      </c>
      <c r="D443" s="3">
        <f>IF('3a Raw'!D443="","",MAX(-3,MIN(3,('3a Raw'!D443-$D3)/$D4)))</f>
        <v/>
      </c>
      <c r="E443" s="3">
        <f>IF(D443="","",(D443-AVERAGE(D6:D1198))/(STDEV(D6:D1198)+1E-12))</f>
        <v/>
      </c>
      <c r="F443" s="3">
        <f>IF('3a Raw'!E443="","",MAX(-3,MIN(3,('3a Raw'!E443-$F3)/$F4)))</f>
        <v/>
      </c>
      <c r="G443" s="3">
        <f>IF(F443="","",(F443-AVERAGE(F6:F1198))/(STDEV(F6:F1198)+1E-12))</f>
        <v/>
      </c>
      <c r="H443" s="3">
        <f>IF('3a Raw'!F443="","",MAX(-3,MIN(3,('3a Raw'!F443-$H3)/$H4)))</f>
        <v/>
      </c>
      <c r="I443" s="3">
        <f>IF(H443="","",(H443-AVERAGE(H6:H1198))/(STDEV(H6:H1198)+1E-12))</f>
        <v/>
      </c>
      <c r="J443" s="3">
        <f>IF('3a Raw'!G443="","",MAX(-3,MIN(3,('3a Raw'!G443-$J3)/$J4)))</f>
        <v/>
      </c>
      <c r="K443" s="3">
        <f>IF(J443="","",(J443-AVERAGE(J6:J1198))/(STDEV(J6:J1198)+1E-12))</f>
        <v/>
      </c>
      <c r="L443" s="3">
        <f>IF('3a Raw'!H443="","",MAX(-3,MIN(3,('3a Raw'!H443-$L3)/$L4)))</f>
        <v/>
      </c>
      <c r="M443" s="3">
        <f>IF(L443="","",(L443-AVERAGE(L6:L1198))/(STDEV(L6:L1198)+1E-12))</f>
        <v/>
      </c>
      <c r="N443" s="3">
        <f>IF('3a Raw'!I443="","",MAX(-3,MIN(3,('3a Raw'!I443-$N3)/$N4)))</f>
        <v/>
      </c>
      <c r="O443" s="3">
        <f>IF(N443="","",(N443-AVERAGE(N6:N1198))/(STDEV(N6:N1198)+1E-12))</f>
        <v/>
      </c>
      <c r="P443" s="3">
        <f>IF('3a Raw'!J443="","",MAX(-3,MIN(3,('3a Raw'!J443-$P3)/$P4)))</f>
        <v/>
      </c>
      <c r="Q443" s="3">
        <f>IF(P443="","",(P443-AVERAGE(P6:P1198))/(STDEV(P6:P1198)+1E-12))</f>
        <v/>
      </c>
      <c r="R443" s="3">
        <f>IF('3a Raw'!K443="","",MAX(-3,MIN(3,('3a Raw'!K443-$R3)/$R4)))</f>
        <v/>
      </c>
      <c r="S443" s="3">
        <f>IF(R443="","",(R443-AVERAGE(R6:R1198))/(STDEV(R6:R1198)+1E-12))</f>
        <v/>
      </c>
      <c r="T443" s="3">
        <f>IF('3a Raw'!L443="","",MAX(-3,MIN(3,('3a Raw'!L443-$T3)/$T4)))</f>
        <v/>
      </c>
      <c r="U443" s="3">
        <f>IF(T443="","",(T443-AVERAGE(T6:T1198))/(STDEV(T6:T1198)+1E-12))</f>
        <v/>
      </c>
      <c r="X443" s="3">
        <f>IF(U443="","",U443-($V$3*G443+$W$3))</f>
        <v/>
      </c>
      <c r="Y443" s="3">
        <f>IF(X443="","",MAX(-3,MIN(3,(X443-$X3)/$X4)))</f>
        <v/>
      </c>
      <c r="Z443" s="3">
        <f>IF(Y443="","",(Y443-AVERAGE(Y6:Y1198))/(STDEV(Y6:Y1198)+1E-12))</f>
        <v/>
      </c>
    </row>
    <row r="444">
      <c r="A444" t="inlineStr">
        <is>
          <t>BBG01K8GRMX6</t>
        </is>
      </c>
      <c r="B444" s="3">
        <f>IF('3a Raw'!C444="","",MAX(-3,MIN(3,('3a Raw'!C444-$B3)/$B4)))</f>
        <v/>
      </c>
      <c r="C444" s="3">
        <f>IF(B444="","",(B444-AVERAGE(B6:B1198))/(STDEV(B6:B1198)+1E-12))</f>
        <v/>
      </c>
      <c r="D444" s="3">
        <f>IF('3a Raw'!D444="","",MAX(-3,MIN(3,('3a Raw'!D444-$D3)/$D4)))</f>
        <v/>
      </c>
      <c r="E444" s="3">
        <f>IF(D444="","",(D444-AVERAGE(D6:D1198))/(STDEV(D6:D1198)+1E-12))</f>
        <v/>
      </c>
      <c r="F444" s="3">
        <f>IF('3a Raw'!E444="","",MAX(-3,MIN(3,('3a Raw'!E444-$F3)/$F4)))</f>
        <v/>
      </c>
      <c r="G444" s="3">
        <f>IF(F444="","",(F444-AVERAGE(F6:F1198))/(STDEV(F6:F1198)+1E-12))</f>
        <v/>
      </c>
      <c r="H444" s="3">
        <f>IF('3a Raw'!F444="","",MAX(-3,MIN(3,('3a Raw'!F444-$H3)/$H4)))</f>
        <v/>
      </c>
      <c r="I444" s="3">
        <f>IF(H444="","",(H444-AVERAGE(H6:H1198))/(STDEV(H6:H1198)+1E-12))</f>
        <v/>
      </c>
      <c r="J444" s="3">
        <f>IF('3a Raw'!G444="","",MAX(-3,MIN(3,('3a Raw'!G444-$J3)/$J4)))</f>
        <v/>
      </c>
      <c r="K444" s="3">
        <f>IF(J444="","",(J444-AVERAGE(J6:J1198))/(STDEV(J6:J1198)+1E-12))</f>
        <v/>
      </c>
      <c r="L444" s="3">
        <f>IF('3a Raw'!H444="","",MAX(-3,MIN(3,('3a Raw'!H444-$L3)/$L4)))</f>
        <v/>
      </c>
      <c r="M444" s="3">
        <f>IF(L444="","",(L444-AVERAGE(L6:L1198))/(STDEV(L6:L1198)+1E-12))</f>
        <v/>
      </c>
      <c r="N444" s="3">
        <f>IF('3a Raw'!I444="","",MAX(-3,MIN(3,('3a Raw'!I444-$N3)/$N4)))</f>
        <v/>
      </c>
      <c r="O444" s="3">
        <f>IF(N444="","",(N444-AVERAGE(N6:N1198))/(STDEV(N6:N1198)+1E-12))</f>
        <v/>
      </c>
      <c r="P444" s="3">
        <f>IF('3a Raw'!J444="","",MAX(-3,MIN(3,('3a Raw'!J444-$P3)/$P4)))</f>
        <v/>
      </c>
      <c r="Q444" s="3">
        <f>IF(P444="","",(P444-AVERAGE(P6:P1198))/(STDEV(P6:P1198)+1E-12))</f>
        <v/>
      </c>
      <c r="R444" s="3">
        <f>IF('3a Raw'!K444="","",MAX(-3,MIN(3,('3a Raw'!K444-$R3)/$R4)))</f>
        <v/>
      </c>
      <c r="S444" s="3">
        <f>IF(R444="","",(R444-AVERAGE(R6:R1198))/(STDEV(R6:R1198)+1E-12))</f>
        <v/>
      </c>
      <c r="T444" s="3">
        <f>IF('3a Raw'!L444="","",MAX(-3,MIN(3,('3a Raw'!L444-$T3)/$T4)))</f>
        <v/>
      </c>
      <c r="U444" s="3">
        <f>IF(T444="","",(T444-AVERAGE(T6:T1198))/(STDEV(T6:T1198)+1E-12))</f>
        <v/>
      </c>
      <c r="X444" s="3">
        <f>IF(U444="","",U444-($V$3*G444+$W$3))</f>
        <v/>
      </c>
      <c r="Y444" s="3">
        <f>IF(X444="","",MAX(-3,MIN(3,(X444-$X3)/$X4)))</f>
        <v/>
      </c>
      <c r="Z444" s="3">
        <f>IF(Y444="","",(Y444-AVERAGE(Y6:Y1198))/(STDEV(Y6:Y1198)+1E-12))</f>
        <v/>
      </c>
    </row>
    <row r="445">
      <c r="A445" t="inlineStr">
        <is>
          <t>BBG01PNY4CV8</t>
        </is>
      </c>
      <c r="B445" s="3">
        <f>IF('3a Raw'!C445="","",MAX(-3,MIN(3,('3a Raw'!C445-$B3)/$B4)))</f>
        <v/>
      </c>
      <c r="C445" s="3">
        <f>IF(B445="","",(B445-AVERAGE(B6:B1198))/(STDEV(B6:B1198)+1E-12))</f>
        <v/>
      </c>
      <c r="D445" s="3">
        <f>IF('3a Raw'!D445="","",MAX(-3,MIN(3,('3a Raw'!D445-$D3)/$D4)))</f>
        <v/>
      </c>
      <c r="E445" s="3">
        <f>IF(D445="","",(D445-AVERAGE(D6:D1198))/(STDEV(D6:D1198)+1E-12))</f>
        <v/>
      </c>
      <c r="F445" s="3">
        <f>IF('3a Raw'!E445="","",MAX(-3,MIN(3,('3a Raw'!E445-$F3)/$F4)))</f>
        <v/>
      </c>
      <c r="G445" s="3">
        <f>IF(F445="","",(F445-AVERAGE(F6:F1198))/(STDEV(F6:F1198)+1E-12))</f>
        <v/>
      </c>
      <c r="H445" s="3">
        <f>IF('3a Raw'!F445="","",MAX(-3,MIN(3,('3a Raw'!F445-$H3)/$H4)))</f>
        <v/>
      </c>
      <c r="I445" s="3">
        <f>IF(H445="","",(H445-AVERAGE(H6:H1198))/(STDEV(H6:H1198)+1E-12))</f>
        <v/>
      </c>
      <c r="J445" s="3">
        <f>IF('3a Raw'!G445="","",MAX(-3,MIN(3,('3a Raw'!G445-$J3)/$J4)))</f>
        <v/>
      </c>
      <c r="K445" s="3">
        <f>IF(J445="","",(J445-AVERAGE(J6:J1198))/(STDEV(J6:J1198)+1E-12))</f>
        <v/>
      </c>
      <c r="L445" s="3">
        <f>IF('3a Raw'!H445="","",MAX(-3,MIN(3,('3a Raw'!H445-$L3)/$L4)))</f>
        <v/>
      </c>
      <c r="M445" s="3">
        <f>IF(L445="","",(L445-AVERAGE(L6:L1198))/(STDEV(L6:L1198)+1E-12))</f>
        <v/>
      </c>
      <c r="N445" s="3">
        <f>IF('3a Raw'!I445="","",MAX(-3,MIN(3,('3a Raw'!I445-$N3)/$N4)))</f>
        <v/>
      </c>
      <c r="O445" s="3">
        <f>IF(N445="","",(N445-AVERAGE(N6:N1198))/(STDEV(N6:N1198)+1E-12))</f>
        <v/>
      </c>
      <c r="P445" s="3">
        <f>IF('3a Raw'!J445="","",MAX(-3,MIN(3,('3a Raw'!J445-$P3)/$P4)))</f>
        <v/>
      </c>
      <c r="Q445" s="3">
        <f>IF(P445="","",(P445-AVERAGE(P6:P1198))/(STDEV(P6:P1198)+1E-12))</f>
        <v/>
      </c>
      <c r="R445" s="3">
        <f>IF('3a Raw'!K445="","",MAX(-3,MIN(3,('3a Raw'!K445-$R3)/$R4)))</f>
        <v/>
      </c>
      <c r="S445" s="3">
        <f>IF(R445="","",(R445-AVERAGE(R6:R1198))/(STDEV(R6:R1198)+1E-12))</f>
        <v/>
      </c>
      <c r="T445" s="3">
        <f>IF('3a Raw'!L445="","",MAX(-3,MIN(3,('3a Raw'!L445-$T3)/$T4)))</f>
        <v/>
      </c>
      <c r="U445" s="3">
        <f>IF(T445="","",(T445-AVERAGE(T6:T1198))/(STDEV(T6:T1198)+1E-12))</f>
        <v/>
      </c>
      <c r="X445" s="3">
        <f>IF(U445="","",U445-($V$3*G445+$W$3))</f>
        <v/>
      </c>
      <c r="Y445" s="3">
        <f>IF(X445="","",MAX(-3,MIN(3,(X445-$X3)/$X4)))</f>
        <v/>
      </c>
      <c r="Z445" s="3">
        <f>IF(Y445="","",(Y445-AVERAGE(Y6:Y1198))/(STDEV(Y6:Y1198)+1E-12))</f>
        <v/>
      </c>
    </row>
    <row r="446">
      <c r="A446" t="inlineStr">
        <is>
          <t>BBG01HLMB809</t>
        </is>
      </c>
      <c r="B446" s="3">
        <f>IF('3a Raw'!C446="","",MAX(-3,MIN(3,('3a Raw'!C446-$B3)/$B4)))</f>
        <v/>
      </c>
      <c r="C446" s="3">
        <f>IF(B446="","",(B446-AVERAGE(B6:B1198))/(STDEV(B6:B1198)+1E-12))</f>
        <v/>
      </c>
      <c r="D446" s="3">
        <f>IF('3a Raw'!D446="","",MAX(-3,MIN(3,('3a Raw'!D446-$D3)/$D4)))</f>
        <v/>
      </c>
      <c r="E446" s="3">
        <f>IF(D446="","",(D446-AVERAGE(D6:D1198))/(STDEV(D6:D1198)+1E-12))</f>
        <v/>
      </c>
      <c r="F446" s="3">
        <f>IF('3a Raw'!E446="","",MAX(-3,MIN(3,('3a Raw'!E446-$F3)/$F4)))</f>
        <v/>
      </c>
      <c r="G446" s="3">
        <f>IF(F446="","",(F446-AVERAGE(F6:F1198))/(STDEV(F6:F1198)+1E-12))</f>
        <v/>
      </c>
      <c r="H446" s="3">
        <f>IF('3a Raw'!F446="","",MAX(-3,MIN(3,('3a Raw'!F446-$H3)/$H4)))</f>
        <v/>
      </c>
      <c r="I446" s="3">
        <f>IF(H446="","",(H446-AVERAGE(H6:H1198))/(STDEV(H6:H1198)+1E-12))</f>
        <v/>
      </c>
      <c r="J446" s="3">
        <f>IF('3a Raw'!G446="","",MAX(-3,MIN(3,('3a Raw'!G446-$J3)/$J4)))</f>
        <v/>
      </c>
      <c r="K446" s="3">
        <f>IF(J446="","",(J446-AVERAGE(J6:J1198))/(STDEV(J6:J1198)+1E-12))</f>
        <v/>
      </c>
      <c r="L446" s="3">
        <f>IF('3a Raw'!H446="","",MAX(-3,MIN(3,('3a Raw'!H446-$L3)/$L4)))</f>
        <v/>
      </c>
      <c r="M446" s="3">
        <f>IF(L446="","",(L446-AVERAGE(L6:L1198))/(STDEV(L6:L1198)+1E-12))</f>
        <v/>
      </c>
      <c r="N446" s="3">
        <f>IF('3a Raw'!I446="","",MAX(-3,MIN(3,('3a Raw'!I446-$N3)/$N4)))</f>
        <v/>
      </c>
      <c r="O446" s="3">
        <f>IF(N446="","",(N446-AVERAGE(N6:N1198))/(STDEV(N6:N1198)+1E-12))</f>
        <v/>
      </c>
      <c r="P446" s="3">
        <f>IF('3a Raw'!J446="","",MAX(-3,MIN(3,('3a Raw'!J446-$P3)/$P4)))</f>
        <v/>
      </c>
      <c r="Q446" s="3">
        <f>IF(P446="","",(P446-AVERAGE(P6:P1198))/(STDEV(P6:P1198)+1E-12))</f>
        <v/>
      </c>
      <c r="R446" s="3">
        <f>IF('3a Raw'!K446="","",MAX(-3,MIN(3,('3a Raw'!K446-$R3)/$R4)))</f>
        <v/>
      </c>
      <c r="S446" s="3">
        <f>IF(R446="","",(R446-AVERAGE(R6:R1198))/(STDEV(R6:R1198)+1E-12))</f>
        <v/>
      </c>
      <c r="T446" s="3">
        <f>IF('3a Raw'!L446="","",MAX(-3,MIN(3,('3a Raw'!L446-$T3)/$T4)))</f>
        <v/>
      </c>
      <c r="U446" s="3">
        <f>IF(T446="","",(T446-AVERAGE(T6:T1198))/(STDEV(T6:T1198)+1E-12))</f>
        <v/>
      </c>
      <c r="X446" s="3">
        <f>IF(U446="","",U446-($V$3*G446+$W$3))</f>
        <v/>
      </c>
      <c r="Y446" s="3">
        <f>IF(X446="","",MAX(-3,MIN(3,(X446-$X3)/$X4)))</f>
        <v/>
      </c>
      <c r="Z446" s="3">
        <f>IF(Y446="","",(Y446-AVERAGE(Y6:Y1198))/(STDEV(Y6:Y1198)+1E-12))</f>
        <v/>
      </c>
    </row>
    <row r="447">
      <c r="A447" t="inlineStr">
        <is>
          <t>BBG01HLMBCG3</t>
        </is>
      </c>
      <c r="B447" s="3">
        <f>IF('3a Raw'!C447="","",MAX(-3,MIN(3,('3a Raw'!C447-$B3)/$B4)))</f>
        <v/>
      </c>
      <c r="C447" s="3">
        <f>IF(B447="","",(B447-AVERAGE(B6:B1198))/(STDEV(B6:B1198)+1E-12))</f>
        <v/>
      </c>
      <c r="D447" s="3">
        <f>IF('3a Raw'!D447="","",MAX(-3,MIN(3,('3a Raw'!D447-$D3)/$D4)))</f>
        <v/>
      </c>
      <c r="E447" s="3">
        <f>IF(D447="","",(D447-AVERAGE(D6:D1198))/(STDEV(D6:D1198)+1E-12))</f>
        <v/>
      </c>
      <c r="F447" s="3">
        <f>IF('3a Raw'!E447="","",MAX(-3,MIN(3,('3a Raw'!E447-$F3)/$F4)))</f>
        <v/>
      </c>
      <c r="G447" s="3">
        <f>IF(F447="","",(F447-AVERAGE(F6:F1198))/(STDEV(F6:F1198)+1E-12))</f>
        <v/>
      </c>
      <c r="H447" s="3">
        <f>IF('3a Raw'!F447="","",MAX(-3,MIN(3,('3a Raw'!F447-$H3)/$H4)))</f>
        <v/>
      </c>
      <c r="I447" s="3">
        <f>IF(H447="","",(H447-AVERAGE(H6:H1198))/(STDEV(H6:H1198)+1E-12))</f>
        <v/>
      </c>
      <c r="J447" s="3">
        <f>IF('3a Raw'!G447="","",MAX(-3,MIN(3,('3a Raw'!G447-$J3)/$J4)))</f>
        <v/>
      </c>
      <c r="K447" s="3">
        <f>IF(J447="","",(J447-AVERAGE(J6:J1198))/(STDEV(J6:J1198)+1E-12))</f>
        <v/>
      </c>
      <c r="L447" s="3">
        <f>IF('3a Raw'!H447="","",MAX(-3,MIN(3,('3a Raw'!H447-$L3)/$L4)))</f>
        <v/>
      </c>
      <c r="M447" s="3">
        <f>IF(L447="","",(L447-AVERAGE(L6:L1198))/(STDEV(L6:L1198)+1E-12))</f>
        <v/>
      </c>
      <c r="N447" s="3">
        <f>IF('3a Raw'!I447="","",MAX(-3,MIN(3,('3a Raw'!I447-$N3)/$N4)))</f>
        <v/>
      </c>
      <c r="O447" s="3">
        <f>IF(N447="","",(N447-AVERAGE(N6:N1198))/(STDEV(N6:N1198)+1E-12))</f>
        <v/>
      </c>
      <c r="P447" s="3">
        <f>IF('3a Raw'!J447="","",MAX(-3,MIN(3,('3a Raw'!J447-$P3)/$P4)))</f>
        <v/>
      </c>
      <c r="Q447" s="3">
        <f>IF(P447="","",(P447-AVERAGE(P6:P1198))/(STDEV(P6:P1198)+1E-12))</f>
        <v/>
      </c>
      <c r="R447" s="3">
        <f>IF('3a Raw'!K447="","",MAX(-3,MIN(3,('3a Raw'!K447-$R3)/$R4)))</f>
        <v/>
      </c>
      <c r="S447" s="3">
        <f>IF(R447="","",(R447-AVERAGE(R6:R1198))/(STDEV(R6:R1198)+1E-12))</f>
        <v/>
      </c>
      <c r="T447" s="3">
        <f>IF('3a Raw'!L447="","",MAX(-3,MIN(3,('3a Raw'!L447-$T3)/$T4)))</f>
        <v/>
      </c>
      <c r="U447" s="3">
        <f>IF(T447="","",(T447-AVERAGE(T6:T1198))/(STDEV(T6:T1198)+1E-12))</f>
        <v/>
      </c>
      <c r="X447" s="3">
        <f>IF(U447="","",U447-($V$3*G447+$W$3))</f>
        <v/>
      </c>
      <c r="Y447" s="3">
        <f>IF(X447="","",MAX(-3,MIN(3,(X447-$X3)/$X4)))</f>
        <v/>
      </c>
      <c r="Z447" s="3">
        <f>IF(Y447="","",(Y447-AVERAGE(Y6:Y1198))/(STDEV(Y6:Y1198)+1E-12))</f>
        <v/>
      </c>
    </row>
    <row r="448">
      <c r="A448" t="inlineStr">
        <is>
          <t>BBG000C32KN7</t>
        </is>
      </c>
      <c r="B448" s="3">
        <f>IF('3a Raw'!C448="","",MAX(-3,MIN(3,('3a Raw'!C448-$B3)/$B4)))</f>
        <v/>
      </c>
      <c r="C448" s="3">
        <f>IF(B448="","",(B448-AVERAGE(B6:B1198))/(STDEV(B6:B1198)+1E-12))</f>
        <v/>
      </c>
      <c r="D448" s="3">
        <f>IF('3a Raw'!D448="","",MAX(-3,MIN(3,('3a Raw'!D448-$D3)/$D4)))</f>
        <v/>
      </c>
      <c r="E448" s="3">
        <f>IF(D448="","",(D448-AVERAGE(D6:D1198))/(STDEV(D6:D1198)+1E-12))</f>
        <v/>
      </c>
      <c r="F448" s="3">
        <f>IF('3a Raw'!E448="","",MAX(-3,MIN(3,('3a Raw'!E448-$F3)/$F4)))</f>
        <v/>
      </c>
      <c r="G448" s="3">
        <f>IF(F448="","",(F448-AVERAGE(F6:F1198))/(STDEV(F6:F1198)+1E-12))</f>
        <v/>
      </c>
      <c r="H448" s="3">
        <f>IF('3a Raw'!F448="","",MAX(-3,MIN(3,('3a Raw'!F448-$H3)/$H4)))</f>
        <v/>
      </c>
      <c r="I448" s="3">
        <f>IF(H448="","",(H448-AVERAGE(H6:H1198))/(STDEV(H6:H1198)+1E-12))</f>
        <v/>
      </c>
      <c r="J448" s="3">
        <f>IF('3a Raw'!G448="","",MAX(-3,MIN(3,('3a Raw'!G448-$J3)/$J4)))</f>
        <v/>
      </c>
      <c r="K448" s="3">
        <f>IF(J448="","",(J448-AVERAGE(J6:J1198))/(STDEV(J6:J1198)+1E-12))</f>
        <v/>
      </c>
      <c r="L448" s="3">
        <f>IF('3a Raw'!H448="","",MAX(-3,MIN(3,('3a Raw'!H448-$L3)/$L4)))</f>
        <v/>
      </c>
      <c r="M448" s="3">
        <f>IF(L448="","",(L448-AVERAGE(L6:L1198))/(STDEV(L6:L1198)+1E-12))</f>
        <v/>
      </c>
      <c r="N448" s="3">
        <f>IF('3a Raw'!I448="","",MAX(-3,MIN(3,('3a Raw'!I448-$N3)/$N4)))</f>
        <v/>
      </c>
      <c r="O448" s="3">
        <f>IF(N448="","",(N448-AVERAGE(N6:N1198))/(STDEV(N6:N1198)+1E-12))</f>
        <v/>
      </c>
      <c r="P448" s="3">
        <f>IF('3a Raw'!J448="","",MAX(-3,MIN(3,('3a Raw'!J448-$P3)/$P4)))</f>
        <v/>
      </c>
      <c r="Q448" s="3">
        <f>IF(P448="","",(P448-AVERAGE(P6:P1198))/(STDEV(P6:P1198)+1E-12))</f>
        <v/>
      </c>
      <c r="R448" s="3">
        <f>IF('3a Raw'!K448="","",MAX(-3,MIN(3,('3a Raw'!K448-$R3)/$R4)))</f>
        <v/>
      </c>
      <c r="S448" s="3">
        <f>IF(R448="","",(R448-AVERAGE(R6:R1198))/(STDEV(R6:R1198)+1E-12))</f>
        <v/>
      </c>
      <c r="T448" s="3">
        <f>IF('3a Raw'!L448="","",MAX(-3,MIN(3,('3a Raw'!L448-$T3)/$T4)))</f>
        <v/>
      </c>
      <c r="U448" s="3">
        <f>IF(T448="","",(T448-AVERAGE(T6:T1198))/(STDEV(T6:T1198)+1E-12))</f>
        <v/>
      </c>
      <c r="X448" s="3">
        <f>IF(U448="","",U448-($V$3*G448+$W$3))</f>
        <v/>
      </c>
      <c r="Y448" s="3">
        <f>IF(X448="","",MAX(-3,MIN(3,(X448-$X3)/$X4)))</f>
        <v/>
      </c>
      <c r="Z448" s="3">
        <f>IF(Y448="","",(Y448-AVERAGE(Y6:Y1198))/(STDEV(Y6:Y1198)+1E-12))</f>
        <v/>
      </c>
    </row>
    <row r="449">
      <c r="A449" t="inlineStr">
        <is>
          <t>BBG000BK6FP5</t>
        </is>
      </c>
      <c r="B449" s="3">
        <f>IF('3a Raw'!C449="","",MAX(-3,MIN(3,('3a Raw'!C449-$B3)/$B4)))</f>
        <v/>
      </c>
      <c r="C449" s="3">
        <f>IF(B449="","",(B449-AVERAGE(B6:B1198))/(STDEV(B6:B1198)+1E-12))</f>
        <v/>
      </c>
      <c r="D449" s="3">
        <f>IF('3a Raw'!D449="","",MAX(-3,MIN(3,('3a Raw'!D449-$D3)/$D4)))</f>
        <v/>
      </c>
      <c r="E449" s="3">
        <f>IF(D449="","",(D449-AVERAGE(D6:D1198))/(STDEV(D6:D1198)+1E-12))</f>
        <v/>
      </c>
      <c r="F449" s="3">
        <f>IF('3a Raw'!E449="","",MAX(-3,MIN(3,('3a Raw'!E449-$F3)/$F4)))</f>
        <v/>
      </c>
      <c r="G449" s="3">
        <f>IF(F449="","",(F449-AVERAGE(F6:F1198))/(STDEV(F6:F1198)+1E-12))</f>
        <v/>
      </c>
      <c r="H449" s="3">
        <f>IF('3a Raw'!F449="","",MAX(-3,MIN(3,('3a Raw'!F449-$H3)/$H4)))</f>
        <v/>
      </c>
      <c r="I449" s="3">
        <f>IF(H449="","",(H449-AVERAGE(H6:H1198))/(STDEV(H6:H1198)+1E-12))</f>
        <v/>
      </c>
      <c r="J449" s="3">
        <f>IF('3a Raw'!G449="","",MAX(-3,MIN(3,('3a Raw'!G449-$J3)/$J4)))</f>
        <v/>
      </c>
      <c r="K449" s="3">
        <f>IF(J449="","",(J449-AVERAGE(J6:J1198))/(STDEV(J6:J1198)+1E-12))</f>
        <v/>
      </c>
      <c r="L449" s="3">
        <f>IF('3a Raw'!H449="","",MAX(-3,MIN(3,('3a Raw'!H449-$L3)/$L4)))</f>
        <v/>
      </c>
      <c r="M449" s="3">
        <f>IF(L449="","",(L449-AVERAGE(L6:L1198))/(STDEV(L6:L1198)+1E-12))</f>
        <v/>
      </c>
      <c r="N449" s="3">
        <f>IF('3a Raw'!I449="","",MAX(-3,MIN(3,('3a Raw'!I449-$N3)/$N4)))</f>
        <v/>
      </c>
      <c r="O449" s="3">
        <f>IF(N449="","",(N449-AVERAGE(N6:N1198))/(STDEV(N6:N1198)+1E-12))</f>
        <v/>
      </c>
      <c r="P449" s="3">
        <f>IF('3a Raw'!J449="","",MAX(-3,MIN(3,('3a Raw'!J449-$P3)/$P4)))</f>
        <v/>
      </c>
      <c r="Q449" s="3">
        <f>IF(P449="","",(P449-AVERAGE(P6:P1198))/(STDEV(P6:P1198)+1E-12))</f>
        <v/>
      </c>
      <c r="R449" s="3">
        <f>IF('3a Raw'!K449="","",MAX(-3,MIN(3,('3a Raw'!K449-$R3)/$R4)))</f>
        <v/>
      </c>
      <c r="S449" s="3">
        <f>IF(R449="","",(R449-AVERAGE(R6:R1198))/(STDEV(R6:R1198)+1E-12))</f>
        <v/>
      </c>
      <c r="T449" s="3">
        <f>IF('3a Raw'!L449="","",MAX(-3,MIN(3,('3a Raw'!L449-$T3)/$T4)))</f>
        <v/>
      </c>
      <c r="U449" s="3">
        <f>IF(T449="","",(T449-AVERAGE(T6:T1198))/(STDEV(T6:T1198)+1E-12))</f>
        <v/>
      </c>
      <c r="X449" s="3">
        <f>IF(U449="","",U449-($V$3*G449+$W$3))</f>
        <v/>
      </c>
      <c r="Y449" s="3">
        <f>IF(X449="","",MAX(-3,MIN(3,(X449-$X3)/$X4)))</f>
        <v/>
      </c>
      <c r="Z449" s="3">
        <f>IF(Y449="","",(Y449-AVERAGE(Y6:Y1198))/(STDEV(Y6:Y1198)+1E-12))</f>
        <v/>
      </c>
    </row>
    <row r="450">
      <c r="A450" t="inlineStr">
        <is>
          <t>BBG000BKLH74</t>
        </is>
      </c>
      <c r="B450" s="3">
        <f>IF('3a Raw'!C450="","",MAX(-3,MIN(3,('3a Raw'!C450-$B3)/$B4)))</f>
        <v/>
      </c>
      <c r="C450" s="3">
        <f>IF(B450="","",(B450-AVERAGE(B6:B1198))/(STDEV(B6:B1198)+1E-12))</f>
        <v/>
      </c>
      <c r="D450" s="3">
        <f>IF('3a Raw'!D450="","",MAX(-3,MIN(3,('3a Raw'!D450-$D3)/$D4)))</f>
        <v/>
      </c>
      <c r="E450" s="3">
        <f>IF(D450="","",(D450-AVERAGE(D6:D1198))/(STDEV(D6:D1198)+1E-12))</f>
        <v/>
      </c>
      <c r="F450" s="3">
        <f>IF('3a Raw'!E450="","",MAX(-3,MIN(3,('3a Raw'!E450-$F3)/$F4)))</f>
        <v/>
      </c>
      <c r="G450" s="3">
        <f>IF(F450="","",(F450-AVERAGE(F6:F1198))/(STDEV(F6:F1198)+1E-12))</f>
        <v/>
      </c>
      <c r="H450" s="3">
        <f>IF('3a Raw'!F450="","",MAX(-3,MIN(3,('3a Raw'!F450-$H3)/$H4)))</f>
        <v/>
      </c>
      <c r="I450" s="3">
        <f>IF(H450="","",(H450-AVERAGE(H6:H1198))/(STDEV(H6:H1198)+1E-12))</f>
        <v/>
      </c>
      <c r="J450" s="3">
        <f>IF('3a Raw'!G450="","",MAX(-3,MIN(3,('3a Raw'!G450-$J3)/$J4)))</f>
        <v/>
      </c>
      <c r="K450" s="3">
        <f>IF(J450="","",(J450-AVERAGE(J6:J1198))/(STDEV(J6:J1198)+1E-12))</f>
        <v/>
      </c>
      <c r="L450" s="3">
        <f>IF('3a Raw'!H450="","",MAX(-3,MIN(3,('3a Raw'!H450-$L3)/$L4)))</f>
        <v/>
      </c>
      <c r="M450" s="3">
        <f>IF(L450="","",(L450-AVERAGE(L6:L1198))/(STDEV(L6:L1198)+1E-12))</f>
        <v/>
      </c>
      <c r="N450" s="3">
        <f>IF('3a Raw'!I450="","",MAX(-3,MIN(3,('3a Raw'!I450-$N3)/$N4)))</f>
        <v/>
      </c>
      <c r="O450" s="3">
        <f>IF(N450="","",(N450-AVERAGE(N6:N1198))/(STDEV(N6:N1198)+1E-12))</f>
        <v/>
      </c>
      <c r="P450" s="3">
        <f>IF('3a Raw'!J450="","",MAX(-3,MIN(3,('3a Raw'!J450-$P3)/$P4)))</f>
        <v/>
      </c>
      <c r="Q450" s="3">
        <f>IF(P450="","",(P450-AVERAGE(P6:P1198))/(STDEV(P6:P1198)+1E-12))</f>
        <v/>
      </c>
      <c r="R450" s="3">
        <f>IF('3a Raw'!K450="","",MAX(-3,MIN(3,('3a Raw'!K450-$R3)/$R4)))</f>
        <v/>
      </c>
      <c r="S450" s="3">
        <f>IF(R450="","",(R450-AVERAGE(R6:R1198))/(STDEV(R6:R1198)+1E-12))</f>
        <v/>
      </c>
      <c r="T450" s="3">
        <f>IF('3a Raw'!L450="","",MAX(-3,MIN(3,('3a Raw'!L450-$T3)/$T4)))</f>
        <v/>
      </c>
      <c r="U450" s="3">
        <f>IF(T450="","",(T450-AVERAGE(T6:T1198))/(STDEV(T6:T1198)+1E-12))</f>
        <v/>
      </c>
      <c r="X450" s="3">
        <f>IF(U450="","",U450-($V$3*G450+$W$3))</f>
        <v/>
      </c>
      <c r="Y450" s="3">
        <f>IF(X450="","",MAX(-3,MIN(3,(X450-$X3)/$X4)))</f>
        <v/>
      </c>
      <c r="Z450" s="3">
        <f>IF(Y450="","",(Y450-AVERAGE(Y6:Y1198))/(STDEV(Y6:Y1198)+1E-12))</f>
        <v/>
      </c>
    </row>
    <row r="451">
      <c r="A451" t="inlineStr">
        <is>
          <t>BBG000PXNF64</t>
        </is>
      </c>
      <c r="B451" s="3">
        <f>IF('3a Raw'!C451="","",MAX(-3,MIN(3,('3a Raw'!C451-$B3)/$B4)))</f>
        <v/>
      </c>
      <c r="C451" s="3">
        <f>IF(B451="","",(B451-AVERAGE(B6:B1198))/(STDEV(B6:B1198)+1E-12))</f>
        <v/>
      </c>
      <c r="D451" s="3">
        <f>IF('3a Raw'!D451="","",MAX(-3,MIN(3,('3a Raw'!D451-$D3)/$D4)))</f>
        <v/>
      </c>
      <c r="E451" s="3">
        <f>IF(D451="","",(D451-AVERAGE(D6:D1198))/(STDEV(D6:D1198)+1E-12))</f>
        <v/>
      </c>
      <c r="F451" s="3">
        <f>IF('3a Raw'!E451="","",MAX(-3,MIN(3,('3a Raw'!E451-$F3)/$F4)))</f>
        <v/>
      </c>
      <c r="G451" s="3">
        <f>IF(F451="","",(F451-AVERAGE(F6:F1198))/(STDEV(F6:F1198)+1E-12))</f>
        <v/>
      </c>
      <c r="H451" s="3">
        <f>IF('3a Raw'!F451="","",MAX(-3,MIN(3,('3a Raw'!F451-$H3)/$H4)))</f>
        <v/>
      </c>
      <c r="I451" s="3">
        <f>IF(H451="","",(H451-AVERAGE(H6:H1198))/(STDEV(H6:H1198)+1E-12))</f>
        <v/>
      </c>
      <c r="J451" s="3">
        <f>IF('3a Raw'!G451="","",MAX(-3,MIN(3,('3a Raw'!G451-$J3)/$J4)))</f>
        <v/>
      </c>
      <c r="K451" s="3">
        <f>IF(J451="","",(J451-AVERAGE(J6:J1198))/(STDEV(J6:J1198)+1E-12))</f>
        <v/>
      </c>
      <c r="L451" s="3">
        <f>IF('3a Raw'!H451="","",MAX(-3,MIN(3,('3a Raw'!H451-$L3)/$L4)))</f>
        <v/>
      </c>
      <c r="M451" s="3">
        <f>IF(L451="","",(L451-AVERAGE(L6:L1198))/(STDEV(L6:L1198)+1E-12))</f>
        <v/>
      </c>
      <c r="N451" s="3">
        <f>IF('3a Raw'!I451="","",MAX(-3,MIN(3,('3a Raw'!I451-$N3)/$N4)))</f>
        <v/>
      </c>
      <c r="O451" s="3">
        <f>IF(N451="","",(N451-AVERAGE(N6:N1198))/(STDEV(N6:N1198)+1E-12))</f>
        <v/>
      </c>
      <c r="P451" s="3">
        <f>IF('3a Raw'!J451="","",MAX(-3,MIN(3,('3a Raw'!J451-$P3)/$P4)))</f>
        <v/>
      </c>
      <c r="Q451" s="3">
        <f>IF(P451="","",(P451-AVERAGE(P6:P1198))/(STDEV(P6:P1198)+1E-12))</f>
        <v/>
      </c>
      <c r="R451" s="3">
        <f>IF('3a Raw'!K451="","",MAX(-3,MIN(3,('3a Raw'!K451-$R3)/$R4)))</f>
        <v/>
      </c>
      <c r="S451" s="3">
        <f>IF(R451="","",(R451-AVERAGE(R6:R1198))/(STDEV(R6:R1198)+1E-12))</f>
        <v/>
      </c>
      <c r="T451" s="3">
        <f>IF('3a Raw'!L451="","",MAX(-3,MIN(3,('3a Raw'!L451-$T3)/$T4)))</f>
        <v/>
      </c>
      <c r="U451" s="3">
        <f>IF(T451="","",(T451-AVERAGE(T6:T1198))/(STDEV(T6:T1198)+1E-12))</f>
        <v/>
      </c>
      <c r="X451" s="3">
        <f>IF(U451="","",U451-($V$3*G451+$W$3))</f>
        <v/>
      </c>
      <c r="Y451" s="3">
        <f>IF(X451="","",MAX(-3,MIN(3,(X451-$X3)/$X4)))</f>
        <v/>
      </c>
      <c r="Z451" s="3">
        <f>IF(Y451="","",(Y451-AVERAGE(Y6:Y1198))/(STDEV(Y6:Y1198)+1E-12))</f>
        <v/>
      </c>
    </row>
    <row r="452">
      <c r="A452" t="inlineStr">
        <is>
          <t>gd</t>
        </is>
      </c>
      <c r="B452" s="3">
        <f>IF('3a Raw'!C452="","",MAX(-3,MIN(3,('3a Raw'!C452-$B3)/$B4)))</f>
        <v/>
      </c>
      <c r="C452" s="3">
        <f>IF(B452="","",(B452-AVERAGE(B6:B1198))/(STDEV(B6:B1198)+1E-12))</f>
        <v/>
      </c>
      <c r="D452" s="3">
        <f>IF('3a Raw'!D452="","",MAX(-3,MIN(3,('3a Raw'!D452-$D3)/$D4)))</f>
        <v/>
      </c>
      <c r="E452" s="3">
        <f>IF(D452="","",(D452-AVERAGE(D6:D1198))/(STDEV(D6:D1198)+1E-12))</f>
        <v/>
      </c>
      <c r="F452" s="3">
        <f>IF('3a Raw'!E452="","",MAX(-3,MIN(3,('3a Raw'!E452-$F3)/$F4)))</f>
        <v/>
      </c>
      <c r="G452" s="3">
        <f>IF(F452="","",(F452-AVERAGE(F6:F1198))/(STDEV(F6:F1198)+1E-12))</f>
        <v/>
      </c>
      <c r="H452" s="3">
        <f>IF('3a Raw'!F452="","",MAX(-3,MIN(3,('3a Raw'!F452-$H3)/$H4)))</f>
        <v/>
      </c>
      <c r="I452" s="3">
        <f>IF(H452="","",(H452-AVERAGE(H6:H1198))/(STDEV(H6:H1198)+1E-12))</f>
        <v/>
      </c>
      <c r="J452" s="3">
        <f>IF('3a Raw'!G452="","",MAX(-3,MIN(3,('3a Raw'!G452-$J3)/$J4)))</f>
        <v/>
      </c>
      <c r="K452" s="3">
        <f>IF(J452="","",(J452-AVERAGE(J6:J1198))/(STDEV(J6:J1198)+1E-12))</f>
        <v/>
      </c>
      <c r="L452" s="3">
        <f>IF('3a Raw'!H452="","",MAX(-3,MIN(3,('3a Raw'!H452-$L3)/$L4)))</f>
        <v/>
      </c>
      <c r="M452" s="3">
        <f>IF(L452="","",(L452-AVERAGE(L6:L1198))/(STDEV(L6:L1198)+1E-12))</f>
        <v/>
      </c>
      <c r="N452" s="3">
        <f>IF('3a Raw'!I452="","",MAX(-3,MIN(3,('3a Raw'!I452-$N3)/$N4)))</f>
        <v/>
      </c>
      <c r="O452" s="3">
        <f>IF(N452="","",(N452-AVERAGE(N6:N1198))/(STDEV(N6:N1198)+1E-12))</f>
        <v/>
      </c>
      <c r="P452" s="3">
        <f>IF('3a Raw'!J452="","",MAX(-3,MIN(3,('3a Raw'!J452-$P3)/$P4)))</f>
        <v/>
      </c>
      <c r="Q452" s="3">
        <f>IF(P452="","",(P452-AVERAGE(P6:P1198))/(STDEV(P6:P1198)+1E-12))</f>
        <v/>
      </c>
      <c r="R452" s="3">
        <f>IF('3a Raw'!K452="","",MAX(-3,MIN(3,('3a Raw'!K452-$R3)/$R4)))</f>
        <v/>
      </c>
      <c r="S452" s="3">
        <f>IF(R452="","",(R452-AVERAGE(R6:R1198))/(STDEV(R6:R1198)+1E-12))</f>
        <v/>
      </c>
      <c r="T452" s="3">
        <f>IF('3a Raw'!L452="","",MAX(-3,MIN(3,('3a Raw'!L452-$T3)/$T4)))</f>
        <v/>
      </c>
      <c r="U452" s="3">
        <f>IF(T452="","",(T452-AVERAGE(T6:T1198))/(STDEV(T6:T1198)+1E-12))</f>
        <v/>
      </c>
      <c r="X452" s="3">
        <f>IF(U452="","",U452-($V$3*G452+$W$3))</f>
        <v/>
      </c>
      <c r="Y452" s="3">
        <f>IF(X452="","",MAX(-3,MIN(3,(X452-$X3)/$X4)))</f>
        <v/>
      </c>
      <c r="Z452" s="3">
        <f>IF(Y452="","",(Y452-AVERAGE(Y6:Y1198))/(STDEV(Y6:Y1198)+1E-12))</f>
        <v/>
      </c>
    </row>
    <row r="453">
      <c r="A453" t="inlineStr">
        <is>
          <t>BBG006MDLY05</t>
        </is>
      </c>
      <c r="B453" s="3">
        <f>IF('3a Raw'!C453="","",MAX(-3,MIN(3,('3a Raw'!C453-$B3)/$B4)))</f>
        <v/>
      </c>
      <c r="C453" s="3">
        <f>IF(B453="","",(B453-AVERAGE(B6:B1198))/(STDEV(B6:B1198)+1E-12))</f>
        <v/>
      </c>
      <c r="D453" s="3">
        <f>IF('3a Raw'!D453="","",MAX(-3,MIN(3,('3a Raw'!D453-$D3)/$D4)))</f>
        <v/>
      </c>
      <c r="E453" s="3">
        <f>IF(D453="","",(D453-AVERAGE(D6:D1198))/(STDEV(D6:D1198)+1E-12))</f>
        <v/>
      </c>
      <c r="F453" s="3">
        <f>IF('3a Raw'!E453="","",MAX(-3,MIN(3,('3a Raw'!E453-$F3)/$F4)))</f>
        <v/>
      </c>
      <c r="G453" s="3">
        <f>IF(F453="","",(F453-AVERAGE(F6:F1198))/(STDEV(F6:F1198)+1E-12))</f>
        <v/>
      </c>
      <c r="H453" s="3">
        <f>IF('3a Raw'!F453="","",MAX(-3,MIN(3,('3a Raw'!F453-$H3)/$H4)))</f>
        <v/>
      </c>
      <c r="I453" s="3">
        <f>IF(H453="","",(H453-AVERAGE(H6:H1198))/(STDEV(H6:H1198)+1E-12))</f>
        <v/>
      </c>
      <c r="J453" s="3">
        <f>IF('3a Raw'!G453="","",MAX(-3,MIN(3,('3a Raw'!G453-$J3)/$J4)))</f>
        <v/>
      </c>
      <c r="K453" s="3">
        <f>IF(J453="","",(J453-AVERAGE(J6:J1198))/(STDEV(J6:J1198)+1E-12))</f>
        <v/>
      </c>
      <c r="L453" s="3">
        <f>IF('3a Raw'!H453="","",MAX(-3,MIN(3,('3a Raw'!H453-$L3)/$L4)))</f>
        <v/>
      </c>
      <c r="M453" s="3">
        <f>IF(L453="","",(L453-AVERAGE(L6:L1198))/(STDEV(L6:L1198)+1E-12))</f>
        <v/>
      </c>
      <c r="N453" s="3">
        <f>IF('3a Raw'!I453="","",MAX(-3,MIN(3,('3a Raw'!I453-$N3)/$N4)))</f>
        <v/>
      </c>
      <c r="O453" s="3">
        <f>IF(N453="","",(N453-AVERAGE(N6:N1198))/(STDEV(N6:N1198)+1E-12))</f>
        <v/>
      </c>
      <c r="P453" s="3">
        <f>IF('3a Raw'!J453="","",MAX(-3,MIN(3,('3a Raw'!J453-$P3)/$P4)))</f>
        <v/>
      </c>
      <c r="Q453" s="3">
        <f>IF(P453="","",(P453-AVERAGE(P6:P1198))/(STDEV(P6:P1198)+1E-12))</f>
        <v/>
      </c>
      <c r="R453" s="3">
        <f>IF('3a Raw'!K453="","",MAX(-3,MIN(3,('3a Raw'!K453-$R3)/$R4)))</f>
        <v/>
      </c>
      <c r="S453" s="3">
        <f>IF(R453="","",(R453-AVERAGE(R6:R1198))/(STDEV(R6:R1198)+1E-12))</f>
        <v/>
      </c>
      <c r="T453" s="3">
        <f>IF('3a Raw'!L453="","",MAX(-3,MIN(3,('3a Raw'!L453-$T3)/$T4)))</f>
        <v/>
      </c>
      <c r="U453" s="3">
        <f>IF(T453="","",(T453-AVERAGE(T6:T1198))/(STDEV(T6:T1198)+1E-12))</f>
        <v/>
      </c>
      <c r="X453" s="3">
        <f>IF(U453="","",U453-($V$3*G453+$W$3))</f>
        <v/>
      </c>
      <c r="Y453" s="3">
        <f>IF(X453="","",MAX(-3,MIN(3,(X453-$X3)/$X4)))</f>
        <v/>
      </c>
      <c r="Z453" s="3">
        <f>IF(Y453="","",(Y453-AVERAGE(Y6:Y1198))/(STDEV(Y6:Y1198)+1E-12))</f>
        <v/>
      </c>
    </row>
    <row r="454">
      <c r="A454" t="inlineStr">
        <is>
          <t>BBG00DYK7TL5</t>
        </is>
      </c>
      <c r="B454" s="3">
        <f>IF('3a Raw'!C454="","",MAX(-3,MIN(3,('3a Raw'!C454-$B3)/$B4)))</f>
        <v/>
      </c>
      <c r="C454" s="3">
        <f>IF(B454="","",(B454-AVERAGE(B6:B1198))/(STDEV(B6:B1198)+1E-12))</f>
        <v/>
      </c>
      <c r="D454" s="3">
        <f>IF('3a Raw'!D454="","",MAX(-3,MIN(3,('3a Raw'!D454-$D3)/$D4)))</f>
        <v/>
      </c>
      <c r="E454" s="3">
        <f>IF(D454="","",(D454-AVERAGE(D6:D1198))/(STDEV(D6:D1198)+1E-12))</f>
        <v/>
      </c>
      <c r="F454" s="3">
        <f>IF('3a Raw'!E454="","",MAX(-3,MIN(3,('3a Raw'!E454-$F3)/$F4)))</f>
        <v/>
      </c>
      <c r="G454" s="3">
        <f>IF(F454="","",(F454-AVERAGE(F6:F1198))/(STDEV(F6:F1198)+1E-12))</f>
        <v/>
      </c>
      <c r="H454" s="3">
        <f>IF('3a Raw'!F454="","",MAX(-3,MIN(3,('3a Raw'!F454-$H3)/$H4)))</f>
        <v/>
      </c>
      <c r="I454" s="3">
        <f>IF(H454="","",(H454-AVERAGE(H6:H1198))/(STDEV(H6:H1198)+1E-12))</f>
        <v/>
      </c>
      <c r="J454" s="3">
        <f>IF('3a Raw'!G454="","",MAX(-3,MIN(3,('3a Raw'!G454-$J3)/$J4)))</f>
        <v/>
      </c>
      <c r="K454" s="3">
        <f>IF(J454="","",(J454-AVERAGE(J6:J1198))/(STDEV(J6:J1198)+1E-12))</f>
        <v/>
      </c>
      <c r="L454" s="3">
        <f>IF('3a Raw'!H454="","",MAX(-3,MIN(3,('3a Raw'!H454-$L3)/$L4)))</f>
        <v/>
      </c>
      <c r="M454" s="3">
        <f>IF(L454="","",(L454-AVERAGE(L6:L1198))/(STDEV(L6:L1198)+1E-12))</f>
        <v/>
      </c>
      <c r="N454" s="3">
        <f>IF('3a Raw'!I454="","",MAX(-3,MIN(3,('3a Raw'!I454-$N3)/$N4)))</f>
        <v/>
      </c>
      <c r="O454" s="3">
        <f>IF(N454="","",(N454-AVERAGE(N6:N1198))/(STDEV(N6:N1198)+1E-12))</f>
        <v/>
      </c>
      <c r="P454" s="3">
        <f>IF('3a Raw'!J454="","",MAX(-3,MIN(3,('3a Raw'!J454-$P3)/$P4)))</f>
        <v/>
      </c>
      <c r="Q454" s="3">
        <f>IF(P454="","",(P454-AVERAGE(P6:P1198))/(STDEV(P6:P1198)+1E-12))</f>
        <v/>
      </c>
      <c r="R454" s="3">
        <f>IF('3a Raw'!K454="","",MAX(-3,MIN(3,('3a Raw'!K454-$R3)/$R4)))</f>
        <v/>
      </c>
      <c r="S454" s="3">
        <f>IF(R454="","",(R454-AVERAGE(R6:R1198))/(STDEV(R6:R1198)+1E-12))</f>
        <v/>
      </c>
      <c r="T454" s="3">
        <f>IF('3a Raw'!L454="","",MAX(-3,MIN(3,('3a Raw'!L454-$T3)/$T4)))</f>
        <v/>
      </c>
      <c r="U454" s="3">
        <f>IF(T454="","",(T454-AVERAGE(T6:T1198))/(STDEV(T6:T1198)+1E-12))</f>
        <v/>
      </c>
      <c r="X454" s="3">
        <f>IF(U454="","",U454-($V$3*G454+$W$3))</f>
        <v/>
      </c>
      <c r="Y454" s="3">
        <f>IF(X454="","",MAX(-3,MIN(3,(X454-$X3)/$X4)))</f>
        <v/>
      </c>
      <c r="Z454" s="3">
        <f>IF(Y454="","",(Y454-AVERAGE(Y6:Y1198))/(STDEV(Y6:Y1198)+1E-12))</f>
        <v/>
      </c>
    </row>
    <row r="455">
      <c r="A455" t="inlineStr">
        <is>
          <t>BBG000BK6MB5</t>
        </is>
      </c>
      <c r="B455" s="3">
        <f>IF('3a Raw'!C455="","",MAX(-3,MIN(3,('3a Raw'!C455-$B3)/$B4)))</f>
        <v/>
      </c>
      <c r="C455" s="3">
        <f>IF(B455="","",(B455-AVERAGE(B6:B1198))/(STDEV(B6:B1198)+1E-12))</f>
        <v/>
      </c>
      <c r="D455" s="3">
        <f>IF('3a Raw'!D455="","",MAX(-3,MIN(3,('3a Raw'!D455-$D3)/$D4)))</f>
        <v/>
      </c>
      <c r="E455" s="3">
        <f>IF(D455="","",(D455-AVERAGE(D6:D1198))/(STDEV(D6:D1198)+1E-12))</f>
        <v/>
      </c>
      <c r="F455" s="3">
        <f>IF('3a Raw'!E455="","",MAX(-3,MIN(3,('3a Raw'!E455-$F3)/$F4)))</f>
        <v/>
      </c>
      <c r="G455" s="3">
        <f>IF(F455="","",(F455-AVERAGE(F6:F1198))/(STDEV(F6:F1198)+1E-12))</f>
        <v/>
      </c>
      <c r="H455" s="3">
        <f>IF('3a Raw'!F455="","",MAX(-3,MIN(3,('3a Raw'!F455-$H3)/$H4)))</f>
        <v/>
      </c>
      <c r="I455" s="3">
        <f>IF(H455="","",(H455-AVERAGE(H6:H1198))/(STDEV(H6:H1198)+1E-12))</f>
        <v/>
      </c>
      <c r="J455" s="3">
        <f>IF('3a Raw'!G455="","",MAX(-3,MIN(3,('3a Raw'!G455-$J3)/$J4)))</f>
        <v/>
      </c>
      <c r="K455" s="3">
        <f>IF(J455="","",(J455-AVERAGE(J6:J1198))/(STDEV(J6:J1198)+1E-12))</f>
        <v/>
      </c>
      <c r="L455" s="3">
        <f>IF('3a Raw'!H455="","",MAX(-3,MIN(3,('3a Raw'!H455-$L3)/$L4)))</f>
        <v/>
      </c>
      <c r="M455" s="3">
        <f>IF(L455="","",(L455-AVERAGE(L6:L1198))/(STDEV(L6:L1198)+1E-12))</f>
        <v/>
      </c>
      <c r="N455" s="3">
        <f>IF('3a Raw'!I455="","",MAX(-3,MIN(3,('3a Raw'!I455-$N3)/$N4)))</f>
        <v/>
      </c>
      <c r="O455" s="3">
        <f>IF(N455="","",(N455-AVERAGE(N6:N1198))/(STDEV(N6:N1198)+1E-12))</f>
        <v/>
      </c>
      <c r="P455" s="3">
        <f>IF('3a Raw'!J455="","",MAX(-3,MIN(3,('3a Raw'!J455-$P3)/$P4)))</f>
        <v/>
      </c>
      <c r="Q455" s="3">
        <f>IF(P455="","",(P455-AVERAGE(P6:P1198))/(STDEV(P6:P1198)+1E-12))</f>
        <v/>
      </c>
      <c r="R455" s="3">
        <f>IF('3a Raw'!K455="","",MAX(-3,MIN(3,('3a Raw'!K455-$R3)/$R4)))</f>
        <v/>
      </c>
      <c r="S455" s="3">
        <f>IF(R455="","",(R455-AVERAGE(R6:R1198))/(STDEV(R6:R1198)+1E-12))</f>
        <v/>
      </c>
      <c r="T455" s="3">
        <f>IF('3a Raw'!L455="","",MAX(-3,MIN(3,('3a Raw'!L455-$T3)/$T4)))</f>
        <v/>
      </c>
      <c r="U455" s="3">
        <f>IF(T455="","",(T455-AVERAGE(T6:T1198))/(STDEV(T6:T1198)+1E-12))</f>
        <v/>
      </c>
      <c r="X455" s="3">
        <f>IF(U455="","",U455-($V$3*G455+$W$3))</f>
        <v/>
      </c>
      <c r="Y455" s="3">
        <f>IF(X455="","",MAX(-3,MIN(3,(X455-$X3)/$X4)))</f>
        <v/>
      </c>
      <c r="Z455" s="3">
        <f>IF(Y455="","",(Y455-AVERAGE(Y6:Y1198))/(STDEV(Y6:Y1198)+1E-12))</f>
        <v/>
      </c>
    </row>
    <row r="456">
      <c r="A456" t="inlineStr">
        <is>
          <t>BBG01BFR8YV1</t>
        </is>
      </c>
      <c r="B456" s="3">
        <f>IF('3a Raw'!C456="","",MAX(-3,MIN(3,('3a Raw'!C456-$B3)/$B4)))</f>
        <v/>
      </c>
      <c r="C456" s="3">
        <f>IF(B456="","",(B456-AVERAGE(B6:B1198))/(STDEV(B6:B1198)+1E-12))</f>
        <v/>
      </c>
      <c r="D456" s="3">
        <f>IF('3a Raw'!D456="","",MAX(-3,MIN(3,('3a Raw'!D456-$D3)/$D4)))</f>
        <v/>
      </c>
      <c r="E456" s="3">
        <f>IF(D456="","",(D456-AVERAGE(D6:D1198))/(STDEV(D6:D1198)+1E-12))</f>
        <v/>
      </c>
      <c r="F456" s="3">
        <f>IF('3a Raw'!E456="","",MAX(-3,MIN(3,('3a Raw'!E456-$F3)/$F4)))</f>
        <v/>
      </c>
      <c r="G456" s="3">
        <f>IF(F456="","",(F456-AVERAGE(F6:F1198))/(STDEV(F6:F1198)+1E-12))</f>
        <v/>
      </c>
      <c r="H456" s="3">
        <f>IF('3a Raw'!F456="","",MAX(-3,MIN(3,('3a Raw'!F456-$H3)/$H4)))</f>
        <v/>
      </c>
      <c r="I456" s="3">
        <f>IF(H456="","",(H456-AVERAGE(H6:H1198))/(STDEV(H6:H1198)+1E-12))</f>
        <v/>
      </c>
      <c r="J456" s="3">
        <f>IF('3a Raw'!G456="","",MAX(-3,MIN(3,('3a Raw'!G456-$J3)/$J4)))</f>
        <v/>
      </c>
      <c r="K456" s="3">
        <f>IF(J456="","",(J456-AVERAGE(J6:J1198))/(STDEV(J6:J1198)+1E-12))</f>
        <v/>
      </c>
      <c r="L456" s="3">
        <f>IF('3a Raw'!H456="","",MAX(-3,MIN(3,('3a Raw'!H456-$L3)/$L4)))</f>
        <v/>
      </c>
      <c r="M456" s="3">
        <f>IF(L456="","",(L456-AVERAGE(L6:L1198))/(STDEV(L6:L1198)+1E-12))</f>
        <v/>
      </c>
      <c r="N456" s="3">
        <f>IF('3a Raw'!I456="","",MAX(-3,MIN(3,('3a Raw'!I456-$N3)/$N4)))</f>
        <v/>
      </c>
      <c r="O456" s="3">
        <f>IF(N456="","",(N456-AVERAGE(N6:N1198))/(STDEV(N6:N1198)+1E-12))</f>
        <v/>
      </c>
      <c r="P456" s="3">
        <f>IF('3a Raw'!J456="","",MAX(-3,MIN(3,('3a Raw'!J456-$P3)/$P4)))</f>
        <v/>
      </c>
      <c r="Q456" s="3">
        <f>IF(P456="","",(P456-AVERAGE(P6:P1198))/(STDEV(P6:P1198)+1E-12))</f>
        <v/>
      </c>
      <c r="R456" s="3">
        <f>IF('3a Raw'!K456="","",MAX(-3,MIN(3,('3a Raw'!K456-$R3)/$R4)))</f>
        <v/>
      </c>
      <c r="S456" s="3">
        <f>IF(R456="","",(R456-AVERAGE(R6:R1198))/(STDEV(R6:R1198)+1E-12))</f>
        <v/>
      </c>
      <c r="T456" s="3">
        <f>IF('3a Raw'!L456="","",MAX(-3,MIN(3,('3a Raw'!L456-$T3)/$T4)))</f>
        <v/>
      </c>
      <c r="U456" s="3">
        <f>IF(T456="","",(T456-AVERAGE(T6:T1198))/(STDEV(T6:T1198)+1E-12))</f>
        <v/>
      </c>
      <c r="X456" s="3">
        <f>IF(U456="","",U456-($V$3*G456+$W$3))</f>
        <v/>
      </c>
      <c r="Y456" s="3">
        <f>IF(X456="","",MAX(-3,MIN(3,(X456-$X3)/$X4)))</f>
        <v/>
      </c>
      <c r="Z456" s="3">
        <f>IF(Y456="","",(Y456-AVERAGE(Y6:Y1198))/(STDEV(Y6:Y1198)+1E-12))</f>
        <v/>
      </c>
    </row>
    <row r="457">
      <c r="A457" t="inlineStr">
        <is>
          <t>BBG000BH2JM1</t>
        </is>
      </c>
      <c r="B457" s="3">
        <f>IF('3a Raw'!C457="","",MAX(-3,MIN(3,('3a Raw'!C457-$B3)/$B4)))</f>
        <v/>
      </c>
      <c r="C457" s="3">
        <f>IF(B457="","",(B457-AVERAGE(B6:B1198))/(STDEV(B6:B1198)+1E-12))</f>
        <v/>
      </c>
      <c r="D457" s="3">
        <f>IF('3a Raw'!D457="","",MAX(-3,MIN(3,('3a Raw'!D457-$D3)/$D4)))</f>
        <v/>
      </c>
      <c r="E457" s="3">
        <f>IF(D457="","",(D457-AVERAGE(D6:D1198))/(STDEV(D6:D1198)+1E-12))</f>
        <v/>
      </c>
      <c r="F457" s="3">
        <f>IF('3a Raw'!E457="","",MAX(-3,MIN(3,('3a Raw'!E457-$F3)/$F4)))</f>
        <v/>
      </c>
      <c r="G457" s="3">
        <f>IF(F457="","",(F457-AVERAGE(F6:F1198))/(STDEV(F6:F1198)+1E-12))</f>
        <v/>
      </c>
      <c r="H457" s="3">
        <f>IF('3a Raw'!F457="","",MAX(-3,MIN(3,('3a Raw'!F457-$H3)/$H4)))</f>
        <v/>
      </c>
      <c r="I457" s="3">
        <f>IF(H457="","",(H457-AVERAGE(H6:H1198))/(STDEV(H6:H1198)+1E-12))</f>
        <v/>
      </c>
      <c r="J457" s="3">
        <f>IF('3a Raw'!G457="","",MAX(-3,MIN(3,('3a Raw'!G457-$J3)/$J4)))</f>
        <v/>
      </c>
      <c r="K457" s="3">
        <f>IF(J457="","",(J457-AVERAGE(J6:J1198))/(STDEV(J6:J1198)+1E-12))</f>
        <v/>
      </c>
      <c r="L457" s="3">
        <f>IF('3a Raw'!H457="","",MAX(-3,MIN(3,('3a Raw'!H457-$L3)/$L4)))</f>
        <v/>
      </c>
      <c r="M457" s="3">
        <f>IF(L457="","",(L457-AVERAGE(L6:L1198))/(STDEV(L6:L1198)+1E-12))</f>
        <v/>
      </c>
      <c r="N457" s="3">
        <f>IF('3a Raw'!I457="","",MAX(-3,MIN(3,('3a Raw'!I457-$N3)/$N4)))</f>
        <v/>
      </c>
      <c r="O457" s="3">
        <f>IF(N457="","",(N457-AVERAGE(N6:N1198))/(STDEV(N6:N1198)+1E-12))</f>
        <v/>
      </c>
      <c r="P457" s="3">
        <f>IF('3a Raw'!J457="","",MAX(-3,MIN(3,('3a Raw'!J457-$P3)/$P4)))</f>
        <v/>
      </c>
      <c r="Q457" s="3">
        <f>IF(P457="","",(P457-AVERAGE(P6:P1198))/(STDEV(P6:P1198)+1E-12))</f>
        <v/>
      </c>
      <c r="R457" s="3">
        <f>IF('3a Raw'!K457="","",MAX(-3,MIN(3,('3a Raw'!K457-$R3)/$R4)))</f>
        <v/>
      </c>
      <c r="S457" s="3">
        <f>IF(R457="","",(R457-AVERAGE(R6:R1198))/(STDEV(R6:R1198)+1E-12))</f>
        <v/>
      </c>
      <c r="T457" s="3">
        <f>IF('3a Raw'!L457="","",MAX(-3,MIN(3,('3a Raw'!L457-$T3)/$T4)))</f>
        <v/>
      </c>
      <c r="U457" s="3">
        <f>IF(T457="","",(T457-AVERAGE(T6:T1198))/(STDEV(T6:T1198)+1E-12))</f>
        <v/>
      </c>
      <c r="X457" s="3">
        <f>IF(U457="","",U457-($V$3*G457+$W$3))</f>
        <v/>
      </c>
      <c r="Y457" s="3">
        <f>IF(X457="","",MAX(-3,MIN(3,(X457-$X3)/$X4)))</f>
        <v/>
      </c>
      <c r="Z457" s="3">
        <f>IF(Y457="","",(Y457-AVERAGE(Y6:Y1198))/(STDEV(Y6:Y1198)+1E-12))</f>
        <v/>
      </c>
    </row>
    <row r="458">
      <c r="A458" t="inlineStr">
        <is>
          <t>gev</t>
        </is>
      </c>
      <c r="B458" s="3">
        <f>IF('3a Raw'!C458="","",MAX(-3,MIN(3,('3a Raw'!C458-$B3)/$B4)))</f>
        <v/>
      </c>
      <c r="C458" s="3">
        <f>IF(B458="","",(B458-AVERAGE(B6:B1198))/(STDEV(B6:B1198)+1E-12))</f>
        <v/>
      </c>
      <c r="D458" s="3">
        <f>IF('3a Raw'!D458="","",MAX(-3,MIN(3,('3a Raw'!D458-$D3)/$D4)))</f>
        <v/>
      </c>
      <c r="E458" s="3">
        <f>IF(D458="","",(D458-AVERAGE(D6:D1198))/(STDEV(D6:D1198)+1E-12))</f>
        <v/>
      </c>
      <c r="F458" s="3">
        <f>IF('3a Raw'!E458="","",MAX(-3,MIN(3,('3a Raw'!E458-$F3)/$F4)))</f>
        <v/>
      </c>
      <c r="G458" s="3">
        <f>IF(F458="","",(F458-AVERAGE(F6:F1198))/(STDEV(F6:F1198)+1E-12))</f>
        <v/>
      </c>
      <c r="H458" s="3">
        <f>IF('3a Raw'!F458="","",MAX(-3,MIN(3,('3a Raw'!F458-$H3)/$H4)))</f>
        <v/>
      </c>
      <c r="I458" s="3">
        <f>IF(H458="","",(H458-AVERAGE(H6:H1198))/(STDEV(H6:H1198)+1E-12))</f>
        <v/>
      </c>
      <c r="J458" s="3">
        <f>IF('3a Raw'!G458="","",MAX(-3,MIN(3,('3a Raw'!G458-$J3)/$J4)))</f>
        <v/>
      </c>
      <c r="K458" s="3">
        <f>IF(J458="","",(J458-AVERAGE(J6:J1198))/(STDEV(J6:J1198)+1E-12))</f>
        <v/>
      </c>
      <c r="L458" s="3">
        <f>IF('3a Raw'!H458="","",MAX(-3,MIN(3,('3a Raw'!H458-$L3)/$L4)))</f>
        <v/>
      </c>
      <c r="M458" s="3">
        <f>IF(L458="","",(L458-AVERAGE(L6:L1198))/(STDEV(L6:L1198)+1E-12))</f>
        <v/>
      </c>
      <c r="N458" s="3">
        <f>IF('3a Raw'!I458="","",MAX(-3,MIN(3,('3a Raw'!I458-$N3)/$N4)))</f>
        <v/>
      </c>
      <c r="O458" s="3">
        <f>IF(N458="","",(N458-AVERAGE(N6:N1198))/(STDEV(N6:N1198)+1E-12))</f>
        <v/>
      </c>
      <c r="P458" s="3">
        <f>IF('3a Raw'!J458="","",MAX(-3,MIN(3,('3a Raw'!J458-$P3)/$P4)))</f>
        <v/>
      </c>
      <c r="Q458" s="3">
        <f>IF(P458="","",(P458-AVERAGE(P6:P1198))/(STDEV(P6:P1198)+1E-12))</f>
        <v/>
      </c>
      <c r="R458" s="3">
        <f>IF('3a Raw'!K458="","",MAX(-3,MIN(3,('3a Raw'!K458-$R3)/$R4)))</f>
        <v/>
      </c>
      <c r="S458" s="3">
        <f>IF(R458="","",(R458-AVERAGE(R6:R1198))/(STDEV(R6:R1198)+1E-12))</f>
        <v/>
      </c>
      <c r="T458" s="3">
        <f>IF('3a Raw'!L458="","",MAX(-3,MIN(3,('3a Raw'!L458-$T3)/$T4)))</f>
        <v/>
      </c>
      <c r="U458" s="3">
        <f>IF(T458="","",(T458-AVERAGE(T6:T1198))/(STDEV(T6:T1198)+1E-12))</f>
        <v/>
      </c>
      <c r="X458" s="3">
        <f>IF(U458="","",U458-($V$3*G458+$W$3))</f>
        <v/>
      </c>
      <c r="Y458" s="3">
        <f>IF(X458="","",MAX(-3,MIN(3,(X458-$X3)/$X4)))</f>
        <v/>
      </c>
      <c r="Z458" s="3">
        <f>IF(Y458="","",(Y458-AVERAGE(Y6:Y1198))/(STDEV(Y6:Y1198)+1E-12))</f>
        <v/>
      </c>
    </row>
    <row r="459">
      <c r="A459" t="inlineStr">
        <is>
          <t>BBG00PQS00S3</t>
        </is>
      </c>
      <c r="B459" s="3">
        <f>IF('3a Raw'!C459="","",MAX(-3,MIN(3,('3a Raw'!C459-$B3)/$B4)))</f>
        <v/>
      </c>
      <c r="C459" s="3">
        <f>IF(B459="","",(B459-AVERAGE(B6:B1198))/(STDEV(B6:B1198)+1E-12))</f>
        <v/>
      </c>
      <c r="D459" s="3">
        <f>IF('3a Raw'!D459="","",MAX(-3,MIN(3,('3a Raw'!D459-$D3)/$D4)))</f>
        <v/>
      </c>
      <c r="E459" s="3">
        <f>IF(D459="","",(D459-AVERAGE(D6:D1198))/(STDEV(D6:D1198)+1E-12))</f>
        <v/>
      </c>
      <c r="F459" s="3">
        <f>IF('3a Raw'!E459="","",MAX(-3,MIN(3,('3a Raw'!E459-$F3)/$F4)))</f>
        <v/>
      </c>
      <c r="G459" s="3">
        <f>IF(F459="","",(F459-AVERAGE(F6:F1198))/(STDEV(F6:F1198)+1E-12))</f>
        <v/>
      </c>
      <c r="H459" s="3">
        <f>IF('3a Raw'!F459="","",MAX(-3,MIN(3,('3a Raw'!F459-$H3)/$H4)))</f>
        <v/>
      </c>
      <c r="I459" s="3">
        <f>IF(H459="","",(H459-AVERAGE(H6:H1198))/(STDEV(H6:H1198)+1E-12))</f>
        <v/>
      </c>
      <c r="J459" s="3">
        <f>IF('3a Raw'!G459="","",MAX(-3,MIN(3,('3a Raw'!G459-$J3)/$J4)))</f>
        <v/>
      </c>
      <c r="K459" s="3">
        <f>IF(J459="","",(J459-AVERAGE(J6:J1198))/(STDEV(J6:J1198)+1E-12))</f>
        <v/>
      </c>
      <c r="L459" s="3">
        <f>IF('3a Raw'!H459="","",MAX(-3,MIN(3,('3a Raw'!H459-$L3)/$L4)))</f>
        <v/>
      </c>
      <c r="M459" s="3">
        <f>IF(L459="","",(L459-AVERAGE(L6:L1198))/(STDEV(L6:L1198)+1E-12))</f>
        <v/>
      </c>
      <c r="N459" s="3">
        <f>IF('3a Raw'!I459="","",MAX(-3,MIN(3,('3a Raw'!I459-$N3)/$N4)))</f>
        <v/>
      </c>
      <c r="O459" s="3">
        <f>IF(N459="","",(N459-AVERAGE(N6:N1198))/(STDEV(N6:N1198)+1E-12))</f>
        <v/>
      </c>
      <c r="P459" s="3">
        <f>IF('3a Raw'!J459="","",MAX(-3,MIN(3,('3a Raw'!J459-$P3)/$P4)))</f>
        <v/>
      </c>
      <c r="Q459" s="3">
        <f>IF(P459="","",(P459-AVERAGE(P6:P1198))/(STDEV(P6:P1198)+1E-12))</f>
        <v/>
      </c>
      <c r="R459" s="3">
        <f>IF('3a Raw'!K459="","",MAX(-3,MIN(3,('3a Raw'!K459-$R3)/$R4)))</f>
        <v/>
      </c>
      <c r="S459" s="3">
        <f>IF(R459="","",(R459-AVERAGE(R6:R1198))/(STDEV(R6:R1198)+1E-12))</f>
        <v/>
      </c>
      <c r="T459" s="3">
        <f>IF('3a Raw'!L459="","",MAX(-3,MIN(3,('3a Raw'!L459-$T3)/$T4)))</f>
        <v/>
      </c>
      <c r="U459" s="3">
        <f>IF(T459="","",(T459-AVERAGE(T6:T1198))/(STDEV(T6:T1198)+1E-12))</f>
        <v/>
      </c>
      <c r="X459" s="3">
        <f>IF(U459="","",U459-($V$3*G459+$W$3))</f>
        <v/>
      </c>
      <c r="Y459" s="3">
        <f>IF(X459="","",MAX(-3,MIN(3,(X459-$X3)/$X4)))</f>
        <v/>
      </c>
      <c r="Z459" s="3">
        <f>IF(Y459="","",(Y459-AVERAGE(Y6:Y1198))/(STDEV(Y6:Y1198)+1E-12))</f>
        <v/>
      </c>
    </row>
    <row r="460">
      <c r="A460" t="inlineStr">
        <is>
          <t>BBG000F646H3</t>
        </is>
      </c>
      <c r="B460" s="3">
        <f>IF('3a Raw'!C460="","",MAX(-3,MIN(3,('3a Raw'!C460-$B3)/$B4)))</f>
        <v/>
      </c>
      <c r="C460" s="3">
        <f>IF(B460="","",(B460-AVERAGE(B6:B1198))/(STDEV(B6:B1198)+1E-12))</f>
        <v/>
      </c>
      <c r="D460" s="3">
        <f>IF('3a Raw'!D460="","",MAX(-3,MIN(3,('3a Raw'!D460-$D3)/$D4)))</f>
        <v/>
      </c>
      <c r="E460" s="3">
        <f>IF(D460="","",(D460-AVERAGE(D6:D1198))/(STDEV(D6:D1198)+1E-12))</f>
        <v/>
      </c>
      <c r="F460" s="3">
        <f>IF('3a Raw'!E460="","",MAX(-3,MIN(3,('3a Raw'!E460-$F3)/$F4)))</f>
        <v/>
      </c>
      <c r="G460" s="3">
        <f>IF(F460="","",(F460-AVERAGE(F6:F1198))/(STDEV(F6:F1198)+1E-12))</f>
        <v/>
      </c>
      <c r="H460" s="3">
        <f>IF('3a Raw'!F460="","",MAX(-3,MIN(3,('3a Raw'!F460-$H3)/$H4)))</f>
        <v/>
      </c>
      <c r="I460" s="3">
        <f>IF(H460="","",(H460-AVERAGE(H6:H1198))/(STDEV(H6:H1198)+1E-12))</f>
        <v/>
      </c>
      <c r="J460" s="3">
        <f>IF('3a Raw'!G460="","",MAX(-3,MIN(3,('3a Raw'!G460-$J3)/$J4)))</f>
        <v/>
      </c>
      <c r="K460" s="3">
        <f>IF(J460="","",(J460-AVERAGE(J6:J1198))/(STDEV(J6:J1198)+1E-12))</f>
        <v/>
      </c>
      <c r="L460" s="3">
        <f>IF('3a Raw'!H460="","",MAX(-3,MIN(3,('3a Raw'!H460-$L3)/$L4)))</f>
        <v/>
      </c>
      <c r="M460" s="3">
        <f>IF(L460="","",(L460-AVERAGE(L6:L1198))/(STDEV(L6:L1198)+1E-12))</f>
        <v/>
      </c>
      <c r="N460" s="3">
        <f>IF('3a Raw'!I460="","",MAX(-3,MIN(3,('3a Raw'!I460-$N3)/$N4)))</f>
        <v/>
      </c>
      <c r="O460" s="3">
        <f>IF(N460="","",(N460-AVERAGE(N6:N1198))/(STDEV(N6:N1198)+1E-12))</f>
        <v/>
      </c>
      <c r="P460" s="3">
        <f>IF('3a Raw'!J460="","",MAX(-3,MIN(3,('3a Raw'!J460-$P3)/$P4)))</f>
        <v/>
      </c>
      <c r="Q460" s="3">
        <f>IF(P460="","",(P460-AVERAGE(P6:P1198))/(STDEV(P6:P1198)+1E-12))</f>
        <v/>
      </c>
      <c r="R460" s="3">
        <f>IF('3a Raw'!K460="","",MAX(-3,MIN(3,('3a Raw'!K460-$R3)/$R4)))</f>
        <v/>
      </c>
      <c r="S460" s="3">
        <f>IF(R460="","",(R460-AVERAGE(R6:R1198))/(STDEV(R6:R1198)+1E-12))</f>
        <v/>
      </c>
      <c r="T460" s="3">
        <f>IF('3a Raw'!L460="","",MAX(-3,MIN(3,('3a Raw'!L460-$T3)/$T4)))</f>
        <v/>
      </c>
      <c r="U460" s="3">
        <f>IF(T460="","",(T460-AVERAGE(T6:T1198))/(STDEV(T6:T1198)+1E-12))</f>
        <v/>
      </c>
      <c r="X460" s="3">
        <f>IF(U460="","",U460-($V$3*G460+$W$3))</f>
        <v/>
      </c>
      <c r="Y460" s="3">
        <f>IF(X460="","",MAX(-3,MIN(3,(X460-$X3)/$X4)))</f>
        <v/>
      </c>
      <c r="Z460" s="3">
        <f>IF(Y460="","",(Y460-AVERAGE(Y6:Y1198))/(STDEV(Y6:Y1198)+1E-12))</f>
        <v/>
      </c>
    </row>
    <row r="461">
      <c r="A461" t="inlineStr">
        <is>
          <t>BBG000BK9W84</t>
        </is>
      </c>
      <c r="B461" s="3">
        <f>IF('3a Raw'!C461="","",MAX(-3,MIN(3,('3a Raw'!C461-$B3)/$B4)))</f>
        <v/>
      </c>
      <c r="C461" s="3">
        <f>IF(B461="","",(B461-AVERAGE(B6:B1198))/(STDEV(B6:B1198)+1E-12))</f>
        <v/>
      </c>
      <c r="D461" s="3">
        <f>IF('3a Raw'!D461="","",MAX(-3,MIN(3,('3a Raw'!D461-$D3)/$D4)))</f>
        <v/>
      </c>
      <c r="E461" s="3">
        <f>IF(D461="","",(D461-AVERAGE(D6:D1198))/(STDEV(D6:D1198)+1E-12))</f>
        <v/>
      </c>
      <c r="F461" s="3">
        <f>IF('3a Raw'!E461="","",MAX(-3,MIN(3,('3a Raw'!E461-$F3)/$F4)))</f>
        <v/>
      </c>
      <c r="G461" s="3">
        <f>IF(F461="","",(F461-AVERAGE(F6:F1198))/(STDEV(F6:F1198)+1E-12))</f>
        <v/>
      </c>
      <c r="H461" s="3">
        <f>IF('3a Raw'!F461="","",MAX(-3,MIN(3,('3a Raw'!F461-$H3)/$H4)))</f>
        <v/>
      </c>
      <c r="I461" s="3">
        <f>IF(H461="","",(H461-AVERAGE(H6:H1198))/(STDEV(H6:H1198)+1E-12))</f>
        <v/>
      </c>
      <c r="J461" s="3">
        <f>IF('3a Raw'!G461="","",MAX(-3,MIN(3,('3a Raw'!G461-$J3)/$J4)))</f>
        <v/>
      </c>
      <c r="K461" s="3">
        <f>IF(J461="","",(J461-AVERAGE(J6:J1198))/(STDEV(J6:J1198)+1E-12))</f>
        <v/>
      </c>
      <c r="L461" s="3">
        <f>IF('3a Raw'!H461="","",MAX(-3,MIN(3,('3a Raw'!H461-$L3)/$L4)))</f>
        <v/>
      </c>
      <c r="M461" s="3">
        <f>IF(L461="","",(L461-AVERAGE(L6:L1198))/(STDEV(L6:L1198)+1E-12))</f>
        <v/>
      </c>
      <c r="N461" s="3">
        <f>IF('3a Raw'!I461="","",MAX(-3,MIN(3,('3a Raw'!I461-$N3)/$N4)))</f>
        <v/>
      </c>
      <c r="O461" s="3">
        <f>IF(N461="","",(N461-AVERAGE(N6:N1198))/(STDEV(N6:N1198)+1E-12))</f>
        <v/>
      </c>
      <c r="P461" s="3">
        <f>IF('3a Raw'!J461="","",MAX(-3,MIN(3,('3a Raw'!J461-$P3)/$P4)))</f>
        <v/>
      </c>
      <c r="Q461" s="3">
        <f>IF(P461="","",(P461-AVERAGE(P6:P1198))/(STDEV(P6:P1198)+1E-12))</f>
        <v/>
      </c>
      <c r="R461" s="3">
        <f>IF('3a Raw'!K461="","",MAX(-3,MIN(3,('3a Raw'!K461-$R3)/$R4)))</f>
        <v/>
      </c>
      <c r="S461" s="3">
        <f>IF(R461="","",(R461-AVERAGE(R6:R1198))/(STDEV(R6:R1198)+1E-12))</f>
        <v/>
      </c>
      <c r="T461" s="3">
        <f>IF('3a Raw'!L461="","",MAX(-3,MIN(3,('3a Raw'!L461-$T3)/$T4)))</f>
        <v/>
      </c>
      <c r="U461" s="3">
        <f>IF(T461="","",(T461-AVERAGE(T6:T1198))/(STDEV(T6:T1198)+1E-12))</f>
        <v/>
      </c>
      <c r="X461" s="3">
        <f>IF(U461="","",U461-($V$3*G461+$W$3))</f>
        <v/>
      </c>
      <c r="Y461" s="3">
        <f>IF(X461="","",MAX(-3,MIN(3,(X461-$X3)/$X4)))</f>
        <v/>
      </c>
      <c r="Z461" s="3">
        <f>IF(Y461="","",(Y461-AVERAGE(Y6:Y1198))/(STDEV(Y6:Y1198)+1E-12))</f>
        <v/>
      </c>
    </row>
    <row r="462">
      <c r="A462" t="inlineStr">
        <is>
          <t>BBG000CKGBP2</t>
        </is>
      </c>
      <c r="B462" s="3">
        <f>IF('3a Raw'!C462="","",MAX(-3,MIN(3,('3a Raw'!C462-$B3)/$B4)))</f>
        <v/>
      </c>
      <c r="C462" s="3">
        <f>IF(B462="","",(B462-AVERAGE(B6:B1198))/(STDEV(B6:B1198)+1E-12))</f>
        <v/>
      </c>
      <c r="D462" s="3">
        <f>IF('3a Raw'!D462="","",MAX(-3,MIN(3,('3a Raw'!D462-$D3)/$D4)))</f>
        <v/>
      </c>
      <c r="E462" s="3">
        <f>IF(D462="","",(D462-AVERAGE(D6:D1198))/(STDEV(D6:D1198)+1E-12))</f>
        <v/>
      </c>
      <c r="F462" s="3">
        <f>IF('3a Raw'!E462="","",MAX(-3,MIN(3,('3a Raw'!E462-$F3)/$F4)))</f>
        <v/>
      </c>
      <c r="G462" s="3">
        <f>IF(F462="","",(F462-AVERAGE(F6:F1198))/(STDEV(F6:F1198)+1E-12))</f>
        <v/>
      </c>
      <c r="H462" s="3">
        <f>IF('3a Raw'!F462="","",MAX(-3,MIN(3,('3a Raw'!F462-$H3)/$H4)))</f>
        <v/>
      </c>
      <c r="I462" s="3">
        <f>IF(H462="","",(H462-AVERAGE(H6:H1198))/(STDEV(H6:H1198)+1E-12))</f>
        <v/>
      </c>
      <c r="J462" s="3">
        <f>IF('3a Raw'!G462="","",MAX(-3,MIN(3,('3a Raw'!G462-$J3)/$J4)))</f>
        <v/>
      </c>
      <c r="K462" s="3">
        <f>IF(J462="","",(J462-AVERAGE(J6:J1198))/(STDEV(J6:J1198)+1E-12))</f>
        <v/>
      </c>
      <c r="L462" s="3">
        <f>IF('3a Raw'!H462="","",MAX(-3,MIN(3,('3a Raw'!H462-$L3)/$L4)))</f>
        <v/>
      </c>
      <c r="M462" s="3">
        <f>IF(L462="","",(L462-AVERAGE(L6:L1198))/(STDEV(L6:L1198)+1E-12))</f>
        <v/>
      </c>
      <c r="N462" s="3">
        <f>IF('3a Raw'!I462="","",MAX(-3,MIN(3,('3a Raw'!I462-$N3)/$N4)))</f>
        <v/>
      </c>
      <c r="O462" s="3">
        <f>IF(N462="","",(N462-AVERAGE(N6:N1198))/(STDEV(N6:N1198)+1E-12))</f>
        <v/>
      </c>
      <c r="P462" s="3">
        <f>IF('3a Raw'!J462="","",MAX(-3,MIN(3,('3a Raw'!J462-$P3)/$P4)))</f>
        <v/>
      </c>
      <c r="Q462" s="3">
        <f>IF(P462="","",(P462-AVERAGE(P6:P1198))/(STDEV(P6:P1198)+1E-12))</f>
        <v/>
      </c>
      <c r="R462" s="3">
        <f>IF('3a Raw'!K462="","",MAX(-3,MIN(3,('3a Raw'!K462-$R3)/$R4)))</f>
        <v/>
      </c>
      <c r="S462" s="3">
        <f>IF(R462="","",(R462-AVERAGE(R6:R1198))/(STDEV(R6:R1198)+1E-12))</f>
        <v/>
      </c>
      <c r="T462" s="3">
        <f>IF('3a Raw'!L462="","",MAX(-3,MIN(3,('3a Raw'!L462-$T3)/$T4)))</f>
        <v/>
      </c>
      <c r="U462" s="3">
        <f>IF(T462="","",(T462-AVERAGE(T6:T1198))/(STDEV(T6:T1198)+1E-12))</f>
        <v/>
      </c>
      <c r="X462" s="3">
        <f>IF(U462="","",U462-($V$3*G462+$W$3))</f>
        <v/>
      </c>
      <c r="Y462" s="3">
        <f>IF(X462="","",MAX(-3,MIN(3,(X462-$X3)/$X4)))</f>
        <v/>
      </c>
      <c r="Z462" s="3">
        <f>IF(Y462="","",(Y462-AVERAGE(Y6:Y1198))/(STDEV(Y6:Y1198)+1E-12))</f>
        <v/>
      </c>
    </row>
    <row r="463">
      <c r="A463" t="inlineStr">
        <is>
          <t>BBG000BKCFC2</t>
        </is>
      </c>
      <c r="B463" s="3">
        <f>IF('3a Raw'!C463="","",MAX(-3,MIN(3,('3a Raw'!C463-$B3)/$B4)))</f>
        <v/>
      </c>
      <c r="C463" s="3">
        <f>IF(B463="","",(B463-AVERAGE(B6:B1198))/(STDEV(B6:B1198)+1E-12))</f>
        <v/>
      </c>
      <c r="D463" s="3">
        <f>IF('3a Raw'!D463="","",MAX(-3,MIN(3,('3a Raw'!D463-$D3)/$D4)))</f>
        <v/>
      </c>
      <c r="E463" s="3">
        <f>IF(D463="","",(D463-AVERAGE(D6:D1198))/(STDEV(D6:D1198)+1E-12))</f>
        <v/>
      </c>
      <c r="F463" s="3">
        <f>IF('3a Raw'!E463="","",MAX(-3,MIN(3,('3a Raw'!E463-$F3)/$F4)))</f>
        <v/>
      </c>
      <c r="G463" s="3">
        <f>IF(F463="","",(F463-AVERAGE(F6:F1198))/(STDEV(F6:F1198)+1E-12))</f>
        <v/>
      </c>
      <c r="H463" s="3">
        <f>IF('3a Raw'!F463="","",MAX(-3,MIN(3,('3a Raw'!F463-$H3)/$H4)))</f>
        <v/>
      </c>
      <c r="I463" s="3">
        <f>IF(H463="","",(H463-AVERAGE(H6:H1198))/(STDEV(H6:H1198)+1E-12))</f>
        <v/>
      </c>
      <c r="J463" s="3">
        <f>IF('3a Raw'!G463="","",MAX(-3,MIN(3,('3a Raw'!G463-$J3)/$J4)))</f>
        <v/>
      </c>
      <c r="K463" s="3">
        <f>IF(J463="","",(J463-AVERAGE(J6:J1198))/(STDEV(J6:J1198)+1E-12))</f>
        <v/>
      </c>
      <c r="L463" s="3">
        <f>IF('3a Raw'!H463="","",MAX(-3,MIN(3,('3a Raw'!H463-$L3)/$L4)))</f>
        <v/>
      </c>
      <c r="M463" s="3">
        <f>IF(L463="","",(L463-AVERAGE(L6:L1198))/(STDEV(L6:L1198)+1E-12))</f>
        <v/>
      </c>
      <c r="N463" s="3">
        <f>IF('3a Raw'!I463="","",MAX(-3,MIN(3,('3a Raw'!I463-$N3)/$N4)))</f>
        <v/>
      </c>
      <c r="O463" s="3">
        <f>IF(N463="","",(N463-AVERAGE(N6:N1198))/(STDEV(N6:N1198)+1E-12))</f>
        <v/>
      </c>
      <c r="P463" s="3">
        <f>IF('3a Raw'!J463="","",MAX(-3,MIN(3,('3a Raw'!J463-$P3)/$P4)))</f>
        <v/>
      </c>
      <c r="Q463" s="3">
        <f>IF(P463="","",(P463-AVERAGE(P6:P1198))/(STDEV(P6:P1198)+1E-12))</f>
        <v/>
      </c>
      <c r="R463" s="3">
        <f>IF('3a Raw'!K463="","",MAX(-3,MIN(3,('3a Raw'!K463-$R3)/$R4)))</f>
        <v/>
      </c>
      <c r="S463" s="3">
        <f>IF(R463="","",(R463-AVERAGE(R6:R1198))/(STDEV(R6:R1198)+1E-12))</f>
        <v/>
      </c>
      <c r="T463" s="3">
        <f>IF('3a Raw'!L463="","",MAX(-3,MIN(3,('3a Raw'!L463-$T3)/$T4)))</f>
        <v/>
      </c>
      <c r="U463" s="3">
        <f>IF(T463="","",(T463-AVERAGE(T6:T1198))/(STDEV(T6:T1198)+1E-12))</f>
        <v/>
      </c>
      <c r="X463" s="3">
        <f>IF(U463="","",U463-($V$3*G463+$W$3))</f>
        <v/>
      </c>
      <c r="Y463" s="3">
        <f>IF(X463="","",MAX(-3,MIN(3,(X463-$X3)/$X4)))</f>
        <v/>
      </c>
      <c r="Z463" s="3">
        <f>IF(Y463="","",(Y463-AVERAGE(Y6:Y1198))/(STDEV(Y6:Y1198)+1E-12))</f>
        <v/>
      </c>
    </row>
    <row r="464">
      <c r="A464" t="inlineStr">
        <is>
          <t>BBG000BVD6X4</t>
        </is>
      </c>
      <c r="B464" s="3">
        <f>IF('3a Raw'!C464="","",MAX(-3,MIN(3,('3a Raw'!C464-$B3)/$B4)))</f>
        <v/>
      </c>
      <c r="C464" s="3">
        <f>IF(B464="","",(B464-AVERAGE(B6:B1198))/(STDEV(B6:B1198)+1E-12))</f>
        <v/>
      </c>
      <c r="D464" s="3">
        <f>IF('3a Raw'!D464="","",MAX(-3,MIN(3,('3a Raw'!D464-$D3)/$D4)))</f>
        <v/>
      </c>
      <c r="E464" s="3">
        <f>IF(D464="","",(D464-AVERAGE(D6:D1198))/(STDEV(D6:D1198)+1E-12))</f>
        <v/>
      </c>
      <c r="F464" s="3">
        <f>IF('3a Raw'!E464="","",MAX(-3,MIN(3,('3a Raw'!E464-$F3)/$F4)))</f>
        <v/>
      </c>
      <c r="G464" s="3">
        <f>IF(F464="","",(F464-AVERAGE(F6:F1198))/(STDEV(F6:F1198)+1E-12))</f>
        <v/>
      </c>
      <c r="H464" s="3">
        <f>IF('3a Raw'!F464="","",MAX(-3,MIN(3,('3a Raw'!F464-$H3)/$H4)))</f>
        <v/>
      </c>
      <c r="I464" s="3">
        <f>IF(H464="","",(H464-AVERAGE(H6:H1198))/(STDEV(H6:H1198)+1E-12))</f>
        <v/>
      </c>
      <c r="J464" s="3">
        <f>IF('3a Raw'!G464="","",MAX(-3,MIN(3,('3a Raw'!G464-$J3)/$J4)))</f>
        <v/>
      </c>
      <c r="K464" s="3">
        <f>IF(J464="","",(J464-AVERAGE(J6:J1198))/(STDEV(J6:J1198)+1E-12))</f>
        <v/>
      </c>
      <c r="L464" s="3">
        <f>IF('3a Raw'!H464="","",MAX(-3,MIN(3,('3a Raw'!H464-$L3)/$L4)))</f>
        <v/>
      </c>
      <c r="M464" s="3">
        <f>IF(L464="","",(L464-AVERAGE(L6:L1198))/(STDEV(L6:L1198)+1E-12))</f>
        <v/>
      </c>
      <c r="N464" s="3">
        <f>IF('3a Raw'!I464="","",MAX(-3,MIN(3,('3a Raw'!I464-$N3)/$N4)))</f>
        <v/>
      </c>
      <c r="O464" s="3">
        <f>IF(N464="","",(N464-AVERAGE(N6:N1198))/(STDEV(N6:N1198)+1E-12))</f>
        <v/>
      </c>
      <c r="P464" s="3">
        <f>IF('3a Raw'!J464="","",MAX(-3,MIN(3,('3a Raw'!J464-$P3)/$P4)))</f>
        <v/>
      </c>
      <c r="Q464" s="3">
        <f>IF(P464="","",(P464-AVERAGE(P6:P1198))/(STDEV(P6:P1198)+1E-12))</f>
        <v/>
      </c>
      <c r="R464" s="3">
        <f>IF('3a Raw'!K464="","",MAX(-3,MIN(3,('3a Raw'!K464-$R3)/$R4)))</f>
        <v/>
      </c>
      <c r="S464" s="3">
        <f>IF(R464="","",(R464-AVERAGE(R6:R1198))/(STDEV(R6:R1198)+1E-12))</f>
        <v/>
      </c>
      <c r="T464" s="3">
        <f>IF('3a Raw'!L464="","",MAX(-3,MIN(3,('3a Raw'!L464-$T3)/$T4)))</f>
        <v/>
      </c>
      <c r="U464" s="3">
        <f>IF(T464="","",(T464-AVERAGE(T6:T1198))/(STDEV(T6:T1198)+1E-12))</f>
        <v/>
      </c>
      <c r="X464" s="3">
        <f>IF(U464="","",U464-($V$3*G464+$W$3))</f>
        <v/>
      </c>
      <c r="Y464" s="3">
        <f>IF(X464="","",MAX(-3,MIN(3,(X464-$X3)/$X4)))</f>
        <v/>
      </c>
      <c r="Z464" s="3">
        <f>IF(Y464="","",(Y464-AVERAGE(Y6:Y1198))/(STDEV(Y6:Y1198)+1E-12))</f>
        <v/>
      </c>
    </row>
    <row r="465">
      <c r="A465" t="inlineStr">
        <is>
          <t>BBG000CRF6Q8</t>
        </is>
      </c>
      <c r="B465" s="3">
        <f>IF('3a Raw'!C465="","",MAX(-3,MIN(3,('3a Raw'!C465-$B3)/$B4)))</f>
        <v/>
      </c>
      <c r="C465" s="3">
        <f>IF(B465="","",(B465-AVERAGE(B6:B1198))/(STDEV(B6:B1198)+1E-12))</f>
        <v/>
      </c>
      <c r="D465" s="3">
        <f>IF('3a Raw'!D465="","",MAX(-3,MIN(3,('3a Raw'!D465-$D3)/$D4)))</f>
        <v/>
      </c>
      <c r="E465" s="3">
        <f>IF(D465="","",(D465-AVERAGE(D6:D1198))/(STDEV(D6:D1198)+1E-12))</f>
        <v/>
      </c>
      <c r="F465" s="3">
        <f>IF('3a Raw'!E465="","",MAX(-3,MIN(3,('3a Raw'!E465-$F3)/$F4)))</f>
        <v/>
      </c>
      <c r="G465" s="3">
        <f>IF(F465="","",(F465-AVERAGE(F6:F1198))/(STDEV(F6:F1198)+1E-12))</f>
        <v/>
      </c>
      <c r="H465" s="3">
        <f>IF('3a Raw'!F465="","",MAX(-3,MIN(3,('3a Raw'!F465-$H3)/$H4)))</f>
        <v/>
      </c>
      <c r="I465" s="3">
        <f>IF(H465="","",(H465-AVERAGE(H6:H1198))/(STDEV(H6:H1198)+1E-12))</f>
        <v/>
      </c>
      <c r="J465" s="3">
        <f>IF('3a Raw'!G465="","",MAX(-3,MIN(3,('3a Raw'!G465-$J3)/$J4)))</f>
        <v/>
      </c>
      <c r="K465" s="3">
        <f>IF(J465="","",(J465-AVERAGE(J6:J1198))/(STDEV(J6:J1198)+1E-12))</f>
        <v/>
      </c>
      <c r="L465" s="3">
        <f>IF('3a Raw'!H465="","",MAX(-3,MIN(3,('3a Raw'!H465-$L3)/$L4)))</f>
        <v/>
      </c>
      <c r="M465" s="3">
        <f>IF(L465="","",(L465-AVERAGE(L6:L1198))/(STDEV(L6:L1198)+1E-12))</f>
        <v/>
      </c>
      <c r="N465" s="3">
        <f>IF('3a Raw'!I465="","",MAX(-3,MIN(3,('3a Raw'!I465-$N3)/$N4)))</f>
        <v/>
      </c>
      <c r="O465" s="3">
        <f>IF(N465="","",(N465-AVERAGE(N6:N1198))/(STDEV(N6:N1198)+1E-12))</f>
        <v/>
      </c>
      <c r="P465" s="3">
        <f>IF('3a Raw'!J465="","",MAX(-3,MIN(3,('3a Raw'!J465-$P3)/$P4)))</f>
        <v/>
      </c>
      <c r="Q465" s="3">
        <f>IF(P465="","",(P465-AVERAGE(P6:P1198))/(STDEV(P6:P1198)+1E-12))</f>
        <v/>
      </c>
      <c r="R465" s="3">
        <f>IF('3a Raw'!K465="","",MAX(-3,MIN(3,('3a Raw'!K465-$R3)/$R4)))</f>
        <v/>
      </c>
      <c r="S465" s="3">
        <f>IF(R465="","",(R465-AVERAGE(R6:R1198))/(STDEV(R6:R1198)+1E-12))</f>
        <v/>
      </c>
      <c r="T465" s="3">
        <f>IF('3a Raw'!L465="","",MAX(-3,MIN(3,('3a Raw'!L465-$T3)/$T4)))</f>
        <v/>
      </c>
      <c r="U465" s="3">
        <f>IF(T465="","",(T465-AVERAGE(T6:T1198))/(STDEV(T6:T1198)+1E-12))</f>
        <v/>
      </c>
      <c r="X465" s="3">
        <f>IF(U465="","",U465-($V$3*G465+$W$3))</f>
        <v/>
      </c>
      <c r="Y465" s="3">
        <f>IF(X465="","",MAX(-3,MIN(3,(X465-$X3)/$X4)))</f>
        <v/>
      </c>
      <c r="Z465" s="3">
        <f>IF(Y465="","",(Y465-AVERAGE(Y6:Y1198))/(STDEV(Y6:Y1198)+1E-12))</f>
        <v/>
      </c>
    </row>
    <row r="466">
      <c r="A466" t="inlineStr">
        <is>
          <t>BBG003MSMCS6</t>
        </is>
      </c>
      <c r="B466" s="3">
        <f>IF('3a Raw'!C466="","",MAX(-3,MIN(3,('3a Raw'!C466-$B3)/$B4)))</f>
        <v/>
      </c>
      <c r="C466" s="3">
        <f>IF(B466="","",(B466-AVERAGE(B6:B1198))/(STDEV(B6:B1198)+1E-12))</f>
        <v/>
      </c>
      <c r="D466" s="3">
        <f>IF('3a Raw'!D466="","",MAX(-3,MIN(3,('3a Raw'!D466-$D3)/$D4)))</f>
        <v/>
      </c>
      <c r="E466" s="3">
        <f>IF(D466="","",(D466-AVERAGE(D6:D1198))/(STDEV(D6:D1198)+1E-12))</f>
        <v/>
      </c>
      <c r="F466" s="3">
        <f>IF('3a Raw'!E466="","",MAX(-3,MIN(3,('3a Raw'!E466-$F3)/$F4)))</f>
        <v/>
      </c>
      <c r="G466" s="3">
        <f>IF(F466="","",(F466-AVERAGE(F6:F1198))/(STDEV(F6:F1198)+1E-12))</f>
        <v/>
      </c>
      <c r="H466" s="3">
        <f>IF('3a Raw'!F466="","",MAX(-3,MIN(3,('3a Raw'!F466-$H3)/$H4)))</f>
        <v/>
      </c>
      <c r="I466" s="3">
        <f>IF(H466="","",(H466-AVERAGE(H6:H1198))/(STDEV(H6:H1198)+1E-12))</f>
        <v/>
      </c>
      <c r="J466" s="3">
        <f>IF('3a Raw'!G466="","",MAX(-3,MIN(3,('3a Raw'!G466-$J3)/$J4)))</f>
        <v/>
      </c>
      <c r="K466" s="3">
        <f>IF(J466="","",(J466-AVERAGE(J6:J1198))/(STDEV(J6:J1198)+1E-12))</f>
        <v/>
      </c>
      <c r="L466" s="3">
        <f>IF('3a Raw'!H466="","",MAX(-3,MIN(3,('3a Raw'!H466-$L3)/$L4)))</f>
        <v/>
      </c>
      <c r="M466" s="3">
        <f>IF(L466="","",(L466-AVERAGE(L6:L1198))/(STDEV(L6:L1198)+1E-12))</f>
        <v/>
      </c>
      <c r="N466" s="3">
        <f>IF('3a Raw'!I466="","",MAX(-3,MIN(3,('3a Raw'!I466-$N3)/$N4)))</f>
        <v/>
      </c>
      <c r="O466" s="3">
        <f>IF(N466="","",(N466-AVERAGE(N6:N1198))/(STDEV(N6:N1198)+1E-12))</f>
        <v/>
      </c>
      <c r="P466" s="3">
        <f>IF('3a Raw'!J466="","",MAX(-3,MIN(3,('3a Raw'!J466-$P3)/$P4)))</f>
        <v/>
      </c>
      <c r="Q466" s="3">
        <f>IF(P466="","",(P466-AVERAGE(P6:P1198))/(STDEV(P6:P1198)+1E-12))</f>
        <v/>
      </c>
      <c r="R466" s="3">
        <f>IF('3a Raw'!K466="","",MAX(-3,MIN(3,('3a Raw'!K466-$R3)/$R4)))</f>
        <v/>
      </c>
      <c r="S466" s="3">
        <f>IF(R466="","",(R466-AVERAGE(R6:R1198))/(STDEV(R6:R1198)+1E-12))</f>
        <v/>
      </c>
      <c r="T466" s="3">
        <f>IF('3a Raw'!L466="","",MAX(-3,MIN(3,('3a Raw'!L466-$T3)/$T4)))</f>
        <v/>
      </c>
      <c r="U466" s="3">
        <f>IF(T466="","",(T466-AVERAGE(T6:T1198))/(STDEV(T6:T1198)+1E-12))</f>
        <v/>
      </c>
      <c r="X466" s="3">
        <f>IF(U466="","",U466-($V$3*G466+$W$3))</f>
        <v/>
      </c>
      <c r="Y466" s="3">
        <f>IF(X466="","",MAX(-3,MIN(3,(X466-$X3)/$X4)))</f>
        <v/>
      </c>
      <c r="Z466" s="3">
        <f>IF(Y466="","",(Y466-AVERAGE(Y6:Y1198))/(STDEV(Y6:Y1198)+1E-12))</f>
        <v/>
      </c>
    </row>
    <row r="467">
      <c r="A467" t="inlineStr">
        <is>
          <t>BBG000BKFZM4</t>
        </is>
      </c>
      <c r="B467" s="3">
        <f>IF('3a Raw'!C467="","",MAX(-3,MIN(3,('3a Raw'!C467-$B3)/$B4)))</f>
        <v/>
      </c>
      <c r="C467" s="3">
        <f>IF(B467="","",(B467-AVERAGE(B6:B1198))/(STDEV(B6:B1198)+1E-12))</f>
        <v/>
      </c>
      <c r="D467" s="3">
        <f>IF('3a Raw'!D467="","",MAX(-3,MIN(3,('3a Raw'!D467-$D3)/$D4)))</f>
        <v/>
      </c>
      <c r="E467" s="3">
        <f>IF(D467="","",(D467-AVERAGE(D6:D1198))/(STDEV(D6:D1198)+1E-12))</f>
        <v/>
      </c>
      <c r="F467" s="3">
        <f>IF('3a Raw'!E467="","",MAX(-3,MIN(3,('3a Raw'!E467-$F3)/$F4)))</f>
        <v/>
      </c>
      <c r="G467" s="3">
        <f>IF(F467="","",(F467-AVERAGE(F6:F1198))/(STDEV(F6:F1198)+1E-12))</f>
        <v/>
      </c>
      <c r="H467" s="3">
        <f>IF('3a Raw'!F467="","",MAX(-3,MIN(3,('3a Raw'!F467-$H3)/$H4)))</f>
        <v/>
      </c>
      <c r="I467" s="3">
        <f>IF(H467="","",(H467-AVERAGE(H6:H1198))/(STDEV(H6:H1198)+1E-12))</f>
        <v/>
      </c>
      <c r="J467" s="3">
        <f>IF('3a Raw'!G467="","",MAX(-3,MIN(3,('3a Raw'!G467-$J3)/$J4)))</f>
        <v/>
      </c>
      <c r="K467" s="3">
        <f>IF(J467="","",(J467-AVERAGE(J6:J1198))/(STDEV(J6:J1198)+1E-12))</f>
        <v/>
      </c>
      <c r="L467" s="3">
        <f>IF('3a Raw'!H467="","",MAX(-3,MIN(3,('3a Raw'!H467-$L3)/$L4)))</f>
        <v/>
      </c>
      <c r="M467" s="3">
        <f>IF(L467="","",(L467-AVERAGE(L6:L1198))/(STDEV(L6:L1198)+1E-12))</f>
        <v/>
      </c>
      <c r="N467" s="3">
        <f>IF('3a Raw'!I467="","",MAX(-3,MIN(3,('3a Raw'!I467-$N3)/$N4)))</f>
        <v/>
      </c>
      <c r="O467" s="3">
        <f>IF(N467="","",(N467-AVERAGE(N6:N1198))/(STDEV(N6:N1198)+1E-12))</f>
        <v/>
      </c>
      <c r="P467" s="3">
        <f>IF('3a Raw'!J467="","",MAX(-3,MIN(3,('3a Raw'!J467-$P3)/$P4)))</f>
        <v/>
      </c>
      <c r="Q467" s="3">
        <f>IF(P467="","",(P467-AVERAGE(P6:P1198))/(STDEV(P6:P1198)+1E-12))</f>
        <v/>
      </c>
      <c r="R467" s="3">
        <f>IF('3a Raw'!K467="","",MAX(-3,MIN(3,('3a Raw'!K467-$R3)/$R4)))</f>
        <v/>
      </c>
      <c r="S467" s="3">
        <f>IF(R467="","",(R467-AVERAGE(R6:R1198))/(STDEV(R6:R1198)+1E-12))</f>
        <v/>
      </c>
      <c r="T467" s="3">
        <f>IF('3a Raw'!L467="","",MAX(-3,MIN(3,('3a Raw'!L467-$T3)/$T4)))</f>
        <v/>
      </c>
      <c r="U467" s="3">
        <f>IF(T467="","",(T467-AVERAGE(T6:T1198))/(STDEV(T6:T1198)+1E-12))</f>
        <v/>
      </c>
      <c r="X467" s="3">
        <f>IF(U467="","",U467-($V$3*G467+$W$3))</f>
        <v/>
      </c>
      <c r="Y467" s="3">
        <f>IF(X467="","",MAX(-3,MIN(3,(X467-$X3)/$X4)))</f>
        <v/>
      </c>
      <c r="Z467" s="3">
        <f>IF(Y467="","",(Y467-AVERAGE(Y6:Y1198))/(STDEV(Y6:Y1198)+1E-12))</f>
        <v/>
      </c>
    </row>
    <row r="468">
      <c r="A468" t="inlineStr">
        <is>
          <t>BBG0120SWLS0</t>
        </is>
      </c>
      <c r="B468" s="3">
        <f>IF('3a Raw'!C468="","",MAX(-3,MIN(3,('3a Raw'!C468-$B3)/$B4)))</f>
        <v/>
      </c>
      <c r="C468" s="3">
        <f>IF(B468="","",(B468-AVERAGE(B6:B1198))/(STDEV(B6:B1198)+1E-12))</f>
        <v/>
      </c>
      <c r="D468" s="3">
        <f>IF('3a Raw'!D468="","",MAX(-3,MIN(3,('3a Raw'!D468-$D3)/$D4)))</f>
        <v/>
      </c>
      <c r="E468" s="3">
        <f>IF(D468="","",(D468-AVERAGE(D6:D1198))/(STDEV(D6:D1198)+1E-12))</f>
        <v/>
      </c>
      <c r="F468" s="3">
        <f>IF('3a Raw'!E468="","",MAX(-3,MIN(3,('3a Raw'!E468-$F3)/$F4)))</f>
        <v/>
      </c>
      <c r="G468" s="3">
        <f>IF(F468="","",(F468-AVERAGE(F6:F1198))/(STDEV(F6:F1198)+1E-12))</f>
        <v/>
      </c>
      <c r="H468" s="3">
        <f>IF('3a Raw'!F468="","",MAX(-3,MIN(3,('3a Raw'!F468-$H3)/$H4)))</f>
        <v/>
      </c>
      <c r="I468" s="3">
        <f>IF(H468="","",(H468-AVERAGE(H6:H1198))/(STDEV(H6:H1198)+1E-12))</f>
        <v/>
      </c>
      <c r="J468" s="3">
        <f>IF('3a Raw'!G468="","",MAX(-3,MIN(3,('3a Raw'!G468-$J3)/$J4)))</f>
        <v/>
      </c>
      <c r="K468" s="3">
        <f>IF(J468="","",(J468-AVERAGE(J6:J1198))/(STDEV(J6:J1198)+1E-12))</f>
        <v/>
      </c>
      <c r="L468" s="3">
        <f>IF('3a Raw'!H468="","",MAX(-3,MIN(3,('3a Raw'!H468-$L3)/$L4)))</f>
        <v/>
      </c>
      <c r="M468" s="3">
        <f>IF(L468="","",(L468-AVERAGE(L6:L1198))/(STDEV(L6:L1198)+1E-12))</f>
        <v/>
      </c>
      <c r="N468" s="3">
        <f>IF('3a Raw'!I468="","",MAX(-3,MIN(3,('3a Raw'!I468-$N3)/$N4)))</f>
        <v/>
      </c>
      <c r="O468" s="3">
        <f>IF(N468="","",(N468-AVERAGE(N6:N1198))/(STDEV(N6:N1198)+1E-12))</f>
        <v/>
      </c>
      <c r="P468" s="3">
        <f>IF('3a Raw'!J468="","",MAX(-3,MIN(3,('3a Raw'!J468-$P3)/$P4)))</f>
        <v/>
      </c>
      <c r="Q468" s="3">
        <f>IF(P468="","",(P468-AVERAGE(P6:P1198))/(STDEV(P6:P1198)+1E-12))</f>
        <v/>
      </c>
      <c r="R468" s="3">
        <f>IF('3a Raw'!K468="","",MAX(-3,MIN(3,('3a Raw'!K468-$R3)/$R4)))</f>
        <v/>
      </c>
      <c r="S468" s="3">
        <f>IF(R468="","",(R468-AVERAGE(R6:R1198))/(STDEV(R6:R1198)+1E-12))</f>
        <v/>
      </c>
      <c r="T468" s="3">
        <f>IF('3a Raw'!L468="","",MAX(-3,MIN(3,('3a Raw'!L468-$T3)/$T4)))</f>
        <v/>
      </c>
      <c r="U468" s="3">
        <f>IF(T468="","",(T468-AVERAGE(T6:T1198))/(STDEV(T6:T1198)+1E-12))</f>
        <v/>
      </c>
      <c r="X468" s="3">
        <f>IF(U468="","",U468-($V$3*G468+$W$3))</f>
        <v/>
      </c>
      <c r="Y468" s="3">
        <f>IF(X468="","",MAX(-3,MIN(3,(X468-$X3)/$X4)))</f>
        <v/>
      </c>
      <c r="Z468" s="3">
        <f>IF(Y468="","",(Y468-AVERAGE(Y6:Y1198))/(STDEV(Y6:Y1198)+1E-12))</f>
        <v/>
      </c>
    </row>
    <row r="469">
      <c r="A469" t="inlineStr">
        <is>
          <t>BBG000NDYB67</t>
        </is>
      </c>
      <c r="B469" s="3">
        <f>IF('3a Raw'!C469="","",MAX(-3,MIN(3,('3a Raw'!C469-$B3)/$B4)))</f>
        <v/>
      </c>
      <c r="C469" s="3">
        <f>IF(B469="","",(B469-AVERAGE(B6:B1198))/(STDEV(B6:B1198)+1E-12))</f>
        <v/>
      </c>
      <c r="D469" s="3">
        <f>IF('3a Raw'!D469="","",MAX(-3,MIN(3,('3a Raw'!D469-$D3)/$D4)))</f>
        <v/>
      </c>
      <c r="E469" s="3">
        <f>IF(D469="","",(D469-AVERAGE(D6:D1198))/(STDEV(D6:D1198)+1E-12))</f>
        <v/>
      </c>
      <c r="F469" s="3">
        <f>IF('3a Raw'!E469="","",MAX(-3,MIN(3,('3a Raw'!E469-$F3)/$F4)))</f>
        <v/>
      </c>
      <c r="G469" s="3">
        <f>IF(F469="","",(F469-AVERAGE(F6:F1198))/(STDEV(F6:F1198)+1E-12))</f>
        <v/>
      </c>
      <c r="H469" s="3">
        <f>IF('3a Raw'!F469="","",MAX(-3,MIN(3,('3a Raw'!F469-$H3)/$H4)))</f>
        <v/>
      </c>
      <c r="I469" s="3">
        <f>IF(H469="","",(H469-AVERAGE(H6:H1198))/(STDEV(H6:H1198)+1E-12))</f>
        <v/>
      </c>
      <c r="J469" s="3">
        <f>IF('3a Raw'!G469="","",MAX(-3,MIN(3,('3a Raw'!G469-$J3)/$J4)))</f>
        <v/>
      </c>
      <c r="K469" s="3">
        <f>IF(J469="","",(J469-AVERAGE(J6:J1198))/(STDEV(J6:J1198)+1E-12))</f>
        <v/>
      </c>
      <c r="L469" s="3">
        <f>IF('3a Raw'!H469="","",MAX(-3,MIN(3,('3a Raw'!H469-$L3)/$L4)))</f>
        <v/>
      </c>
      <c r="M469" s="3">
        <f>IF(L469="","",(L469-AVERAGE(L6:L1198))/(STDEV(L6:L1198)+1E-12))</f>
        <v/>
      </c>
      <c r="N469" s="3">
        <f>IF('3a Raw'!I469="","",MAX(-3,MIN(3,('3a Raw'!I469-$N3)/$N4)))</f>
        <v/>
      </c>
      <c r="O469" s="3">
        <f>IF(N469="","",(N469-AVERAGE(N6:N1198))/(STDEV(N6:N1198)+1E-12))</f>
        <v/>
      </c>
      <c r="P469" s="3">
        <f>IF('3a Raw'!J469="","",MAX(-3,MIN(3,('3a Raw'!J469-$P3)/$P4)))</f>
        <v/>
      </c>
      <c r="Q469" s="3">
        <f>IF(P469="","",(P469-AVERAGE(P6:P1198))/(STDEV(P6:P1198)+1E-12))</f>
        <v/>
      </c>
      <c r="R469" s="3">
        <f>IF('3a Raw'!K469="","",MAX(-3,MIN(3,('3a Raw'!K469-$R3)/$R4)))</f>
        <v/>
      </c>
      <c r="S469" s="3">
        <f>IF(R469="","",(R469-AVERAGE(R6:R1198))/(STDEV(R6:R1198)+1E-12))</f>
        <v/>
      </c>
      <c r="T469" s="3">
        <f>IF('3a Raw'!L469="","",MAX(-3,MIN(3,('3a Raw'!L469-$T3)/$T4)))</f>
        <v/>
      </c>
      <c r="U469" s="3">
        <f>IF(T469="","",(T469-AVERAGE(T6:T1198))/(STDEV(T6:T1198)+1E-12))</f>
        <v/>
      </c>
      <c r="X469" s="3">
        <f>IF(U469="","",U469-($V$3*G469+$W$3))</f>
        <v/>
      </c>
      <c r="Y469" s="3">
        <f>IF(X469="","",MAX(-3,MIN(3,(X469-$X3)/$X4)))</f>
        <v/>
      </c>
      <c r="Z469" s="3">
        <f>IF(Y469="","",(Y469-AVERAGE(Y6:Y1198))/(STDEV(Y6:Y1198)+1E-12))</f>
        <v/>
      </c>
    </row>
    <row r="470">
      <c r="A470" t="inlineStr">
        <is>
          <t>BBG000BB5BF6</t>
        </is>
      </c>
      <c r="B470" s="3">
        <f>IF('3a Raw'!C470="","",MAX(-3,MIN(3,('3a Raw'!C470-$B3)/$B4)))</f>
        <v/>
      </c>
      <c r="C470" s="3">
        <f>IF(B470="","",(B470-AVERAGE(B6:B1198))/(STDEV(B6:B1198)+1E-12))</f>
        <v/>
      </c>
      <c r="D470" s="3">
        <f>IF('3a Raw'!D470="","",MAX(-3,MIN(3,('3a Raw'!D470-$D3)/$D4)))</f>
        <v/>
      </c>
      <c r="E470" s="3">
        <f>IF(D470="","",(D470-AVERAGE(D6:D1198))/(STDEV(D6:D1198)+1E-12))</f>
        <v/>
      </c>
      <c r="F470" s="3">
        <f>IF('3a Raw'!E470="","",MAX(-3,MIN(3,('3a Raw'!E470-$F3)/$F4)))</f>
        <v/>
      </c>
      <c r="G470" s="3">
        <f>IF(F470="","",(F470-AVERAGE(F6:F1198))/(STDEV(F6:F1198)+1E-12))</f>
        <v/>
      </c>
      <c r="H470" s="3">
        <f>IF('3a Raw'!F470="","",MAX(-3,MIN(3,('3a Raw'!F470-$H3)/$H4)))</f>
        <v/>
      </c>
      <c r="I470" s="3">
        <f>IF(H470="","",(H470-AVERAGE(H6:H1198))/(STDEV(H6:H1198)+1E-12))</f>
        <v/>
      </c>
      <c r="J470" s="3">
        <f>IF('3a Raw'!G470="","",MAX(-3,MIN(3,('3a Raw'!G470-$J3)/$J4)))</f>
        <v/>
      </c>
      <c r="K470" s="3">
        <f>IF(J470="","",(J470-AVERAGE(J6:J1198))/(STDEV(J6:J1198)+1E-12))</f>
        <v/>
      </c>
      <c r="L470" s="3">
        <f>IF('3a Raw'!H470="","",MAX(-3,MIN(3,('3a Raw'!H470-$L3)/$L4)))</f>
        <v/>
      </c>
      <c r="M470" s="3">
        <f>IF(L470="","",(L470-AVERAGE(L6:L1198))/(STDEV(L6:L1198)+1E-12))</f>
        <v/>
      </c>
      <c r="N470" s="3">
        <f>IF('3a Raw'!I470="","",MAX(-3,MIN(3,('3a Raw'!I470-$N3)/$N4)))</f>
        <v/>
      </c>
      <c r="O470" s="3">
        <f>IF(N470="","",(N470-AVERAGE(N6:N1198))/(STDEV(N6:N1198)+1E-12))</f>
        <v/>
      </c>
      <c r="P470" s="3">
        <f>IF('3a Raw'!J470="","",MAX(-3,MIN(3,('3a Raw'!J470-$P3)/$P4)))</f>
        <v/>
      </c>
      <c r="Q470" s="3">
        <f>IF(P470="","",(P470-AVERAGE(P6:P1198))/(STDEV(P6:P1198)+1E-12))</f>
        <v/>
      </c>
      <c r="R470" s="3">
        <f>IF('3a Raw'!K470="","",MAX(-3,MIN(3,('3a Raw'!K470-$R3)/$R4)))</f>
        <v/>
      </c>
      <c r="S470" s="3">
        <f>IF(R470="","",(R470-AVERAGE(R6:R1198))/(STDEV(R6:R1198)+1E-12))</f>
        <v/>
      </c>
      <c r="T470" s="3">
        <f>IF('3a Raw'!L470="","",MAX(-3,MIN(3,('3a Raw'!L470-$T3)/$T4)))</f>
        <v/>
      </c>
      <c r="U470" s="3">
        <f>IF(T470="","",(T470-AVERAGE(T6:T1198))/(STDEV(T6:T1198)+1E-12))</f>
        <v/>
      </c>
      <c r="X470" s="3">
        <f>IF(U470="","",U470-($V$3*G470+$W$3))</f>
        <v/>
      </c>
      <c r="Y470" s="3">
        <f>IF(X470="","",MAX(-3,MIN(3,(X470-$X3)/$X4)))</f>
        <v/>
      </c>
      <c r="Z470" s="3">
        <f>IF(Y470="","",(Y470-AVERAGE(Y6:Y1198))/(STDEV(Y6:Y1198)+1E-12))</f>
        <v/>
      </c>
    </row>
    <row r="471">
      <c r="A471" t="inlineStr">
        <is>
          <t>gnrc</t>
        </is>
      </c>
      <c r="B471" s="3">
        <f>IF('3a Raw'!C471="","",MAX(-3,MIN(3,('3a Raw'!C471-$B3)/$B4)))</f>
        <v/>
      </c>
      <c r="C471" s="3">
        <f>IF(B471="","",(B471-AVERAGE(B6:B1198))/(STDEV(B6:B1198)+1E-12))</f>
        <v/>
      </c>
      <c r="D471" s="3">
        <f>IF('3a Raw'!D471="","",MAX(-3,MIN(3,('3a Raw'!D471-$D3)/$D4)))</f>
        <v/>
      </c>
      <c r="E471" s="3">
        <f>IF(D471="","",(D471-AVERAGE(D6:D1198))/(STDEV(D6:D1198)+1E-12))</f>
        <v/>
      </c>
      <c r="F471" s="3">
        <f>IF('3a Raw'!E471="","",MAX(-3,MIN(3,('3a Raw'!E471-$F3)/$F4)))</f>
        <v/>
      </c>
      <c r="G471" s="3">
        <f>IF(F471="","",(F471-AVERAGE(F6:F1198))/(STDEV(F6:F1198)+1E-12))</f>
        <v/>
      </c>
      <c r="H471" s="3">
        <f>IF('3a Raw'!F471="","",MAX(-3,MIN(3,('3a Raw'!F471-$H3)/$H4)))</f>
        <v/>
      </c>
      <c r="I471" s="3">
        <f>IF(H471="","",(H471-AVERAGE(H6:H1198))/(STDEV(H6:H1198)+1E-12))</f>
        <v/>
      </c>
      <c r="J471" s="3">
        <f>IF('3a Raw'!G471="","",MAX(-3,MIN(3,('3a Raw'!G471-$J3)/$J4)))</f>
        <v/>
      </c>
      <c r="K471" s="3">
        <f>IF(J471="","",(J471-AVERAGE(J6:J1198))/(STDEV(J6:J1198)+1E-12))</f>
        <v/>
      </c>
      <c r="L471" s="3">
        <f>IF('3a Raw'!H471="","",MAX(-3,MIN(3,('3a Raw'!H471-$L3)/$L4)))</f>
        <v/>
      </c>
      <c r="M471" s="3">
        <f>IF(L471="","",(L471-AVERAGE(L6:L1198))/(STDEV(L6:L1198)+1E-12))</f>
        <v/>
      </c>
      <c r="N471" s="3">
        <f>IF('3a Raw'!I471="","",MAX(-3,MIN(3,('3a Raw'!I471-$N3)/$N4)))</f>
        <v/>
      </c>
      <c r="O471" s="3">
        <f>IF(N471="","",(N471-AVERAGE(N6:N1198))/(STDEV(N6:N1198)+1E-12))</f>
        <v/>
      </c>
      <c r="P471" s="3">
        <f>IF('3a Raw'!J471="","",MAX(-3,MIN(3,('3a Raw'!J471-$P3)/$P4)))</f>
        <v/>
      </c>
      <c r="Q471" s="3">
        <f>IF(P471="","",(P471-AVERAGE(P6:P1198))/(STDEV(P6:P1198)+1E-12))</f>
        <v/>
      </c>
      <c r="R471" s="3">
        <f>IF('3a Raw'!K471="","",MAX(-3,MIN(3,('3a Raw'!K471-$R3)/$R4)))</f>
        <v/>
      </c>
      <c r="S471" s="3">
        <f>IF(R471="","",(R471-AVERAGE(R6:R1198))/(STDEV(R6:R1198)+1E-12))</f>
        <v/>
      </c>
      <c r="T471" s="3">
        <f>IF('3a Raw'!L471="","",MAX(-3,MIN(3,('3a Raw'!L471-$T3)/$T4)))</f>
        <v/>
      </c>
      <c r="U471" s="3">
        <f>IF(T471="","",(T471-AVERAGE(T6:T1198))/(STDEV(T6:T1198)+1E-12))</f>
        <v/>
      </c>
      <c r="X471" s="3">
        <f>IF(U471="","",U471-($V$3*G471+$W$3))</f>
        <v/>
      </c>
      <c r="Y471" s="3">
        <f>IF(X471="","",MAX(-3,MIN(3,(X471-$X3)/$X4)))</f>
        <v/>
      </c>
      <c r="Z471" s="3">
        <f>IF(Y471="","",(Y471-AVERAGE(Y6:Y1198))/(STDEV(Y6:Y1198)+1E-12))</f>
        <v/>
      </c>
    </row>
    <row r="472">
      <c r="A472" t="inlineStr">
        <is>
          <t>BBG000J5Q6L2</t>
        </is>
      </c>
      <c r="B472" s="3">
        <f>IF('3a Raw'!C472="","",MAX(-3,MIN(3,('3a Raw'!C472-$B3)/$B4)))</f>
        <v/>
      </c>
      <c r="C472" s="3">
        <f>IF(B472="","",(B472-AVERAGE(B6:B1198))/(STDEV(B6:B1198)+1E-12))</f>
        <v/>
      </c>
      <c r="D472" s="3">
        <f>IF('3a Raw'!D472="","",MAX(-3,MIN(3,('3a Raw'!D472-$D3)/$D4)))</f>
        <v/>
      </c>
      <c r="E472" s="3">
        <f>IF(D472="","",(D472-AVERAGE(D6:D1198))/(STDEV(D6:D1198)+1E-12))</f>
        <v/>
      </c>
      <c r="F472" s="3">
        <f>IF('3a Raw'!E472="","",MAX(-3,MIN(3,('3a Raw'!E472-$F3)/$F4)))</f>
        <v/>
      </c>
      <c r="G472" s="3">
        <f>IF(F472="","",(F472-AVERAGE(F6:F1198))/(STDEV(F6:F1198)+1E-12))</f>
        <v/>
      </c>
      <c r="H472" s="3">
        <f>IF('3a Raw'!F472="","",MAX(-3,MIN(3,('3a Raw'!F472-$H3)/$H4)))</f>
        <v/>
      </c>
      <c r="I472" s="3">
        <f>IF(H472="","",(H472-AVERAGE(H6:H1198))/(STDEV(H6:H1198)+1E-12))</f>
        <v/>
      </c>
      <c r="J472" s="3">
        <f>IF('3a Raw'!G472="","",MAX(-3,MIN(3,('3a Raw'!G472-$J3)/$J4)))</f>
        <v/>
      </c>
      <c r="K472" s="3">
        <f>IF(J472="","",(J472-AVERAGE(J6:J1198))/(STDEV(J6:J1198)+1E-12))</f>
        <v/>
      </c>
      <c r="L472" s="3">
        <f>IF('3a Raw'!H472="","",MAX(-3,MIN(3,('3a Raw'!H472-$L3)/$L4)))</f>
        <v/>
      </c>
      <c r="M472" s="3">
        <f>IF(L472="","",(L472-AVERAGE(L6:L1198))/(STDEV(L6:L1198)+1E-12))</f>
        <v/>
      </c>
      <c r="N472" s="3">
        <f>IF('3a Raw'!I472="","",MAX(-3,MIN(3,('3a Raw'!I472-$N3)/$N4)))</f>
        <v/>
      </c>
      <c r="O472" s="3">
        <f>IF(N472="","",(N472-AVERAGE(N6:N1198))/(STDEV(N6:N1198)+1E-12))</f>
        <v/>
      </c>
      <c r="P472" s="3">
        <f>IF('3a Raw'!J472="","",MAX(-3,MIN(3,('3a Raw'!J472-$P3)/$P4)))</f>
        <v/>
      </c>
      <c r="Q472" s="3">
        <f>IF(P472="","",(P472-AVERAGE(P6:P1198))/(STDEV(P6:P1198)+1E-12))</f>
        <v/>
      </c>
      <c r="R472" s="3">
        <f>IF('3a Raw'!K472="","",MAX(-3,MIN(3,('3a Raw'!K472-$R3)/$R4)))</f>
        <v/>
      </c>
      <c r="S472" s="3">
        <f>IF(R472="","",(R472-AVERAGE(R6:R1198))/(STDEV(R6:R1198)+1E-12))</f>
        <v/>
      </c>
      <c r="T472" s="3">
        <f>IF('3a Raw'!L472="","",MAX(-3,MIN(3,('3a Raw'!L472-$T3)/$T4)))</f>
        <v/>
      </c>
      <c r="U472" s="3">
        <f>IF(T472="","",(T472-AVERAGE(T6:T1198))/(STDEV(T6:T1198)+1E-12))</f>
        <v/>
      </c>
      <c r="X472" s="3">
        <f>IF(U472="","",U472-($V$3*G472+$W$3))</f>
        <v/>
      </c>
      <c r="Y472" s="3">
        <f>IF(X472="","",MAX(-3,MIN(3,(X472-$X3)/$X4)))</f>
        <v/>
      </c>
      <c r="Z472" s="3">
        <f>IF(Y472="","",(Y472-AVERAGE(Y6:Y1198))/(STDEV(Y6:Y1198)+1E-12))</f>
        <v/>
      </c>
    </row>
    <row r="473">
      <c r="A473" t="inlineStr">
        <is>
          <t>BBG00P4R3079</t>
        </is>
      </c>
      <c r="B473" s="3">
        <f>IF('3a Raw'!C473="","",MAX(-3,MIN(3,('3a Raw'!C473-$B3)/$B4)))</f>
        <v/>
      </c>
      <c r="C473" s="3">
        <f>IF(B473="","",(B473-AVERAGE(B6:B1198))/(STDEV(B6:B1198)+1E-12))</f>
        <v/>
      </c>
      <c r="D473" s="3">
        <f>IF('3a Raw'!D473="","",MAX(-3,MIN(3,('3a Raw'!D473-$D3)/$D4)))</f>
        <v/>
      </c>
      <c r="E473" s="3">
        <f>IF(D473="","",(D473-AVERAGE(D6:D1198))/(STDEV(D6:D1198)+1E-12))</f>
        <v/>
      </c>
      <c r="F473" s="3">
        <f>IF('3a Raw'!E473="","",MAX(-3,MIN(3,('3a Raw'!E473-$F3)/$F4)))</f>
        <v/>
      </c>
      <c r="G473" s="3">
        <f>IF(F473="","",(F473-AVERAGE(F6:F1198))/(STDEV(F6:F1198)+1E-12))</f>
        <v/>
      </c>
      <c r="H473" s="3">
        <f>IF('3a Raw'!F473="","",MAX(-3,MIN(3,('3a Raw'!F473-$H3)/$H4)))</f>
        <v/>
      </c>
      <c r="I473" s="3">
        <f>IF(H473="","",(H473-AVERAGE(H6:H1198))/(STDEV(H6:H1198)+1E-12))</f>
        <v/>
      </c>
      <c r="J473" s="3">
        <f>IF('3a Raw'!G473="","",MAX(-3,MIN(3,('3a Raw'!G473-$J3)/$J4)))</f>
        <v/>
      </c>
      <c r="K473" s="3">
        <f>IF(J473="","",(J473-AVERAGE(J6:J1198))/(STDEV(J6:J1198)+1E-12))</f>
        <v/>
      </c>
      <c r="L473" s="3">
        <f>IF('3a Raw'!H473="","",MAX(-3,MIN(3,('3a Raw'!H473-$L3)/$L4)))</f>
        <v/>
      </c>
      <c r="M473" s="3">
        <f>IF(L473="","",(L473-AVERAGE(L6:L1198))/(STDEV(L6:L1198)+1E-12))</f>
        <v/>
      </c>
      <c r="N473" s="3">
        <f>IF('3a Raw'!I473="","",MAX(-3,MIN(3,('3a Raw'!I473-$N3)/$N4)))</f>
        <v/>
      </c>
      <c r="O473" s="3">
        <f>IF(N473="","",(N473-AVERAGE(N6:N1198))/(STDEV(N6:N1198)+1E-12))</f>
        <v/>
      </c>
      <c r="P473" s="3">
        <f>IF('3a Raw'!J473="","",MAX(-3,MIN(3,('3a Raw'!J473-$P3)/$P4)))</f>
        <v/>
      </c>
      <c r="Q473" s="3">
        <f>IF(P473="","",(P473-AVERAGE(P6:P1198))/(STDEV(P6:P1198)+1E-12))</f>
        <v/>
      </c>
      <c r="R473" s="3">
        <f>IF('3a Raw'!K473="","",MAX(-3,MIN(3,('3a Raw'!K473-$R3)/$R4)))</f>
        <v/>
      </c>
      <c r="S473" s="3">
        <f>IF(R473="","",(R473-AVERAGE(R6:R1198))/(STDEV(R6:R1198)+1E-12))</f>
        <v/>
      </c>
      <c r="T473" s="3">
        <f>IF('3a Raw'!L473="","",MAX(-3,MIN(3,('3a Raw'!L473-$T3)/$T4)))</f>
        <v/>
      </c>
      <c r="U473" s="3">
        <f>IF(T473="","",(T473-AVERAGE(T6:T1198))/(STDEV(T6:T1198)+1E-12))</f>
        <v/>
      </c>
      <c r="X473" s="3">
        <f>IF(U473="","",U473-($V$3*G473+$W$3))</f>
        <v/>
      </c>
      <c r="Y473" s="3">
        <f>IF(X473="","",MAX(-3,MIN(3,(X473-$X3)/$X4)))</f>
        <v/>
      </c>
      <c r="Z473" s="3">
        <f>IF(Y473="","",(Y473-AVERAGE(Y6:Y1198))/(STDEV(Y6:Y1198)+1E-12))</f>
        <v/>
      </c>
    </row>
    <row r="474">
      <c r="A474" t="inlineStr">
        <is>
          <t>BBG002CN8XN5</t>
        </is>
      </c>
      <c r="B474" s="3">
        <f>IF('3a Raw'!C474="","",MAX(-3,MIN(3,('3a Raw'!C474-$B3)/$B4)))</f>
        <v/>
      </c>
      <c r="C474" s="3">
        <f>IF(B474="","",(B474-AVERAGE(B6:B1198))/(STDEV(B6:B1198)+1E-12))</f>
        <v/>
      </c>
      <c r="D474" s="3">
        <f>IF('3a Raw'!D474="","",MAX(-3,MIN(3,('3a Raw'!D474-$D3)/$D4)))</f>
        <v/>
      </c>
      <c r="E474" s="3">
        <f>IF(D474="","",(D474-AVERAGE(D6:D1198))/(STDEV(D6:D1198)+1E-12))</f>
        <v/>
      </c>
      <c r="F474" s="3">
        <f>IF('3a Raw'!E474="","",MAX(-3,MIN(3,('3a Raw'!E474-$F3)/$F4)))</f>
        <v/>
      </c>
      <c r="G474" s="3">
        <f>IF(F474="","",(F474-AVERAGE(F6:F1198))/(STDEV(F6:F1198)+1E-12))</f>
        <v/>
      </c>
      <c r="H474" s="3">
        <f>IF('3a Raw'!F474="","",MAX(-3,MIN(3,('3a Raw'!F474-$H3)/$H4)))</f>
        <v/>
      </c>
      <c r="I474" s="3">
        <f>IF(H474="","",(H474-AVERAGE(H6:H1198))/(STDEV(H6:H1198)+1E-12))</f>
        <v/>
      </c>
      <c r="J474" s="3">
        <f>IF('3a Raw'!G474="","",MAX(-3,MIN(3,('3a Raw'!G474-$J3)/$J4)))</f>
        <v/>
      </c>
      <c r="K474" s="3">
        <f>IF(J474="","",(J474-AVERAGE(J6:J1198))/(STDEV(J6:J1198)+1E-12))</f>
        <v/>
      </c>
      <c r="L474" s="3">
        <f>IF('3a Raw'!H474="","",MAX(-3,MIN(3,('3a Raw'!H474-$L3)/$L4)))</f>
        <v/>
      </c>
      <c r="M474" s="3">
        <f>IF(L474="","",(L474-AVERAGE(L6:L1198))/(STDEV(L6:L1198)+1E-12))</f>
        <v/>
      </c>
      <c r="N474" s="3">
        <f>IF('3a Raw'!I474="","",MAX(-3,MIN(3,('3a Raw'!I474-$N3)/$N4)))</f>
        <v/>
      </c>
      <c r="O474" s="3">
        <f>IF(N474="","",(N474-AVERAGE(N6:N1198))/(STDEV(N6:N1198)+1E-12))</f>
        <v/>
      </c>
      <c r="P474" s="3">
        <f>IF('3a Raw'!J474="","",MAX(-3,MIN(3,('3a Raw'!J474-$P3)/$P4)))</f>
        <v/>
      </c>
      <c r="Q474" s="3">
        <f>IF(P474="","",(P474-AVERAGE(P6:P1198))/(STDEV(P6:P1198)+1E-12))</f>
        <v/>
      </c>
      <c r="R474" s="3">
        <f>IF('3a Raw'!K474="","",MAX(-3,MIN(3,('3a Raw'!K474-$R3)/$R4)))</f>
        <v/>
      </c>
      <c r="S474" s="3">
        <f>IF(R474="","",(R474-AVERAGE(R6:R1198))/(STDEV(R6:R1198)+1E-12))</f>
        <v/>
      </c>
      <c r="T474" s="3">
        <f>IF('3a Raw'!L474="","",MAX(-3,MIN(3,('3a Raw'!L474-$T3)/$T4)))</f>
        <v/>
      </c>
      <c r="U474" s="3">
        <f>IF(T474="","",(T474-AVERAGE(T6:T1198))/(STDEV(T6:T1198)+1E-12))</f>
        <v/>
      </c>
      <c r="X474" s="3">
        <f>IF(U474="","",U474-($V$3*G474+$W$3))</f>
        <v/>
      </c>
      <c r="Y474" s="3">
        <f>IF(X474="","",MAX(-3,MIN(3,(X474-$X3)/$X4)))</f>
        <v/>
      </c>
      <c r="Z474" s="3">
        <f>IF(Y474="","",(Y474-AVERAGE(Y6:Y1198))/(STDEV(Y6:Y1198)+1E-12))</f>
        <v/>
      </c>
    </row>
    <row r="475">
      <c r="A475" t="inlineStr">
        <is>
          <t>BBG009S3NB30</t>
        </is>
      </c>
      <c r="B475" s="3">
        <f>IF('3a Raw'!C475="","",MAX(-3,MIN(3,('3a Raw'!C475-$B3)/$B4)))</f>
        <v/>
      </c>
      <c r="C475" s="3">
        <f>IF(B475="","",(B475-AVERAGE(B6:B1198))/(STDEV(B6:B1198)+1E-12))</f>
        <v/>
      </c>
      <c r="D475" s="3">
        <f>IF('3a Raw'!D475="","",MAX(-3,MIN(3,('3a Raw'!D475-$D3)/$D4)))</f>
        <v/>
      </c>
      <c r="E475" s="3">
        <f>IF(D475="","",(D475-AVERAGE(D6:D1198))/(STDEV(D6:D1198)+1E-12))</f>
        <v/>
      </c>
      <c r="F475" s="3">
        <f>IF('3a Raw'!E475="","",MAX(-3,MIN(3,('3a Raw'!E475-$F3)/$F4)))</f>
        <v/>
      </c>
      <c r="G475" s="3">
        <f>IF(F475="","",(F475-AVERAGE(F6:F1198))/(STDEV(F6:F1198)+1E-12))</f>
        <v/>
      </c>
      <c r="H475" s="3">
        <f>IF('3a Raw'!F475="","",MAX(-3,MIN(3,('3a Raw'!F475-$H3)/$H4)))</f>
        <v/>
      </c>
      <c r="I475" s="3">
        <f>IF(H475="","",(H475-AVERAGE(H6:H1198))/(STDEV(H6:H1198)+1E-12))</f>
        <v/>
      </c>
      <c r="J475" s="3">
        <f>IF('3a Raw'!G475="","",MAX(-3,MIN(3,('3a Raw'!G475-$J3)/$J4)))</f>
        <v/>
      </c>
      <c r="K475" s="3">
        <f>IF(J475="","",(J475-AVERAGE(J6:J1198))/(STDEV(J6:J1198)+1E-12))</f>
        <v/>
      </c>
      <c r="L475" s="3">
        <f>IF('3a Raw'!H475="","",MAX(-3,MIN(3,('3a Raw'!H475-$L3)/$L4)))</f>
        <v/>
      </c>
      <c r="M475" s="3">
        <f>IF(L475="","",(L475-AVERAGE(L6:L1198))/(STDEV(L6:L1198)+1E-12))</f>
        <v/>
      </c>
      <c r="N475" s="3">
        <f>IF('3a Raw'!I475="","",MAX(-3,MIN(3,('3a Raw'!I475-$N3)/$N4)))</f>
        <v/>
      </c>
      <c r="O475" s="3">
        <f>IF(N475="","",(N475-AVERAGE(N6:N1198))/(STDEV(N6:N1198)+1E-12))</f>
        <v/>
      </c>
      <c r="P475" s="3">
        <f>IF('3a Raw'!J475="","",MAX(-3,MIN(3,('3a Raw'!J475-$P3)/$P4)))</f>
        <v/>
      </c>
      <c r="Q475" s="3">
        <f>IF(P475="","",(P475-AVERAGE(P6:P1198))/(STDEV(P6:P1198)+1E-12))</f>
        <v/>
      </c>
      <c r="R475" s="3">
        <f>IF('3a Raw'!K475="","",MAX(-3,MIN(3,('3a Raw'!K475-$R3)/$R4)))</f>
        <v/>
      </c>
      <c r="S475" s="3">
        <f>IF(R475="","",(R475-AVERAGE(R6:R1198))/(STDEV(R6:R1198)+1E-12))</f>
        <v/>
      </c>
      <c r="T475" s="3">
        <f>IF('3a Raw'!L475="","",MAX(-3,MIN(3,('3a Raw'!L475-$T3)/$T4)))</f>
        <v/>
      </c>
      <c r="U475" s="3">
        <f>IF(T475="","",(T475-AVERAGE(T6:T1198))/(STDEV(T6:T1198)+1E-12))</f>
        <v/>
      </c>
      <c r="X475" s="3">
        <f>IF(U475="","",U475-($V$3*G475+$W$3))</f>
        <v/>
      </c>
      <c r="Y475" s="3">
        <f>IF(X475="","",MAX(-3,MIN(3,(X475-$X3)/$X4)))</f>
        <v/>
      </c>
      <c r="Z475" s="3">
        <f>IF(Y475="","",(Y475-AVERAGE(Y6:Y1198))/(STDEV(Y6:Y1198)+1E-12))</f>
        <v/>
      </c>
    </row>
    <row r="476">
      <c r="A476" t="inlineStr">
        <is>
          <t>BBG009S39JX6</t>
        </is>
      </c>
      <c r="B476" s="3">
        <f>IF('3a Raw'!C476="","",MAX(-3,MIN(3,('3a Raw'!C476-$B3)/$B4)))</f>
        <v/>
      </c>
      <c r="C476" s="3">
        <f>IF(B476="","",(B476-AVERAGE(B6:B1198))/(STDEV(B6:B1198)+1E-12))</f>
        <v/>
      </c>
      <c r="D476" s="3">
        <f>IF('3a Raw'!D476="","",MAX(-3,MIN(3,('3a Raw'!D476-$D3)/$D4)))</f>
        <v/>
      </c>
      <c r="E476" s="3">
        <f>IF(D476="","",(D476-AVERAGE(D6:D1198))/(STDEV(D6:D1198)+1E-12))</f>
        <v/>
      </c>
      <c r="F476" s="3">
        <f>IF('3a Raw'!E476="","",MAX(-3,MIN(3,('3a Raw'!E476-$F3)/$F4)))</f>
        <v/>
      </c>
      <c r="G476" s="3">
        <f>IF(F476="","",(F476-AVERAGE(F6:F1198))/(STDEV(F6:F1198)+1E-12))</f>
        <v/>
      </c>
      <c r="H476" s="3">
        <f>IF('3a Raw'!F476="","",MAX(-3,MIN(3,('3a Raw'!F476-$H3)/$H4)))</f>
        <v/>
      </c>
      <c r="I476" s="3">
        <f>IF(H476="","",(H476-AVERAGE(H6:H1198))/(STDEV(H6:H1198)+1E-12))</f>
        <v/>
      </c>
      <c r="J476" s="3">
        <f>IF('3a Raw'!G476="","",MAX(-3,MIN(3,('3a Raw'!G476-$J3)/$J4)))</f>
        <v/>
      </c>
      <c r="K476" s="3">
        <f>IF(J476="","",(J476-AVERAGE(J6:J1198))/(STDEV(J6:J1198)+1E-12))</f>
        <v/>
      </c>
      <c r="L476" s="3">
        <f>IF('3a Raw'!H476="","",MAX(-3,MIN(3,('3a Raw'!H476-$L3)/$L4)))</f>
        <v/>
      </c>
      <c r="M476" s="3">
        <f>IF(L476="","",(L476-AVERAGE(L6:L1198))/(STDEV(L6:L1198)+1E-12))</f>
        <v/>
      </c>
      <c r="N476" s="3">
        <f>IF('3a Raw'!I476="","",MAX(-3,MIN(3,('3a Raw'!I476-$N3)/$N4)))</f>
        <v/>
      </c>
      <c r="O476" s="3">
        <f>IF(N476="","",(N476-AVERAGE(N6:N1198))/(STDEV(N6:N1198)+1E-12))</f>
        <v/>
      </c>
      <c r="P476" s="3">
        <f>IF('3a Raw'!J476="","",MAX(-3,MIN(3,('3a Raw'!J476-$P3)/$P4)))</f>
        <v/>
      </c>
      <c r="Q476" s="3">
        <f>IF(P476="","",(P476-AVERAGE(P6:P1198))/(STDEV(P6:P1198)+1E-12))</f>
        <v/>
      </c>
      <c r="R476" s="3">
        <f>IF('3a Raw'!K476="","",MAX(-3,MIN(3,('3a Raw'!K476-$R3)/$R4)))</f>
        <v/>
      </c>
      <c r="S476" s="3">
        <f>IF(R476="","",(R476-AVERAGE(R6:R1198))/(STDEV(R6:R1198)+1E-12))</f>
        <v/>
      </c>
      <c r="T476" s="3">
        <f>IF('3a Raw'!L476="","",MAX(-3,MIN(3,('3a Raw'!L476-$T3)/$T4)))</f>
        <v/>
      </c>
      <c r="U476" s="3">
        <f>IF(T476="","",(T476-AVERAGE(T6:T1198))/(STDEV(T6:T1198)+1E-12))</f>
        <v/>
      </c>
      <c r="X476" s="3">
        <f>IF(U476="","",U476-($V$3*G476+$W$3))</f>
        <v/>
      </c>
      <c r="Y476" s="3">
        <f>IF(X476="","",MAX(-3,MIN(3,(X476-$X3)/$X4)))</f>
        <v/>
      </c>
      <c r="Z476" s="3">
        <f>IF(Y476="","",(Y476-AVERAGE(Y6:Y1198))/(STDEV(Y6:Y1198)+1E-12))</f>
        <v/>
      </c>
    </row>
    <row r="477">
      <c r="A477" t="inlineStr">
        <is>
          <t>BBG00G41B914</t>
        </is>
      </c>
      <c r="B477" s="3">
        <f>IF('3a Raw'!C477="","",MAX(-3,MIN(3,('3a Raw'!C477-$B3)/$B4)))</f>
        <v/>
      </c>
      <c r="C477" s="3">
        <f>IF(B477="","",(B477-AVERAGE(B6:B1198))/(STDEV(B6:B1198)+1E-12))</f>
        <v/>
      </c>
      <c r="D477" s="3">
        <f>IF('3a Raw'!D477="","",MAX(-3,MIN(3,('3a Raw'!D477-$D3)/$D4)))</f>
        <v/>
      </c>
      <c r="E477" s="3">
        <f>IF(D477="","",(D477-AVERAGE(D6:D1198))/(STDEV(D6:D1198)+1E-12))</f>
        <v/>
      </c>
      <c r="F477" s="3">
        <f>IF('3a Raw'!E477="","",MAX(-3,MIN(3,('3a Raw'!E477-$F3)/$F4)))</f>
        <v/>
      </c>
      <c r="G477" s="3">
        <f>IF(F477="","",(F477-AVERAGE(F6:F1198))/(STDEV(F6:F1198)+1E-12))</f>
        <v/>
      </c>
      <c r="H477" s="3">
        <f>IF('3a Raw'!F477="","",MAX(-3,MIN(3,('3a Raw'!F477-$H3)/$H4)))</f>
        <v/>
      </c>
      <c r="I477" s="3">
        <f>IF(H477="","",(H477-AVERAGE(H6:H1198))/(STDEV(H6:H1198)+1E-12))</f>
        <v/>
      </c>
      <c r="J477" s="3">
        <f>IF('3a Raw'!G477="","",MAX(-3,MIN(3,('3a Raw'!G477-$J3)/$J4)))</f>
        <v/>
      </c>
      <c r="K477" s="3">
        <f>IF(J477="","",(J477-AVERAGE(J6:J1198))/(STDEV(J6:J1198)+1E-12))</f>
        <v/>
      </c>
      <c r="L477" s="3">
        <f>IF('3a Raw'!H477="","",MAX(-3,MIN(3,('3a Raw'!H477-$L3)/$L4)))</f>
        <v/>
      </c>
      <c r="M477" s="3">
        <f>IF(L477="","",(L477-AVERAGE(L6:L1198))/(STDEV(L6:L1198)+1E-12))</f>
        <v/>
      </c>
      <c r="N477" s="3">
        <f>IF('3a Raw'!I477="","",MAX(-3,MIN(3,('3a Raw'!I477-$N3)/$N4)))</f>
        <v/>
      </c>
      <c r="O477" s="3">
        <f>IF(N477="","",(N477-AVERAGE(N6:N1198))/(STDEV(N6:N1198)+1E-12))</f>
        <v/>
      </c>
      <c r="P477" s="3">
        <f>IF('3a Raw'!J477="","",MAX(-3,MIN(3,('3a Raw'!J477-$P3)/$P4)))</f>
        <v/>
      </c>
      <c r="Q477" s="3">
        <f>IF(P477="","",(P477-AVERAGE(P6:P1198))/(STDEV(P6:P1198)+1E-12))</f>
        <v/>
      </c>
      <c r="R477" s="3">
        <f>IF('3a Raw'!K477="","",MAX(-3,MIN(3,('3a Raw'!K477-$R3)/$R4)))</f>
        <v/>
      </c>
      <c r="S477" s="3">
        <f>IF(R477="","",(R477-AVERAGE(R6:R1198))/(STDEV(R6:R1198)+1E-12))</f>
        <v/>
      </c>
      <c r="T477" s="3">
        <f>IF('3a Raw'!L477="","",MAX(-3,MIN(3,('3a Raw'!L477-$T3)/$T4)))</f>
        <v/>
      </c>
      <c r="U477" s="3">
        <f>IF(T477="","",(T477-AVERAGE(T6:T1198))/(STDEV(T6:T1198)+1E-12))</f>
        <v/>
      </c>
      <c r="X477" s="3">
        <f>IF(U477="","",U477-($V$3*G477+$W$3))</f>
        <v/>
      </c>
      <c r="Y477" s="3">
        <f>IF(X477="","",MAX(-3,MIN(3,(X477-$X3)/$X4)))</f>
        <v/>
      </c>
      <c r="Z477" s="3">
        <f>IF(Y477="","",(Y477-AVERAGE(Y6:Y1198))/(STDEV(Y6:Y1198)+1E-12))</f>
        <v/>
      </c>
    </row>
    <row r="478">
      <c r="A478" t="inlineStr">
        <is>
          <t>gpc</t>
        </is>
      </c>
      <c r="B478" s="3">
        <f>IF('3a Raw'!C478="","",MAX(-3,MIN(3,('3a Raw'!C478-$B3)/$B4)))</f>
        <v/>
      </c>
      <c r="C478" s="3">
        <f>IF(B478="","",(B478-AVERAGE(B6:B1198))/(STDEV(B6:B1198)+1E-12))</f>
        <v/>
      </c>
      <c r="D478" s="3">
        <f>IF('3a Raw'!D478="","",MAX(-3,MIN(3,('3a Raw'!D478-$D3)/$D4)))</f>
        <v/>
      </c>
      <c r="E478" s="3">
        <f>IF(D478="","",(D478-AVERAGE(D6:D1198))/(STDEV(D6:D1198)+1E-12))</f>
        <v/>
      </c>
      <c r="F478" s="3">
        <f>IF('3a Raw'!E478="","",MAX(-3,MIN(3,('3a Raw'!E478-$F3)/$F4)))</f>
        <v/>
      </c>
      <c r="G478" s="3">
        <f>IF(F478="","",(F478-AVERAGE(F6:F1198))/(STDEV(F6:F1198)+1E-12))</f>
        <v/>
      </c>
      <c r="H478" s="3">
        <f>IF('3a Raw'!F478="","",MAX(-3,MIN(3,('3a Raw'!F478-$H3)/$H4)))</f>
        <v/>
      </c>
      <c r="I478" s="3">
        <f>IF(H478="","",(H478-AVERAGE(H6:H1198))/(STDEV(H6:H1198)+1E-12))</f>
        <v/>
      </c>
      <c r="J478" s="3">
        <f>IF('3a Raw'!G478="","",MAX(-3,MIN(3,('3a Raw'!G478-$J3)/$J4)))</f>
        <v/>
      </c>
      <c r="K478" s="3">
        <f>IF(J478="","",(J478-AVERAGE(J6:J1198))/(STDEV(J6:J1198)+1E-12))</f>
        <v/>
      </c>
      <c r="L478" s="3">
        <f>IF('3a Raw'!H478="","",MAX(-3,MIN(3,('3a Raw'!H478-$L3)/$L4)))</f>
        <v/>
      </c>
      <c r="M478" s="3">
        <f>IF(L478="","",(L478-AVERAGE(L6:L1198))/(STDEV(L6:L1198)+1E-12))</f>
        <v/>
      </c>
      <c r="N478" s="3">
        <f>IF('3a Raw'!I478="","",MAX(-3,MIN(3,('3a Raw'!I478-$N3)/$N4)))</f>
        <v/>
      </c>
      <c r="O478" s="3">
        <f>IF(N478="","",(N478-AVERAGE(N6:N1198))/(STDEV(N6:N1198)+1E-12))</f>
        <v/>
      </c>
      <c r="P478" s="3">
        <f>IF('3a Raw'!J478="","",MAX(-3,MIN(3,('3a Raw'!J478-$P3)/$P4)))</f>
        <v/>
      </c>
      <c r="Q478" s="3">
        <f>IF(P478="","",(P478-AVERAGE(P6:P1198))/(STDEV(P6:P1198)+1E-12))</f>
        <v/>
      </c>
      <c r="R478" s="3">
        <f>IF('3a Raw'!K478="","",MAX(-3,MIN(3,('3a Raw'!K478-$R3)/$R4)))</f>
        <v/>
      </c>
      <c r="S478" s="3">
        <f>IF(R478="","",(R478-AVERAGE(R6:R1198))/(STDEV(R6:R1198)+1E-12))</f>
        <v/>
      </c>
      <c r="T478" s="3">
        <f>IF('3a Raw'!L478="","",MAX(-3,MIN(3,('3a Raw'!L478-$T3)/$T4)))</f>
        <v/>
      </c>
      <c r="U478" s="3">
        <f>IF(T478="","",(T478-AVERAGE(T6:T1198))/(STDEV(T6:T1198)+1E-12))</f>
        <v/>
      </c>
      <c r="X478" s="3">
        <f>IF(U478="","",U478-($V$3*G478+$W$3))</f>
        <v/>
      </c>
      <c r="Y478" s="3">
        <f>IF(X478="","",MAX(-3,MIN(3,(X478-$X3)/$X4)))</f>
        <v/>
      </c>
      <c r="Z478" s="3">
        <f>IF(Y478="","",(Y478-AVERAGE(Y6:Y1198))/(STDEV(Y6:Y1198)+1E-12))</f>
        <v/>
      </c>
    </row>
    <row r="479">
      <c r="A479" t="inlineStr">
        <is>
          <t>BBG000GQ7K93</t>
        </is>
      </c>
      <c r="B479" s="3">
        <f>IF('3a Raw'!C479="","",MAX(-3,MIN(3,('3a Raw'!C479-$B3)/$B4)))</f>
        <v/>
      </c>
      <c r="C479" s="3">
        <f>IF(B479="","",(B479-AVERAGE(B6:B1198))/(STDEV(B6:B1198)+1E-12))</f>
        <v/>
      </c>
      <c r="D479" s="3">
        <f>IF('3a Raw'!D479="","",MAX(-3,MIN(3,('3a Raw'!D479-$D3)/$D4)))</f>
        <v/>
      </c>
      <c r="E479" s="3">
        <f>IF(D479="","",(D479-AVERAGE(D6:D1198))/(STDEV(D6:D1198)+1E-12))</f>
        <v/>
      </c>
      <c r="F479" s="3">
        <f>IF('3a Raw'!E479="","",MAX(-3,MIN(3,('3a Raw'!E479-$F3)/$F4)))</f>
        <v/>
      </c>
      <c r="G479" s="3">
        <f>IF(F479="","",(F479-AVERAGE(F6:F1198))/(STDEV(F6:F1198)+1E-12))</f>
        <v/>
      </c>
      <c r="H479" s="3">
        <f>IF('3a Raw'!F479="","",MAX(-3,MIN(3,('3a Raw'!F479-$H3)/$H4)))</f>
        <v/>
      </c>
      <c r="I479" s="3">
        <f>IF(H479="","",(H479-AVERAGE(H6:H1198))/(STDEV(H6:H1198)+1E-12))</f>
        <v/>
      </c>
      <c r="J479" s="3">
        <f>IF('3a Raw'!G479="","",MAX(-3,MIN(3,('3a Raw'!G479-$J3)/$J4)))</f>
        <v/>
      </c>
      <c r="K479" s="3">
        <f>IF(J479="","",(J479-AVERAGE(J6:J1198))/(STDEV(J6:J1198)+1E-12))</f>
        <v/>
      </c>
      <c r="L479" s="3">
        <f>IF('3a Raw'!H479="","",MAX(-3,MIN(3,('3a Raw'!H479-$L3)/$L4)))</f>
        <v/>
      </c>
      <c r="M479" s="3">
        <f>IF(L479="","",(L479-AVERAGE(L6:L1198))/(STDEV(L6:L1198)+1E-12))</f>
        <v/>
      </c>
      <c r="N479" s="3">
        <f>IF('3a Raw'!I479="","",MAX(-3,MIN(3,('3a Raw'!I479-$N3)/$N4)))</f>
        <v/>
      </c>
      <c r="O479" s="3">
        <f>IF(N479="","",(N479-AVERAGE(N6:N1198))/(STDEV(N6:N1198)+1E-12))</f>
        <v/>
      </c>
      <c r="P479" s="3">
        <f>IF('3a Raw'!J479="","",MAX(-3,MIN(3,('3a Raw'!J479-$P3)/$P4)))</f>
        <v/>
      </c>
      <c r="Q479" s="3">
        <f>IF(P479="","",(P479-AVERAGE(P6:P1198))/(STDEV(P6:P1198)+1E-12))</f>
        <v/>
      </c>
      <c r="R479" s="3">
        <f>IF('3a Raw'!K479="","",MAX(-3,MIN(3,('3a Raw'!K479-$R3)/$R4)))</f>
        <v/>
      </c>
      <c r="S479" s="3">
        <f>IF(R479="","",(R479-AVERAGE(R6:R1198))/(STDEV(R6:R1198)+1E-12))</f>
        <v/>
      </c>
      <c r="T479" s="3">
        <f>IF('3a Raw'!L479="","",MAX(-3,MIN(3,('3a Raw'!L479-$T3)/$T4)))</f>
        <v/>
      </c>
      <c r="U479" s="3">
        <f>IF(T479="","",(T479-AVERAGE(T6:T1198))/(STDEV(T6:T1198)+1E-12))</f>
        <v/>
      </c>
      <c r="X479" s="3">
        <f>IF(U479="","",U479-($V$3*G479+$W$3))</f>
        <v/>
      </c>
      <c r="Y479" s="3">
        <f>IF(X479="","",MAX(-3,MIN(3,(X479-$X3)/$X4)))</f>
        <v/>
      </c>
      <c r="Z479" s="3">
        <f>IF(Y479="","",(Y479-AVERAGE(Y6:Y1198))/(STDEV(Y6:Y1198)+1E-12))</f>
        <v/>
      </c>
    </row>
    <row r="480">
      <c r="A480" t="inlineStr">
        <is>
          <t>BBG000CX0P89</t>
        </is>
      </c>
      <c r="B480" s="3">
        <f>IF('3a Raw'!C480="","",MAX(-3,MIN(3,('3a Raw'!C480-$B3)/$B4)))</f>
        <v/>
      </c>
      <c r="C480" s="3">
        <f>IF(B480="","",(B480-AVERAGE(B6:B1198))/(STDEV(B6:B1198)+1E-12))</f>
        <v/>
      </c>
      <c r="D480" s="3">
        <f>IF('3a Raw'!D480="","",MAX(-3,MIN(3,('3a Raw'!D480-$D3)/$D4)))</f>
        <v/>
      </c>
      <c r="E480" s="3">
        <f>IF(D480="","",(D480-AVERAGE(D6:D1198))/(STDEV(D6:D1198)+1E-12))</f>
        <v/>
      </c>
      <c r="F480" s="3">
        <f>IF('3a Raw'!E480="","",MAX(-3,MIN(3,('3a Raw'!E480-$F3)/$F4)))</f>
        <v/>
      </c>
      <c r="G480" s="3">
        <f>IF(F480="","",(F480-AVERAGE(F6:F1198))/(STDEV(F6:F1198)+1E-12))</f>
        <v/>
      </c>
      <c r="H480" s="3">
        <f>IF('3a Raw'!F480="","",MAX(-3,MIN(3,('3a Raw'!F480-$H3)/$H4)))</f>
        <v/>
      </c>
      <c r="I480" s="3">
        <f>IF(H480="","",(H480-AVERAGE(H6:H1198))/(STDEV(H6:H1198)+1E-12))</f>
        <v/>
      </c>
      <c r="J480" s="3">
        <f>IF('3a Raw'!G480="","",MAX(-3,MIN(3,('3a Raw'!G480-$J3)/$J4)))</f>
        <v/>
      </c>
      <c r="K480" s="3">
        <f>IF(J480="","",(J480-AVERAGE(J6:J1198))/(STDEV(J6:J1198)+1E-12))</f>
        <v/>
      </c>
      <c r="L480" s="3">
        <f>IF('3a Raw'!H480="","",MAX(-3,MIN(3,('3a Raw'!H480-$L3)/$L4)))</f>
        <v/>
      </c>
      <c r="M480" s="3">
        <f>IF(L480="","",(L480-AVERAGE(L6:L1198))/(STDEV(L6:L1198)+1E-12))</f>
        <v/>
      </c>
      <c r="N480" s="3">
        <f>IF('3a Raw'!I480="","",MAX(-3,MIN(3,('3a Raw'!I480-$N3)/$N4)))</f>
        <v/>
      </c>
      <c r="O480" s="3">
        <f>IF(N480="","",(N480-AVERAGE(N6:N1198))/(STDEV(N6:N1198)+1E-12))</f>
        <v/>
      </c>
      <c r="P480" s="3">
        <f>IF('3a Raw'!J480="","",MAX(-3,MIN(3,('3a Raw'!J480-$P3)/$P4)))</f>
        <v/>
      </c>
      <c r="Q480" s="3">
        <f>IF(P480="","",(P480-AVERAGE(P6:P1198))/(STDEV(P6:P1198)+1E-12))</f>
        <v/>
      </c>
      <c r="R480" s="3">
        <f>IF('3a Raw'!K480="","",MAX(-3,MIN(3,('3a Raw'!K480-$R3)/$R4)))</f>
        <v/>
      </c>
      <c r="S480" s="3">
        <f>IF(R480="","",(R480-AVERAGE(R6:R1198))/(STDEV(R6:R1198)+1E-12))</f>
        <v/>
      </c>
      <c r="T480" s="3">
        <f>IF('3a Raw'!L480="","",MAX(-3,MIN(3,('3a Raw'!L480-$T3)/$T4)))</f>
        <v/>
      </c>
      <c r="U480" s="3">
        <f>IF(T480="","",(T480-AVERAGE(T6:T1198))/(STDEV(T6:T1198)+1E-12))</f>
        <v/>
      </c>
      <c r="X480" s="3">
        <f>IF(U480="","",U480-($V$3*G480+$W$3))</f>
        <v/>
      </c>
      <c r="Y480" s="3">
        <f>IF(X480="","",MAX(-3,MIN(3,(X480-$X3)/$X4)))</f>
        <v/>
      </c>
      <c r="Z480" s="3">
        <f>IF(Y480="","",(Y480-AVERAGE(Y6:Y1198))/(STDEV(Y6:Y1198)+1E-12))</f>
        <v/>
      </c>
    </row>
    <row r="481">
      <c r="A481" t="inlineStr">
        <is>
          <t>BBG01N6CGW43</t>
        </is>
      </c>
      <c r="B481" s="3">
        <f>IF('3a Raw'!C481="","",MAX(-3,MIN(3,('3a Raw'!C481-$B3)/$B4)))</f>
        <v/>
      </c>
      <c r="C481" s="3">
        <f>IF(B481="","",(B481-AVERAGE(B6:B1198))/(STDEV(B6:B1198)+1E-12))</f>
        <v/>
      </c>
      <c r="D481" s="3">
        <f>IF('3a Raw'!D481="","",MAX(-3,MIN(3,('3a Raw'!D481-$D3)/$D4)))</f>
        <v/>
      </c>
      <c r="E481" s="3">
        <f>IF(D481="","",(D481-AVERAGE(D6:D1198))/(STDEV(D6:D1198)+1E-12))</f>
        <v/>
      </c>
      <c r="F481" s="3">
        <f>IF('3a Raw'!E481="","",MAX(-3,MIN(3,('3a Raw'!E481-$F3)/$F4)))</f>
        <v/>
      </c>
      <c r="G481" s="3">
        <f>IF(F481="","",(F481-AVERAGE(F6:F1198))/(STDEV(F6:F1198)+1E-12))</f>
        <v/>
      </c>
      <c r="H481" s="3">
        <f>IF('3a Raw'!F481="","",MAX(-3,MIN(3,('3a Raw'!F481-$H3)/$H4)))</f>
        <v/>
      </c>
      <c r="I481" s="3">
        <f>IF(H481="","",(H481-AVERAGE(H6:H1198))/(STDEV(H6:H1198)+1E-12))</f>
        <v/>
      </c>
      <c r="J481" s="3">
        <f>IF('3a Raw'!G481="","",MAX(-3,MIN(3,('3a Raw'!G481-$J3)/$J4)))</f>
        <v/>
      </c>
      <c r="K481" s="3">
        <f>IF(J481="","",(J481-AVERAGE(J6:J1198))/(STDEV(J6:J1198)+1E-12))</f>
        <v/>
      </c>
      <c r="L481" s="3">
        <f>IF('3a Raw'!H481="","",MAX(-3,MIN(3,('3a Raw'!H481-$L3)/$L4)))</f>
        <v/>
      </c>
      <c r="M481" s="3">
        <f>IF(L481="","",(L481-AVERAGE(L6:L1198))/(STDEV(L6:L1198)+1E-12))</f>
        <v/>
      </c>
      <c r="N481" s="3">
        <f>IF('3a Raw'!I481="","",MAX(-3,MIN(3,('3a Raw'!I481-$N3)/$N4)))</f>
        <v/>
      </c>
      <c r="O481" s="3">
        <f>IF(N481="","",(N481-AVERAGE(N6:N1198))/(STDEV(N6:N1198)+1E-12))</f>
        <v/>
      </c>
      <c r="P481" s="3">
        <f>IF('3a Raw'!J481="","",MAX(-3,MIN(3,('3a Raw'!J481-$P3)/$P4)))</f>
        <v/>
      </c>
      <c r="Q481" s="3">
        <f>IF(P481="","",(P481-AVERAGE(P6:P1198))/(STDEV(P6:P1198)+1E-12))</f>
        <v/>
      </c>
      <c r="R481" s="3">
        <f>IF('3a Raw'!K481="","",MAX(-3,MIN(3,('3a Raw'!K481-$R3)/$R4)))</f>
        <v/>
      </c>
      <c r="S481" s="3">
        <f>IF(R481="","",(R481-AVERAGE(R6:R1198))/(STDEV(R6:R1198)+1E-12))</f>
        <v/>
      </c>
      <c r="T481" s="3">
        <f>IF('3a Raw'!L481="","",MAX(-3,MIN(3,('3a Raw'!L481-$T3)/$T4)))</f>
        <v/>
      </c>
      <c r="U481" s="3">
        <f>IF(T481="","",(T481-AVERAGE(T6:T1198))/(STDEV(T6:T1198)+1E-12))</f>
        <v/>
      </c>
      <c r="X481" s="3">
        <f>IF(U481="","",U481-($V$3*G481+$W$3))</f>
        <v/>
      </c>
      <c r="Y481" s="3">
        <f>IF(X481="","",MAX(-3,MIN(3,(X481-$X3)/$X4)))</f>
        <v/>
      </c>
      <c r="Z481" s="3">
        <f>IF(Y481="","",(Y481-AVERAGE(Y6:Y1198))/(STDEV(Y6:Y1198)+1E-12))</f>
        <v/>
      </c>
    </row>
    <row r="482">
      <c r="A482" t="inlineStr">
        <is>
          <t>BBG001QMCKF6</t>
        </is>
      </c>
      <c r="B482" s="3">
        <f>IF('3a Raw'!C482="","",MAX(-3,MIN(3,('3a Raw'!C482-$B3)/$B4)))</f>
        <v/>
      </c>
      <c r="C482" s="3">
        <f>IF(B482="","",(B482-AVERAGE(B6:B1198))/(STDEV(B6:B1198)+1E-12))</f>
        <v/>
      </c>
      <c r="D482" s="3">
        <f>IF('3a Raw'!D482="","",MAX(-3,MIN(3,('3a Raw'!D482-$D3)/$D4)))</f>
        <v/>
      </c>
      <c r="E482" s="3">
        <f>IF(D482="","",(D482-AVERAGE(D6:D1198))/(STDEV(D6:D1198)+1E-12))</f>
        <v/>
      </c>
      <c r="F482" s="3">
        <f>IF('3a Raw'!E482="","",MAX(-3,MIN(3,('3a Raw'!E482-$F3)/$F4)))</f>
        <v/>
      </c>
      <c r="G482" s="3">
        <f>IF(F482="","",(F482-AVERAGE(F6:F1198))/(STDEV(F6:F1198)+1E-12))</f>
        <v/>
      </c>
      <c r="H482" s="3">
        <f>IF('3a Raw'!F482="","",MAX(-3,MIN(3,('3a Raw'!F482-$H3)/$H4)))</f>
        <v/>
      </c>
      <c r="I482" s="3">
        <f>IF(H482="","",(H482-AVERAGE(H6:H1198))/(STDEV(H6:H1198)+1E-12))</f>
        <v/>
      </c>
      <c r="J482" s="3">
        <f>IF('3a Raw'!G482="","",MAX(-3,MIN(3,('3a Raw'!G482-$J3)/$J4)))</f>
        <v/>
      </c>
      <c r="K482" s="3">
        <f>IF(J482="","",(J482-AVERAGE(J6:J1198))/(STDEV(J6:J1198)+1E-12))</f>
        <v/>
      </c>
      <c r="L482" s="3">
        <f>IF('3a Raw'!H482="","",MAX(-3,MIN(3,('3a Raw'!H482-$L3)/$L4)))</f>
        <v/>
      </c>
      <c r="M482" s="3">
        <f>IF(L482="","",(L482-AVERAGE(L6:L1198))/(STDEV(L6:L1198)+1E-12))</f>
        <v/>
      </c>
      <c r="N482" s="3">
        <f>IF('3a Raw'!I482="","",MAX(-3,MIN(3,('3a Raw'!I482-$N3)/$N4)))</f>
        <v/>
      </c>
      <c r="O482" s="3">
        <f>IF(N482="","",(N482-AVERAGE(N6:N1198))/(STDEV(N6:N1198)+1E-12))</f>
        <v/>
      </c>
      <c r="P482" s="3">
        <f>IF('3a Raw'!J482="","",MAX(-3,MIN(3,('3a Raw'!J482-$P3)/$P4)))</f>
        <v/>
      </c>
      <c r="Q482" s="3">
        <f>IF(P482="","",(P482-AVERAGE(P6:P1198))/(STDEV(P6:P1198)+1E-12))</f>
        <v/>
      </c>
      <c r="R482" s="3">
        <f>IF('3a Raw'!K482="","",MAX(-3,MIN(3,('3a Raw'!K482-$R3)/$R4)))</f>
        <v/>
      </c>
      <c r="S482" s="3">
        <f>IF(R482="","",(R482-AVERAGE(R6:R1198))/(STDEV(R6:R1198)+1E-12))</f>
        <v/>
      </c>
      <c r="T482" s="3">
        <f>IF('3a Raw'!L482="","",MAX(-3,MIN(3,('3a Raw'!L482-$T3)/$T4)))</f>
        <v/>
      </c>
      <c r="U482" s="3">
        <f>IF(T482="","",(T482-AVERAGE(T6:T1198))/(STDEV(T6:T1198)+1E-12))</f>
        <v/>
      </c>
      <c r="X482" s="3">
        <f>IF(U482="","",U482-($V$3*G482+$W$3))</f>
        <v/>
      </c>
      <c r="Y482" s="3">
        <f>IF(X482="","",MAX(-3,MIN(3,(X482-$X3)/$X4)))</f>
        <v/>
      </c>
      <c r="Z482" s="3">
        <f>IF(Y482="","",(Y482-AVERAGE(Y6:Y1198))/(STDEV(Y6:Y1198)+1E-12))</f>
        <v/>
      </c>
    </row>
    <row r="483">
      <c r="A483" t="inlineStr">
        <is>
          <t>grmn</t>
        </is>
      </c>
      <c r="B483" s="3">
        <f>IF('3a Raw'!C483="","",MAX(-3,MIN(3,('3a Raw'!C483-$B3)/$B4)))</f>
        <v/>
      </c>
      <c r="C483" s="3">
        <f>IF(B483="","",(B483-AVERAGE(B6:B1198))/(STDEV(B6:B1198)+1E-12))</f>
        <v/>
      </c>
      <c r="D483" s="3">
        <f>IF('3a Raw'!D483="","",MAX(-3,MIN(3,('3a Raw'!D483-$D3)/$D4)))</f>
        <v/>
      </c>
      <c r="E483" s="3">
        <f>IF(D483="","",(D483-AVERAGE(D6:D1198))/(STDEV(D6:D1198)+1E-12))</f>
        <v/>
      </c>
      <c r="F483" s="3">
        <f>IF('3a Raw'!E483="","",MAX(-3,MIN(3,('3a Raw'!E483-$F3)/$F4)))</f>
        <v/>
      </c>
      <c r="G483" s="3">
        <f>IF(F483="","",(F483-AVERAGE(F6:F1198))/(STDEV(F6:F1198)+1E-12))</f>
        <v/>
      </c>
      <c r="H483" s="3">
        <f>IF('3a Raw'!F483="","",MAX(-3,MIN(3,('3a Raw'!F483-$H3)/$H4)))</f>
        <v/>
      </c>
      <c r="I483" s="3">
        <f>IF(H483="","",(H483-AVERAGE(H6:H1198))/(STDEV(H6:H1198)+1E-12))</f>
        <v/>
      </c>
      <c r="J483" s="3">
        <f>IF('3a Raw'!G483="","",MAX(-3,MIN(3,('3a Raw'!G483-$J3)/$J4)))</f>
        <v/>
      </c>
      <c r="K483" s="3">
        <f>IF(J483="","",(J483-AVERAGE(J6:J1198))/(STDEV(J6:J1198)+1E-12))</f>
        <v/>
      </c>
      <c r="L483" s="3">
        <f>IF('3a Raw'!H483="","",MAX(-3,MIN(3,('3a Raw'!H483-$L3)/$L4)))</f>
        <v/>
      </c>
      <c r="M483" s="3">
        <f>IF(L483="","",(L483-AVERAGE(L6:L1198))/(STDEV(L6:L1198)+1E-12))</f>
        <v/>
      </c>
      <c r="N483" s="3">
        <f>IF('3a Raw'!I483="","",MAX(-3,MIN(3,('3a Raw'!I483-$N3)/$N4)))</f>
        <v/>
      </c>
      <c r="O483" s="3">
        <f>IF(N483="","",(N483-AVERAGE(N6:N1198))/(STDEV(N6:N1198)+1E-12))</f>
        <v/>
      </c>
      <c r="P483" s="3">
        <f>IF('3a Raw'!J483="","",MAX(-3,MIN(3,('3a Raw'!J483-$P3)/$P4)))</f>
        <v/>
      </c>
      <c r="Q483" s="3">
        <f>IF(P483="","",(P483-AVERAGE(P6:P1198))/(STDEV(P6:P1198)+1E-12))</f>
        <v/>
      </c>
      <c r="R483" s="3">
        <f>IF('3a Raw'!K483="","",MAX(-3,MIN(3,('3a Raw'!K483-$R3)/$R4)))</f>
        <v/>
      </c>
      <c r="S483" s="3">
        <f>IF(R483="","",(R483-AVERAGE(R6:R1198))/(STDEV(R6:R1198)+1E-12))</f>
        <v/>
      </c>
      <c r="T483" s="3">
        <f>IF('3a Raw'!L483="","",MAX(-3,MIN(3,('3a Raw'!L483-$T3)/$T4)))</f>
        <v/>
      </c>
      <c r="U483" s="3">
        <f>IF(T483="","",(T483-AVERAGE(T6:T1198))/(STDEV(T6:T1198)+1E-12))</f>
        <v/>
      </c>
      <c r="X483" s="3">
        <f>IF(U483="","",U483-($V$3*G483+$W$3))</f>
        <v/>
      </c>
      <c r="Y483" s="3">
        <f>IF(X483="","",MAX(-3,MIN(3,(X483-$X3)/$X4)))</f>
        <v/>
      </c>
      <c r="Z483" s="3">
        <f>IF(Y483="","",(Y483-AVERAGE(Y6:Y1198))/(STDEV(Y6:Y1198)+1E-12))</f>
        <v/>
      </c>
    </row>
    <row r="484">
      <c r="A484" t="inlineStr">
        <is>
          <t>BBG000C6CFJ5</t>
        </is>
      </c>
      <c r="B484" s="3">
        <f>IF('3a Raw'!C484="","",MAX(-3,MIN(3,('3a Raw'!C484-$B3)/$B4)))</f>
        <v/>
      </c>
      <c r="C484" s="3">
        <f>IF(B484="","",(B484-AVERAGE(B6:B1198))/(STDEV(B6:B1198)+1E-12))</f>
        <v/>
      </c>
      <c r="D484" s="3">
        <f>IF('3a Raw'!D484="","",MAX(-3,MIN(3,('3a Raw'!D484-$D3)/$D4)))</f>
        <v/>
      </c>
      <c r="E484" s="3">
        <f>IF(D484="","",(D484-AVERAGE(D6:D1198))/(STDEV(D6:D1198)+1E-12))</f>
        <v/>
      </c>
      <c r="F484" s="3">
        <f>IF('3a Raw'!E484="","",MAX(-3,MIN(3,('3a Raw'!E484-$F3)/$F4)))</f>
        <v/>
      </c>
      <c r="G484" s="3">
        <f>IF(F484="","",(F484-AVERAGE(F6:F1198))/(STDEV(F6:F1198)+1E-12))</f>
        <v/>
      </c>
      <c r="H484" s="3">
        <f>IF('3a Raw'!F484="","",MAX(-3,MIN(3,('3a Raw'!F484-$H3)/$H4)))</f>
        <v/>
      </c>
      <c r="I484" s="3">
        <f>IF(H484="","",(H484-AVERAGE(H6:H1198))/(STDEV(H6:H1198)+1E-12))</f>
        <v/>
      </c>
      <c r="J484" s="3">
        <f>IF('3a Raw'!G484="","",MAX(-3,MIN(3,('3a Raw'!G484-$J3)/$J4)))</f>
        <v/>
      </c>
      <c r="K484" s="3">
        <f>IF(J484="","",(J484-AVERAGE(J6:J1198))/(STDEV(J6:J1198)+1E-12))</f>
        <v/>
      </c>
      <c r="L484" s="3">
        <f>IF('3a Raw'!H484="","",MAX(-3,MIN(3,('3a Raw'!H484-$L3)/$L4)))</f>
        <v/>
      </c>
      <c r="M484" s="3">
        <f>IF(L484="","",(L484-AVERAGE(L6:L1198))/(STDEV(L6:L1198)+1E-12))</f>
        <v/>
      </c>
      <c r="N484" s="3">
        <f>IF('3a Raw'!I484="","",MAX(-3,MIN(3,('3a Raw'!I484-$N3)/$N4)))</f>
        <v/>
      </c>
      <c r="O484" s="3">
        <f>IF(N484="","",(N484-AVERAGE(N6:N1198))/(STDEV(N6:N1198)+1E-12))</f>
        <v/>
      </c>
      <c r="P484" s="3">
        <f>IF('3a Raw'!J484="","",MAX(-3,MIN(3,('3a Raw'!J484-$P3)/$P4)))</f>
        <v/>
      </c>
      <c r="Q484" s="3">
        <f>IF(P484="","",(P484-AVERAGE(P6:P1198))/(STDEV(P6:P1198)+1E-12))</f>
        <v/>
      </c>
      <c r="R484" s="3">
        <f>IF('3a Raw'!K484="","",MAX(-3,MIN(3,('3a Raw'!K484-$R3)/$R4)))</f>
        <v/>
      </c>
      <c r="S484" s="3">
        <f>IF(R484="","",(R484-AVERAGE(R6:R1198))/(STDEV(R6:R1198)+1E-12))</f>
        <v/>
      </c>
      <c r="T484" s="3">
        <f>IF('3a Raw'!L484="","",MAX(-3,MIN(3,('3a Raw'!L484-$T3)/$T4)))</f>
        <v/>
      </c>
      <c r="U484" s="3">
        <f>IF(T484="","",(T484-AVERAGE(T6:T1198))/(STDEV(T6:T1198)+1E-12))</f>
        <v/>
      </c>
      <c r="X484" s="3">
        <f>IF(U484="","",U484-($V$3*G484+$W$3))</f>
        <v/>
      </c>
      <c r="Y484" s="3">
        <f>IF(X484="","",MAX(-3,MIN(3,(X484-$X3)/$X4)))</f>
        <v/>
      </c>
      <c r="Z484" s="3">
        <f>IF(Y484="","",(Y484-AVERAGE(Y6:Y1198))/(STDEV(Y6:Y1198)+1E-12))</f>
        <v/>
      </c>
    </row>
    <row r="485">
      <c r="A485" t="inlineStr">
        <is>
          <t>BBG000K008L5</t>
        </is>
      </c>
      <c r="B485" s="3">
        <f>IF('3a Raw'!C485="","",MAX(-3,MIN(3,('3a Raw'!C485-$B3)/$B4)))</f>
        <v/>
      </c>
      <c r="C485" s="3">
        <f>IF(B485="","",(B485-AVERAGE(B6:B1198))/(STDEV(B6:B1198)+1E-12))</f>
        <v/>
      </c>
      <c r="D485" s="3">
        <f>IF('3a Raw'!D485="","",MAX(-3,MIN(3,('3a Raw'!D485-$D3)/$D4)))</f>
        <v/>
      </c>
      <c r="E485" s="3">
        <f>IF(D485="","",(D485-AVERAGE(D6:D1198))/(STDEV(D6:D1198)+1E-12))</f>
        <v/>
      </c>
      <c r="F485" s="3">
        <f>IF('3a Raw'!E485="","",MAX(-3,MIN(3,('3a Raw'!E485-$F3)/$F4)))</f>
        <v/>
      </c>
      <c r="G485" s="3">
        <f>IF(F485="","",(F485-AVERAGE(F6:F1198))/(STDEV(F6:F1198)+1E-12))</f>
        <v/>
      </c>
      <c r="H485" s="3">
        <f>IF('3a Raw'!F485="","",MAX(-3,MIN(3,('3a Raw'!F485-$H3)/$H4)))</f>
        <v/>
      </c>
      <c r="I485" s="3">
        <f>IF(H485="","",(H485-AVERAGE(H6:H1198))/(STDEV(H6:H1198)+1E-12))</f>
        <v/>
      </c>
      <c r="J485" s="3">
        <f>IF('3a Raw'!G485="","",MAX(-3,MIN(3,('3a Raw'!G485-$J3)/$J4)))</f>
        <v/>
      </c>
      <c r="K485" s="3">
        <f>IF(J485="","",(J485-AVERAGE(J6:J1198))/(STDEV(J6:J1198)+1E-12))</f>
        <v/>
      </c>
      <c r="L485" s="3">
        <f>IF('3a Raw'!H485="","",MAX(-3,MIN(3,('3a Raw'!H485-$L3)/$L4)))</f>
        <v/>
      </c>
      <c r="M485" s="3">
        <f>IF(L485="","",(L485-AVERAGE(L6:L1198))/(STDEV(L6:L1198)+1E-12))</f>
        <v/>
      </c>
      <c r="N485" s="3">
        <f>IF('3a Raw'!I485="","",MAX(-3,MIN(3,('3a Raw'!I485-$N3)/$N4)))</f>
        <v/>
      </c>
      <c r="O485" s="3">
        <f>IF(N485="","",(N485-AVERAGE(N6:N1198))/(STDEV(N6:N1198)+1E-12))</f>
        <v/>
      </c>
      <c r="P485" s="3">
        <f>IF('3a Raw'!J485="","",MAX(-3,MIN(3,('3a Raw'!J485-$P3)/$P4)))</f>
        <v/>
      </c>
      <c r="Q485" s="3">
        <f>IF(P485="","",(P485-AVERAGE(P6:P1198))/(STDEV(P6:P1198)+1E-12))</f>
        <v/>
      </c>
      <c r="R485" s="3">
        <f>IF('3a Raw'!K485="","",MAX(-3,MIN(3,('3a Raw'!K485-$R3)/$R4)))</f>
        <v/>
      </c>
      <c r="S485" s="3">
        <f>IF(R485="","",(R485-AVERAGE(R6:R1198))/(STDEV(R6:R1198)+1E-12))</f>
        <v/>
      </c>
      <c r="T485" s="3">
        <f>IF('3a Raw'!L485="","",MAX(-3,MIN(3,('3a Raw'!L485-$T3)/$T4)))</f>
        <v/>
      </c>
      <c r="U485" s="3">
        <f>IF(T485="","",(T485-AVERAGE(T6:T1198))/(STDEV(T6:T1198)+1E-12))</f>
        <v/>
      </c>
      <c r="X485" s="3">
        <f>IF(U485="","",U485-($V$3*G485+$W$3))</f>
        <v/>
      </c>
      <c r="Y485" s="3">
        <f>IF(X485="","",MAX(-3,MIN(3,(X485-$X3)/$X4)))</f>
        <v/>
      </c>
      <c r="Z485" s="3">
        <f>IF(Y485="","",(Y485-AVERAGE(Y6:Y1198))/(STDEV(Y6:Y1198)+1E-12))</f>
        <v/>
      </c>
    </row>
    <row r="486">
      <c r="A486" t="inlineStr">
        <is>
          <t>BBG000D0BQK2</t>
        </is>
      </c>
      <c r="B486" s="3">
        <f>IF('3a Raw'!C486="","",MAX(-3,MIN(3,('3a Raw'!C486-$B3)/$B4)))</f>
        <v/>
      </c>
      <c r="C486" s="3">
        <f>IF(B486="","",(B486-AVERAGE(B6:B1198))/(STDEV(B6:B1198)+1E-12))</f>
        <v/>
      </c>
      <c r="D486" s="3">
        <f>IF('3a Raw'!D486="","",MAX(-3,MIN(3,('3a Raw'!D486-$D3)/$D4)))</f>
        <v/>
      </c>
      <c r="E486" s="3">
        <f>IF(D486="","",(D486-AVERAGE(D6:D1198))/(STDEV(D6:D1198)+1E-12))</f>
        <v/>
      </c>
      <c r="F486" s="3">
        <f>IF('3a Raw'!E486="","",MAX(-3,MIN(3,('3a Raw'!E486-$F3)/$F4)))</f>
        <v/>
      </c>
      <c r="G486" s="3">
        <f>IF(F486="","",(F486-AVERAGE(F6:F1198))/(STDEV(F6:F1198)+1E-12))</f>
        <v/>
      </c>
      <c r="H486" s="3">
        <f>IF('3a Raw'!F486="","",MAX(-3,MIN(3,('3a Raw'!F486-$H3)/$H4)))</f>
        <v/>
      </c>
      <c r="I486" s="3">
        <f>IF(H486="","",(H486-AVERAGE(H6:H1198))/(STDEV(H6:H1198)+1E-12))</f>
        <v/>
      </c>
      <c r="J486" s="3">
        <f>IF('3a Raw'!G486="","",MAX(-3,MIN(3,('3a Raw'!G486-$J3)/$J4)))</f>
        <v/>
      </c>
      <c r="K486" s="3">
        <f>IF(J486="","",(J486-AVERAGE(J6:J1198))/(STDEV(J6:J1198)+1E-12))</f>
        <v/>
      </c>
      <c r="L486" s="3">
        <f>IF('3a Raw'!H486="","",MAX(-3,MIN(3,('3a Raw'!H486-$L3)/$L4)))</f>
        <v/>
      </c>
      <c r="M486" s="3">
        <f>IF(L486="","",(L486-AVERAGE(L6:L1198))/(STDEV(L6:L1198)+1E-12))</f>
        <v/>
      </c>
      <c r="N486" s="3">
        <f>IF('3a Raw'!I486="","",MAX(-3,MIN(3,('3a Raw'!I486-$N3)/$N4)))</f>
        <v/>
      </c>
      <c r="O486" s="3">
        <f>IF(N486="","",(N486-AVERAGE(N6:N1198))/(STDEV(N6:N1198)+1E-12))</f>
        <v/>
      </c>
      <c r="P486" s="3">
        <f>IF('3a Raw'!J486="","",MAX(-3,MIN(3,('3a Raw'!J486-$P3)/$P4)))</f>
        <v/>
      </c>
      <c r="Q486" s="3">
        <f>IF(P486="","",(P486-AVERAGE(P6:P1198))/(STDEV(P6:P1198)+1E-12))</f>
        <v/>
      </c>
      <c r="R486" s="3">
        <f>IF('3a Raw'!K486="","",MAX(-3,MIN(3,('3a Raw'!K486-$R3)/$R4)))</f>
        <v/>
      </c>
      <c r="S486" s="3">
        <f>IF(R486="","",(R486-AVERAGE(R6:R1198))/(STDEV(R6:R1198)+1E-12))</f>
        <v/>
      </c>
      <c r="T486" s="3">
        <f>IF('3a Raw'!L486="","",MAX(-3,MIN(3,('3a Raw'!L486-$T3)/$T4)))</f>
        <v/>
      </c>
      <c r="U486" s="3">
        <f>IF(T486="","",(T486-AVERAGE(T6:T1198))/(STDEV(T6:T1198)+1E-12))</f>
        <v/>
      </c>
      <c r="X486" s="3">
        <f>IF(U486="","",U486-($V$3*G486+$W$3))</f>
        <v/>
      </c>
      <c r="Y486" s="3">
        <f>IF(X486="","",MAX(-3,MIN(3,(X486-$X3)/$X4)))</f>
        <v/>
      </c>
      <c r="Z486" s="3">
        <f>IF(Y486="","",(Y486-AVERAGE(Y6:Y1198))/(STDEV(Y6:Y1198)+1E-12))</f>
        <v/>
      </c>
    </row>
    <row r="487">
      <c r="A487" t="inlineStr">
        <is>
          <t>BBG000BKNX95</t>
        </is>
      </c>
      <c r="B487" s="3">
        <f>IF('3a Raw'!C487="","",MAX(-3,MIN(3,('3a Raw'!C487-$B3)/$B4)))</f>
        <v/>
      </c>
      <c r="C487" s="3">
        <f>IF(B487="","",(B487-AVERAGE(B6:B1198))/(STDEV(B6:B1198)+1E-12))</f>
        <v/>
      </c>
      <c r="D487" s="3">
        <f>IF('3a Raw'!D487="","",MAX(-3,MIN(3,('3a Raw'!D487-$D3)/$D4)))</f>
        <v/>
      </c>
      <c r="E487" s="3">
        <f>IF(D487="","",(D487-AVERAGE(D6:D1198))/(STDEV(D6:D1198)+1E-12))</f>
        <v/>
      </c>
      <c r="F487" s="3">
        <f>IF('3a Raw'!E487="","",MAX(-3,MIN(3,('3a Raw'!E487-$F3)/$F4)))</f>
        <v/>
      </c>
      <c r="G487" s="3">
        <f>IF(F487="","",(F487-AVERAGE(F6:F1198))/(STDEV(F6:F1198)+1E-12))</f>
        <v/>
      </c>
      <c r="H487" s="3">
        <f>IF('3a Raw'!F487="","",MAX(-3,MIN(3,('3a Raw'!F487-$H3)/$H4)))</f>
        <v/>
      </c>
      <c r="I487" s="3">
        <f>IF(H487="","",(H487-AVERAGE(H6:H1198))/(STDEV(H6:H1198)+1E-12))</f>
        <v/>
      </c>
      <c r="J487" s="3">
        <f>IF('3a Raw'!G487="","",MAX(-3,MIN(3,('3a Raw'!G487-$J3)/$J4)))</f>
        <v/>
      </c>
      <c r="K487" s="3">
        <f>IF(J487="","",(J487-AVERAGE(J6:J1198))/(STDEV(J6:J1198)+1E-12))</f>
        <v/>
      </c>
      <c r="L487" s="3">
        <f>IF('3a Raw'!H487="","",MAX(-3,MIN(3,('3a Raw'!H487-$L3)/$L4)))</f>
        <v/>
      </c>
      <c r="M487" s="3">
        <f>IF(L487="","",(L487-AVERAGE(L6:L1198))/(STDEV(L6:L1198)+1E-12))</f>
        <v/>
      </c>
      <c r="N487" s="3">
        <f>IF('3a Raw'!I487="","",MAX(-3,MIN(3,('3a Raw'!I487-$N3)/$N4)))</f>
        <v/>
      </c>
      <c r="O487" s="3">
        <f>IF(N487="","",(N487-AVERAGE(N6:N1198))/(STDEV(N6:N1198)+1E-12))</f>
        <v/>
      </c>
      <c r="P487" s="3">
        <f>IF('3a Raw'!J487="","",MAX(-3,MIN(3,('3a Raw'!J487-$P3)/$P4)))</f>
        <v/>
      </c>
      <c r="Q487" s="3">
        <f>IF(P487="","",(P487-AVERAGE(P6:P1198))/(STDEV(P6:P1198)+1E-12))</f>
        <v/>
      </c>
      <c r="R487" s="3">
        <f>IF('3a Raw'!K487="","",MAX(-3,MIN(3,('3a Raw'!K487-$R3)/$R4)))</f>
        <v/>
      </c>
      <c r="S487" s="3">
        <f>IF(R487="","",(R487-AVERAGE(R6:R1198))/(STDEV(R6:R1198)+1E-12))</f>
        <v/>
      </c>
      <c r="T487" s="3">
        <f>IF('3a Raw'!L487="","",MAX(-3,MIN(3,('3a Raw'!L487-$T3)/$T4)))</f>
        <v/>
      </c>
      <c r="U487" s="3">
        <f>IF(T487="","",(T487-AVERAGE(T6:T1198))/(STDEV(T6:T1198)+1E-12))</f>
        <v/>
      </c>
      <c r="X487" s="3">
        <f>IF(U487="","",U487-($V$3*G487+$W$3))</f>
        <v/>
      </c>
      <c r="Y487" s="3">
        <f>IF(X487="","",MAX(-3,MIN(3,(X487-$X3)/$X4)))</f>
        <v/>
      </c>
      <c r="Z487" s="3">
        <f>IF(Y487="","",(Y487-AVERAGE(Y6:Y1198))/(STDEV(Y6:Y1198)+1E-12))</f>
        <v/>
      </c>
    </row>
    <row r="488">
      <c r="A488" t="inlineStr">
        <is>
          <t>BBG000P1K2X6</t>
        </is>
      </c>
      <c r="B488" s="3">
        <f>IF('3a Raw'!C488="","",MAX(-3,MIN(3,('3a Raw'!C488-$B3)/$B4)))</f>
        <v/>
      </c>
      <c r="C488" s="3">
        <f>IF(B488="","",(B488-AVERAGE(B6:B1198))/(STDEV(B6:B1198)+1E-12))</f>
        <v/>
      </c>
      <c r="D488" s="3">
        <f>IF('3a Raw'!D488="","",MAX(-3,MIN(3,('3a Raw'!D488-$D3)/$D4)))</f>
        <v/>
      </c>
      <c r="E488" s="3">
        <f>IF(D488="","",(D488-AVERAGE(D6:D1198))/(STDEV(D6:D1198)+1E-12))</f>
        <v/>
      </c>
      <c r="F488" s="3">
        <f>IF('3a Raw'!E488="","",MAX(-3,MIN(3,('3a Raw'!E488-$F3)/$F4)))</f>
        <v/>
      </c>
      <c r="G488" s="3">
        <f>IF(F488="","",(F488-AVERAGE(F6:F1198))/(STDEV(F6:F1198)+1E-12))</f>
        <v/>
      </c>
      <c r="H488" s="3">
        <f>IF('3a Raw'!F488="","",MAX(-3,MIN(3,('3a Raw'!F488-$H3)/$H4)))</f>
        <v/>
      </c>
      <c r="I488" s="3">
        <f>IF(H488="","",(H488-AVERAGE(H6:H1198))/(STDEV(H6:H1198)+1E-12))</f>
        <v/>
      </c>
      <c r="J488" s="3">
        <f>IF('3a Raw'!G488="","",MAX(-3,MIN(3,('3a Raw'!G488-$J3)/$J4)))</f>
        <v/>
      </c>
      <c r="K488" s="3">
        <f>IF(J488="","",(J488-AVERAGE(J6:J1198))/(STDEV(J6:J1198)+1E-12))</f>
        <v/>
      </c>
      <c r="L488" s="3">
        <f>IF('3a Raw'!H488="","",MAX(-3,MIN(3,('3a Raw'!H488-$L3)/$L4)))</f>
        <v/>
      </c>
      <c r="M488" s="3">
        <f>IF(L488="","",(L488-AVERAGE(L6:L1198))/(STDEV(L6:L1198)+1E-12))</f>
        <v/>
      </c>
      <c r="N488" s="3">
        <f>IF('3a Raw'!I488="","",MAX(-3,MIN(3,('3a Raw'!I488-$N3)/$N4)))</f>
        <v/>
      </c>
      <c r="O488" s="3">
        <f>IF(N488="","",(N488-AVERAGE(N6:N1198))/(STDEV(N6:N1198)+1E-12))</f>
        <v/>
      </c>
      <c r="P488" s="3">
        <f>IF('3a Raw'!J488="","",MAX(-3,MIN(3,('3a Raw'!J488-$P3)/$P4)))</f>
        <v/>
      </c>
      <c r="Q488" s="3">
        <f>IF(P488="","",(P488-AVERAGE(P6:P1198))/(STDEV(P6:P1198)+1E-12))</f>
        <v/>
      </c>
      <c r="R488" s="3">
        <f>IF('3a Raw'!K488="","",MAX(-3,MIN(3,('3a Raw'!K488-$R3)/$R4)))</f>
        <v/>
      </c>
      <c r="S488" s="3">
        <f>IF(R488="","",(R488-AVERAGE(R6:R1198))/(STDEV(R6:R1198)+1E-12))</f>
        <v/>
      </c>
      <c r="T488" s="3">
        <f>IF('3a Raw'!L488="","",MAX(-3,MIN(3,('3a Raw'!L488-$T3)/$T4)))</f>
        <v/>
      </c>
      <c r="U488" s="3">
        <f>IF(T488="","",(T488-AVERAGE(T6:T1198))/(STDEV(T6:T1198)+1E-12))</f>
        <v/>
      </c>
      <c r="X488" s="3">
        <f>IF(U488="","",U488-($V$3*G488+$W$3))</f>
        <v/>
      </c>
      <c r="Y488" s="3">
        <f>IF(X488="","",MAX(-3,MIN(3,(X488-$X3)/$X4)))</f>
        <v/>
      </c>
      <c r="Z488" s="3">
        <f>IF(Y488="","",(Y488-AVERAGE(Y6:Y1198))/(STDEV(Y6:Y1198)+1E-12))</f>
        <v/>
      </c>
    </row>
    <row r="489">
      <c r="A489" t="inlineStr">
        <is>
          <t>BBG000DVB833</t>
        </is>
      </c>
      <c r="B489" s="3">
        <f>IF('3a Raw'!C489="","",MAX(-3,MIN(3,('3a Raw'!C489-$B3)/$B4)))</f>
        <v/>
      </c>
      <c r="C489" s="3">
        <f>IF(B489="","",(B489-AVERAGE(B6:B1198))/(STDEV(B6:B1198)+1E-12))</f>
        <v/>
      </c>
      <c r="D489" s="3">
        <f>IF('3a Raw'!D489="","",MAX(-3,MIN(3,('3a Raw'!D489-$D3)/$D4)))</f>
        <v/>
      </c>
      <c r="E489" s="3">
        <f>IF(D489="","",(D489-AVERAGE(D6:D1198))/(STDEV(D6:D1198)+1E-12))</f>
        <v/>
      </c>
      <c r="F489" s="3">
        <f>IF('3a Raw'!E489="","",MAX(-3,MIN(3,('3a Raw'!E489-$F3)/$F4)))</f>
        <v/>
      </c>
      <c r="G489" s="3">
        <f>IF(F489="","",(F489-AVERAGE(F6:F1198))/(STDEV(F6:F1198)+1E-12))</f>
        <v/>
      </c>
      <c r="H489" s="3">
        <f>IF('3a Raw'!F489="","",MAX(-3,MIN(3,('3a Raw'!F489-$H3)/$H4)))</f>
        <v/>
      </c>
      <c r="I489" s="3">
        <f>IF(H489="","",(H489-AVERAGE(H6:H1198))/(STDEV(H6:H1198)+1E-12))</f>
        <v/>
      </c>
      <c r="J489" s="3">
        <f>IF('3a Raw'!G489="","",MAX(-3,MIN(3,('3a Raw'!G489-$J3)/$J4)))</f>
        <v/>
      </c>
      <c r="K489" s="3">
        <f>IF(J489="","",(J489-AVERAGE(J6:J1198))/(STDEV(J6:J1198)+1E-12))</f>
        <v/>
      </c>
      <c r="L489" s="3">
        <f>IF('3a Raw'!H489="","",MAX(-3,MIN(3,('3a Raw'!H489-$L3)/$L4)))</f>
        <v/>
      </c>
      <c r="M489" s="3">
        <f>IF(L489="","",(L489-AVERAGE(L6:L1198))/(STDEV(L6:L1198)+1E-12))</f>
        <v/>
      </c>
      <c r="N489" s="3">
        <f>IF('3a Raw'!I489="","",MAX(-3,MIN(3,('3a Raw'!I489-$N3)/$N4)))</f>
        <v/>
      </c>
      <c r="O489" s="3">
        <f>IF(N489="","",(N489-AVERAGE(N6:N1198))/(STDEV(N6:N1198)+1E-12))</f>
        <v/>
      </c>
      <c r="P489" s="3">
        <f>IF('3a Raw'!J489="","",MAX(-3,MIN(3,('3a Raw'!J489-$P3)/$P4)))</f>
        <v/>
      </c>
      <c r="Q489" s="3">
        <f>IF(P489="","",(P489-AVERAGE(P6:P1198))/(STDEV(P6:P1198)+1E-12))</f>
        <v/>
      </c>
      <c r="R489" s="3">
        <f>IF('3a Raw'!K489="","",MAX(-3,MIN(3,('3a Raw'!K489-$R3)/$R4)))</f>
        <v/>
      </c>
      <c r="S489" s="3">
        <f>IF(R489="","",(R489-AVERAGE(R6:R1198))/(STDEV(R6:R1198)+1E-12))</f>
        <v/>
      </c>
      <c r="T489" s="3">
        <f>IF('3a Raw'!L489="","",MAX(-3,MIN(3,('3a Raw'!L489-$T3)/$T4)))</f>
        <v/>
      </c>
      <c r="U489" s="3">
        <f>IF(T489="","",(T489-AVERAGE(T6:T1198))/(STDEV(T6:T1198)+1E-12))</f>
        <v/>
      </c>
      <c r="X489" s="3">
        <f>IF(U489="","",U489-($V$3*G489+$W$3))</f>
        <v/>
      </c>
      <c r="Y489" s="3">
        <f>IF(X489="","",MAX(-3,MIN(3,(X489-$X3)/$X4)))</f>
        <v/>
      </c>
      <c r="Z489" s="3">
        <f>IF(Y489="","",(Y489-AVERAGE(Y6:Y1198))/(STDEV(Y6:Y1198)+1E-12))</f>
        <v/>
      </c>
    </row>
    <row r="490">
      <c r="A490" t="inlineStr">
        <is>
          <t>BBG000BKR1D6</t>
        </is>
      </c>
      <c r="B490" s="3">
        <f>IF('3a Raw'!C490="","",MAX(-3,MIN(3,('3a Raw'!C490-$B3)/$B4)))</f>
        <v/>
      </c>
      <c r="C490" s="3">
        <f>IF(B490="","",(B490-AVERAGE(B6:B1198))/(STDEV(B6:B1198)+1E-12))</f>
        <v/>
      </c>
      <c r="D490" s="3">
        <f>IF('3a Raw'!D490="","",MAX(-3,MIN(3,('3a Raw'!D490-$D3)/$D4)))</f>
        <v/>
      </c>
      <c r="E490" s="3">
        <f>IF(D490="","",(D490-AVERAGE(D6:D1198))/(STDEV(D6:D1198)+1E-12))</f>
        <v/>
      </c>
      <c r="F490" s="3">
        <f>IF('3a Raw'!E490="","",MAX(-3,MIN(3,('3a Raw'!E490-$F3)/$F4)))</f>
        <v/>
      </c>
      <c r="G490" s="3">
        <f>IF(F490="","",(F490-AVERAGE(F6:F1198))/(STDEV(F6:F1198)+1E-12))</f>
        <v/>
      </c>
      <c r="H490" s="3">
        <f>IF('3a Raw'!F490="","",MAX(-3,MIN(3,('3a Raw'!F490-$H3)/$H4)))</f>
        <v/>
      </c>
      <c r="I490" s="3">
        <f>IF(H490="","",(H490-AVERAGE(H6:H1198))/(STDEV(H6:H1198)+1E-12))</f>
        <v/>
      </c>
      <c r="J490" s="3">
        <f>IF('3a Raw'!G490="","",MAX(-3,MIN(3,('3a Raw'!G490-$J3)/$J4)))</f>
        <v/>
      </c>
      <c r="K490" s="3">
        <f>IF(J490="","",(J490-AVERAGE(J6:J1198))/(STDEV(J6:J1198)+1E-12))</f>
        <v/>
      </c>
      <c r="L490" s="3">
        <f>IF('3a Raw'!H490="","",MAX(-3,MIN(3,('3a Raw'!H490-$L3)/$L4)))</f>
        <v/>
      </c>
      <c r="M490" s="3">
        <f>IF(L490="","",(L490-AVERAGE(L6:L1198))/(STDEV(L6:L1198)+1E-12))</f>
        <v/>
      </c>
      <c r="N490" s="3">
        <f>IF('3a Raw'!I490="","",MAX(-3,MIN(3,('3a Raw'!I490-$N3)/$N4)))</f>
        <v/>
      </c>
      <c r="O490" s="3">
        <f>IF(N490="","",(N490-AVERAGE(N6:N1198))/(STDEV(N6:N1198)+1E-12))</f>
        <v/>
      </c>
      <c r="P490" s="3">
        <f>IF('3a Raw'!J490="","",MAX(-3,MIN(3,('3a Raw'!J490-$P3)/$P4)))</f>
        <v/>
      </c>
      <c r="Q490" s="3">
        <f>IF(P490="","",(P490-AVERAGE(P6:P1198))/(STDEV(P6:P1198)+1E-12))</f>
        <v/>
      </c>
      <c r="R490" s="3">
        <f>IF('3a Raw'!K490="","",MAX(-3,MIN(3,('3a Raw'!K490-$R3)/$R4)))</f>
        <v/>
      </c>
      <c r="S490" s="3">
        <f>IF(R490="","",(R490-AVERAGE(R6:R1198))/(STDEV(R6:R1198)+1E-12))</f>
        <v/>
      </c>
      <c r="T490" s="3">
        <f>IF('3a Raw'!L490="","",MAX(-3,MIN(3,('3a Raw'!L490-$T3)/$T4)))</f>
        <v/>
      </c>
      <c r="U490" s="3">
        <f>IF(T490="","",(T490-AVERAGE(T6:T1198))/(STDEV(T6:T1198)+1E-12))</f>
        <v/>
      </c>
      <c r="X490" s="3">
        <f>IF(U490="","",U490-($V$3*G490+$W$3))</f>
        <v/>
      </c>
      <c r="Y490" s="3">
        <f>IF(X490="","",MAX(-3,MIN(3,(X490-$X3)/$X4)))</f>
        <v/>
      </c>
      <c r="Z490" s="3">
        <f>IF(Y490="","",(Y490-AVERAGE(Y6:Y1198))/(STDEV(Y6:Y1198)+1E-12))</f>
        <v/>
      </c>
    </row>
    <row r="491">
      <c r="A491" t="inlineStr">
        <is>
          <t>BBG00YDGX945</t>
        </is>
      </c>
      <c r="B491" s="3">
        <f>IF('3a Raw'!C491="","",MAX(-3,MIN(3,('3a Raw'!C491-$B3)/$B4)))</f>
        <v/>
      </c>
      <c r="C491" s="3">
        <f>IF(B491="","",(B491-AVERAGE(B6:B1198))/(STDEV(B6:B1198)+1E-12))</f>
        <v/>
      </c>
      <c r="D491" s="3">
        <f>IF('3a Raw'!D491="","",MAX(-3,MIN(3,('3a Raw'!D491-$D3)/$D4)))</f>
        <v/>
      </c>
      <c r="E491" s="3">
        <f>IF(D491="","",(D491-AVERAGE(D6:D1198))/(STDEV(D6:D1198)+1E-12))</f>
        <v/>
      </c>
      <c r="F491" s="3">
        <f>IF('3a Raw'!E491="","",MAX(-3,MIN(3,('3a Raw'!E491-$F3)/$F4)))</f>
        <v/>
      </c>
      <c r="G491" s="3">
        <f>IF(F491="","",(F491-AVERAGE(F6:F1198))/(STDEV(F6:F1198)+1E-12))</f>
        <v/>
      </c>
      <c r="H491" s="3">
        <f>IF('3a Raw'!F491="","",MAX(-3,MIN(3,('3a Raw'!F491-$H3)/$H4)))</f>
        <v/>
      </c>
      <c r="I491" s="3">
        <f>IF(H491="","",(H491-AVERAGE(H6:H1198))/(STDEV(H6:H1198)+1E-12))</f>
        <v/>
      </c>
      <c r="J491" s="3">
        <f>IF('3a Raw'!G491="","",MAX(-3,MIN(3,('3a Raw'!G491-$J3)/$J4)))</f>
        <v/>
      </c>
      <c r="K491" s="3">
        <f>IF(J491="","",(J491-AVERAGE(J6:J1198))/(STDEV(J6:J1198)+1E-12))</f>
        <v/>
      </c>
      <c r="L491" s="3">
        <f>IF('3a Raw'!H491="","",MAX(-3,MIN(3,('3a Raw'!H491-$L3)/$L4)))</f>
        <v/>
      </c>
      <c r="M491" s="3">
        <f>IF(L491="","",(L491-AVERAGE(L6:L1198))/(STDEV(L6:L1198)+1E-12))</f>
        <v/>
      </c>
      <c r="N491" s="3">
        <f>IF('3a Raw'!I491="","",MAX(-3,MIN(3,('3a Raw'!I491-$N3)/$N4)))</f>
        <v/>
      </c>
      <c r="O491" s="3">
        <f>IF(N491="","",(N491-AVERAGE(N6:N1198))/(STDEV(N6:N1198)+1E-12))</f>
        <v/>
      </c>
      <c r="P491" s="3">
        <f>IF('3a Raw'!J491="","",MAX(-3,MIN(3,('3a Raw'!J491-$P3)/$P4)))</f>
        <v/>
      </c>
      <c r="Q491" s="3">
        <f>IF(P491="","",(P491-AVERAGE(P6:P1198))/(STDEV(P6:P1198)+1E-12))</f>
        <v/>
      </c>
      <c r="R491" s="3">
        <f>IF('3a Raw'!K491="","",MAX(-3,MIN(3,('3a Raw'!K491-$R3)/$R4)))</f>
        <v/>
      </c>
      <c r="S491" s="3">
        <f>IF(R491="","",(R491-AVERAGE(R6:R1198))/(STDEV(R6:R1198)+1E-12))</f>
        <v/>
      </c>
      <c r="T491" s="3">
        <f>IF('3a Raw'!L491="","",MAX(-3,MIN(3,('3a Raw'!L491-$T3)/$T4)))</f>
        <v/>
      </c>
      <c r="U491" s="3">
        <f>IF(T491="","",(T491-AVERAGE(T6:T1198))/(STDEV(T6:T1198)+1E-12))</f>
        <v/>
      </c>
      <c r="X491" s="3">
        <f>IF(U491="","",U491-($V$3*G491+$W$3))</f>
        <v/>
      </c>
      <c r="Y491" s="3">
        <f>IF(X491="","",MAX(-3,MIN(3,(X491-$X3)/$X4)))</f>
        <v/>
      </c>
      <c r="Z491" s="3">
        <f>IF(Y491="","",(Y491-AVERAGE(Y6:Y1198))/(STDEV(Y6:Y1198)+1E-12))</f>
        <v/>
      </c>
    </row>
    <row r="492">
      <c r="A492" t="inlineStr">
        <is>
          <t>BBG000C7TF41</t>
        </is>
      </c>
      <c r="B492" s="3">
        <f>IF('3a Raw'!C492="","",MAX(-3,MIN(3,('3a Raw'!C492-$B3)/$B4)))</f>
        <v/>
      </c>
      <c r="C492" s="3">
        <f>IF(B492="","",(B492-AVERAGE(B6:B1198))/(STDEV(B6:B1198)+1E-12))</f>
        <v/>
      </c>
      <c r="D492" s="3">
        <f>IF('3a Raw'!D492="","",MAX(-3,MIN(3,('3a Raw'!D492-$D3)/$D4)))</f>
        <v/>
      </c>
      <c r="E492" s="3">
        <f>IF(D492="","",(D492-AVERAGE(D6:D1198))/(STDEV(D6:D1198)+1E-12))</f>
        <v/>
      </c>
      <c r="F492" s="3">
        <f>IF('3a Raw'!E492="","",MAX(-3,MIN(3,('3a Raw'!E492-$F3)/$F4)))</f>
        <v/>
      </c>
      <c r="G492" s="3">
        <f>IF(F492="","",(F492-AVERAGE(F6:F1198))/(STDEV(F6:F1198)+1E-12))</f>
        <v/>
      </c>
      <c r="H492" s="3">
        <f>IF('3a Raw'!F492="","",MAX(-3,MIN(3,('3a Raw'!F492-$H3)/$H4)))</f>
        <v/>
      </c>
      <c r="I492" s="3">
        <f>IF(H492="","",(H492-AVERAGE(H6:H1198))/(STDEV(H6:H1198)+1E-12))</f>
        <v/>
      </c>
      <c r="J492" s="3">
        <f>IF('3a Raw'!G492="","",MAX(-3,MIN(3,('3a Raw'!G492-$J3)/$J4)))</f>
        <v/>
      </c>
      <c r="K492" s="3">
        <f>IF(J492="","",(J492-AVERAGE(J6:J1198))/(STDEV(J6:J1198)+1E-12))</f>
        <v/>
      </c>
      <c r="L492" s="3">
        <f>IF('3a Raw'!H492="","",MAX(-3,MIN(3,('3a Raw'!H492-$L3)/$L4)))</f>
        <v/>
      </c>
      <c r="M492" s="3">
        <f>IF(L492="","",(L492-AVERAGE(L6:L1198))/(STDEV(L6:L1198)+1E-12))</f>
        <v/>
      </c>
      <c r="N492" s="3">
        <f>IF('3a Raw'!I492="","",MAX(-3,MIN(3,('3a Raw'!I492-$N3)/$N4)))</f>
        <v/>
      </c>
      <c r="O492" s="3">
        <f>IF(N492="","",(N492-AVERAGE(N6:N1198))/(STDEV(N6:N1198)+1E-12))</f>
        <v/>
      </c>
      <c r="P492" s="3">
        <f>IF('3a Raw'!J492="","",MAX(-3,MIN(3,('3a Raw'!J492-$P3)/$P4)))</f>
        <v/>
      </c>
      <c r="Q492" s="3">
        <f>IF(P492="","",(P492-AVERAGE(P6:P1198))/(STDEV(P6:P1198)+1E-12))</f>
        <v/>
      </c>
      <c r="R492" s="3">
        <f>IF('3a Raw'!K492="","",MAX(-3,MIN(3,('3a Raw'!K492-$R3)/$R4)))</f>
        <v/>
      </c>
      <c r="S492" s="3">
        <f>IF(R492="","",(R492-AVERAGE(R6:R1198))/(STDEV(R6:R1198)+1E-12))</f>
        <v/>
      </c>
      <c r="T492" s="3">
        <f>IF('3a Raw'!L492="","",MAX(-3,MIN(3,('3a Raw'!L492-$T3)/$T4)))</f>
        <v/>
      </c>
      <c r="U492" s="3">
        <f>IF(T492="","",(T492-AVERAGE(T6:T1198))/(STDEV(T6:T1198)+1E-12))</f>
        <v/>
      </c>
      <c r="X492" s="3">
        <f>IF(U492="","",U492-($V$3*G492+$W$3))</f>
        <v/>
      </c>
      <c r="Y492" s="3">
        <f>IF(X492="","",MAX(-3,MIN(3,(X492-$X3)/$X4)))</f>
        <v/>
      </c>
      <c r="Z492" s="3">
        <f>IF(Y492="","",(Y492-AVERAGE(Y6:Y1198))/(STDEV(Y6:Y1198)+1E-12))</f>
        <v/>
      </c>
    </row>
    <row r="493">
      <c r="A493" t="inlineStr">
        <is>
          <t>BBG000BQW085</t>
        </is>
      </c>
      <c r="B493" s="3">
        <f>IF('3a Raw'!C493="","",MAX(-3,MIN(3,('3a Raw'!C493-$B3)/$B4)))</f>
        <v/>
      </c>
      <c r="C493" s="3">
        <f>IF(B493="","",(B493-AVERAGE(B6:B1198))/(STDEV(B6:B1198)+1E-12))</f>
        <v/>
      </c>
      <c r="D493" s="3">
        <f>IF('3a Raw'!D493="","",MAX(-3,MIN(3,('3a Raw'!D493-$D3)/$D4)))</f>
        <v/>
      </c>
      <c r="E493" s="3">
        <f>IF(D493="","",(D493-AVERAGE(D6:D1198))/(STDEV(D6:D1198)+1E-12))</f>
        <v/>
      </c>
      <c r="F493" s="3">
        <f>IF('3a Raw'!E493="","",MAX(-3,MIN(3,('3a Raw'!E493-$F3)/$F4)))</f>
        <v/>
      </c>
      <c r="G493" s="3">
        <f>IF(F493="","",(F493-AVERAGE(F6:F1198))/(STDEV(F6:F1198)+1E-12))</f>
        <v/>
      </c>
      <c r="H493" s="3">
        <f>IF('3a Raw'!F493="","",MAX(-3,MIN(3,('3a Raw'!F493-$H3)/$H4)))</f>
        <v/>
      </c>
      <c r="I493" s="3">
        <f>IF(H493="","",(H493-AVERAGE(H6:H1198))/(STDEV(H6:H1198)+1E-12))</f>
        <v/>
      </c>
      <c r="J493" s="3">
        <f>IF('3a Raw'!G493="","",MAX(-3,MIN(3,('3a Raw'!G493-$J3)/$J4)))</f>
        <v/>
      </c>
      <c r="K493" s="3">
        <f>IF(J493="","",(J493-AVERAGE(J6:J1198))/(STDEV(J6:J1198)+1E-12))</f>
        <v/>
      </c>
      <c r="L493" s="3">
        <f>IF('3a Raw'!H493="","",MAX(-3,MIN(3,('3a Raw'!H493-$L3)/$L4)))</f>
        <v/>
      </c>
      <c r="M493" s="3">
        <f>IF(L493="","",(L493-AVERAGE(L6:L1198))/(STDEV(L6:L1198)+1E-12))</f>
        <v/>
      </c>
      <c r="N493" s="3">
        <f>IF('3a Raw'!I493="","",MAX(-3,MIN(3,('3a Raw'!I493-$N3)/$N4)))</f>
        <v/>
      </c>
      <c r="O493" s="3">
        <f>IF(N493="","",(N493-AVERAGE(N6:N1198))/(STDEV(N6:N1198)+1E-12))</f>
        <v/>
      </c>
      <c r="P493" s="3">
        <f>IF('3a Raw'!J493="","",MAX(-3,MIN(3,('3a Raw'!J493-$P3)/$P4)))</f>
        <v/>
      </c>
      <c r="Q493" s="3">
        <f>IF(P493="","",(P493-AVERAGE(P6:P1198))/(STDEV(P6:P1198)+1E-12))</f>
        <v/>
      </c>
      <c r="R493" s="3">
        <f>IF('3a Raw'!K493="","",MAX(-3,MIN(3,('3a Raw'!K493-$R3)/$R4)))</f>
        <v/>
      </c>
      <c r="S493" s="3">
        <f>IF(R493="","",(R493-AVERAGE(R6:R1198))/(STDEV(R6:R1198)+1E-12))</f>
        <v/>
      </c>
      <c r="T493" s="3">
        <f>IF('3a Raw'!L493="","",MAX(-3,MIN(3,('3a Raw'!L493-$T3)/$T4)))</f>
        <v/>
      </c>
      <c r="U493" s="3">
        <f>IF(T493="","",(T493-AVERAGE(T6:T1198))/(STDEV(T6:T1198)+1E-12))</f>
        <v/>
      </c>
      <c r="X493" s="3">
        <f>IF(U493="","",U493-($V$3*G493+$W$3))</f>
        <v/>
      </c>
      <c r="Y493" s="3">
        <f>IF(X493="","",MAX(-3,MIN(3,(X493-$X3)/$X4)))</f>
        <v/>
      </c>
      <c r="Z493" s="3">
        <f>IF(Y493="","",(Y493-AVERAGE(Y6:Y1198))/(STDEV(Y6:Y1198)+1E-12))</f>
        <v/>
      </c>
    </row>
    <row r="494">
      <c r="A494" t="inlineStr">
        <is>
          <t>BBG000BKTFN2</t>
        </is>
      </c>
      <c r="B494" s="3">
        <f>IF('3a Raw'!C494="","",MAX(-3,MIN(3,('3a Raw'!C494-$B3)/$B4)))</f>
        <v/>
      </c>
      <c r="C494" s="3">
        <f>IF(B494="","",(B494-AVERAGE(B6:B1198))/(STDEV(B6:B1198)+1E-12))</f>
        <v/>
      </c>
      <c r="D494" s="3">
        <f>IF('3a Raw'!D494="","",MAX(-3,MIN(3,('3a Raw'!D494-$D3)/$D4)))</f>
        <v/>
      </c>
      <c r="E494" s="3">
        <f>IF(D494="","",(D494-AVERAGE(D6:D1198))/(STDEV(D6:D1198)+1E-12))</f>
        <v/>
      </c>
      <c r="F494" s="3">
        <f>IF('3a Raw'!E494="","",MAX(-3,MIN(3,('3a Raw'!E494-$F3)/$F4)))</f>
        <v/>
      </c>
      <c r="G494" s="3">
        <f>IF(F494="","",(F494-AVERAGE(F6:F1198))/(STDEV(F6:F1198)+1E-12))</f>
        <v/>
      </c>
      <c r="H494" s="3">
        <f>IF('3a Raw'!F494="","",MAX(-3,MIN(3,('3a Raw'!F494-$H3)/$H4)))</f>
        <v/>
      </c>
      <c r="I494" s="3">
        <f>IF(H494="","",(H494-AVERAGE(H6:H1198))/(STDEV(H6:H1198)+1E-12))</f>
        <v/>
      </c>
      <c r="J494" s="3">
        <f>IF('3a Raw'!G494="","",MAX(-3,MIN(3,('3a Raw'!G494-$J3)/$J4)))</f>
        <v/>
      </c>
      <c r="K494" s="3">
        <f>IF(J494="","",(J494-AVERAGE(J6:J1198))/(STDEV(J6:J1198)+1E-12))</f>
        <v/>
      </c>
      <c r="L494" s="3">
        <f>IF('3a Raw'!H494="","",MAX(-3,MIN(3,('3a Raw'!H494-$L3)/$L4)))</f>
        <v/>
      </c>
      <c r="M494" s="3">
        <f>IF(L494="","",(L494-AVERAGE(L6:L1198))/(STDEV(L6:L1198)+1E-12))</f>
        <v/>
      </c>
      <c r="N494" s="3">
        <f>IF('3a Raw'!I494="","",MAX(-3,MIN(3,('3a Raw'!I494-$N3)/$N4)))</f>
        <v/>
      </c>
      <c r="O494" s="3">
        <f>IF(N494="","",(N494-AVERAGE(N6:N1198))/(STDEV(N6:N1198)+1E-12))</f>
        <v/>
      </c>
      <c r="P494" s="3">
        <f>IF('3a Raw'!J494="","",MAX(-3,MIN(3,('3a Raw'!J494-$P3)/$P4)))</f>
        <v/>
      </c>
      <c r="Q494" s="3">
        <f>IF(P494="","",(P494-AVERAGE(P6:P1198))/(STDEV(P6:P1198)+1E-12))</f>
        <v/>
      </c>
      <c r="R494" s="3">
        <f>IF('3a Raw'!K494="","",MAX(-3,MIN(3,('3a Raw'!K494-$R3)/$R4)))</f>
        <v/>
      </c>
      <c r="S494" s="3">
        <f>IF(R494="","",(R494-AVERAGE(R6:R1198))/(STDEV(R6:R1198)+1E-12))</f>
        <v/>
      </c>
      <c r="T494" s="3">
        <f>IF('3a Raw'!L494="","",MAX(-3,MIN(3,('3a Raw'!L494-$T3)/$T4)))</f>
        <v/>
      </c>
      <c r="U494" s="3">
        <f>IF(T494="","",(T494-AVERAGE(T6:T1198))/(STDEV(T6:T1198)+1E-12))</f>
        <v/>
      </c>
      <c r="X494" s="3">
        <f>IF(U494="","",U494-($V$3*G494+$W$3))</f>
        <v/>
      </c>
      <c r="Y494" s="3">
        <f>IF(X494="","",MAX(-3,MIN(3,(X494-$X3)/$X4)))</f>
        <v/>
      </c>
      <c r="Z494" s="3">
        <f>IF(Y494="","",(Y494-AVERAGE(Y6:Y1198))/(STDEV(Y6:Y1198)+1E-12))</f>
        <v/>
      </c>
    </row>
    <row r="495">
      <c r="A495" t="inlineStr">
        <is>
          <t>has</t>
        </is>
      </c>
      <c r="B495" s="3">
        <f>IF('3a Raw'!C495="","",MAX(-3,MIN(3,('3a Raw'!C495-$B3)/$B4)))</f>
        <v/>
      </c>
      <c r="C495" s="3">
        <f>IF(B495="","",(B495-AVERAGE(B6:B1198))/(STDEV(B6:B1198)+1E-12))</f>
        <v/>
      </c>
      <c r="D495" s="3">
        <f>IF('3a Raw'!D495="","",MAX(-3,MIN(3,('3a Raw'!D495-$D3)/$D4)))</f>
        <v/>
      </c>
      <c r="E495" s="3">
        <f>IF(D495="","",(D495-AVERAGE(D6:D1198))/(STDEV(D6:D1198)+1E-12))</f>
        <v/>
      </c>
      <c r="F495" s="3">
        <f>IF('3a Raw'!E495="","",MAX(-3,MIN(3,('3a Raw'!E495-$F3)/$F4)))</f>
        <v/>
      </c>
      <c r="G495" s="3">
        <f>IF(F495="","",(F495-AVERAGE(F6:F1198))/(STDEV(F6:F1198)+1E-12))</f>
        <v/>
      </c>
      <c r="H495" s="3">
        <f>IF('3a Raw'!F495="","",MAX(-3,MIN(3,('3a Raw'!F495-$H3)/$H4)))</f>
        <v/>
      </c>
      <c r="I495" s="3">
        <f>IF(H495="","",(H495-AVERAGE(H6:H1198))/(STDEV(H6:H1198)+1E-12))</f>
        <v/>
      </c>
      <c r="J495" s="3">
        <f>IF('3a Raw'!G495="","",MAX(-3,MIN(3,('3a Raw'!G495-$J3)/$J4)))</f>
        <v/>
      </c>
      <c r="K495" s="3">
        <f>IF(J495="","",(J495-AVERAGE(J6:J1198))/(STDEV(J6:J1198)+1E-12))</f>
        <v/>
      </c>
      <c r="L495" s="3">
        <f>IF('3a Raw'!H495="","",MAX(-3,MIN(3,('3a Raw'!H495-$L3)/$L4)))</f>
        <v/>
      </c>
      <c r="M495" s="3">
        <f>IF(L495="","",(L495-AVERAGE(L6:L1198))/(STDEV(L6:L1198)+1E-12))</f>
        <v/>
      </c>
      <c r="N495" s="3">
        <f>IF('3a Raw'!I495="","",MAX(-3,MIN(3,('3a Raw'!I495-$N3)/$N4)))</f>
        <v/>
      </c>
      <c r="O495" s="3">
        <f>IF(N495="","",(N495-AVERAGE(N6:N1198))/(STDEV(N6:N1198)+1E-12))</f>
        <v/>
      </c>
      <c r="P495" s="3">
        <f>IF('3a Raw'!J495="","",MAX(-3,MIN(3,('3a Raw'!J495-$P3)/$P4)))</f>
        <v/>
      </c>
      <c r="Q495" s="3">
        <f>IF(P495="","",(P495-AVERAGE(P6:P1198))/(STDEV(P6:P1198)+1E-12))</f>
        <v/>
      </c>
      <c r="R495" s="3">
        <f>IF('3a Raw'!K495="","",MAX(-3,MIN(3,('3a Raw'!K495-$R3)/$R4)))</f>
        <v/>
      </c>
      <c r="S495" s="3">
        <f>IF(R495="","",(R495-AVERAGE(R6:R1198))/(STDEV(R6:R1198)+1E-12))</f>
        <v/>
      </c>
      <c r="T495" s="3">
        <f>IF('3a Raw'!L495="","",MAX(-3,MIN(3,('3a Raw'!L495-$T3)/$T4)))</f>
        <v/>
      </c>
      <c r="U495" s="3">
        <f>IF(T495="","",(T495-AVERAGE(T6:T1198))/(STDEV(T6:T1198)+1E-12))</f>
        <v/>
      </c>
      <c r="X495" s="3">
        <f>IF(U495="","",U495-($V$3*G495+$W$3))</f>
        <v/>
      </c>
      <c r="Y495" s="3">
        <f>IF(X495="","",MAX(-3,MIN(3,(X495-$X3)/$X4)))</f>
        <v/>
      </c>
      <c r="Z495" s="3">
        <f>IF(Y495="","",(Y495-AVERAGE(Y6:Y1198))/(STDEV(Y6:Y1198)+1E-12))</f>
        <v/>
      </c>
    </row>
    <row r="496">
      <c r="A496" t="inlineStr">
        <is>
          <t>BBG000BKWSR6</t>
        </is>
      </c>
      <c r="B496" s="3">
        <f>IF('3a Raw'!C496="","",MAX(-3,MIN(3,('3a Raw'!C496-$B3)/$B4)))</f>
        <v/>
      </c>
      <c r="C496" s="3">
        <f>IF(B496="","",(B496-AVERAGE(B6:B1198))/(STDEV(B6:B1198)+1E-12))</f>
        <v/>
      </c>
      <c r="D496" s="3">
        <f>IF('3a Raw'!D496="","",MAX(-3,MIN(3,('3a Raw'!D496-$D3)/$D4)))</f>
        <v/>
      </c>
      <c r="E496" s="3">
        <f>IF(D496="","",(D496-AVERAGE(D6:D1198))/(STDEV(D6:D1198)+1E-12))</f>
        <v/>
      </c>
      <c r="F496" s="3">
        <f>IF('3a Raw'!E496="","",MAX(-3,MIN(3,('3a Raw'!E496-$F3)/$F4)))</f>
        <v/>
      </c>
      <c r="G496" s="3">
        <f>IF(F496="","",(F496-AVERAGE(F6:F1198))/(STDEV(F6:F1198)+1E-12))</f>
        <v/>
      </c>
      <c r="H496" s="3">
        <f>IF('3a Raw'!F496="","",MAX(-3,MIN(3,('3a Raw'!F496-$H3)/$H4)))</f>
        <v/>
      </c>
      <c r="I496" s="3">
        <f>IF(H496="","",(H496-AVERAGE(H6:H1198))/(STDEV(H6:H1198)+1E-12))</f>
        <v/>
      </c>
      <c r="J496" s="3">
        <f>IF('3a Raw'!G496="","",MAX(-3,MIN(3,('3a Raw'!G496-$J3)/$J4)))</f>
        <v/>
      </c>
      <c r="K496" s="3">
        <f>IF(J496="","",(J496-AVERAGE(J6:J1198))/(STDEV(J6:J1198)+1E-12))</f>
        <v/>
      </c>
      <c r="L496" s="3">
        <f>IF('3a Raw'!H496="","",MAX(-3,MIN(3,('3a Raw'!H496-$L3)/$L4)))</f>
        <v/>
      </c>
      <c r="M496" s="3">
        <f>IF(L496="","",(L496-AVERAGE(L6:L1198))/(STDEV(L6:L1198)+1E-12))</f>
        <v/>
      </c>
      <c r="N496" s="3">
        <f>IF('3a Raw'!I496="","",MAX(-3,MIN(3,('3a Raw'!I496-$N3)/$N4)))</f>
        <v/>
      </c>
      <c r="O496" s="3">
        <f>IF(N496="","",(N496-AVERAGE(N6:N1198))/(STDEV(N6:N1198)+1E-12))</f>
        <v/>
      </c>
      <c r="P496" s="3">
        <f>IF('3a Raw'!J496="","",MAX(-3,MIN(3,('3a Raw'!J496-$P3)/$P4)))</f>
        <v/>
      </c>
      <c r="Q496" s="3">
        <f>IF(P496="","",(P496-AVERAGE(P6:P1198))/(STDEV(P6:P1198)+1E-12))</f>
        <v/>
      </c>
      <c r="R496" s="3">
        <f>IF('3a Raw'!K496="","",MAX(-3,MIN(3,('3a Raw'!K496-$R3)/$R4)))</f>
        <v/>
      </c>
      <c r="S496" s="3">
        <f>IF(R496="","",(R496-AVERAGE(R6:R1198))/(STDEV(R6:R1198)+1E-12))</f>
        <v/>
      </c>
      <c r="T496" s="3">
        <f>IF('3a Raw'!L496="","",MAX(-3,MIN(3,('3a Raw'!L496-$T3)/$T4)))</f>
        <v/>
      </c>
      <c r="U496" s="3">
        <f>IF(T496="","",(T496-AVERAGE(T6:T1198))/(STDEV(T6:T1198)+1E-12))</f>
        <v/>
      </c>
      <c r="X496" s="3">
        <f>IF(U496="","",U496-($V$3*G496+$W$3))</f>
        <v/>
      </c>
      <c r="Y496" s="3">
        <f>IF(X496="","",MAX(-3,MIN(3,(X496-$X3)/$X4)))</f>
        <v/>
      </c>
      <c r="Z496" s="3">
        <f>IF(Y496="","",(Y496-AVERAGE(Y6:Y1198))/(STDEV(Y6:Y1198)+1E-12))</f>
        <v/>
      </c>
    </row>
    <row r="497">
      <c r="A497" t="inlineStr">
        <is>
          <t>BBG000QW7VC1</t>
        </is>
      </c>
      <c r="B497" s="3">
        <f>IF('3a Raw'!C497="","",MAX(-3,MIN(3,('3a Raw'!C497-$B3)/$B4)))</f>
        <v/>
      </c>
      <c r="C497" s="3">
        <f>IF(B497="","",(B497-AVERAGE(B6:B1198))/(STDEV(B6:B1198)+1E-12))</f>
        <v/>
      </c>
      <c r="D497" s="3">
        <f>IF('3a Raw'!D497="","",MAX(-3,MIN(3,('3a Raw'!D497-$D3)/$D4)))</f>
        <v/>
      </c>
      <c r="E497" s="3">
        <f>IF(D497="","",(D497-AVERAGE(D6:D1198))/(STDEV(D6:D1198)+1E-12))</f>
        <v/>
      </c>
      <c r="F497" s="3">
        <f>IF('3a Raw'!E497="","",MAX(-3,MIN(3,('3a Raw'!E497-$F3)/$F4)))</f>
        <v/>
      </c>
      <c r="G497" s="3">
        <f>IF(F497="","",(F497-AVERAGE(F6:F1198))/(STDEV(F6:F1198)+1E-12))</f>
        <v/>
      </c>
      <c r="H497" s="3">
        <f>IF('3a Raw'!F497="","",MAX(-3,MIN(3,('3a Raw'!F497-$H3)/$H4)))</f>
        <v/>
      </c>
      <c r="I497" s="3">
        <f>IF(H497="","",(H497-AVERAGE(H6:H1198))/(STDEV(H6:H1198)+1E-12))</f>
        <v/>
      </c>
      <c r="J497" s="3">
        <f>IF('3a Raw'!G497="","",MAX(-3,MIN(3,('3a Raw'!G497-$J3)/$J4)))</f>
        <v/>
      </c>
      <c r="K497" s="3">
        <f>IF(J497="","",(J497-AVERAGE(J6:J1198))/(STDEV(J6:J1198)+1E-12))</f>
        <v/>
      </c>
      <c r="L497" s="3">
        <f>IF('3a Raw'!H497="","",MAX(-3,MIN(3,('3a Raw'!H497-$L3)/$L4)))</f>
        <v/>
      </c>
      <c r="M497" s="3">
        <f>IF(L497="","",(L497-AVERAGE(L6:L1198))/(STDEV(L6:L1198)+1E-12))</f>
        <v/>
      </c>
      <c r="N497" s="3">
        <f>IF('3a Raw'!I497="","",MAX(-3,MIN(3,('3a Raw'!I497-$N3)/$N4)))</f>
        <v/>
      </c>
      <c r="O497" s="3">
        <f>IF(N497="","",(N497-AVERAGE(N6:N1198))/(STDEV(N6:N1198)+1E-12))</f>
        <v/>
      </c>
      <c r="P497" s="3">
        <f>IF('3a Raw'!J497="","",MAX(-3,MIN(3,('3a Raw'!J497-$P3)/$P4)))</f>
        <v/>
      </c>
      <c r="Q497" s="3">
        <f>IF(P497="","",(P497-AVERAGE(P6:P1198))/(STDEV(P6:P1198)+1E-12))</f>
        <v/>
      </c>
      <c r="R497" s="3">
        <f>IF('3a Raw'!K497="","",MAX(-3,MIN(3,('3a Raw'!K497-$R3)/$R4)))</f>
        <v/>
      </c>
      <c r="S497" s="3">
        <f>IF(R497="","",(R497-AVERAGE(R6:R1198))/(STDEV(R6:R1198)+1E-12))</f>
        <v/>
      </c>
      <c r="T497" s="3">
        <f>IF('3a Raw'!L497="","",MAX(-3,MIN(3,('3a Raw'!L497-$T3)/$T4)))</f>
        <v/>
      </c>
      <c r="U497" s="3">
        <f>IF(T497="","",(T497-AVERAGE(T6:T1198))/(STDEV(T6:T1198)+1E-12))</f>
        <v/>
      </c>
      <c r="X497" s="3">
        <f>IF(U497="","",U497-($V$3*G497+$W$3))</f>
        <v/>
      </c>
      <c r="Y497" s="3">
        <f>IF(X497="","",MAX(-3,MIN(3,(X497-$X3)/$X4)))</f>
        <v/>
      </c>
      <c r="Z497" s="3">
        <f>IF(Y497="","",(Y497-AVERAGE(Y6:Y1198))/(STDEV(Y6:Y1198)+1E-12))</f>
        <v/>
      </c>
    </row>
    <row r="498">
      <c r="A498" t="inlineStr">
        <is>
          <t>BBG00B6VCGJ1</t>
        </is>
      </c>
      <c r="B498" s="3">
        <f>IF('3a Raw'!C498="","",MAX(-3,MIN(3,('3a Raw'!C498-$B3)/$B4)))</f>
        <v/>
      </c>
      <c r="C498" s="3">
        <f>IF(B498="","",(B498-AVERAGE(B6:B1198))/(STDEV(B6:B1198)+1E-12))</f>
        <v/>
      </c>
      <c r="D498" s="3">
        <f>IF('3a Raw'!D498="","",MAX(-3,MIN(3,('3a Raw'!D498-$D3)/$D4)))</f>
        <v/>
      </c>
      <c r="E498" s="3">
        <f>IF(D498="","",(D498-AVERAGE(D6:D1198))/(STDEV(D6:D1198)+1E-12))</f>
        <v/>
      </c>
      <c r="F498" s="3">
        <f>IF('3a Raw'!E498="","",MAX(-3,MIN(3,('3a Raw'!E498-$F3)/$F4)))</f>
        <v/>
      </c>
      <c r="G498" s="3">
        <f>IF(F498="","",(F498-AVERAGE(F6:F1198))/(STDEV(F6:F1198)+1E-12))</f>
        <v/>
      </c>
      <c r="H498" s="3">
        <f>IF('3a Raw'!F498="","",MAX(-3,MIN(3,('3a Raw'!F498-$H3)/$H4)))</f>
        <v/>
      </c>
      <c r="I498" s="3">
        <f>IF(H498="","",(H498-AVERAGE(H6:H1198))/(STDEV(H6:H1198)+1E-12))</f>
        <v/>
      </c>
      <c r="J498" s="3">
        <f>IF('3a Raw'!G498="","",MAX(-3,MIN(3,('3a Raw'!G498-$J3)/$J4)))</f>
        <v/>
      </c>
      <c r="K498" s="3">
        <f>IF(J498="","",(J498-AVERAGE(J6:J1198))/(STDEV(J6:J1198)+1E-12))</f>
        <v/>
      </c>
      <c r="L498" s="3">
        <f>IF('3a Raw'!H498="","",MAX(-3,MIN(3,('3a Raw'!H498-$L3)/$L4)))</f>
        <v/>
      </c>
      <c r="M498" s="3">
        <f>IF(L498="","",(L498-AVERAGE(L6:L1198))/(STDEV(L6:L1198)+1E-12))</f>
        <v/>
      </c>
      <c r="N498" s="3">
        <f>IF('3a Raw'!I498="","",MAX(-3,MIN(3,('3a Raw'!I498-$N3)/$N4)))</f>
        <v/>
      </c>
      <c r="O498" s="3">
        <f>IF(N498="","",(N498-AVERAGE(N6:N1198))/(STDEV(N6:N1198)+1E-12))</f>
        <v/>
      </c>
      <c r="P498" s="3">
        <f>IF('3a Raw'!J498="","",MAX(-3,MIN(3,('3a Raw'!J498-$P3)/$P4)))</f>
        <v/>
      </c>
      <c r="Q498" s="3">
        <f>IF(P498="","",(P498-AVERAGE(P6:P1198))/(STDEV(P6:P1198)+1E-12))</f>
        <v/>
      </c>
      <c r="R498" s="3">
        <f>IF('3a Raw'!K498="","",MAX(-3,MIN(3,('3a Raw'!K498-$R3)/$R4)))</f>
        <v/>
      </c>
      <c r="S498" s="3">
        <f>IF(R498="","",(R498-AVERAGE(R6:R1198))/(STDEV(R6:R1198)+1E-12))</f>
        <v/>
      </c>
      <c r="T498" s="3">
        <f>IF('3a Raw'!L498="","",MAX(-3,MIN(3,('3a Raw'!L498-$T3)/$T4)))</f>
        <v/>
      </c>
      <c r="U498" s="3">
        <f>IF(T498="","",(T498-AVERAGE(T6:T1198))/(STDEV(T6:T1198)+1E-12))</f>
        <v/>
      </c>
      <c r="X498" s="3">
        <f>IF(U498="","",U498-($V$3*G498+$W$3))</f>
        <v/>
      </c>
      <c r="Y498" s="3">
        <f>IF(X498="","",MAX(-3,MIN(3,(X498-$X3)/$X4)))</f>
        <v/>
      </c>
      <c r="Z498" s="3">
        <f>IF(Y498="","",(Y498-AVERAGE(Y6:Y1198))/(STDEV(Y6:Y1198)+1E-12))</f>
        <v/>
      </c>
    </row>
    <row r="499">
      <c r="A499" t="inlineStr">
        <is>
          <t>BBG000BKYVF0</t>
        </is>
      </c>
      <c r="B499" s="3">
        <f>IF('3a Raw'!C499="","",MAX(-3,MIN(3,('3a Raw'!C499-$B3)/$B4)))</f>
        <v/>
      </c>
      <c r="C499" s="3">
        <f>IF(B499="","",(B499-AVERAGE(B6:B1198))/(STDEV(B6:B1198)+1E-12))</f>
        <v/>
      </c>
      <c r="D499" s="3">
        <f>IF('3a Raw'!D499="","",MAX(-3,MIN(3,('3a Raw'!D499-$D3)/$D4)))</f>
        <v/>
      </c>
      <c r="E499" s="3">
        <f>IF(D499="","",(D499-AVERAGE(D6:D1198))/(STDEV(D6:D1198)+1E-12))</f>
        <v/>
      </c>
      <c r="F499" s="3">
        <f>IF('3a Raw'!E499="","",MAX(-3,MIN(3,('3a Raw'!E499-$F3)/$F4)))</f>
        <v/>
      </c>
      <c r="G499" s="3">
        <f>IF(F499="","",(F499-AVERAGE(F6:F1198))/(STDEV(F6:F1198)+1E-12))</f>
        <v/>
      </c>
      <c r="H499" s="3">
        <f>IF('3a Raw'!F499="","",MAX(-3,MIN(3,('3a Raw'!F499-$H3)/$H4)))</f>
        <v/>
      </c>
      <c r="I499" s="3">
        <f>IF(H499="","",(H499-AVERAGE(H6:H1198))/(STDEV(H6:H1198)+1E-12))</f>
        <v/>
      </c>
      <c r="J499" s="3">
        <f>IF('3a Raw'!G499="","",MAX(-3,MIN(3,('3a Raw'!G499-$J3)/$J4)))</f>
        <v/>
      </c>
      <c r="K499" s="3">
        <f>IF(J499="","",(J499-AVERAGE(J6:J1198))/(STDEV(J6:J1198)+1E-12))</f>
        <v/>
      </c>
      <c r="L499" s="3">
        <f>IF('3a Raw'!H499="","",MAX(-3,MIN(3,('3a Raw'!H499-$L3)/$L4)))</f>
        <v/>
      </c>
      <c r="M499" s="3">
        <f>IF(L499="","",(L499-AVERAGE(L6:L1198))/(STDEV(L6:L1198)+1E-12))</f>
        <v/>
      </c>
      <c r="N499" s="3">
        <f>IF('3a Raw'!I499="","",MAX(-3,MIN(3,('3a Raw'!I499-$N3)/$N4)))</f>
        <v/>
      </c>
      <c r="O499" s="3">
        <f>IF(N499="","",(N499-AVERAGE(N6:N1198))/(STDEV(N6:N1198)+1E-12))</f>
        <v/>
      </c>
      <c r="P499" s="3">
        <f>IF('3a Raw'!J499="","",MAX(-3,MIN(3,('3a Raw'!J499-$P3)/$P4)))</f>
        <v/>
      </c>
      <c r="Q499" s="3">
        <f>IF(P499="","",(P499-AVERAGE(P6:P1198))/(STDEV(P6:P1198)+1E-12))</f>
        <v/>
      </c>
      <c r="R499" s="3">
        <f>IF('3a Raw'!K499="","",MAX(-3,MIN(3,('3a Raw'!K499-$R3)/$R4)))</f>
        <v/>
      </c>
      <c r="S499" s="3">
        <f>IF(R499="","",(R499-AVERAGE(R6:R1198))/(STDEV(R6:R1198)+1E-12))</f>
        <v/>
      </c>
      <c r="T499" s="3">
        <f>IF('3a Raw'!L499="","",MAX(-3,MIN(3,('3a Raw'!L499-$T3)/$T4)))</f>
        <v/>
      </c>
      <c r="U499" s="3">
        <f>IF(T499="","",(T499-AVERAGE(T6:T1198))/(STDEV(T6:T1198)+1E-12))</f>
        <v/>
      </c>
      <c r="X499" s="3">
        <f>IF(U499="","",U499-($V$3*G499+$W$3))</f>
        <v/>
      </c>
      <c r="Y499" s="3">
        <f>IF(X499="","",MAX(-3,MIN(3,(X499-$X3)/$X4)))</f>
        <v/>
      </c>
      <c r="Z499" s="3">
        <f>IF(Y499="","",(Y499-AVERAGE(Y6:Y1198))/(STDEV(Y6:Y1198)+1E-12))</f>
        <v/>
      </c>
    </row>
    <row r="500">
      <c r="A500" t="inlineStr">
        <is>
          <t>BBG000BKZB36</t>
        </is>
      </c>
      <c r="B500" s="3">
        <f>IF('3a Raw'!C500="","",MAX(-3,MIN(3,('3a Raw'!C500-$B3)/$B4)))</f>
        <v/>
      </c>
      <c r="C500" s="3">
        <f>IF(B500="","",(B500-AVERAGE(B6:B1198))/(STDEV(B6:B1198)+1E-12))</f>
        <v/>
      </c>
      <c r="D500" s="3">
        <f>IF('3a Raw'!D500="","",MAX(-3,MIN(3,('3a Raw'!D500-$D3)/$D4)))</f>
        <v/>
      </c>
      <c r="E500" s="3">
        <f>IF(D500="","",(D500-AVERAGE(D6:D1198))/(STDEV(D6:D1198)+1E-12))</f>
        <v/>
      </c>
      <c r="F500" s="3">
        <f>IF('3a Raw'!E500="","",MAX(-3,MIN(3,('3a Raw'!E500-$F3)/$F4)))</f>
        <v/>
      </c>
      <c r="G500" s="3">
        <f>IF(F500="","",(F500-AVERAGE(F6:F1198))/(STDEV(F6:F1198)+1E-12))</f>
        <v/>
      </c>
      <c r="H500" s="3">
        <f>IF('3a Raw'!F500="","",MAX(-3,MIN(3,('3a Raw'!F500-$H3)/$H4)))</f>
        <v/>
      </c>
      <c r="I500" s="3">
        <f>IF(H500="","",(H500-AVERAGE(H6:H1198))/(STDEV(H6:H1198)+1E-12))</f>
        <v/>
      </c>
      <c r="J500" s="3">
        <f>IF('3a Raw'!G500="","",MAX(-3,MIN(3,('3a Raw'!G500-$J3)/$J4)))</f>
        <v/>
      </c>
      <c r="K500" s="3">
        <f>IF(J500="","",(J500-AVERAGE(J6:J1198))/(STDEV(J6:J1198)+1E-12))</f>
        <v/>
      </c>
      <c r="L500" s="3">
        <f>IF('3a Raw'!H500="","",MAX(-3,MIN(3,('3a Raw'!H500-$L3)/$L4)))</f>
        <v/>
      </c>
      <c r="M500" s="3">
        <f>IF(L500="","",(L500-AVERAGE(L6:L1198))/(STDEV(L6:L1198)+1E-12))</f>
        <v/>
      </c>
      <c r="N500" s="3">
        <f>IF('3a Raw'!I500="","",MAX(-3,MIN(3,('3a Raw'!I500-$N3)/$N4)))</f>
        <v/>
      </c>
      <c r="O500" s="3">
        <f>IF(N500="","",(N500-AVERAGE(N6:N1198))/(STDEV(N6:N1198)+1E-12))</f>
        <v/>
      </c>
      <c r="P500" s="3">
        <f>IF('3a Raw'!J500="","",MAX(-3,MIN(3,('3a Raw'!J500-$P3)/$P4)))</f>
        <v/>
      </c>
      <c r="Q500" s="3">
        <f>IF(P500="","",(P500-AVERAGE(P6:P1198))/(STDEV(P6:P1198)+1E-12))</f>
        <v/>
      </c>
      <c r="R500" s="3">
        <f>IF('3a Raw'!K500="","",MAX(-3,MIN(3,('3a Raw'!K500-$R3)/$R4)))</f>
        <v/>
      </c>
      <c r="S500" s="3">
        <f>IF(R500="","",(R500-AVERAGE(R6:R1198))/(STDEV(R6:R1198)+1E-12))</f>
        <v/>
      </c>
      <c r="T500" s="3">
        <f>IF('3a Raw'!L500="","",MAX(-3,MIN(3,('3a Raw'!L500-$T3)/$T4)))</f>
        <v/>
      </c>
      <c r="U500" s="3">
        <f>IF(T500="","",(T500-AVERAGE(T6:T1198))/(STDEV(T6:T1198)+1E-12))</f>
        <v/>
      </c>
      <c r="X500" s="3">
        <f>IF(U500="","",U500-($V$3*G500+$W$3))</f>
        <v/>
      </c>
      <c r="Y500" s="3">
        <f>IF(X500="","",MAX(-3,MIN(3,(X500-$X3)/$X4)))</f>
        <v/>
      </c>
      <c r="Z500" s="3">
        <f>IF(Y500="","",(Y500-AVERAGE(Y6:Y1198))/(STDEV(Y6:Y1198)+1E-12))</f>
        <v/>
      </c>
    </row>
    <row r="501">
      <c r="A501" t="inlineStr">
        <is>
          <t>BBG000NWKS18</t>
        </is>
      </c>
      <c r="B501" s="3">
        <f>IF('3a Raw'!C501="","",MAX(-3,MIN(3,('3a Raw'!C501-$B3)/$B4)))</f>
        <v/>
      </c>
      <c r="C501" s="3">
        <f>IF(B501="","",(B501-AVERAGE(B6:B1198))/(STDEV(B6:B1198)+1E-12))</f>
        <v/>
      </c>
      <c r="D501" s="3">
        <f>IF('3a Raw'!D501="","",MAX(-3,MIN(3,('3a Raw'!D501-$D3)/$D4)))</f>
        <v/>
      </c>
      <c r="E501" s="3">
        <f>IF(D501="","",(D501-AVERAGE(D6:D1198))/(STDEV(D6:D1198)+1E-12))</f>
        <v/>
      </c>
      <c r="F501" s="3">
        <f>IF('3a Raw'!E501="","",MAX(-3,MIN(3,('3a Raw'!E501-$F3)/$F4)))</f>
        <v/>
      </c>
      <c r="G501" s="3">
        <f>IF(F501="","",(F501-AVERAGE(F6:F1198))/(STDEV(F6:F1198)+1E-12))</f>
        <v/>
      </c>
      <c r="H501" s="3">
        <f>IF('3a Raw'!F501="","",MAX(-3,MIN(3,('3a Raw'!F501-$H3)/$H4)))</f>
        <v/>
      </c>
      <c r="I501" s="3">
        <f>IF(H501="","",(H501-AVERAGE(H6:H1198))/(STDEV(H6:H1198)+1E-12))</f>
        <v/>
      </c>
      <c r="J501" s="3">
        <f>IF('3a Raw'!G501="","",MAX(-3,MIN(3,('3a Raw'!G501-$J3)/$J4)))</f>
        <v/>
      </c>
      <c r="K501" s="3">
        <f>IF(J501="","",(J501-AVERAGE(J6:J1198))/(STDEV(J6:J1198)+1E-12))</f>
        <v/>
      </c>
      <c r="L501" s="3">
        <f>IF('3a Raw'!H501="","",MAX(-3,MIN(3,('3a Raw'!H501-$L3)/$L4)))</f>
        <v/>
      </c>
      <c r="M501" s="3">
        <f>IF(L501="","",(L501-AVERAGE(L6:L1198))/(STDEV(L6:L1198)+1E-12))</f>
        <v/>
      </c>
      <c r="N501" s="3">
        <f>IF('3a Raw'!I501="","",MAX(-3,MIN(3,('3a Raw'!I501-$N3)/$N4)))</f>
        <v/>
      </c>
      <c r="O501" s="3">
        <f>IF(N501="","",(N501-AVERAGE(N6:N1198))/(STDEV(N6:N1198)+1E-12))</f>
        <v/>
      </c>
      <c r="P501" s="3">
        <f>IF('3a Raw'!J501="","",MAX(-3,MIN(3,('3a Raw'!J501-$P3)/$P4)))</f>
        <v/>
      </c>
      <c r="Q501" s="3">
        <f>IF(P501="","",(P501-AVERAGE(P6:P1198))/(STDEV(P6:P1198)+1E-12))</f>
        <v/>
      </c>
      <c r="R501" s="3">
        <f>IF('3a Raw'!K501="","",MAX(-3,MIN(3,('3a Raw'!K501-$R3)/$R4)))</f>
        <v/>
      </c>
      <c r="S501" s="3">
        <f>IF(R501="","",(R501-AVERAGE(R6:R1198))/(STDEV(R6:R1198)+1E-12))</f>
        <v/>
      </c>
      <c r="T501" s="3">
        <f>IF('3a Raw'!L501="","",MAX(-3,MIN(3,('3a Raw'!L501-$T3)/$T4)))</f>
        <v/>
      </c>
      <c r="U501" s="3">
        <f>IF(T501="","",(T501-AVERAGE(T6:T1198))/(STDEV(T6:T1198)+1E-12))</f>
        <v/>
      </c>
      <c r="X501" s="3">
        <f>IF(U501="","",U501-($V$3*G501+$W$3))</f>
        <v/>
      </c>
      <c r="Y501" s="3">
        <f>IF(X501="","",MAX(-3,MIN(3,(X501-$X3)/$X4)))</f>
        <v/>
      </c>
      <c r="Z501" s="3">
        <f>IF(Y501="","",(Y501-AVERAGE(Y6:Y1198))/(STDEV(Y6:Y1198)+1E-12))</f>
        <v/>
      </c>
    </row>
    <row r="502">
      <c r="A502" t="inlineStr">
        <is>
          <t>BBG000BL16Q7</t>
        </is>
      </c>
      <c r="B502" s="3">
        <f>IF('3a Raw'!C502="","",MAX(-3,MIN(3,('3a Raw'!C502-$B3)/$B4)))</f>
        <v/>
      </c>
      <c r="C502" s="3">
        <f>IF(B502="","",(B502-AVERAGE(B6:B1198))/(STDEV(B6:B1198)+1E-12))</f>
        <v/>
      </c>
      <c r="D502" s="3">
        <f>IF('3a Raw'!D502="","",MAX(-3,MIN(3,('3a Raw'!D502-$D3)/$D4)))</f>
        <v/>
      </c>
      <c r="E502" s="3">
        <f>IF(D502="","",(D502-AVERAGE(D6:D1198))/(STDEV(D6:D1198)+1E-12))</f>
        <v/>
      </c>
      <c r="F502" s="3">
        <f>IF('3a Raw'!E502="","",MAX(-3,MIN(3,('3a Raw'!E502-$F3)/$F4)))</f>
        <v/>
      </c>
      <c r="G502" s="3">
        <f>IF(F502="","",(F502-AVERAGE(F6:F1198))/(STDEV(F6:F1198)+1E-12))</f>
        <v/>
      </c>
      <c r="H502" s="3">
        <f>IF('3a Raw'!F502="","",MAX(-3,MIN(3,('3a Raw'!F502-$H3)/$H4)))</f>
        <v/>
      </c>
      <c r="I502" s="3">
        <f>IF(H502="","",(H502-AVERAGE(H6:H1198))/(STDEV(H6:H1198)+1E-12))</f>
        <v/>
      </c>
      <c r="J502" s="3">
        <f>IF('3a Raw'!G502="","",MAX(-3,MIN(3,('3a Raw'!G502-$J3)/$J4)))</f>
        <v/>
      </c>
      <c r="K502" s="3">
        <f>IF(J502="","",(J502-AVERAGE(J6:J1198))/(STDEV(J6:J1198)+1E-12))</f>
        <v/>
      </c>
      <c r="L502" s="3">
        <f>IF('3a Raw'!H502="","",MAX(-3,MIN(3,('3a Raw'!H502-$L3)/$L4)))</f>
        <v/>
      </c>
      <c r="M502" s="3">
        <f>IF(L502="","",(L502-AVERAGE(L6:L1198))/(STDEV(L6:L1198)+1E-12))</f>
        <v/>
      </c>
      <c r="N502" s="3">
        <f>IF('3a Raw'!I502="","",MAX(-3,MIN(3,('3a Raw'!I502-$N3)/$N4)))</f>
        <v/>
      </c>
      <c r="O502" s="3">
        <f>IF(N502="","",(N502-AVERAGE(N6:N1198))/(STDEV(N6:N1198)+1E-12))</f>
        <v/>
      </c>
      <c r="P502" s="3">
        <f>IF('3a Raw'!J502="","",MAX(-3,MIN(3,('3a Raw'!J502-$P3)/$P4)))</f>
        <v/>
      </c>
      <c r="Q502" s="3">
        <f>IF(P502="","",(P502-AVERAGE(P6:P1198))/(STDEV(P6:P1198)+1E-12))</f>
        <v/>
      </c>
      <c r="R502" s="3">
        <f>IF('3a Raw'!K502="","",MAX(-3,MIN(3,('3a Raw'!K502-$R3)/$R4)))</f>
        <v/>
      </c>
      <c r="S502" s="3">
        <f>IF(R502="","",(R502-AVERAGE(R6:R1198))/(STDEV(R6:R1198)+1E-12))</f>
        <v/>
      </c>
      <c r="T502" s="3">
        <f>IF('3a Raw'!L502="","",MAX(-3,MIN(3,('3a Raw'!L502-$T3)/$T4)))</f>
        <v/>
      </c>
      <c r="U502" s="3">
        <f>IF(T502="","",(T502-AVERAGE(T6:T1198))/(STDEV(T6:T1198)+1E-12))</f>
        <v/>
      </c>
      <c r="X502" s="3">
        <f>IF(U502="","",U502-($V$3*G502+$W$3))</f>
        <v/>
      </c>
      <c r="Y502" s="3">
        <f>IF(X502="","",MAX(-3,MIN(3,(X502-$X3)/$X4)))</f>
        <v/>
      </c>
      <c r="Z502" s="3">
        <f>IF(Y502="","",(Y502-AVERAGE(Y6:Y1198))/(STDEV(Y6:Y1198)+1E-12))</f>
        <v/>
      </c>
    </row>
    <row r="503">
      <c r="A503" t="inlineStr">
        <is>
          <t>BBG00R02H8D5</t>
        </is>
      </c>
      <c r="B503" s="3">
        <f>IF('3a Raw'!C503="","",MAX(-3,MIN(3,('3a Raw'!C503-$B3)/$B4)))</f>
        <v/>
      </c>
      <c r="C503" s="3">
        <f>IF(B503="","",(B503-AVERAGE(B6:B1198))/(STDEV(B6:B1198)+1E-12))</f>
        <v/>
      </c>
      <c r="D503" s="3">
        <f>IF('3a Raw'!D503="","",MAX(-3,MIN(3,('3a Raw'!D503-$D3)/$D4)))</f>
        <v/>
      </c>
      <c r="E503" s="3">
        <f>IF(D503="","",(D503-AVERAGE(D6:D1198))/(STDEV(D6:D1198)+1E-12))</f>
        <v/>
      </c>
      <c r="F503" s="3">
        <f>IF('3a Raw'!E503="","",MAX(-3,MIN(3,('3a Raw'!E503-$F3)/$F4)))</f>
        <v/>
      </c>
      <c r="G503" s="3">
        <f>IF(F503="","",(F503-AVERAGE(F6:F1198))/(STDEV(F6:F1198)+1E-12))</f>
        <v/>
      </c>
      <c r="H503" s="3">
        <f>IF('3a Raw'!F503="","",MAX(-3,MIN(3,('3a Raw'!F503-$H3)/$H4)))</f>
        <v/>
      </c>
      <c r="I503" s="3">
        <f>IF(H503="","",(H503-AVERAGE(H6:H1198))/(STDEV(H6:H1198)+1E-12))</f>
        <v/>
      </c>
      <c r="J503" s="3">
        <f>IF('3a Raw'!G503="","",MAX(-3,MIN(3,('3a Raw'!G503-$J3)/$J4)))</f>
        <v/>
      </c>
      <c r="K503" s="3">
        <f>IF(J503="","",(J503-AVERAGE(J6:J1198))/(STDEV(J6:J1198)+1E-12))</f>
        <v/>
      </c>
      <c r="L503" s="3">
        <f>IF('3a Raw'!H503="","",MAX(-3,MIN(3,('3a Raw'!H503-$L3)/$L4)))</f>
        <v/>
      </c>
      <c r="M503" s="3">
        <f>IF(L503="","",(L503-AVERAGE(L6:L1198))/(STDEV(L6:L1198)+1E-12))</f>
        <v/>
      </c>
      <c r="N503" s="3">
        <f>IF('3a Raw'!I503="","",MAX(-3,MIN(3,('3a Raw'!I503-$N3)/$N4)))</f>
        <v/>
      </c>
      <c r="O503" s="3">
        <f>IF(N503="","",(N503-AVERAGE(N6:N1198))/(STDEV(N6:N1198)+1E-12))</f>
        <v/>
      </c>
      <c r="P503" s="3">
        <f>IF('3a Raw'!J503="","",MAX(-3,MIN(3,('3a Raw'!J503-$P3)/$P4)))</f>
        <v/>
      </c>
      <c r="Q503" s="3">
        <f>IF(P503="","",(P503-AVERAGE(P6:P1198))/(STDEV(P6:P1198)+1E-12))</f>
        <v/>
      </c>
      <c r="R503" s="3">
        <f>IF('3a Raw'!K503="","",MAX(-3,MIN(3,('3a Raw'!K503-$R3)/$R4)))</f>
        <v/>
      </c>
      <c r="S503" s="3">
        <f>IF(R503="","",(R503-AVERAGE(R6:R1198))/(STDEV(R6:R1198)+1E-12))</f>
        <v/>
      </c>
      <c r="T503" s="3">
        <f>IF('3a Raw'!L503="","",MAX(-3,MIN(3,('3a Raw'!L503-$T3)/$T4)))</f>
        <v/>
      </c>
      <c r="U503" s="3">
        <f>IF(T503="","",(T503-AVERAGE(T6:T1198))/(STDEV(T6:T1198)+1E-12))</f>
        <v/>
      </c>
      <c r="X503" s="3">
        <f>IF(U503="","",U503-($V$3*G503+$W$3))</f>
        <v/>
      </c>
      <c r="Y503" s="3">
        <f>IF(X503="","",MAX(-3,MIN(3,(X503-$X3)/$X4)))</f>
        <v/>
      </c>
      <c r="Z503" s="3">
        <f>IF(Y503="","",(Y503-AVERAGE(Y6:Y1198))/(STDEV(Y6:Y1198)+1E-12))</f>
        <v/>
      </c>
    </row>
    <row r="504">
      <c r="A504" t="inlineStr">
        <is>
          <t>BBG00Z9FKMG1</t>
        </is>
      </c>
      <c r="B504" s="3">
        <f>IF('3a Raw'!C504="","",MAX(-3,MIN(3,('3a Raw'!C504-$B3)/$B4)))</f>
        <v/>
      </c>
      <c r="C504" s="3">
        <f>IF(B504="","",(B504-AVERAGE(B6:B1198))/(STDEV(B6:B1198)+1E-12))</f>
        <v/>
      </c>
      <c r="D504" s="3">
        <f>IF('3a Raw'!D504="","",MAX(-3,MIN(3,('3a Raw'!D504-$D3)/$D4)))</f>
        <v/>
      </c>
      <c r="E504" s="3">
        <f>IF(D504="","",(D504-AVERAGE(D6:D1198))/(STDEV(D6:D1198)+1E-12))</f>
        <v/>
      </c>
      <c r="F504" s="3">
        <f>IF('3a Raw'!E504="","",MAX(-3,MIN(3,('3a Raw'!E504-$F3)/$F4)))</f>
        <v/>
      </c>
      <c r="G504" s="3">
        <f>IF(F504="","",(F504-AVERAGE(F6:F1198))/(STDEV(F6:F1198)+1E-12))</f>
        <v/>
      </c>
      <c r="H504" s="3">
        <f>IF('3a Raw'!F504="","",MAX(-3,MIN(3,('3a Raw'!F504-$H3)/$H4)))</f>
        <v/>
      </c>
      <c r="I504" s="3">
        <f>IF(H504="","",(H504-AVERAGE(H6:H1198))/(STDEV(H6:H1198)+1E-12))</f>
        <v/>
      </c>
      <c r="J504" s="3">
        <f>IF('3a Raw'!G504="","",MAX(-3,MIN(3,('3a Raw'!G504-$J3)/$J4)))</f>
        <v/>
      </c>
      <c r="K504" s="3">
        <f>IF(J504="","",(J504-AVERAGE(J6:J1198))/(STDEV(J6:J1198)+1E-12))</f>
        <v/>
      </c>
      <c r="L504" s="3">
        <f>IF('3a Raw'!H504="","",MAX(-3,MIN(3,('3a Raw'!H504-$L3)/$L4)))</f>
        <v/>
      </c>
      <c r="M504" s="3">
        <f>IF(L504="","",(L504-AVERAGE(L6:L1198))/(STDEV(L6:L1198)+1E-12))</f>
        <v/>
      </c>
      <c r="N504" s="3">
        <f>IF('3a Raw'!I504="","",MAX(-3,MIN(3,('3a Raw'!I504-$N3)/$N4)))</f>
        <v/>
      </c>
      <c r="O504" s="3">
        <f>IF(N504="","",(N504-AVERAGE(N6:N1198))/(STDEV(N6:N1198)+1E-12))</f>
        <v/>
      </c>
      <c r="P504" s="3">
        <f>IF('3a Raw'!J504="","",MAX(-3,MIN(3,('3a Raw'!J504-$P3)/$P4)))</f>
        <v/>
      </c>
      <c r="Q504" s="3">
        <f>IF(P504="","",(P504-AVERAGE(P6:P1198))/(STDEV(P6:P1198)+1E-12))</f>
        <v/>
      </c>
      <c r="R504" s="3">
        <f>IF('3a Raw'!K504="","",MAX(-3,MIN(3,('3a Raw'!K504-$R3)/$R4)))</f>
        <v/>
      </c>
      <c r="S504" s="3">
        <f>IF(R504="","",(R504-AVERAGE(R6:R1198))/(STDEV(R6:R1198)+1E-12))</f>
        <v/>
      </c>
      <c r="T504" s="3">
        <f>IF('3a Raw'!L504="","",MAX(-3,MIN(3,('3a Raw'!L504-$T3)/$T4)))</f>
        <v/>
      </c>
      <c r="U504" s="3">
        <f>IF(T504="","",(T504-AVERAGE(T6:T1198))/(STDEV(T6:T1198)+1E-12))</f>
        <v/>
      </c>
      <c r="X504" s="3">
        <f>IF(U504="","",U504-($V$3*G504+$W$3))</f>
        <v/>
      </c>
      <c r="Y504" s="3">
        <f>IF(X504="","",MAX(-3,MIN(3,(X504-$X3)/$X4)))</f>
        <v/>
      </c>
      <c r="Z504" s="3">
        <f>IF(Y504="","",(Y504-AVERAGE(Y6:Y1198))/(STDEV(Y6:Y1198)+1E-12))</f>
        <v/>
      </c>
    </row>
    <row r="505">
      <c r="A505" t="inlineStr">
        <is>
          <t>BBG00CBYY6M1</t>
        </is>
      </c>
      <c r="B505" s="3">
        <f>IF('3a Raw'!C505="","",MAX(-3,MIN(3,('3a Raw'!C505-$B3)/$B4)))</f>
        <v/>
      </c>
      <c r="C505" s="3">
        <f>IF(B505="","",(B505-AVERAGE(B6:B1198))/(STDEV(B6:B1198)+1E-12))</f>
        <v/>
      </c>
      <c r="D505" s="3">
        <f>IF('3a Raw'!D505="","",MAX(-3,MIN(3,('3a Raw'!D505-$D3)/$D4)))</f>
        <v/>
      </c>
      <c r="E505" s="3">
        <f>IF(D505="","",(D505-AVERAGE(D6:D1198))/(STDEV(D6:D1198)+1E-12))</f>
        <v/>
      </c>
      <c r="F505" s="3">
        <f>IF('3a Raw'!E505="","",MAX(-3,MIN(3,('3a Raw'!E505-$F3)/$F4)))</f>
        <v/>
      </c>
      <c r="G505" s="3">
        <f>IF(F505="","",(F505-AVERAGE(F6:F1198))/(STDEV(F6:F1198)+1E-12))</f>
        <v/>
      </c>
      <c r="H505" s="3">
        <f>IF('3a Raw'!F505="","",MAX(-3,MIN(3,('3a Raw'!F505-$H3)/$H4)))</f>
        <v/>
      </c>
      <c r="I505" s="3">
        <f>IF(H505="","",(H505-AVERAGE(H6:H1198))/(STDEV(H6:H1198)+1E-12))</f>
        <v/>
      </c>
      <c r="J505" s="3">
        <f>IF('3a Raw'!G505="","",MAX(-3,MIN(3,('3a Raw'!G505-$J3)/$J4)))</f>
        <v/>
      </c>
      <c r="K505" s="3">
        <f>IF(J505="","",(J505-AVERAGE(J6:J1198))/(STDEV(J6:J1198)+1E-12))</f>
        <v/>
      </c>
      <c r="L505" s="3">
        <f>IF('3a Raw'!H505="","",MAX(-3,MIN(3,('3a Raw'!H505-$L3)/$L4)))</f>
        <v/>
      </c>
      <c r="M505" s="3">
        <f>IF(L505="","",(L505-AVERAGE(L6:L1198))/(STDEV(L6:L1198)+1E-12))</f>
        <v/>
      </c>
      <c r="N505" s="3">
        <f>IF('3a Raw'!I505="","",MAX(-3,MIN(3,('3a Raw'!I505-$N3)/$N4)))</f>
        <v/>
      </c>
      <c r="O505" s="3">
        <f>IF(N505="","",(N505-AVERAGE(N6:N1198))/(STDEV(N6:N1198)+1E-12))</f>
        <v/>
      </c>
      <c r="P505" s="3">
        <f>IF('3a Raw'!J505="","",MAX(-3,MIN(3,('3a Raw'!J505-$P3)/$P4)))</f>
        <v/>
      </c>
      <c r="Q505" s="3">
        <f>IF(P505="","",(P505-AVERAGE(P6:P1198))/(STDEV(P6:P1198)+1E-12))</f>
        <v/>
      </c>
      <c r="R505" s="3">
        <f>IF('3a Raw'!K505="","",MAX(-3,MIN(3,('3a Raw'!K505-$R3)/$R4)))</f>
        <v/>
      </c>
      <c r="S505" s="3">
        <f>IF(R505="","",(R505-AVERAGE(R6:R1198))/(STDEV(R6:R1198)+1E-12))</f>
        <v/>
      </c>
      <c r="T505" s="3">
        <f>IF('3a Raw'!L505="","",MAX(-3,MIN(3,('3a Raw'!L505-$T3)/$T4)))</f>
        <v/>
      </c>
      <c r="U505" s="3">
        <f>IF(T505="","",(T505-AVERAGE(T6:T1198))/(STDEV(T6:T1198)+1E-12))</f>
        <v/>
      </c>
      <c r="X505" s="3">
        <f>IF(U505="","",U505-($V$3*G505+$W$3))</f>
        <v/>
      </c>
      <c r="Y505" s="3">
        <f>IF(X505="","",MAX(-3,MIN(3,(X505-$X3)/$X4)))</f>
        <v/>
      </c>
      <c r="Z505" s="3">
        <f>IF(Y505="","",(Y505-AVERAGE(Y6:Y1198))/(STDEV(Y6:Y1198)+1E-12))</f>
        <v/>
      </c>
    </row>
    <row r="506">
      <c r="A506" t="inlineStr">
        <is>
          <t>BBG01HTMDZ54</t>
        </is>
      </c>
      <c r="B506" s="3">
        <f>IF('3a Raw'!C506="","",MAX(-3,MIN(3,('3a Raw'!C506-$B3)/$B4)))</f>
        <v/>
      </c>
      <c r="C506" s="3">
        <f>IF(B506="","",(B506-AVERAGE(B6:B1198))/(STDEV(B6:B1198)+1E-12))</f>
        <v/>
      </c>
      <c r="D506" s="3">
        <f>IF('3a Raw'!D506="","",MAX(-3,MIN(3,('3a Raw'!D506-$D3)/$D4)))</f>
        <v/>
      </c>
      <c r="E506" s="3">
        <f>IF(D506="","",(D506-AVERAGE(D6:D1198))/(STDEV(D6:D1198)+1E-12))</f>
        <v/>
      </c>
      <c r="F506" s="3">
        <f>IF('3a Raw'!E506="","",MAX(-3,MIN(3,('3a Raw'!E506-$F3)/$F4)))</f>
        <v/>
      </c>
      <c r="G506" s="3">
        <f>IF(F506="","",(F506-AVERAGE(F6:F1198))/(STDEV(F6:F1198)+1E-12))</f>
        <v/>
      </c>
      <c r="H506" s="3">
        <f>IF('3a Raw'!F506="","",MAX(-3,MIN(3,('3a Raw'!F506-$H3)/$H4)))</f>
        <v/>
      </c>
      <c r="I506" s="3">
        <f>IF(H506="","",(H506-AVERAGE(H6:H1198))/(STDEV(H6:H1198)+1E-12))</f>
        <v/>
      </c>
      <c r="J506" s="3">
        <f>IF('3a Raw'!G506="","",MAX(-3,MIN(3,('3a Raw'!G506-$J3)/$J4)))</f>
        <v/>
      </c>
      <c r="K506" s="3">
        <f>IF(J506="","",(J506-AVERAGE(J6:J1198))/(STDEV(J6:J1198)+1E-12))</f>
        <v/>
      </c>
      <c r="L506" s="3">
        <f>IF('3a Raw'!H506="","",MAX(-3,MIN(3,('3a Raw'!H506-$L3)/$L4)))</f>
        <v/>
      </c>
      <c r="M506" s="3">
        <f>IF(L506="","",(L506-AVERAGE(L6:L1198))/(STDEV(L6:L1198)+1E-12))</f>
        <v/>
      </c>
      <c r="N506" s="3">
        <f>IF('3a Raw'!I506="","",MAX(-3,MIN(3,('3a Raw'!I506-$N3)/$N4)))</f>
        <v/>
      </c>
      <c r="O506" s="3">
        <f>IF(N506="","",(N506-AVERAGE(N6:N1198))/(STDEV(N6:N1198)+1E-12))</f>
        <v/>
      </c>
      <c r="P506" s="3">
        <f>IF('3a Raw'!J506="","",MAX(-3,MIN(3,('3a Raw'!J506-$P3)/$P4)))</f>
        <v/>
      </c>
      <c r="Q506" s="3">
        <f>IF(P506="","",(P506-AVERAGE(P6:P1198))/(STDEV(P6:P1198)+1E-12))</f>
        <v/>
      </c>
      <c r="R506" s="3">
        <f>IF('3a Raw'!K506="","",MAX(-3,MIN(3,('3a Raw'!K506-$R3)/$R4)))</f>
        <v/>
      </c>
      <c r="S506" s="3">
        <f>IF(R506="","",(R506-AVERAGE(R6:R1198))/(STDEV(R6:R1198)+1E-12))</f>
        <v/>
      </c>
      <c r="T506" s="3">
        <f>IF('3a Raw'!L506="","",MAX(-3,MIN(3,('3a Raw'!L506-$T3)/$T4)))</f>
        <v/>
      </c>
      <c r="U506" s="3">
        <f>IF(T506="","",(T506-AVERAGE(T6:T1198))/(STDEV(T6:T1198)+1E-12))</f>
        <v/>
      </c>
      <c r="X506" s="3">
        <f>IF(U506="","",U506-($V$3*G506+$W$3))</f>
        <v/>
      </c>
      <c r="Y506" s="3">
        <f>IF(X506="","",MAX(-3,MIN(3,(X506-$X3)/$X4)))</f>
        <v/>
      </c>
      <c r="Z506" s="3">
        <f>IF(Y506="","",(Y506-AVERAGE(Y6:Y1198))/(STDEV(Y6:Y1198)+1E-12))</f>
        <v/>
      </c>
    </row>
    <row r="507">
      <c r="A507" t="inlineStr">
        <is>
          <t>BBG000G0Z878</t>
        </is>
      </c>
      <c r="B507" s="3">
        <f>IF('3a Raw'!C507="","",MAX(-3,MIN(3,('3a Raw'!C507-$B3)/$B4)))</f>
        <v/>
      </c>
      <c r="C507" s="3">
        <f>IF(B507="","",(B507-AVERAGE(B6:B1198))/(STDEV(B6:B1198)+1E-12))</f>
        <v/>
      </c>
      <c r="D507" s="3">
        <f>IF('3a Raw'!D507="","",MAX(-3,MIN(3,('3a Raw'!D507-$D3)/$D4)))</f>
        <v/>
      </c>
      <c r="E507" s="3">
        <f>IF(D507="","",(D507-AVERAGE(D6:D1198))/(STDEV(D6:D1198)+1E-12))</f>
        <v/>
      </c>
      <c r="F507" s="3">
        <f>IF('3a Raw'!E507="","",MAX(-3,MIN(3,('3a Raw'!E507-$F3)/$F4)))</f>
        <v/>
      </c>
      <c r="G507" s="3">
        <f>IF(F507="","",(F507-AVERAGE(F6:F1198))/(STDEV(F6:F1198)+1E-12))</f>
        <v/>
      </c>
      <c r="H507" s="3">
        <f>IF('3a Raw'!F507="","",MAX(-3,MIN(3,('3a Raw'!F507-$H3)/$H4)))</f>
        <v/>
      </c>
      <c r="I507" s="3">
        <f>IF(H507="","",(H507-AVERAGE(H6:H1198))/(STDEV(H6:H1198)+1E-12))</f>
        <v/>
      </c>
      <c r="J507" s="3">
        <f>IF('3a Raw'!G507="","",MAX(-3,MIN(3,('3a Raw'!G507-$J3)/$J4)))</f>
        <v/>
      </c>
      <c r="K507" s="3">
        <f>IF(J507="","",(J507-AVERAGE(J6:J1198))/(STDEV(J6:J1198)+1E-12))</f>
        <v/>
      </c>
      <c r="L507" s="3">
        <f>IF('3a Raw'!H507="","",MAX(-3,MIN(3,('3a Raw'!H507-$L3)/$L4)))</f>
        <v/>
      </c>
      <c r="M507" s="3">
        <f>IF(L507="","",(L507-AVERAGE(L6:L1198))/(STDEV(L6:L1198)+1E-12))</f>
        <v/>
      </c>
      <c r="N507" s="3">
        <f>IF('3a Raw'!I507="","",MAX(-3,MIN(3,('3a Raw'!I507-$N3)/$N4)))</f>
        <v/>
      </c>
      <c r="O507" s="3">
        <f>IF(N507="","",(N507-AVERAGE(N6:N1198))/(STDEV(N6:N1198)+1E-12))</f>
        <v/>
      </c>
      <c r="P507" s="3">
        <f>IF('3a Raw'!J507="","",MAX(-3,MIN(3,('3a Raw'!J507-$P3)/$P4)))</f>
        <v/>
      </c>
      <c r="Q507" s="3">
        <f>IF(P507="","",(P507-AVERAGE(P6:P1198))/(STDEV(P6:P1198)+1E-12))</f>
        <v/>
      </c>
      <c r="R507" s="3">
        <f>IF('3a Raw'!K507="","",MAX(-3,MIN(3,('3a Raw'!K507-$R3)/$R4)))</f>
        <v/>
      </c>
      <c r="S507" s="3">
        <f>IF(R507="","",(R507-AVERAGE(R6:R1198))/(STDEV(R6:R1198)+1E-12))</f>
        <v/>
      </c>
      <c r="T507" s="3">
        <f>IF('3a Raw'!L507="","",MAX(-3,MIN(3,('3a Raw'!L507-$T3)/$T4)))</f>
        <v/>
      </c>
      <c r="U507" s="3">
        <f>IF(T507="","",(T507-AVERAGE(T6:T1198))/(STDEV(T6:T1198)+1E-12))</f>
        <v/>
      </c>
      <c r="X507" s="3">
        <f>IF(U507="","",U507-($V$3*G507+$W$3))</f>
        <v/>
      </c>
      <c r="Y507" s="3">
        <f>IF(X507="","",MAX(-3,MIN(3,(X507-$X3)/$X4)))</f>
        <v/>
      </c>
      <c r="Z507" s="3">
        <f>IF(Y507="","",(Y507-AVERAGE(Y6:Y1198))/(STDEV(Y6:Y1198)+1E-12))</f>
        <v/>
      </c>
    </row>
    <row r="508">
      <c r="A508" t="inlineStr">
        <is>
          <t>BBG001KJ2HM9</t>
        </is>
      </c>
      <c r="B508" s="3">
        <f>IF('3a Raw'!C508="","",MAX(-3,MIN(3,('3a Raw'!C508-$B3)/$B4)))</f>
        <v/>
      </c>
      <c r="C508" s="3">
        <f>IF(B508="","",(B508-AVERAGE(B6:B1198))/(STDEV(B6:B1198)+1E-12))</f>
        <v/>
      </c>
      <c r="D508" s="3">
        <f>IF('3a Raw'!D508="","",MAX(-3,MIN(3,('3a Raw'!D508-$D3)/$D4)))</f>
        <v/>
      </c>
      <c r="E508" s="3">
        <f>IF(D508="","",(D508-AVERAGE(D6:D1198))/(STDEV(D6:D1198)+1E-12))</f>
        <v/>
      </c>
      <c r="F508" s="3">
        <f>IF('3a Raw'!E508="","",MAX(-3,MIN(3,('3a Raw'!E508-$F3)/$F4)))</f>
        <v/>
      </c>
      <c r="G508" s="3">
        <f>IF(F508="","",(F508-AVERAGE(F6:F1198))/(STDEV(F6:F1198)+1E-12))</f>
        <v/>
      </c>
      <c r="H508" s="3">
        <f>IF('3a Raw'!F508="","",MAX(-3,MIN(3,('3a Raw'!F508-$H3)/$H4)))</f>
        <v/>
      </c>
      <c r="I508" s="3">
        <f>IF(H508="","",(H508-AVERAGE(H6:H1198))/(STDEV(H6:H1198)+1E-12))</f>
        <v/>
      </c>
      <c r="J508" s="3">
        <f>IF('3a Raw'!G508="","",MAX(-3,MIN(3,('3a Raw'!G508-$J3)/$J4)))</f>
        <v/>
      </c>
      <c r="K508" s="3">
        <f>IF(J508="","",(J508-AVERAGE(J6:J1198))/(STDEV(J6:J1198)+1E-12))</f>
        <v/>
      </c>
      <c r="L508" s="3">
        <f>IF('3a Raw'!H508="","",MAX(-3,MIN(3,('3a Raw'!H508-$L3)/$L4)))</f>
        <v/>
      </c>
      <c r="M508" s="3">
        <f>IF(L508="","",(L508-AVERAGE(L6:L1198))/(STDEV(L6:L1198)+1E-12))</f>
        <v/>
      </c>
      <c r="N508" s="3">
        <f>IF('3a Raw'!I508="","",MAX(-3,MIN(3,('3a Raw'!I508-$N3)/$N4)))</f>
        <v/>
      </c>
      <c r="O508" s="3">
        <f>IF(N508="","",(N508-AVERAGE(N6:N1198))/(STDEV(N6:N1198)+1E-12))</f>
        <v/>
      </c>
      <c r="P508" s="3">
        <f>IF('3a Raw'!J508="","",MAX(-3,MIN(3,('3a Raw'!J508-$P3)/$P4)))</f>
        <v/>
      </c>
      <c r="Q508" s="3">
        <f>IF(P508="","",(P508-AVERAGE(P6:P1198))/(STDEV(P6:P1198)+1E-12))</f>
        <v/>
      </c>
      <c r="R508" s="3">
        <f>IF('3a Raw'!K508="","",MAX(-3,MIN(3,('3a Raw'!K508-$R3)/$R4)))</f>
        <v/>
      </c>
      <c r="S508" s="3">
        <f>IF(R508="","",(R508-AVERAGE(R6:R1198))/(STDEV(R6:R1198)+1E-12))</f>
        <v/>
      </c>
      <c r="T508" s="3">
        <f>IF('3a Raw'!L508="","",MAX(-3,MIN(3,('3a Raw'!L508-$T3)/$T4)))</f>
        <v/>
      </c>
      <c r="U508" s="3">
        <f>IF(T508="","",(T508-AVERAGE(T6:T1198))/(STDEV(T6:T1198)+1E-12))</f>
        <v/>
      </c>
      <c r="X508" s="3">
        <f>IF(U508="","",U508-($V$3*G508+$W$3))</f>
        <v/>
      </c>
      <c r="Y508" s="3">
        <f>IF(X508="","",MAX(-3,MIN(3,(X508-$X3)/$X4)))</f>
        <v/>
      </c>
      <c r="Z508" s="3">
        <f>IF(Y508="","",(Y508-AVERAGE(Y6:Y1198))/(STDEV(Y6:Y1198)+1E-12))</f>
        <v/>
      </c>
    </row>
    <row r="509">
      <c r="A509" t="inlineStr">
        <is>
          <t>BBG0058KMH30</t>
        </is>
      </c>
      <c r="B509" s="3">
        <f>IF('3a Raw'!C509="","",MAX(-3,MIN(3,('3a Raw'!C509-$B3)/$B4)))</f>
        <v/>
      </c>
      <c r="C509" s="3">
        <f>IF(B509="","",(B509-AVERAGE(B6:B1198))/(STDEV(B6:B1198)+1E-12))</f>
        <v/>
      </c>
      <c r="D509" s="3">
        <f>IF('3a Raw'!D509="","",MAX(-3,MIN(3,('3a Raw'!D509-$D3)/$D4)))</f>
        <v/>
      </c>
      <c r="E509" s="3">
        <f>IF(D509="","",(D509-AVERAGE(D6:D1198))/(STDEV(D6:D1198)+1E-12))</f>
        <v/>
      </c>
      <c r="F509" s="3">
        <f>IF('3a Raw'!E509="","",MAX(-3,MIN(3,('3a Raw'!E509-$F3)/$F4)))</f>
        <v/>
      </c>
      <c r="G509" s="3">
        <f>IF(F509="","",(F509-AVERAGE(F6:F1198))/(STDEV(F6:F1198)+1E-12))</f>
        <v/>
      </c>
      <c r="H509" s="3">
        <f>IF('3a Raw'!F509="","",MAX(-3,MIN(3,('3a Raw'!F509-$H3)/$H4)))</f>
        <v/>
      </c>
      <c r="I509" s="3">
        <f>IF(H509="","",(H509-AVERAGE(H6:H1198))/(STDEV(H6:H1198)+1E-12))</f>
        <v/>
      </c>
      <c r="J509" s="3">
        <f>IF('3a Raw'!G509="","",MAX(-3,MIN(3,('3a Raw'!G509-$J3)/$J4)))</f>
        <v/>
      </c>
      <c r="K509" s="3">
        <f>IF(J509="","",(J509-AVERAGE(J6:J1198))/(STDEV(J6:J1198)+1E-12))</f>
        <v/>
      </c>
      <c r="L509" s="3">
        <f>IF('3a Raw'!H509="","",MAX(-3,MIN(3,('3a Raw'!H509-$L3)/$L4)))</f>
        <v/>
      </c>
      <c r="M509" s="3">
        <f>IF(L509="","",(L509-AVERAGE(L6:L1198))/(STDEV(L6:L1198)+1E-12))</f>
        <v/>
      </c>
      <c r="N509" s="3">
        <f>IF('3a Raw'!I509="","",MAX(-3,MIN(3,('3a Raw'!I509-$N3)/$N4)))</f>
        <v/>
      </c>
      <c r="O509" s="3">
        <f>IF(N509="","",(N509-AVERAGE(N6:N1198))/(STDEV(N6:N1198)+1E-12))</f>
        <v/>
      </c>
      <c r="P509" s="3">
        <f>IF('3a Raw'!J509="","",MAX(-3,MIN(3,('3a Raw'!J509-$P3)/$P4)))</f>
        <v/>
      </c>
      <c r="Q509" s="3">
        <f>IF(P509="","",(P509-AVERAGE(P6:P1198))/(STDEV(P6:P1198)+1E-12))</f>
        <v/>
      </c>
      <c r="R509" s="3">
        <f>IF('3a Raw'!K509="","",MAX(-3,MIN(3,('3a Raw'!K509-$R3)/$R4)))</f>
        <v/>
      </c>
      <c r="S509" s="3">
        <f>IF(R509="","",(R509-AVERAGE(R6:R1198))/(STDEV(R6:R1198)+1E-12))</f>
        <v/>
      </c>
      <c r="T509" s="3">
        <f>IF('3a Raw'!L509="","",MAX(-3,MIN(3,('3a Raw'!L509-$T3)/$T4)))</f>
        <v/>
      </c>
      <c r="U509" s="3">
        <f>IF(T509="","",(T509-AVERAGE(T6:T1198))/(STDEV(T6:T1198)+1E-12))</f>
        <v/>
      </c>
      <c r="X509" s="3">
        <f>IF(U509="","",U509-($V$3*G509+$W$3))</f>
        <v/>
      </c>
      <c r="Y509" s="3">
        <f>IF(X509="","",MAX(-3,MIN(3,(X509-$X3)/$X4)))</f>
        <v/>
      </c>
      <c r="Z509" s="3">
        <f>IF(Y509="","",(Y509-AVERAGE(Y6:Y1198))/(STDEV(Y6:Y1198)+1E-12))</f>
        <v/>
      </c>
    </row>
    <row r="510">
      <c r="A510" t="inlineStr">
        <is>
          <t>BBG00H8V6LH4</t>
        </is>
      </c>
      <c r="B510" s="3">
        <f>IF('3a Raw'!C510="","",MAX(-3,MIN(3,('3a Raw'!C510-$B3)/$B4)))</f>
        <v/>
      </c>
      <c r="C510" s="3">
        <f>IF(B510="","",(B510-AVERAGE(B6:B1198))/(STDEV(B6:B1198)+1E-12))</f>
        <v/>
      </c>
      <c r="D510" s="3">
        <f>IF('3a Raw'!D510="","",MAX(-3,MIN(3,('3a Raw'!D510-$D3)/$D4)))</f>
        <v/>
      </c>
      <c r="E510" s="3">
        <f>IF(D510="","",(D510-AVERAGE(D6:D1198))/(STDEV(D6:D1198)+1E-12))</f>
        <v/>
      </c>
      <c r="F510" s="3">
        <f>IF('3a Raw'!E510="","",MAX(-3,MIN(3,('3a Raw'!E510-$F3)/$F4)))</f>
        <v/>
      </c>
      <c r="G510" s="3">
        <f>IF(F510="","",(F510-AVERAGE(F6:F1198))/(STDEV(F6:F1198)+1E-12))</f>
        <v/>
      </c>
      <c r="H510" s="3">
        <f>IF('3a Raw'!F510="","",MAX(-3,MIN(3,('3a Raw'!F510-$H3)/$H4)))</f>
        <v/>
      </c>
      <c r="I510" s="3">
        <f>IF(H510="","",(H510-AVERAGE(H6:H1198))/(STDEV(H6:H1198)+1E-12))</f>
        <v/>
      </c>
      <c r="J510" s="3">
        <f>IF('3a Raw'!G510="","",MAX(-3,MIN(3,('3a Raw'!G510-$J3)/$J4)))</f>
        <v/>
      </c>
      <c r="K510" s="3">
        <f>IF(J510="","",(J510-AVERAGE(J6:J1198))/(STDEV(J6:J1198)+1E-12))</f>
        <v/>
      </c>
      <c r="L510" s="3">
        <f>IF('3a Raw'!H510="","",MAX(-3,MIN(3,('3a Raw'!H510-$L3)/$L4)))</f>
        <v/>
      </c>
      <c r="M510" s="3">
        <f>IF(L510="","",(L510-AVERAGE(L6:L1198))/(STDEV(L6:L1198)+1E-12))</f>
        <v/>
      </c>
      <c r="N510" s="3">
        <f>IF('3a Raw'!I510="","",MAX(-3,MIN(3,('3a Raw'!I510-$N3)/$N4)))</f>
        <v/>
      </c>
      <c r="O510" s="3">
        <f>IF(N510="","",(N510-AVERAGE(N6:N1198))/(STDEV(N6:N1198)+1E-12))</f>
        <v/>
      </c>
      <c r="P510" s="3">
        <f>IF('3a Raw'!J510="","",MAX(-3,MIN(3,('3a Raw'!J510-$P3)/$P4)))</f>
        <v/>
      </c>
      <c r="Q510" s="3">
        <f>IF(P510="","",(P510-AVERAGE(P6:P1198))/(STDEV(P6:P1198)+1E-12))</f>
        <v/>
      </c>
      <c r="R510" s="3">
        <f>IF('3a Raw'!K510="","",MAX(-3,MIN(3,('3a Raw'!K510-$R3)/$R4)))</f>
        <v/>
      </c>
      <c r="S510" s="3">
        <f>IF(R510="","",(R510-AVERAGE(R6:R1198))/(STDEV(R6:R1198)+1E-12))</f>
        <v/>
      </c>
      <c r="T510" s="3">
        <f>IF('3a Raw'!L510="","",MAX(-3,MIN(3,('3a Raw'!L510-$T3)/$T4)))</f>
        <v/>
      </c>
      <c r="U510" s="3">
        <f>IF(T510="","",(T510-AVERAGE(T6:T1198))/(STDEV(T6:T1198)+1E-12))</f>
        <v/>
      </c>
      <c r="X510" s="3">
        <f>IF(U510="","",U510-($V$3*G510+$W$3))</f>
        <v/>
      </c>
      <c r="Y510" s="3">
        <f>IF(X510="","",MAX(-3,MIN(3,(X510-$X3)/$X4)))</f>
        <v/>
      </c>
      <c r="Z510" s="3">
        <f>IF(Y510="","",(Y510-AVERAGE(Y6:Y1198))/(STDEV(Y6:Y1198)+1E-12))</f>
        <v/>
      </c>
    </row>
    <row r="511">
      <c r="A511" t="inlineStr">
        <is>
          <t>BBG000BKZTP3</t>
        </is>
      </c>
      <c r="B511" s="3">
        <f>IF('3a Raw'!C511="","",MAX(-3,MIN(3,('3a Raw'!C511-$B3)/$B4)))</f>
        <v/>
      </c>
      <c r="C511" s="3">
        <f>IF(B511="","",(B511-AVERAGE(B6:B1198))/(STDEV(B6:B1198)+1E-12))</f>
        <v/>
      </c>
      <c r="D511" s="3">
        <f>IF('3a Raw'!D511="","",MAX(-3,MIN(3,('3a Raw'!D511-$D3)/$D4)))</f>
        <v/>
      </c>
      <c r="E511" s="3">
        <f>IF(D511="","",(D511-AVERAGE(D6:D1198))/(STDEV(D6:D1198)+1E-12))</f>
        <v/>
      </c>
      <c r="F511" s="3">
        <f>IF('3a Raw'!E511="","",MAX(-3,MIN(3,('3a Raw'!E511-$F3)/$F4)))</f>
        <v/>
      </c>
      <c r="G511" s="3">
        <f>IF(F511="","",(F511-AVERAGE(F6:F1198))/(STDEV(F6:F1198)+1E-12))</f>
        <v/>
      </c>
      <c r="H511" s="3">
        <f>IF('3a Raw'!F511="","",MAX(-3,MIN(3,('3a Raw'!F511-$H3)/$H4)))</f>
        <v/>
      </c>
      <c r="I511" s="3">
        <f>IF(H511="","",(H511-AVERAGE(H6:H1198))/(STDEV(H6:H1198)+1E-12))</f>
        <v/>
      </c>
      <c r="J511" s="3">
        <f>IF('3a Raw'!G511="","",MAX(-3,MIN(3,('3a Raw'!G511-$J3)/$J4)))</f>
        <v/>
      </c>
      <c r="K511" s="3">
        <f>IF(J511="","",(J511-AVERAGE(J6:J1198))/(STDEV(J6:J1198)+1E-12))</f>
        <v/>
      </c>
      <c r="L511" s="3">
        <f>IF('3a Raw'!H511="","",MAX(-3,MIN(3,('3a Raw'!H511-$L3)/$L4)))</f>
        <v/>
      </c>
      <c r="M511" s="3">
        <f>IF(L511="","",(L511-AVERAGE(L6:L1198))/(STDEV(L6:L1198)+1E-12))</f>
        <v/>
      </c>
      <c r="N511" s="3">
        <f>IF('3a Raw'!I511="","",MAX(-3,MIN(3,('3a Raw'!I511-$N3)/$N4)))</f>
        <v/>
      </c>
      <c r="O511" s="3">
        <f>IF(N511="","",(N511-AVERAGE(N6:N1198))/(STDEV(N6:N1198)+1E-12))</f>
        <v/>
      </c>
      <c r="P511" s="3">
        <f>IF('3a Raw'!J511="","",MAX(-3,MIN(3,('3a Raw'!J511-$P3)/$P4)))</f>
        <v/>
      </c>
      <c r="Q511" s="3">
        <f>IF(P511="","",(P511-AVERAGE(P6:P1198))/(STDEV(P6:P1198)+1E-12))</f>
        <v/>
      </c>
      <c r="R511" s="3">
        <f>IF('3a Raw'!K511="","",MAX(-3,MIN(3,('3a Raw'!K511-$R3)/$R4)))</f>
        <v/>
      </c>
      <c r="S511" s="3">
        <f>IF(R511="","",(R511-AVERAGE(R6:R1198))/(STDEV(R6:R1198)+1E-12))</f>
        <v/>
      </c>
      <c r="T511" s="3">
        <f>IF('3a Raw'!L511="","",MAX(-3,MIN(3,('3a Raw'!L511-$T3)/$T4)))</f>
        <v/>
      </c>
      <c r="U511" s="3">
        <f>IF(T511="","",(T511-AVERAGE(T6:T1198))/(STDEV(T6:T1198)+1E-12))</f>
        <v/>
      </c>
      <c r="X511" s="3">
        <f>IF(U511="","",U511-($V$3*G511+$W$3))</f>
        <v/>
      </c>
      <c r="Y511" s="3">
        <f>IF(X511="","",MAX(-3,MIN(3,(X511-$X3)/$X4)))</f>
        <v/>
      </c>
      <c r="Z511" s="3">
        <f>IF(Y511="","",(Y511-AVERAGE(Y6:Y1198))/(STDEV(Y6:Y1198)+1E-12))</f>
        <v/>
      </c>
    </row>
    <row r="512">
      <c r="A512" t="inlineStr">
        <is>
          <t>BBG000H556T9</t>
        </is>
      </c>
      <c r="B512" s="3">
        <f>IF('3a Raw'!C512="","",MAX(-3,MIN(3,('3a Raw'!C512-$B3)/$B4)))</f>
        <v/>
      </c>
      <c r="C512" s="3">
        <f>IF(B512="","",(B512-AVERAGE(B6:B1198))/(STDEV(B6:B1198)+1E-12))</f>
        <v/>
      </c>
      <c r="D512" s="3">
        <f>IF('3a Raw'!D512="","",MAX(-3,MIN(3,('3a Raw'!D512-$D3)/$D4)))</f>
        <v/>
      </c>
      <c r="E512" s="3">
        <f>IF(D512="","",(D512-AVERAGE(D6:D1198))/(STDEV(D6:D1198)+1E-12))</f>
        <v/>
      </c>
      <c r="F512" s="3">
        <f>IF('3a Raw'!E512="","",MAX(-3,MIN(3,('3a Raw'!E512-$F3)/$F4)))</f>
        <v/>
      </c>
      <c r="G512" s="3">
        <f>IF(F512="","",(F512-AVERAGE(F6:F1198))/(STDEV(F6:F1198)+1E-12))</f>
        <v/>
      </c>
      <c r="H512" s="3">
        <f>IF('3a Raw'!F512="","",MAX(-3,MIN(3,('3a Raw'!F512-$H3)/$H4)))</f>
        <v/>
      </c>
      <c r="I512" s="3">
        <f>IF(H512="","",(H512-AVERAGE(H6:H1198))/(STDEV(H6:H1198)+1E-12))</f>
        <v/>
      </c>
      <c r="J512" s="3">
        <f>IF('3a Raw'!G512="","",MAX(-3,MIN(3,('3a Raw'!G512-$J3)/$J4)))</f>
        <v/>
      </c>
      <c r="K512" s="3">
        <f>IF(J512="","",(J512-AVERAGE(J6:J1198))/(STDEV(J6:J1198)+1E-12))</f>
        <v/>
      </c>
      <c r="L512" s="3">
        <f>IF('3a Raw'!H512="","",MAX(-3,MIN(3,('3a Raw'!H512-$L3)/$L4)))</f>
        <v/>
      </c>
      <c r="M512" s="3">
        <f>IF(L512="","",(L512-AVERAGE(L6:L1198))/(STDEV(L6:L1198)+1E-12))</f>
        <v/>
      </c>
      <c r="N512" s="3">
        <f>IF('3a Raw'!I512="","",MAX(-3,MIN(3,('3a Raw'!I512-$N3)/$N4)))</f>
        <v/>
      </c>
      <c r="O512" s="3">
        <f>IF(N512="","",(N512-AVERAGE(N6:N1198))/(STDEV(N6:N1198)+1E-12))</f>
        <v/>
      </c>
      <c r="P512" s="3">
        <f>IF('3a Raw'!J512="","",MAX(-3,MIN(3,('3a Raw'!J512-$P3)/$P4)))</f>
        <v/>
      </c>
      <c r="Q512" s="3">
        <f>IF(P512="","",(P512-AVERAGE(P6:P1198))/(STDEV(P6:P1198)+1E-12))</f>
        <v/>
      </c>
      <c r="R512" s="3">
        <f>IF('3a Raw'!K512="","",MAX(-3,MIN(3,('3a Raw'!K512-$R3)/$R4)))</f>
        <v/>
      </c>
      <c r="S512" s="3">
        <f>IF(R512="","",(R512-AVERAGE(R6:R1198))/(STDEV(R6:R1198)+1E-12))</f>
        <v/>
      </c>
      <c r="T512" s="3">
        <f>IF('3a Raw'!L512="","",MAX(-3,MIN(3,('3a Raw'!L512-$T3)/$T4)))</f>
        <v/>
      </c>
      <c r="U512" s="3">
        <f>IF(T512="","",(T512-AVERAGE(T6:T1198))/(STDEV(T6:T1198)+1E-12))</f>
        <v/>
      </c>
      <c r="X512" s="3">
        <f>IF(U512="","",U512-($V$3*G512+$W$3))</f>
        <v/>
      </c>
      <c r="Y512" s="3">
        <f>IF(X512="","",MAX(-3,MIN(3,(X512-$X3)/$X4)))</f>
        <v/>
      </c>
      <c r="Z512" s="3">
        <f>IF(Y512="","",(Y512-AVERAGE(Y6:Y1198))/(STDEV(Y6:Y1198)+1E-12))</f>
        <v/>
      </c>
    </row>
    <row r="513">
      <c r="A513" t="inlineStr">
        <is>
          <t>hood</t>
        </is>
      </c>
      <c r="B513" s="3">
        <f>IF('3a Raw'!C513="","",MAX(-3,MIN(3,('3a Raw'!C513-$B3)/$B4)))</f>
        <v/>
      </c>
      <c r="C513" s="3">
        <f>IF(B513="","",(B513-AVERAGE(B6:B1198))/(STDEV(B6:B1198)+1E-12))</f>
        <v/>
      </c>
      <c r="D513" s="3">
        <f>IF('3a Raw'!D513="","",MAX(-3,MIN(3,('3a Raw'!D513-$D3)/$D4)))</f>
        <v/>
      </c>
      <c r="E513" s="3">
        <f>IF(D513="","",(D513-AVERAGE(D6:D1198))/(STDEV(D6:D1198)+1E-12))</f>
        <v/>
      </c>
      <c r="F513" s="3">
        <f>IF('3a Raw'!E513="","",MAX(-3,MIN(3,('3a Raw'!E513-$F3)/$F4)))</f>
        <v/>
      </c>
      <c r="G513" s="3">
        <f>IF(F513="","",(F513-AVERAGE(F6:F1198))/(STDEV(F6:F1198)+1E-12))</f>
        <v/>
      </c>
      <c r="H513" s="3">
        <f>IF('3a Raw'!F513="","",MAX(-3,MIN(3,('3a Raw'!F513-$H3)/$H4)))</f>
        <v/>
      </c>
      <c r="I513" s="3">
        <f>IF(H513="","",(H513-AVERAGE(H6:H1198))/(STDEV(H6:H1198)+1E-12))</f>
        <v/>
      </c>
      <c r="J513" s="3">
        <f>IF('3a Raw'!G513="","",MAX(-3,MIN(3,('3a Raw'!G513-$J3)/$J4)))</f>
        <v/>
      </c>
      <c r="K513" s="3">
        <f>IF(J513="","",(J513-AVERAGE(J6:J1198))/(STDEV(J6:J1198)+1E-12))</f>
        <v/>
      </c>
      <c r="L513" s="3">
        <f>IF('3a Raw'!H513="","",MAX(-3,MIN(3,('3a Raw'!H513-$L3)/$L4)))</f>
        <v/>
      </c>
      <c r="M513" s="3">
        <f>IF(L513="","",(L513-AVERAGE(L6:L1198))/(STDEV(L6:L1198)+1E-12))</f>
        <v/>
      </c>
      <c r="N513" s="3">
        <f>IF('3a Raw'!I513="","",MAX(-3,MIN(3,('3a Raw'!I513-$N3)/$N4)))</f>
        <v/>
      </c>
      <c r="O513" s="3">
        <f>IF(N513="","",(N513-AVERAGE(N6:N1198))/(STDEV(N6:N1198)+1E-12))</f>
        <v/>
      </c>
      <c r="P513" s="3">
        <f>IF('3a Raw'!J513="","",MAX(-3,MIN(3,('3a Raw'!J513-$P3)/$P4)))</f>
        <v/>
      </c>
      <c r="Q513" s="3">
        <f>IF(P513="","",(P513-AVERAGE(P6:P1198))/(STDEV(P6:P1198)+1E-12))</f>
        <v/>
      </c>
      <c r="R513" s="3">
        <f>IF('3a Raw'!K513="","",MAX(-3,MIN(3,('3a Raw'!K513-$R3)/$R4)))</f>
        <v/>
      </c>
      <c r="S513" s="3">
        <f>IF(R513="","",(R513-AVERAGE(R6:R1198))/(STDEV(R6:R1198)+1E-12))</f>
        <v/>
      </c>
      <c r="T513" s="3">
        <f>IF('3a Raw'!L513="","",MAX(-3,MIN(3,('3a Raw'!L513-$T3)/$T4)))</f>
        <v/>
      </c>
      <c r="U513" s="3">
        <f>IF(T513="","",(T513-AVERAGE(T6:T1198))/(STDEV(T6:T1198)+1E-12))</f>
        <v/>
      </c>
      <c r="X513" s="3">
        <f>IF(U513="","",U513-($V$3*G513+$W$3))</f>
        <v/>
      </c>
      <c r="Y513" s="3">
        <f>IF(X513="","",MAX(-3,MIN(3,(X513-$X3)/$X4)))</f>
        <v/>
      </c>
      <c r="Z513" s="3">
        <f>IF(Y513="","",(Y513-AVERAGE(Y6:Y1198))/(STDEV(Y6:Y1198)+1E-12))</f>
        <v/>
      </c>
    </row>
    <row r="514">
      <c r="A514" t="inlineStr">
        <is>
          <t>BBG0078W3NQ3</t>
        </is>
      </c>
      <c r="B514" s="3">
        <f>IF('3a Raw'!C514="","",MAX(-3,MIN(3,('3a Raw'!C514-$B3)/$B4)))</f>
        <v/>
      </c>
      <c r="C514" s="3">
        <f>IF(B514="","",(B514-AVERAGE(B6:B1198))/(STDEV(B6:B1198)+1E-12))</f>
        <v/>
      </c>
      <c r="D514" s="3">
        <f>IF('3a Raw'!D514="","",MAX(-3,MIN(3,('3a Raw'!D514-$D3)/$D4)))</f>
        <v/>
      </c>
      <c r="E514" s="3">
        <f>IF(D514="","",(D514-AVERAGE(D6:D1198))/(STDEV(D6:D1198)+1E-12))</f>
        <v/>
      </c>
      <c r="F514" s="3">
        <f>IF('3a Raw'!E514="","",MAX(-3,MIN(3,('3a Raw'!E514-$F3)/$F4)))</f>
        <v/>
      </c>
      <c r="G514" s="3">
        <f>IF(F514="","",(F514-AVERAGE(F6:F1198))/(STDEV(F6:F1198)+1E-12))</f>
        <v/>
      </c>
      <c r="H514" s="3">
        <f>IF('3a Raw'!F514="","",MAX(-3,MIN(3,('3a Raw'!F514-$H3)/$H4)))</f>
        <v/>
      </c>
      <c r="I514" s="3">
        <f>IF(H514="","",(H514-AVERAGE(H6:H1198))/(STDEV(H6:H1198)+1E-12))</f>
        <v/>
      </c>
      <c r="J514" s="3">
        <f>IF('3a Raw'!G514="","",MAX(-3,MIN(3,('3a Raw'!G514-$J3)/$J4)))</f>
        <v/>
      </c>
      <c r="K514" s="3">
        <f>IF(J514="","",(J514-AVERAGE(J6:J1198))/(STDEV(J6:J1198)+1E-12))</f>
        <v/>
      </c>
      <c r="L514" s="3">
        <f>IF('3a Raw'!H514="","",MAX(-3,MIN(3,('3a Raw'!H514-$L3)/$L4)))</f>
        <v/>
      </c>
      <c r="M514" s="3">
        <f>IF(L514="","",(L514-AVERAGE(L6:L1198))/(STDEV(L6:L1198)+1E-12))</f>
        <v/>
      </c>
      <c r="N514" s="3">
        <f>IF('3a Raw'!I514="","",MAX(-3,MIN(3,('3a Raw'!I514-$N3)/$N4)))</f>
        <v/>
      </c>
      <c r="O514" s="3">
        <f>IF(N514="","",(N514-AVERAGE(N6:N1198))/(STDEV(N6:N1198)+1E-12))</f>
        <v/>
      </c>
      <c r="P514" s="3">
        <f>IF('3a Raw'!J514="","",MAX(-3,MIN(3,('3a Raw'!J514-$P3)/$P4)))</f>
        <v/>
      </c>
      <c r="Q514" s="3">
        <f>IF(P514="","",(P514-AVERAGE(P6:P1198))/(STDEV(P6:P1198)+1E-12))</f>
        <v/>
      </c>
      <c r="R514" s="3">
        <f>IF('3a Raw'!K514="","",MAX(-3,MIN(3,('3a Raw'!K514-$R3)/$R4)))</f>
        <v/>
      </c>
      <c r="S514" s="3">
        <f>IF(R514="","",(R514-AVERAGE(R6:R1198))/(STDEV(R6:R1198)+1E-12))</f>
        <v/>
      </c>
      <c r="T514" s="3">
        <f>IF('3a Raw'!L514="","",MAX(-3,MIN(3,('3a Raw'!L514-$T3)/$T4)))</f>
        <v/>
      </c>
      <c r="U514" s="3">
        <f>IF(T514="","",(T514-AVERAGE(T6:T1198))/(STDEV(T6:T1198)+1E-12))</f>
        <v/>
      </c>
      <c r="X514" s="3">
        <f>IF(U514="","",U514-($V$3*G514+$W$3))</f>
        <v/>
      </c>
      <c r="Y514" s="3">
        <f>IF(X514="","",MAX(-3,MIN(3,(X514-$X3)/$X4)))</f>
        <v/>
      </c>
      <c r="Z514" s="3">
        <f>IF(Y514="","",(Y514-AVERAGE(Y6:Y1198))/(STDEV(Y6:Y1198)+1E-12))</f>
        <v/>
      </c>
    </row>
    <row r="515">
      <c r="A515" t="inlineStr">
        <is>
          <t>BBG000KHWT55</t>
        </is>
      </c>
      <c r="B515" s="3">
        <f>IF('3a Raw'!C515="","",MAX(-3,MIN(3,('3a Raw'!C515-$B3)/$B4)))</f>
        <v/>
      </c>
      <c r="C515" s="3">
        <f>IF(B515="","",(B515-AVERAGE(B6:B1198))/(STDEV(B6:B1198)+1E-12))</f>
        <v/>
      </c>
      <c r="D515" s="3">
        <f>IF('3a Raw'!D515="","",MAX(-3,MIN(3,('3a Raw'!D515-$D3)/$D4)))</f>
        <v/>
      </c>
      <c r="E515" s="3">
        <f>IF(D515="","",(D515-AVERAGE(D6:D1198))/(STDEV(D6:D1198)+1E-12))</f>
        <v/>
      </c>
      <c r="F515" s="3">
        <f>IF('3a Raw'!E515="","",MAX(-3,MIN(3,('3a Raw'!E515-$F3)/$F4)))</f>
        <v/>
      </c>
      <c r="G515" s="3">
        <f>IF(F515="","",(F515-AVERAGE(F6:F1198))/(STDEV(F6:F1198)+1E-12))</f>
        <v/>
      </c>
      <c r="H515" s="3">
        <f>IF('3a Raw'!F515="","",MAX(-3,MIN(3,('3a Raw'!F515-$H3)/$H4)))</f>
        <v/>
      </c>
      <c r="I515" s="3">
        <f>IF(H515="","",(H515-AVERAGE(H6:H1198))/(STDEV(H6:H1198)+1E-12))</f>
        <v/>
      </c>
      <c r="J515" s="3">
        <f>IF('3a Raw'!G515="","",MAX(-3,MIN(3,('3a Raw'!G515-$J3)/$J4)))</f>
        <v/>
      </c>
      <c r="K515" s="3">
        <f>IF(J515="","",(J515-AVERAGE(J6:J1198))/(STDEV(J6:J1198)+1E-12))</f>
        <v/>
      </c>
      <c r="L515" s="3">
        <f>IF('3a Raw'!H515="","",MAX(-3,MIN(3,('3a Raw'!H515-$L3)/$L4)))</f>
        <v/>
      </c>
      <c r="M515" s="3">
        <f>IF(L515="","",(L515-AVERAGE(L6:L1198))/(STDEV(L6:L1198)+1E-12))</f>
        <v/>
      </c>
      <c r="N515" s="3">
        <f>IF('3a Raw'!I515="","",MAX(-3,MIN(3,('3a Raw'!I515-$N3)/$N4)))</f>
        <v/>
      </c>
      <c r="O515" s="3">
        <f>IF(N515="","",(N515-AVERAGE(N6:N1198))/(STDEV(N6:N1198)+1E-12))</f>
        <v/>
      </c>
      <c r="P515" s="3">
        <f>IF('3a Raw'!J515="","",MAX(-3,MIN(3,('3a Raw'!J515-$P3)/$P4)))</f>
        <v/>
      </c>
      <c r="Q515" s="3">
        <f>IF(P515="","",(P515-AVERAGE(P6:P1198))/(STDEV(P6:P1198)+1E-12))</f>
        <v/>
      </c>
      <c r="R515" s="3">
        <f>IF('3a Raw'!K515="","",MAX(-3,MIN(3,('3a Raw'!K515-$R3)/$R4)))</f>
        <v/>
      </c>
      <c r="S515" s="3">
        <f>IF(R515="","",(R515-AVERAGE(R6:R1198))/(STDEV(R6:R1198)+1E-12))</f>
        <v/>
      </c>
      <c r="T515" s="3">
        <f>IF('3a Raw'!L515="","",MAX(-3,MIN(3,('3a Raw'!L515-$T3)/$T4)))</f>
        <v/>
      </c>
      <c r="U515" s="3">
        <f>IF(T515="","",(T515-AVERAGE(T6:T1198))/(STDEV(T6:T1198)+1E-12))</f>
        <v/>
      </c>
      <c r="X515" s="3">
        <f>IF(U515="","",U515-($V$3*G515+$W$3))</f>
        <v/>
      </c>
      <c r="Y515" s="3">
        <f>IF(X515="","",MAX(-3,MIN(3,(X515-$X3)/$X4)))</f>
        <v/>
      </c>
      <c r="Z515" s="3">
        <f>IF(Y515="","",(Y515-AVERAGE(Y6:Y1198))/(STDEV(Y6:Y1198)+1E-12))</f>
        <v/>
      </c>
    </row>
    <row r="516">
      <c r="A516" t="inlineStr">
        <is>
          <t>BBG000BLDV98</t>
        </is>
      </c>
      <c r="B516" s="3">
        <f>IF('3a Raw'!C516="","",MAX(-3,MIN(3,('3a Raw'!C516-$B3)/$B4)))</f>
        <v/>
      </c>
      <c r="C516" s="3">
        <f>IF(B516="","",(B516-AVERAGE(B6:B1198))/(STDEV(B6:B1198)+1E-12))</f>
        <v/>
      </c>
      <c r="D516" s="3">
        <f>IF('3a Raw'!D516="","",MAX(-3,MIN(3,('3a Raw'!D516-$D3)/$D4)))</f>
        <v/>
      </c>
      <c r="E516" s="3">
        <f>IF(D516="","",(D516-AVERAGE(D6:D1198))/(STDEV(D6:D1198)+1E-12))</f>
        <v/>
      </c>
      <c r="F516" s="3">
        <f>IF('3a Raw'!E516="","",MAX(-3,MIN(3,('3a Raw'!E516-$F3)/$F4)))</f>
        <v/>
      </c>
      <c r="G516" s="3">
        <f>IF(F516="","",(F516-AVERAGE(F6:F1198))/(STDEV(F6:F1198)+1E-12))</f>
        <v/>
      </c>
      <c r="H516" s="3">
        <f>IF('3a Raw'!F516="","",MAX(-3,MIN(3,('3a Raw'!F516-$H3)/$H4)))</f>
        <v/>
      </c>
      <c r="I516" s="3">
        <f>IF(H516="","",(H516-AVERAGE(H6:H1198))/(STDEV(H6:H1198)+1E-12))</f>
        <v/>
      </c>
      <c r="J516" s="3">
        <f>IF('3a Raw'!G516="","",MAX(-3,MIN(3,('3a Raw'!G516-$J3)/$J4)))</f>
        <v/>
      </c>
      <c r="K516" s="3">
        <f>IF(J516="","",(J516-AVERAGE(J6:J1198))/(STDEV(J6:J1198)+1E-12))</f>
        <v/>
      </c>
      <c r="L516" s="3">
        <f>IF('3a Raw'!H516="","",MAX(-3,MIN(3,('3a Raw'!H516-$L3)/$L4)))</f>
        <v/>
      </c>
      <c r="M516" s="3">
        <f>IF(L516="","",(L516-AVERAGE(L6:L1198))/(STDEV(L6:L1198)+1E-12))</f>
        <v/>
      </c>
      <c r="N516" s="3">
        <f>IF('3a Raw'!I516="","",MAX(-3,MIN(3,('3a Raw'!I516-$N3)/$N4)))</f>
        <v/>
      </c>
      <c r="O516" s="3">
        <f>IF(N516="","",(N516-AVERAGE(N6:N1198))/(STDEV(N6:N1198)+1E-12))</f>
        <v/>
      </c>
      <c r="P516" s="3">
        <f>IF('3a Raw'!J516="","",MAX(-3,MIN(3,('3a Raw'!J516-$P3)/$P4)))</f>
        <v/>
      </c>
      <c r="Q516" s="3">
        <f>IF(P516="","",(P516-AVERAGE(P6:P1198))/(STDEV(P6:P1198)+1E-12))</f>
        <v/>
      </c>
      <c r="R516" s="3">
        <f>IF('3a Raw'!K516="","",MAX(-3,MIN(3,('3a Raw'!K516-$R3)/$R4)))</f>
        <v/>
      </c>
      <c r="S516" s="3">
        <f>IF(R516="","",(R516-AVERAGE(R6:R1198))/(STDEV(R6:R1198)+1E-12))</f>
        <v/>
      </c>
      <c r="T516" s="3">
        <f>IF('3a Raw'!L516="","",MAX(-3,MIN(3,('3a Raw'!L516-$T3)/$T4)))</f>
        <v/>
      </c>
      <c r="U516" s="3">
        <f>IF(T516="","",(T516-AVERAGE(T6:T1198))/(STDEV(T6:T1198)+1E-12))</f>
        <v/>
      </c>
      <c r="X516" s="3">
        <f>IF(U516="","",U516-($V$3*G516+$W$3))</f>
        <v/>
      </c>
      <c r="Y516" s="3">
        <f>IF(X516="","",MAX(-3,MIN(3,(X516-$X3)/$X4)))</f>
        <v/>
      </c>
      <c r="Z516" s="3">
        <f>IF(Y516="","",(Y516-AVERAGE(Y6:Y1198))/(STDEV(Y6:Y1198)+1E-12))</f>
        <v/>
      </c>
    </row>
    <row r="517">
      <c r="A517" t="inlineStr">
        <is>
          <t>BBG000FNRZ69</t>
        </is>
      </c>
      <c r="B517" s="3">
        <f>IF('3a Raw'!C517="","",MAX(-3,MIN(3,('3a Raw'!C517-$B3)/$B4)))</f>
        <v/>
      </c>
      <c r="C517" s="3">
        <f>IF(B517="","",(B517-AVERAGE(B6:B1198))/(STDEV(B6:B1198)+1E-12))</f>
        <v/>
      </c>
      <c r="D517" s="3">
        <f>IF('3a Raw'!D517="","",MAX(-3,MIN(3,('3a Raw'!D517-$D3)/$D4)))</f>
        <v/>
      </c>
      <c r="E517" s="3">
        <f>IF(D517="","",(D517-AVERAGE(D6:D1198))/(STDEV(D6:D1198)+1E-12))</f>
        <v/>
      </c>
      <c r="F517" s="3">
        <f>IF('3a Raw'!E517="","",MAX(-3,MIN(3,('3a Raw'!E517-$F3)/$F4)))</f>
        <v/>
      </c>
      <c r="G517" s="3">
        <f>IF(F517="","",(F517-AVERAGE(F6:F1198))/(STDEV(F6:F1198)+1E-12))</f>
        <v/>
      </c>
      <c r="H517" s="3">
        <f>IF('3a Raw'!F517="","",MAX(-3,MIN(3,('3a Raw'!F517-$H3)/$H4)))</f>
        <v/>
      </c>
      <c r="I517" s="3">
        <f>IF(H517="","",(H517-AVERAGE(H6:H1198))/(STDEV(H6:H1198)+1E-12))</f>
        <v/>
      </c>
      <c r="J517" s="3">
        <f>IF('3a Raw'!G517="","",MAX(-3,MIN(3,('3a Raw'!G517-$J3)/$J4)))</f>
        <v/>
      </c>
      <c r="K517" s="3">
        <f>IF(J517="","",(J517-AVERAGE(J6:J1198))/(STDEV(J6:J1198)+1E-12))</f>
        <v/>
      </c>
      <c r="L517" s="3">
        <f>IF('3a Raw'!H517="","",MAX(-3,MIN(3,('3a Raw'!H517-$L3)/$L4)))</f>
        <v/>
      </c>
      <c r="M517" s="3">
        <f>IF(L517="","",(L517-AVERAGE(L6:L1198))/(STDEV(L6:L1198)+1E-12))</f>
        <v/>
      </c>
      <c r="N517" s="3">
        <f>IF('3a Raw'!I517="","",MAX(-3,MIN(3,('3a Raw'!I517-$N3)/$N4)))</f>
        <v/>
      </c>
      <c r="O517" s="3">
        <f>IF(N517="","",(N517-AVERAGE(N6:N1198))/(STDEV(N6:N1198)+1E-12))</f>
        <v/>
      </c>
      <c r="P517" s="3">
        <f>IF('3a Raw'!J517="","",MAX(-3,MIN(3,('3a Raw'!J517-$P3)/$P4)))</f>
        <v/>
      </c>
      <c r="Q517" s="3">
        <f>IF(P517="","",(P517-AVERAGE(P6:P1198))/(STDEV(P6:P1198)+1E-12))</f>
        <v/>
      </c>
      <c r="R517" s="3">
        <f>IF('3a Raw'!K517="","",MAX(-3,MIN(3,('3a Raw'!K517-$R3)/$R4)))</f>
        <v/>
      </c>
      <c r="S517" s="3">
        <f>IF(R517="","",(R517-AVERAGE(R6:R1198))/(STDEV(R6:R1198)+1E-12))</f>
        <v/>
      </c>
      <c r="T517" s="3">
        <f>IF('3a Raw'!L517="","",MAX(-3,MIN(3,('3a Raw'!L517-$T3)/$T4)))</f>
        <v/>
      </c>
      <c r="U517" s="3">
        <f>IF(T517="","",(T517-AVERAGE(T6:T1198))/(STDEV(T6:T1198)+1E-12))</f>
        <v/>
      </c>
      <c r="X517" s="3">
        <f>IF(U517="","",U517-($V$3*G517+$W$3))</f>
        <v/>
      </c>
      <c r="Y517" s="3">
        <f>IF(X517="","",MAX(-3,MIN(3,(X517-$X3)/$X4)))</f>
        <v/>
      </c>
      <c r="Z517" s="3">
        <f>IF(Y517="","",(Y517-AVERAGE(Y6:Y1198))/(STDEV(Y6:Y1198)+1E-12))</f>
        <v/>
      </c>
    </row>
    <row r="518">
      <c r="A518" t="inlineStr">
        <is>
          <t>hrl</t>
        </is>
      </c>
      <c r="B518" s="3">
        <f>IF('3a Raw'!C518="","",MAX(-3,MIN(3,('3a Raw'!C518-$B3)/$B4)))</f>
        <v/>
      </c>
      <c r="C518" s="3">
        <f>IF(B518="","",(B518-AVERAGE(B6:B1198))/(STDEV(B6:B1198)+1E-12))</f>
        <v/>
      </c>
      <c r="D518" s="3">
        <f>IF('3a Raw'!D518="","",MAX(-3,MIN(3,('3a Raw'!D518-$D3)/$D4)))</f>
        <v/>
      </c>
      <c r="E518" s="3">
        <f>IF(D518="","",(D518-AVERAGE(D6:D1198))/(STDEV(D6:D1198)+1E-12))</f>
        <v/>
      </c>
      <c r="F518" s="3">
        <f>IF('3a Raw'!E518="","",MAX(-3,MIN(3,('3a Raw'!E518-$F3)/$F4)))</f>
        <v/>
      </c>
      <c r="G518" s="3">
        <f>IF(F518="","",(F518-AVERAGE(F6:F1198))/(STDEV(F6:F1198)+1E-12))</f>
        <v/>
      </c>
      <c r="H518" s="3">
        <f>IF('3a Raw'!F518="","",MAX(-3,MIN(3,('3a Raw'!F518-$H3)/$H4)))</f>
        <v/>
      </c>
      <c r="I518" s="3">
        <f>IF(H518="","",(H518-AVERAGE(H6:H1198))/(STDEV(H6:H1198)+1E-12))</f>
        <v/>
      </c>
      <c r="J518" s="3">
        <f>IF('3a Raw'!G518="","",MAX(-3,MIN(3,('3a Raw'!G518-$J3)/$J4)))</f>
        <v/>
      </c>
      <c r="K518" s="3">
        <f>IF(J518="","",(J518-AVERAGE(J6:J1198))/(STDEV(J6:J1198)+1E-12))</f>
        <v/>
      </c>
      <c r="L518" s="3">
        <f>IF('3a Raw'!H518="","",MAX(-3,MIN(3,('3a Raw'!H518-$L3)/$L4)))</f>
        <v/>
      </c>
      <c r="M518" s="3">
        <f>IF(L518="","",(L518-AVERAGE(L6:L1198))/(STDEV(L6:L1198)+1E-12))</f>
        <v/>
      </c>
      <c r="N518" s="3">
        <f>IF('3a Raw'!I518="","",MAX(-3,MIN(3,('3a Raw'!I518-$N3)/$N4)))</f>
        <v/>
      </c>
      <c r="O518" s="3">
        <f>IF(N518="","",(N518-AVERAGE(N6:N1198))/(STDEV(N6:N1198)+1E-12))</f>
        <v/>
      </c>
      <c r="P518" s="3">
        <f>IF('3a Raw'!J518="","",MAX(-3,MIN(3,('3a Raw'!J518-$P3)/$P4)))</f>
        <v/>
      </c>
      <c r="Q518" s="3">
        <f>IF(P518="","",(P518-AVERAGE(P6:P1198))/(STDEV(P6:P1198)+1E-12))</f>
        <v/>
      </c>
      <c r="R518" s="3">
        <f>IF('3a Raw'!K518="","",MAX(-3,MIN(3,('3a Raw'!K518-$R3)/$R4)))</f>
        <v/>
      </c>
      <c r="S518" s="3">
        <f>IF(R518="","",(R518-AVERAGE(R6:R1198))/(STDEV(R6:R1198)+1E-12))</f>
        <v/>
      </c>
      <c r="T518" s="3">
        <f>IF('3a Raw'!L518="","",MAX(-3,MIN(3,('3a Raw'!L518-$T3)/$T4)))</f>
        <v/>
      </c>
      <c r="U518" s="3">
        <f>IF(T518="","",(T518-AVERAGE(T6:T1198))/(STDEV(T6:T1198)+1E-12))</f>
        <v/>
      </c>
      <c r="X518" s="3">
        <f>IF(U518="","",U518-($V$3*G518+$W$3))</f>
        <v/>
      </c>
      <c r="Y518" s="3">
        <f>IF(X518="","",MAX(-3,MIN(3,(X518-$X3)/$X4)))</f>
        <v/>
      </c>
      <c r="Z518" s="3">
        <f>IF(Y518="","",(Y518-AVERAGE(Y6:Y1198))/(STDEV(Y6:Y1198)+1E-12))</f>
        <v/>
      </c>
    </row>
    <row r="519">
      <c r="A519" t="inlineStr">
        <is>
          <t>BBG006D4PF48</t>
        </is>
      </c>
      <c r="B519" s="3">
        <f>IF('3a Raw'!C519="","",MAX(-3,MIN(3,('3a Raw'!C519-$B3)/$B4)))</f>
        <v/>
      </c>
      <c r="C519" s="3">
        <f>IF(B519="","",(B519-AVERAGE(B6:B1198))/(STDEV(B6:B1198)+1E-12))</f>
        <v/>
      </c>
      <c r="D519" s="3">
        <f>IF('3a Raw'!D519="","",MAX(-3,MIN(3,('3a Raw'!D519-$D3)/$D4)))</f>
        <v/>
      </c>
      <c r="E519" s="3">
        <f>IF(D519="","",(D519-AVERAGE(D6:D1198))/(STDEV(D6:D1198)+1E-12))</f>
        <v/>
      </c>
      <c r="F519" s="3">
        <f>IF('3a Raw'!E519="","",MAX(-3,MIN(3,('3a Raw'!E519-$F3)/$F4)))</f>
        <v/>
      </c>
      <c r="G519" s="3">
        <f>IF(F519="","",(F519-AVERAGE(F6:F1198))/(STDEV(F6:F1198)+1E-12))</f>
        <v/>
      </c>
      <c r="H519" s="3">
        <f>IF('3a Raw'!F519="","",MAX(-3,MIN(3,('3a Raw'!F519-$H3)/$H4)))</f>
        <v/>
      </c>
      <c r="I519" s="3">
        <f>IF(H519="","",(H519-AVERAGE(H6:H1198))/(STDEV(H6:H1198)+1E-12))</f>
        <v/>
      </c>
      <c r="J519" s="3">
        <f>IF('3a Raw'!G519="","",MAX(-3,MIN(3,('3a Raw'!G519-$J3)/$J4)))</f>
        <v/>
      </c>
      <c r="K519" s="3">
        <f>IF(J519="","",(J519-AVERAGE(J6:J1198))/(STDEV(J6:J1198)+1E-12))</f>
        <v/>
      </c>
      <c r="L519" s="3">
        <f>IF('3a Raw'!H519="","",MAX(-3,MIN(3,('3a Raw'!H519-$L3)/$L4)))</f>
        <v/>
      </c>
      <c r="M519" s="3">
        <f>IF(L519="","",(L519-AVERAGE(L6:L1198))/(STDEV(L6:L1198)+1E-12))</f>
        <v/>
      </c>
      <c r="N519" s="3">
        <f>IF('3a Raw'!I519="","",MAX(-3,MIN(3,('3a Raw'!I519-$N3)/$N4)))</f>
        <v/>
      </c>
      <c r="O519" s="3">
        <f>IF(N519="","",(N519-AVERAGE(N6:N1198))/(STDEV(N6:N1198)+1E-12))</f>
        <v/>
      </c>
      <c r="P519" s="3">
        <f>IF('3a Raw'!J519="","",MAX(-3,MIN(3,('3a Raw'!J519-$P3)/$P4)))</f>
        <v/>
      </c>
      <c r="Q519" s="3">
        <f>IF(P519="","",(P519-AVERAGE(P6:P1198))/(STDEV(P6:P1198)+1E-12))</f>
        <v/>
      </c>
      <c r="R519" s="3">
        <f>IF('3a Raw'!K519="","",MAX(-3,MIN(3,('3a Raw'!K519-$R3)/$R4)))</f>
        <v/>
      </c>
      <c r="S519" s="3">
        <f>IF(R519="","",(R519-AVERAGE(R6:R1198))/(STDEV(R6:R1198)+1E-12))</f>
        <v/>
      </c>
      <c r="T519" s="3">
        <f>IF('3a Raw'!L519="","",MAX(-3,MIN(3,('3a Raw'!L519-$T3)/$T4)))</f>
        <v/>
      </c>
      <c r="U519" s="3">
        <f>IF(T519="","",(T519-AVERAGE(T6:T1198))/(STDEV(T6:T1198)+1E-12))</f>
        <v/>
      </c>
      <c r="X519" s="3">
        <f>IF(U519="","",U519-($V$3*G519+$W$3))</f>
        <v/>
      </c>
      <c r="Y519" s="3">
        <f>IF(X519="","",MAX(-3,MIN(3,(X519-$X3)/$X4)))</f>
        <v/>
      </c>
      <c r="Z519" s="3">
        <f>IF(Y519="","",(Y519-AVERAGE(Y6:Y1198))/(STDEV(Y6:Y1198)+1E-12))</f>
        <v/>
      </c>
    </row>
    <row r="520">
      <c r="A520" t="inlineStr">
        <is>
          <t>BBG000BNMMJ3</t>
        </is>
      </c>
      <c r="B520" s="3">
        <f>IF('3a Raw'!C520="","",MAX(-3,MIN(3,('3a Raw'!C520-$B3)/$B4)))</f>
        <v/>
      </c>
      <c r="C520" s="3">
        <f>IF(B520="","",(B520-AVERAGE(B6:B1198))/(STDEV(B6:B1198)+1E-12))</f>
        <v/>
      </c>
      <c r="D520" s="3">
        <f>IF('3a Raw'!D520="","",MAX(-3,MIN(3,('3a Raw'!D520-$D3)/$D4)))</f>
        <v/>
      </c>
      <c r="E520" s="3">
        <f>IF(D520="","",(D520-AVERAGE(D6:D1198))/(STDEV(D6:D1198)+1E-12))</f>
        <v/>
      </c>
      <c r="F520" s="3">
        <f>IF('3a Raw'!E520="","",MAX(-3,MIN(3,('3a Raw'!E520-$F3)/$F4)))</f>
        <v/>
      </c>
      <c r="G520" s="3">
        <f>IF(F520="","",(F520-AVERAGE(F6:F1198))/(STDEV(F6:F1198)+1E-12))</f>
        <v/>
      </c>
      <c r="H520" s="3">
        <f>IF('3a Raw'!F520="","",MAX(-3,MIN(3,('3a Raw'!F520-$H3)/$H4)))</f>
        <v/>
      </c>
      <c r="I520" s="3">
        <f>IF(H520="","",(H520-AVERAGE(H6:H1198))/(STDEV(H6:H1198)+1E-12))</f>
        <v/>
      </c>
      <c r="J520" s="3">
        <f>IF('3a Raw'!G520="","",MAX(-3,MIN(3,('3a Raw'!G520-$J3)/$J4)))</f>
        <v/>
      </c>
      <c r="K520" s="3">
        <f>IF(J520="","",(J520-AVERAGE(J6:J1198))/(STDEV(J6:J1198)+1E-12))</f>
        <v/>
      </c>
      <c r="L520" s="3">
        <f>IF('3a Raw'!H520="","",MAX(-3,MIN(3,('3a Raw'!H520-$L3)/$L4)))</f>
        <v/>
      </c>
      <c r="M520" s="3">
        <f>IF(L520="","",(L520-AVERAGE(L6:L1198))/(STDEV(L6:L1198)+1E-12))</f>
        <v/>
      </c>
      <c r="N520" s="3">
        <f>IF('3a Raw'!I520="","",MAX(-3,MIN(3,('3a Raw'!I520-$N3)/$N4)))</f>
        <v/>
      </c>
      <c r="O520" s="3">
        <f>IF(N520="","",(N520-AVERAGE(N6:N1198))/(STDEV(N6:N1198)+1E-12))</f>
        <v/>
      </c>
      <c r="P520" s="3">
        <f>IF('3a Raw'!J520="","",MAX(-3,MIN(3,('3a Raw'!J520-$P3)/$P4)))</f>
        <v/>
      </c>
      <c r="Q520" s="3">
        <f>IF(P520="","",(P520-AVERAGE(P6:P1198))/(STDEV(P6:P1198)+1E-12))</f>
        <v/>
      </c>
      <c r="R520" s="3">
        <f>IF('3a Raw'!K520="","",MAX(-3,MIN(3,('3a Raw'!K520-$R3)/$R4)))</f>
        <v/>
      </c>
      <c r="S520" s="3">
        <f>IF(R520="","",(R520-AVERAGE(R6:R1198))/(STDEV(R6:R1198)+1E-12))</f>
        <v/>
      </c>
      <c r="T520" s="3">
        <f>IF('3a Raw'!L520="","",MAX(-3,MIN(3,('3a Raw'!L520-$T3)/$T4)))</f>
        <v/>
      </c>
      <c r="U520" s="3">
        <f>IF(T520="","",(T520-AVERAGE(T6:T1198))/(STDEV(T6:T1198)+1E-12))</f>
        <v/>
      </c>
      <c r="X520" s="3">
        <f>IF(U520="","",U520-($V$3*G520+$W$3))</f>
        <v/>
      </c>
      <c r="Y520" s="3">
        <f>IF(X520="","",MAX(-3,MIN(3,(X520-$X3)/$X4)))</f>
        <v/>
      </c>
      <c r="Z520" s="3">
        <f>IF(Y520="","",(Y520-AVERAGE(Y6:Y1198))/(STDEV(Y6:Y1198)+1E-12))</f>
        <v/>
      </c>
    </row>
    <row r="521">
      <c r="A521" t="inlineStr">
        <is>
          <t>BBG000BL8804</t>
        </is>
      </c>
      <c r="B521" s="3">
        <f>IF('3a Raw'!C521="","",MAX(-3,MIN(3,('3a Raw'!C521-$B3)/$B4)))</f>
        <v/>
      </c>
      <c r="C521" s="3">
        <f>IF(B521="","",(B521-AVERAGE(B6:B1198))/(STDEV(B6:B1198)+1E-12))</f>
        <v/>
      </c>
      <c r="D521" s="3">
        <f>IF('3a Raw'!D521="","",MAX(-3,MIN(3,('3a Raw'!D521-$D3)/$D4)))</f>
        <v/>
      </c>
      <c r="E521" s="3">
        <f>IF(D521="","",(D521-AVERAGE(D6:D1198))/(STDEV(D6:D1198)+1E-12))</f>
        <v/>
      </c>
      <c r="F521" s="3">
        <f>IF('3a Raw'!E521="","",MAX(-3,MIN(3,('3a Raw'!E521-$F3)/$F4)))</f>
        <v/>
      </c>
      <c r="G521" s="3">
        <f>IF(F521="","",(F521-AVERAGE(F6:F1198))/(STDEV(F6:F1198)+1E-12))</f>
        <v/>
      </c>
      <c r="H521" s="3">
        <f>IF('3a Raw'!F521="","",MAX(-3,MIN(3,('3a Raw'!F521-$H3)/$H4)))</f>
        <v/>
      </c>
      <c r="I521" s="3">
        <f>IF(H521="","",(H521-AVERAGE(H6:H1198))/(STDEV(H6:H1198)+1E-12))</f>
        <v/>
      </c>
      <c r="J521" s="3">
        <f>IF('3a Raw'!G521="","",MAX(-3,MIN(3,('3a Raw'!G521-$J3)/$J4)))</f>
        <v/>
      </c>
      <c r="K521" s="3">
        <f>IF(J521="","",(J521-AVERAGE(J6:J1198))/(STDEV(J6:J1198)+1E-12))</f>
        <v/>
      </c>
      <c r="L521" s="3">
        <f>IF('3a Raw'!H521="","",MAX(-3,MIN(3,('3a Raw'!H521-$L3)/$L4)))</f>
        <v/>
      </c>
      <c r="M521" s="3">
        <f>IF(L521="","",(L521-AVERAGE(L6:L1198))/(STDEV(L6:L1198)+1E-12))</f>
        <v/>
      </c>
      <c r="N521" s="3">
        <f>IF('3a Raw'!I521="","",MAX(-3,MIN(3,('3a Raw'!I521-$N3)/$N4)))</f>
        <v/>
      </c>
      <c r="O521" s="3">
        <f>IF(N521="","",(N521-AVERAGE(N6:N1198))/(STDEV(N6:N1198)+1E-12))</f>
        <v/>
      </c>
      <c r="P521" s="3">
        <f>IF('3a Raw'!J521="","",MAX(-3,MIN(3,('3a Raw'!J521-$P3)/$P4)))</f>
        <v/>
      </c>
      <c r="Q521" s="3">
        <f>IF(P521="","",(P521-AVERAGE(P6:P1198))/(STDEV(P6:P1198)+1E-12))</f>
        <v/>
      </c>
      <c r="R521" s="3">
        <f>IF('3a Raw'!K521="","",MAX(-3,MIN(3,('3a Raw'!K521-$R3)/$R4)))</f>
        <v/>
      </c>
      <c r="S521" s="3">
        <f>IF(R521="","",(R521-AVERAGE(R6:R1198))/(STDEV(R6:R1198)+1E-12))</f>
        <v/>
      </c>
      <c r="T521" s="3">
        <f>IF('3a Raw'!L521="","",MAX(-3,MIN(3,('3a Raw'!L521-$T3)/$T4)))</f>
        <v/>
      </c>
      <c r="U521" s="3">
        <f>IF(T521="","",(T521-AVERAGE(T6:T1198))/(STDEV(T6:T1198)+1E-12))</f>
        <v/>
      </c>
      <c r="X521" s="3">
        <f>IF(U521="","",U521-($V$3*G521+$W$3))</f>
        <v/>
      </c>
      <c r="Y521" s="3">
        <f>IF(X521="","",MAX(-3,MIN(3,(X521-$X3)/$X4)))</f>
        <v/>
      </c>
      <c r="Z521" s="3">
        <f>IF(Y521="","",(Y521-AVERAGE(Y6:Y1198))/(STDEV(Y6:Y1198)+1E-12))</f>
        <v/>
      </c>
    </row>
    <row r="522">
      <c r="A522" t="inlineStr">
        <is>
          <t>BBG000BLHRS2</t>
        </is>
      </c>
      <c r="B522" s="3">
        <f>IF('3a Raw'!C522="","",MAX(-3,MIN(3,('3a Raw'!C522-$B3)/$B4)))</f>
        <v/>
      </c>
      <c r="C522" s="3">
        <f>IF(B522="","",(B522-AVERAGE(B6:B1198))/(STDEV(B6:B1198)+1E-12))</f>
        <v/>
      </c>
      <c r="D522" s="3">
        <f>IF('3a Raw'!D522="","",MAX(-3,MIN(3,('3a Raw'!D522-$D3)/$D4)))</f>
        <v/>
      </c>
      <c r="E522" s="3">
        <f>IF(D522="","",(D522-AVERAGE(D6:D1198))/(STDEV(D6:D1198)+1E-12))</f>
        <v/>
      </c>
      <c r="F522" s="3">
        <f>IF('3a Raw'!E522="","",MAX(-3,MIN(3,('3a Raw'!E522-$F3)/$F4)))</f>
        <v/>
      </c>
      <c r="G522" s="3">
        <f>IF(F522="","",(F522-AVERAGE(F6:F1198))/(STDEV(F6:F1198)+1E-12))</f>
        <v/>
      </c>
      <c r="H522" s="3">
        <f>IF('3a Raw'!F522="","",MAX(-3,MIN(3,('3a Raw'!F522-$H3)/$H4)))</f>
        <v/>
      </c>
      <c r="I522" s="3">
        <f>IF(H522="","",(H522-AVERAGE(H6:H1198))/(STDEV(H6:H1198)+1E-12))</f>
        <v/>
      </c>
      <c r="J522" s="3">
        <f>IF('3a Raw'!G522="","",MAX(-3,MIN(3,('3a Raw'!G522-$J3)/$J4)))</f>
        <v/>
      </c>
      <c r="K522" s="3">
        <f>IF(J522="","",(J522-AVERAGE(J6:J1198))/(STDEV(J6:J1198)+1E-12))</f>
        <v/>
      </c>
      <c r="L522" s="3">
        <f>IF('3a Raw'!H522="","",MAX(-3,MIN(3,('3a Raw'!H522-$L3)/$L4)))</f>
        <v/>
      </c>
      <c r="M522" s="3">
        <f>IF(L522="","",(L522-AVERAGE(L6:L1198))/(STDEV(L6:L1198)+1E-12))</f>
        <v/>
      </c>
      <c r="N522" s="3">
        <f>IF('3a Raw'!I522="","",MAX(-3,MIN(3,('3a Raw'!I522-$N3)/$N4)))</f>
        <v/>
      </c>
      <c r="O522" s="3">
        <f>IF(N522="","",(N522-AVERAGE(N6:N1198))/(STDEV(N6:N1198)+1E-12))</f>
        <v/>
      </c>
      <c r="P522" s="3">
        <f>IF('3a Raw'!J522="","",MAX(-3,MIN(3,('3a Raw'!J522-$P3)/$P4)))</f>
        <v/>
      </c>
      <c r="Q522" s="3">
        <f>IF(P522="","",(P522-AVERAGE(P6:P1198))/(STDEV(P6:P1198)+1E-12))</f>
        <v/>
      </c>
      <c r="R522" s="3">
        <f>IF('3a Raw'!K522="","",MAX(-3,MIN(3,('3a Raw'!K522-$R3)/$R4)))</f>
        <v/>
      </c>
      <c r="S522" s="3">
        <f>IF(R522="","",(R522-AVERAGE(R6:R1198))/(STDEV(R6:R1198)+1E-12))</f>
        <v/>
      </c>
      <c r="T522" s="3">
        <f>IF('3a Raw'!L522="","",MAX(-3,MIN(3,('3a Raw'!L522-$T3)/$T4)))</f>
        <v/>
      </c>
      <c r="U522" s="3">
        <f>IF(T522="","",(T522-AVERAGE(T6:T1198))/(STDEV(T6:T1198)+1E-12))</f>
        <v/>
      </c>
      <c r="X522" s="3">
        <f>IF(U522="","",U522-($V$3*G522+$W$3))</f>
        <v/>
      </c>
      <c r="Y522" s="3">
        <f>IF(X522="","",MAX(-3,MIN(3,(X522-$X3)/$X4)))</f>
        <v/>
      </c>
      <c r="Z522" s="3">
        <f>IF(Y522="","",(Y522-AVERAGE(Y6:Y1198))/(STDEV(Y6:Y1198)+1E-12))</f>
        <v/>
      </c>
    </row>
    <row r="523">
      <c r="A523" t="inlineStr">
        <is>
          <t>BBG0026ZJ2M2</t>
        </is>
      </c>
      <c r="B523" s="3">
        <f>IF('3a Raw'!C523="","",MAX(-3,MIN(3,('3a Raw'!C523-$B3)/$B4)))</f>
        <v/>
      </c>
      <c r="C523" s="3">
        <f>IF(B523="","",(B523-AVERAGE(B6:B1198))/(STDEV(B6:B1198)+1E-12))</f>
        <v/>
      </c>
      <c r="D523" s="3">
        <f>IF('3a Raw'!D523="","",MAX(-3,MIN(3,('3a Raw'!D523-$D3)/$D4)))</f>
        <v/>
      </c>
      <c r="E523" s="3">
        <f>IF(D523="","",(D523-AVERAGE(D6:D1198))/(STDEV(D6:D1198)+1E-12))</f>
        <v/>
      </c>
      <c r="F523" s="3">
        <f>IF('3a Raw'!E523="","",MAX(-3,MIN(3,('3a Raw'!E523-$F3)/$F4)))</f>
        <v/>
      </c>
      <c r="G523" s="3">
        <f>IF(F523="","",(F523-AVERAGE(F6:F1198))/(STDEV(F6:F1198)+1E-12))</f>
        <v/>
      </c>
      <c r="H523" s="3">
        <f>IF('3a Raw'!F523="","",MAX(-3,MIN(3,('3a Raw'!F523-$H3)/$H4)))</f>
        <v/>
      </c>
      <c r="I523" s="3">
        <f>IF(H523="","",(H523-AVERAGE(H6:H1198))/(STDEV(H6:H1198)+1E-12))</f>
        <v/>
      </c>
      <c r="J523" s="3">
        <f>IF('3a Raw'!G523="","",MAX(-3,MIN(3,('3a Raw'!G523-$J3)/$J4)))</f>
        <v/>
      </c>
      <c r="K523" s="3">
        <f>IF(J523="","",(J523-AVERAGE(J6:J1198))/(STDEV(J6:J1198)+1E-12))</f>
        <v/>
      </c>
      <c r="L523" s="3">
        <f>IF('3a Raw'!H523="","",MAX(-3,MIN(3,('3a Raw'!H523-$L3)/$L4)))</f>
        <v/>
      </c>
      <c r="M523" s="3">
        <f>IF(L523="","",(L523-AVERAGE(L6:L1198))/(STDEV(L6:L1198)+1E-12))</f>
        <v/>
      </c>
      <c r="N523" s="3">
        <f>IF('3a Raw'!I523="","",MAX(-3,MIN(3,('3a Raw'!I523-$N3)/$N4)))</f>
        <v/>
      </c>
      <c r="O523" s="3">
        <f>IF(N523="","",(N523-AVERAGE(N6:N1198))/(STDEV(N6:N1198)+1E-12))</f>
        <v/>
      </c>
      <c r="P523" s="3">
        <f>IF('3a Raw'!J523="","",MAX(-3,MIN(3,('3a Raw'!J523-$P3)/$P4)))</f>
        <v/>
      </c>
      <c r="Q523" s="3">
        <f>IF(P523="","",(P523-AVERAGE(P6:P1198))/(STDEV(P6:P1198)+1E-12))</f>
        <v/>
      </c>
      <c r="R523" s="3">
        <f>IF('3a Raw'!K523="","",MAX(-3,MIN(3,('3a Raw'!K523-$R3)/$R4)))</f>
        <v/>
      </c>
      <c r="S523" s="3">
        <f>IF(R523="","",(R523-AVERAGE(R6:R1198))/(STDEV(R6:R1198)+1E-12))</f>
        <v/>
      </c>
      <c r="T523" s="3">
        <f>IF('3a Raw'!L523="","",MAX(-3,MIN(3,('3a Raw'!L523-$T3)/$T4)))</f>
        <v/>
      </c>
      <c r="U523" s="3">
        <f>IF(T523="","",(T523-AVERAGE(T6:T1198))/(STDEV(T6:T1198)+1E-12))</f>
        <v/>
      </c>
      <c r="X523" s="3">
        <f>IF(U523="","",U523-($V$3*G523+$W$3))</f>
        <v/>
      </c>
      <c r="Y523" s="3">
        <f>IF(X523="","",MAX(-3,MIN(3,(X523-$X3)/$X4)))</f>
        <v/>
      </c>
      <c r="Z523" s="3">
        <f>IF(Y523="","",(Y523-AVERAGE(Y6:Y1198))/(STDEV(Y6:Y1198)+1E-12))</f>
        <v/>
      </c>
    </row>
    <row r="524">
      <c r="A524" t="inlineStr">
        <is>
          <t>BBG000C2R8K2</t>
        </is>
      </c>
      <c r="B524" s="3">
        <f>IF('3a Raw'!C524="","",MAX(-3,MIN(3,('3a Raw'!C524-$B3)/$B4)))</f>
        <v/>
      </c>
      <c r="C524" s="3">
        <f>IF(B524="","",(B524-AVERAGE(B6:B1198))/(STDEV(B6:B1198)+1E-12))</f>
        <v/>
      </c>
      <c r="D524" s="3">
        <f>IF('3a Raw'!D524="","",MAX(-3,MIN(3,('3a Raw'!D524-$D3)/$D4)))</f>
        <v/>
      </c>
      <c r="E524" s="3">
        <f>IF(D524="","",(D524-AVERAGE(D6:D1198))/(STDEV(D6:D1198)+1E-12))</f>
        <v/>
      </c>
      <c r="F524" s="3">
        <f>IF('3a Raw'!E524="","",MAX(-3,MIN(3,('3a Raw'!E524-$F3)/$F4)))</f>
        <v/>
      </c>
      <c r="G524" s="3">
        <f>IF(F524="","",(F524-AVERAGE(F6:F1198))/(STDEV(F6:F1198)+1E-12))</f>
        <v/>
      </c>
      <c r="H524" s="3">
        <f>IF('3a Raw'!F524="","",MAX(-3,MIN(3,('3a Raw'!F524-$H3)/$H4)))</f>
        <v/>
      </c>
      <c r="I524" s="3">
        <f>IF(H524="","",(H524-AVERAGE(H6:H1198))/(STDEV(H6:H1198)+1E-12))</f>
        <v/>
      </c>
      <c r="J524" s="3">
        <f>IF('3a Raw'!G524="","",MAX(-3,MIN(3,('3a Raw'!G524-$J3)/$J4)))</f>
        <v/>
      </c>
      <c r="K524" s="3">
        <f>IF(J524="","",(J524-AVERAGE(J6:J1198))/(STDEV(J6:J1198)+1E-12))</f>
        <v/>
      </c>
      <c r="L524" s="3">
        <f>IF('3a Raw'!H524="","",MAX(-3,MIN(3,('3a Raw'!H524-$L3)/$L4)))</f>
        <v/>
      </c>
      <c r="M524" s="3">
        <f>IF(L524="","",(L524-AVERAGE(L6:L1198))/(STDEV(L6:L1198)+1E-12))</f>
        <v/>
      </c>
      <c r="N524" s="3">
        <f>IF('3a Raw'!I524="","",MAX(-3,MIN(3,('3a Raw'!I524-$N3)/$N4)))</f>
        <v/>
      </c>
      <c r="O524" s="3">
        <f>IF(N524="","",(N524-AVERAGE(N6:N1198))/(STDEV(N6:N1198)+1E-12))</f>
        <v/>
      </c>
      <c r="P524" s="3">
        <f>IF('3a Raw'!J524="","",MAX(-3,MIN(3,('3a Raw'!J524-$P3)/$P4)))</f>
        <v/>
      </c>
      <c r="Q524" s="3">
        <f>IF(P524="","",(P524-AVERAGE(P6:P1198))/(STDEV(P6:P1198)+1E-12))</f>
        <v/>
      </c>
      <c r="R524" s="3">
        <f>IF('3a Raw'!K524="","",MAX(-3,MIN(3,('3a Raw'!K524-$R3)/$R4)))</f>
        <v/>
      </c>
      <c r="S524" s="3">
        <f>IF(R524="","",(R524-AVERAGE(R6:R1198))/(STDEV(R6:R1198)+1E-12))</f>
        <v/>
      </c>
      <c r="T524" s="3">
        <f>IF('3a Raw'!L524="","",MAX(-3,MIN(3,('3a Raw'!L524-$T3)/$T4)))</f>
        <v/>
      </c>
      <c r="U524" s="3">
        <f>IF(T524="","",(T524-AVERAGE(T6:T1198))/(STDEV(T6:T1198)+1E-12))</f>
        <v/>
      </c>
      <c r="X524" s="3">
        <f>IF(U524="","",U524-($V$3*G524+$W$3))</f>
        <v/>
      </c>
      <c r="Y524" s="3">
        <f>IF(X524="","",MAX(-3,MIN(3,(X524-$X3)/$X4)))</f>
        <v/>
      </c>
      <c r="Z524" s="3">
        <f>IF(Y524="","",(Y524-AVERAGE(Y6:Y1198))/(STDEV(Y6:Y1198)+1E-12))</f>
        <v/>
      </c>
    </row>
    <row r="525">
      <c r="A525" t="inlineStr">
        <is>
          <t>BBG000BT1ZY7</t>
        </is>
      </c>
      <c r="B525" s="3">
        <f>IF('3a Raw'!C525="","",MAX(-3,MIN(3,('3a Raw'!C525-$B3)/$B4)))</f>
        <v/>
      </c>
      <c r="C525" s="3">
        <f>IF(B525="","",(B525-AVERAGE(B6:B1198))/(STDEV(B6:B1198)+1E-12))</f>
        <v/>
      </c>
      <c r="D525" s="3">
        <f>IF('3a Raw'!D525="","",MAX(-3,MIN(3,('3a Raw'!D525-$D3)/$D4)))</f>
        <v/>
      </c>
      <c r="E525" s="3">
        <f>IF(D525="","",(D525-AVERAGE(D6:D1198))/(STDEV(D6:D1198)+1E-12))</f>
        <v/>
      </c>
      <c r="F525" s="3">
        <f>IF('3a Raw'!E525="","",MAX(-3,MIN(3,('3a Raw'!E525-$F3)/$F4)))</f>
        <v/>
      </c>
      <c r="G525" s="3">
        <f>IF(F525="","",(F525-AVERAGE(F6:F1198))/(STDEV(F6:F1198)+1E-12))</f>
        <v/>
      </c>
      <c r="H525" s="3">
        <f>IF('3a Raw'!F525="","",MAX(-3,MIN(3,('3a Raw'!F525-$H3)/$H4)))</f>
        <v/>
      </c>
      <c r="I525" s="3">
        <f>IF(H525="","",(H525-AVERAGE(H6:H1198))/(STDEV(H6:H1198)+1E-12))</f>
        <v/>
      </c>
      <c r="J525" s="3">
        <f>IF('3a Raw'!G525="","",MAX(-3,MIN(3,('3a Raw'!G525-$J3)/$J4)))</f>
        <v/>
      </c>
      <c r="K525" s="3">
        <f>IF(J525="","",(J525-AVERAGE(J6:J1198))/(STDEV(J6:J1198)+1E-12))</f>
        <v/>
      </c>
      <c r="L525" s="3">
        <f>IF('3a Raw'!H525="","",MAX(-3,MIN(3,('3a Raw'!H525-$L3)/$L4)))</f>
        <v/>
      </c>
      <c r="M525" s="3">
        <f>IF(L525="","",(L525-AVERAGE(L6:L1198))/(STDEV(L6:L1198)+1E-12))</f>
        <v/>
      </c>
      <c r="N525" s="3">
        <f>IF('3a Raw'!I525="","",MAX(-3,MIN(3,('3a Raw'!I525-$N3)/$N4)))</f>
        <v/>
      </c>
      <c r="O525" s="3">
        <f>IF(N525="","",(N525-AVERAGE(N6:N1198))/(STDEV(N6:N1198)+1E-12))</f>
        <v/>
      </c>
      <c r="P525" s="3">
        <f>IF('3a Raw'!J525="","",MAX(-3,MIN(3,('3a Raw'!J525-$P3)/$P4)))</f>
        <v/>
      </c>
      <c r="Q525" s="3">
        <f>IF(P525="","",(P525-AVERAGE(P6:P1198))/(STDEV(P6:P1198)+1E-12))</f>
        <v/>
      </c>
      <c r="R525" s="3">
        <f>IF('3a Raw'!K525="","",MAX(-3,MIN(3,('3a Raw'!K525-$R3)/$R4)))</f>
        <v/>
      </c>
      <c r="S525" s="3">
        <f>IF(R525="","",(R525-AVERAGE(R6:R1198))/(STDEV(R6:R1198)+1E-12))</f>
        <v/>
      </c>
      <c r="T525" s="3">
        <f>IF('3a Raw'!L525="","",MAX(-3,MIN(3,('3a Raw'!L525-$T3)/$T4)))</f>
        <v/>
      </c>
      <c r="U525" s="3">
        <f>IF(T525="","",(T525-AVERAGE(T6:T1198))/(STDEV(T6:T1198)+1E-12))</f>
        <v/>
      </c>
      <c r="X525" s="3">
        <f>IF(U525="","",U525-($V$3*G525+$W$3))</f>
        <v/>
      </c>
      <c r="Y525" s="3">
        <f>IF(X525="","",MAX(-3,MIN(3,(X525-$X3)/$X4)))</f>
        <v/>
      </c>
      <c r="Z525" s="3">
        <f>IF(Y525="","",(Y525-AVERAGE(Y6:Y1198))/(STDEV(Y6:Y1198)+1E-12))</f>
        <v/>
      </c>
    </row>
    <row r="526">
      <c r="A526" t="inlineStr">
        <is>
          <t>BBG011N57109</t>
        </is>
      </c>
      <c r="B526" s="3">
        <f>IF('3a Raw'!C526="","",MAX(-3,MIN(3,('3a Raw'!C526-$B3)/$B4)))</f>
        <v/>
      </c>
      <c r="C526" s="3">
        <f>IF(B526="","",(B526-AVERAGE(B6:B1198))/(STDEV(B6:B1198)+1E-12))</f>
        <v/>
      </c>
      <c r="D526" s="3">
        <f>IF('3a Raw'!D526="","",MAX(-3,MIN(3,('3a Raw'!D526-$D3)/$D4)))</f>
        <v/>
      </c>
      <c r="E526" s="3">
        <f>IF(D526="","",(D526-AVERAGE(D6:D1198))/(STDEV(D6:D1198)+1E-12))</f>
        <v/>
      </c>
      <c r="F526" s="3">
        <f>IF('3a Raw'!E526="","",MAX(-3,MIN(3,('3a Raw'!E526-$F3)/$F4)))</f>
        <v/>
      </c>
      <c r="G526" s="3">
        <f>IF(F526="","",(F526-AVERAGE(F6:F1198))/(STDEV(F6:F1198)+1E-12))</f>
        <v/>
      </c>
      <c r="H526" s="3">
        <f>IF('3a Raw'!F526="","",MAX(-3,MIN(3,('3a Raw'!F526-$H3)/$H4)))</f>
        <v/>
      </c>
      <c r="I526" s="3">
        <f>IF(H526="","",(H526-AVERAGE(H6:H1198))/(STDEV(H6:H1198)+1E-12))</f>
        <v/>
      </c>
      <c r="J526" s="3">
        <f>IF('3a Raw'!G526="","",MAX(-3,MIN(3,('3a Raw'!G526-$J3)/$J4)))</f>
        <v/>
      </c>
      <c r="K526" s="3">
        <f>IF(J526="","",(J526-AVERAGE(J6:J1198))/(STDEV(J6:J1198)+1E-12))</f>
        <v/>
      </c>
      <c r="L526" s="3">
        <f>IF('3a Raw'!H526="","",MAX(-3,MIN(3,('3a Raw'!H526-$L3)/$L4)))</f>
        <v/>
      </c>
      <c r="M526" s="3">
        <f>IF(L526="","",(L526-AVERAGE(L6:L1198))/(STDEV(L6:L1198)+1E-12))</f>
        <v/>
      </c>
      <c r="N526" s="3">
        <f>IF('3a Raw'!I526="","",MAX(-3,MIN(3,('3a Raw'!I526-$N3)/$N4)))</f>
        <v/>
      </c>
      <c r="O526" s="3">
        <f>IF(N526="","",(N526-AVERAGE(N6:N1198))/(STDEV(N6:N1198)+1E-12))</f>
        <v/>
      </c>
      <c r="P526" s="3">
        <f>IF('3a Raw'!J526="","",MAX(-3,MIN(3,('3a Raw'!J526-$P3)/$P4)))</f>
        <v/>
      </c>
      <c r="Q526" s="3">
        <f>IF(P526="","",(P526-AVERAGE(P6:P1198))/(STDEV(P6:P1198)+1E-12))</f>
        <v/>
      </c>
      <c r="R526" s="3">
        <f>IF('3a Raw'!K526="","",MAX(-3,MIN(3,('3a Raw'!K526-$R3)/$R4)))</f>
        <v/>
      </c>
      <c r="S526" s="3">
        <f>IF(R526="","",(R526-AVERAGE(R6:R1198))/(STDEV(R6:R1198)+1E-12))</f>
        <v/>
      </c>
      <c r="T526" s="3">
        <f>IF('3a Raw'!L526="","",MAX(-3,MIN(3,('3a Raw'!L526-$T3)/$T4)))</f>
        <v/>
      </c>
      <c r="U526" s="3">
        <f>IF(T526="","",(T526-AVERAGE(T6:T1198))/(STDEV(T6:T1198)+1E-12))</f>
        <v/>
      </c>
      <c r="X526" s="3">
        <f>IF(U526="","",U526-($V$3*G526+$W$3))</f>
        <v/>
      </c>
      <c r="Y526" s="3">
        <f>IF(X526="","",MAX(-3,MIN(3,(X526-$X3)/$X4)))</f>
        <v/>
      </c>
      <c r="Z526" s="3">
        <f>IF(Y526="","",(Y526-AVERAGE(Y6:Y1198))/(STDEV(Y6:Y1198)+1E-12))</f>
        <v/>
      </c>
    </row>
    <row r="527">
      <c r="A527" t="inlineStr">
        <is>
          <t>hubb</t>
        </is>
      </c>
      <c r="B527" s="3">
        <f>IF('3a Raw'!C527="","",MAX(-3,MIN(3,('3a Raw'!C527-$B3)/$B4)))</f>
        <v/>
      </c>
      <c r="C527" s="3">
        <f>IF(B527="","",(B527-AVERAGE(B6:B1198))/(STDEV(B6:B1198)+1E-12))</f>
        <v/>
      </c>
      <c r="D527" s="3">
        <f>IF('3a Raw'!D527="","",MAX(-3,MIN(3,('3a Raw'!D527-$D3)/$D4)))</f>
        <v/>
      </c>
      <c r="E527" s="3">
        <f>IF(D527="","",(D527-AVERAGE(D6:D1198))/(STDEV(D6:D1198)+1E-12))</f>
        <v/>
      </c>
      <c r="F527" s="3">
        <f>IF('3a Raw'!E527="","",MAX(-3,MIN(3,('3a Raw'!E527-$F3)/$F4)))</f>
        <v/>
      </c>
      <c r="G527" s="3">
        <f>IF(F527="","",(F527-AVERAGE(F6:F1198))/(STDEV(F6:F1198)+1E-12))</f>
        <v/>
      </c>
      <c r="H527" s="3">
        <f>IF('3a Raw'!F527="","",MAX(-3,MIN(3,('3a Raw'!F527-$H3)/$H4)))</f>
        <v/>
      </c>
      <c r="I527" s="3">
        <f>IF(H527="","",(H527-AVERAGE(H6:H1198))/(STDEV(H6:H1198)+1E-12))</f>
        <v/>
      </c>
      <c r="J527" s="3">
        <f>IF('3a Raw'!G527="","",MAX(-3,MIN(3,('3a Raw'!G527-$J3)/$J4)))</f>
        <v/>
      </c>
      <c r="K527" s="3">
        <f>IF(J527="","",(J527-AVERAGE(J6:J1198))/(STDEV(J6:J1198)+1E-12))</f>
        <v/>
      </c>
      <c r="L527" s="3">
        <f>IF('3a Raw'!H527="","",MAX(-3,MIN(3,('3a Raw'!H527-$L3)/$L4)))</f>
        <v/>
      </c>
      <c r="M527" s="3">
        <f>IF(L527="","",(L527-AVERAGE(L6:L1198))/(STDEV(L6:L1198)+1E-12))</f>
        <v/>
      </c>
      <c r="N527" s="3">
        <f>IF('3a Raw'!I527="","",MAX(-3,MIN(3,('3a Raw'!I527-$N3)/$N4)))</f>
        <v/>
      </c>
      <c r="O527" s="3">
        <f>IF(N527="","",(N527-AVERAGE(N6:N1198))/(STDEV(N6:N1198)+1E-12))</f>
        <v/>
      </c>
      <c r="P527" s="3">
        <f>IF('3a Raw'!J527="","",MAX(-3,MIN(3,('3a Raw'!J527-$P3)/$P4)))</f>
        <v/>
      </c>
      <c r="Q527" s="3">
        <f>IF(P527="","",(P527-AVERAGE(P6:P1198))/(STDEV(P6:P1198)+1E-12))</f>
        <v/>
      </c>
      <c r="R527" s="3">
        <f>IF('3a Raw'!K527="","",MAX(-3,MIN(3,('3a Raw'!K527-$R3)/$R4)))</f>
        <v/>
      </c>
      <c r="S527" s="3">
        <f>IF(R527="","",(R527-AVERAGE(R6:R1198))/(STDEV(R6:R1198)+1E-12))</f>
        <v/>
      </c>
      <c r="T527" s="3">
        <f>IF('3a Raw'!L527="","",MAX(-3,MIN(3,('3a Raw'!L527-$T3)/$T4)))</f>
        <v/>
      </c>
      <c r="U527" s="3">
        <f>IF(T527="","",(T527-AVERAGE(T6:T1198))/(STDEV(T6:T1198)+1E-12))</f>
        <v/>
      </c>
      <c r="X527" s="3">
        <f>IF(U527="","",U527-($V$3*G527+$W$3))</f>
        <v/>
      </c>
      <c r="Y527" s="3">
        <f>IF(X527="","",MAX(-3,MIN(3,(X527-$X3)/$X4)))</f>
        <v/>
      </c>
      <c r="Z527" s="3">
        <f>IF(Y527="","",(Y527-AVERAGE(Y6:Y1198))/(STDEV(Y6:Y1198)+1E-12))</f>
        <v/>
      </c>
    </row>
    <row r="528">
      <c r="A528" t="inlineStr">
        <is>
          <t>BBG000N7MZ06</t>
        </is>
      </c>
      <c r="B528" s="3">
        <f>IF('3a Raw'!C528="","",MAX(-3,MIN(3,('3a Raw'!C528-$B3)/$B4)))</f>
        <v/>
      </c>
      <c r="C528" s="3">
        <f>IF(B528="","",(B528-AVERAGE(B6:B1198))/(STDEV(B6:B1198)+1E-12))</f>
        <v/>
      </c>
      <c r="D528" s="3">
        <f>IF('3a Raw'!D528="","",MAX(-3,MIN(3,('3a Raw'!D528-$D3)/$D4)))</f>
        <v/>
      </c>
      <c r="E528" s="3">
        <f>IF(D528="","",(D528-AVERAGE(D6:D1198))/(STDEV(D6:D1198)+1E-12))</f>
        <v/>
      </c>
      <c r="F528" s="3">
        <f>IF('3a Raw'!E528="","",MAX(-3,MIN(3,('3a Raw'!E528-$F3)/$F4)))</f>
        <v/>
      </c>
      <c r="G528" s="3">
        <f>IF(F528="","",(F528-AVERAGE(F6:F1198))/(STDEV(F6:F1198)+1E-12))</f>
        <v/>
      </c>
      <c r="H528" s="3">
        <f>IF('3a Raw'!F528="","",MAX(-3,MIN(3,('3a Raw'!F528-$H3)/$H4)))</f>
        <v/>
      </c>
      <c r="I528" s="3">
        <f>IF(H528="","",(H528-AVERAGE(H6:H1198))/(STDEV(H6:H1198)+1E-12))</f>
        <v/>
      </c>
      <c r="J528" s="3">
        <f>IF('3a Raw'!G528="","",MAX(-3,MIN(3,('3a Raw'!G528-$J3)/$J4)))</f>
        <v/>
      </c>
      <c r="K528" s="3">
        <f>IF(J528="","",(J528-AVERAGE(J6:J1198))/(STDEV(J6:J1198)+1E-12))</f>
        <v/>
      </c>
      <c r="L528" s="3">
        <f>IF('3a Raw'!H528="","",MAX(-3,MIN(3,('3a Raw'!H528-$L3)/$L4)))</f>
        <v/>
      </c>
      <c r="M528" s="3">
        <f>IF(L528="","",(L528-AVERAGE(L6:L1198))/(STDEV(L6:L1198)+1E-12))</f>
        <v/>
      </c>
      <c r="N528" s="3">
        <f>IF('3a Raw'!I528="","",MAX(-3,MIN(3,('3a Raw'!I528-$N3)/$N4)))</f>
        <v/>
      </c>
      <c r="O528" s="3">
        <f>IF(N528="","",(N528-AVERAGE(N6:N1198))/(STDEV(N6:N1198)+1E-12))</f>
        <v/>
      </c>
      <c r="P528" s="3">
        <f>IF('3a Raw'!J528="","",MAX(-3,MIN(3,('3a Raw'!J528-$P3)/$P4)))</f>
        <v/>
      </c>
      <c r="Q528" s="3">
        <f>IF(P528="","",(P528-AVERAGE(P6:P1198))/(STDEV(P6:P1198)+1E-12))</f>
        <v/>
      </c>
      <c r="R528" s="3">
        <f>IF('3a Raw'!K528="","",MAX(-3,MIN(3,('3a Raw'!K528-$R3)/$R4)))</f>
        <v/>
      </c>
      <c r="S528" s="3">
        <f>IF(R528="","",(R528-AVERAGE(R6:R1198))/(STDEV(R6:R1198)+1E-12))</f>
        <v/>
      </c>
      <c r="T528" s="3">
        <f>IF('3a Raw'!L528="","",MAX(-3,MIN(3,('3a Raw'!L528-$T3)/$T4)))</f>
        <v/>
      </c>
      <c r="U528" s="3">
        <f>IF(T528="","",(T528-AVERAGE(T6:T1198))/(STDEV(T6:T1198)+1E-12))</f>
        <v/>
      </c>
      <c r="X528" s="3">
        <f>IF(U528="","",U528-($V$3*G528+$W$3))</f>
        <v/>
      </c>
      <c r="Y528" s="3">
        <f>IF(X528="","",MAX(-3,MIN(3,(X528-$X3)/$X4)))</f>
        <v/>
      </c>
      <c r="Z528" s="3">
        <f>IF(Y528="","",(Y528-AVERAGE(Y6:Y1198))/(STDEV(Y6:Y1198)+1E-12))</f>
        <v/>
      </c>
    </row>
    <row r="529">
      <c r="A529" t="inlineStr">
        <is>
          <t>BBG000BLKK03</t>
        </is>
      </c>
      <c r="B529" s="3">
        <f>IF('3a Raw'!C529="","",MAX(-3,MIN(3,('3a Raw'!C529-$B3)/$B4)))</f>
        <v/>
      </c>
      <c r="C529" s="3">
        <f>IF(B529="","",(B529-AVERAGE(B6:B1198))/(STDEV(B6:B1198)+1E-12))</f>
        <v/>
      </c>
      <c r="D529" s="3">
        <f>IF('3a Raw'!D529="","",MAX(-3,MIN(3,('3a Raw'!D529-$D3)/$D4)))</f>
        <v/>
      </c>
      <c r="E529" s="3">
        <f>IF(D529="","",(D529-AVERAGE(D6:D1198))/(STDEV(D6:D1198)+1E-12))</f>
        <v/>
      </c>
      <c r="F529" s="3">
        <f>IF('3a Raw'!E529="","",MAX(-3,MIN(3,('3a Raw'!E529-$F3)/$F4)))</f>
        <v/>
      </c>
      <c r="G529" s="3">
        <f>IF(F529="","",(F529-AVERAGE(F6:F1198))/(STDEV(F6:F1198)+1E-12))</f>
        <v/>
      </c>
      <c r="H529" s="3">
        <f>IF('3a Raw'!F529="","",MAX(-3,MIN(3,('3a Raw'!F529-$H3)/$H4)))</f>
        <v/>
      </c>
      <c r="I529" s="3">
        <f>IF(H529="","",(H529-AVERAGE(H6:H1198))/(STDEV(H6:H1198)+1E-12))</f>
        <v/>
      </c>
      <c r="J529" s="3">
        <f>IF('3a Raw'!G529="","",MAX(-3,MIN(3,('3a Raw'!G529-$J3)/$J4)))</f>
        <v/>
      </c>
      <c r="K529" s="3">
        <f>IF(J529="","",(J529-AVERAGE(J6:J1198))/(STDEV(J6:J1198)+1E-12))</f>
        <v/>
      </c>
      <c r="L529" s="3">
        <f>IF('3a Raw'!H529="","",MAX(-3,MIN(3,('3a Raw'!H529-$L3)/$L4)))</f>
        <v/>
      </c>
      <c r="M529" s="3">
        <f>IF(L529="","",(L529-AVERAGE(L6:L1198))/(STDEV(L6:L1198)+1E-12))</f>
        <v/>
      </c>
      <c r="N529" s="3">
        <f>IF('3a Raw'!I529="","",MAX(-3,MIN(3,('3a Raw'!I529-$N3)/$N4)))</f>
        <v/>
      </c>
      <c r="O529" s="3">
        <f>IF(N529="","",(N529-AVERAGE(N6:N1198))/(STDEV(N6:N1198)+1E-12))</f>
        <v/>
      </c>
      <c r="P529" s="3">
        <f>IF('3a Raw'!J529="","",MAX(-3,MIN(3,('3a Raw'!J529-$P3)/$P4)))</f>
        <v/>
      </c>
      <c r="Q529" s="3">
        <f>IF(P529="","",(P529-AVERAGE(P6:P1198))/(STDEV(P6:P1198)+1E-12))</f>
        <v/>
      </c>
      <c r="R529" s="3">
        <f>IF('3a Raw'!K529="","",MAX(-3,MIN(3,('3a Raw'!K529-$R3)/$R4)))</f>
        <v/>
      </c>
      <c r="S529" s="3">
        <f>IF(R529="","",(R529-AVERAGE(R6:R1198))/(STDEV(R6:R1198)+1E-12))</f>
        <v/>
      </c>
      <c r="T529" s="3">
        <f>IF('3a Raw'!L529="","",MAX(-3,MIN(3,('3a Raw'!L529-$T3)/$T4)))</f>
        <v/>
      </c>
      <c r="U529" s="3">
        <f>IF(T529="","",(T529-AVERAGE(T6:T1198))/(STDEV(T6:T1198)+1E-12))</f>
        <v/>
      </c>
      <c r="X529" s="3">
        <f>IF(U529="","",U529-($V$3*G529+$W$3))</f>
        <v/>
      </c>
      <c r="Y529" s="3">
        <f>IF(X529="","",MAX(-3,MIN(3,(X529-$X3)/$X4)))</f>
        <v/>
      </c>
      <c r="Z529" s="3">
        <f>IF(Y529="","",(Y529-AVERAGE(Y6:Y1198))/(STDEV(Y6:Y1198)+1E-12))</f>
        <v/>
      </c>
    </row>
    <row r="530">
      <c r="A530" t="inlineStr">
        <is>
          <t>BBG000NS26Q8</t>
        </is>
      </c>
      <c r="B530" s="3">
        <f>IF('3a Raw'!C530="","",MAX(-3,MIN(3,('3a Raw'!C530-$B3)/$B4)))</f>
        <v/>
      </c>
      <c r="C530" s="3">
        <f>IF(B530="","",(B530-AVERAGE(B6:B1198))/(STDEV(B6:B1198)+1E-12))</f>
        <v/>
      </c>
      <c r="D530" s="3">
        <f>IF('3a Raw'!D530="","",MAX(-3,MIN(3,('3a Raw'!D530-$D3)/$D4)))</f>
        <v/>
      </c>
      <c r="E530" s="3">
        <f>IF(D530="","",(D530-AVERAGE(D6:D1198))/(STDEV(D6:D1198)+1E-12))</f>
        <v/>
      </c>
      <c r="F530" s="3">
        <f>IF('3a Raw'!E530="","",MAX(-3,MIN(3,('3a Raw'!E530-$F3)/$F4)))</f>
        <v/>
      </c>
      <c r="G530" s="3">
        <f>IF(F530="","",(F530-AVERAGE(F6:F1198))/(STDEV(F6:F1198)+1E-12))</f>
        <v/>
      </c>
      <c r="H530" s="3">
        <f>IF('3a Raw'!F530="","",MAX(-3,MIN(3,('3a Raw'!F530-$H3)/$H4)))</f>
        <v/>
      </c>
      <c r="I530" s="3">
        <f>IF(H530="","",(H530-AVERAGE(H6:H1198))/(STDEV(H6:H1198)+1E-12))</f>
        <v/>
      </c>
      <c r="J530" s="3">
        <f>IF('3a Raw'!G530="","",MAX(-3,MIN(3,('3a Raw'!G530-$J3)/$J4)))</f>
        <v/>
      </c>
      <c r="K530" s="3">
        <f>IF(J530="","",(J530-AVERAGE(J6:J1198))/(STDEV(J6:J1198)+1E-12))</f>
        <v/>
      </c>
      <c r="L530" s="3">
        <f>IF('3a Raw'!H530="","",MAX(-3,MIN(3,('3a Raw'!H530-$L3)/$L4)))</f>
        <v/>
      </c>
      <c r="M530" s="3">
        <f>IF(L530="","",(L530-AVERAGE(L6:L1198))/(STDEV(L6:L1198)+1E-12))</f>
        <v/>
      </c>
      <c r="N530" s="3">
        <f>IF('3a Raw'!I530="","",MAX(-3,MIN(3,('3a Raw'!I530-$N3)/$N4)))</f>
        <v/>
      </c>
      <c r="O530" s="3">
        <f>IF(N530="","",(N530-AVERAGE(N6:N1198))/(STDEV(N6:N1198)+1E-12))</f>
        <v/>
      </c>
      <c r="P530" s="3">
        <f>IF('3a Raw'!J530="","",MAX(-3,MIN(3,('3a Raw'!J530-$P3)/$P4)))</f>
        <v/>
      </c>
      <c r="Q530" s="3">
        <f>IF(P530="","",(P530-AVERAGE(P6:P1198))/(STDEV(P6:P1198)+1E-12))</f>
        <v/>
      </c>
      <c r="R530" s="3">
        <f>IF('3a Raw'!K530="","",MAX(-3,MIN(3,('3a Raw'!K530-$R3)/$R4)))</f>
        <v/>
      </c>
      <c r="S530" s="3">
        <f>IF(R530="","",(R530-AVERAGE(R6:R1198))/(STDEV(R6:R1198)+1E-12))</f>
        <v/>
      </c>
      <c r="T530" s="3">
        <f>IF('3a Raw'!L530="","",MAX(-3,MIN(3,('3a Raw'!L530-$T3)/$T4)))</f>
        <v/>
      </c>
      <c r="U530" s="3">
        <f>IF(T530="","",(T530-AVERAGE(T6:T1198))/(STDEV(T6:T1198)+1E-12))</f>
        <v/>
      </c>
      <c r="X530" s="3">
        <f>IF(U530="","",U530-($V$3*G530+$W$3))</f>
        <v/>
      </c>
      <c r="Y530" s="3">
        <f>IF(X530="","",MAX(-3,MIN(3,(X530-$X3)/$X4)))</f>
        <v/>
      </c>
      <c r="Z530" s="3">
        <f>IF(Y530="","",(Y530-AVERAGE(Y6:Y1198))/(STDEV(Y6:Y1198)+1E-12))</f>
        <v/>
      </c>
    </row>
    <row r="531">
      <c r="A531" t="inlineStr">
        <is>
          <t>BBG000CBC7D8</t>
        </is>
      </c>
      <c r="B531" s="3">
        <f>IF('3a Raw'!C531="","",MAX(-3,MIN(3,('3a Raw'!C531-$B3)/$B4)))</f>
        <v/>
      </c>
      <c r="C531" s="3">
        <f>IF(B531="","",(B531-AVERAGE(B6:B1198))/(STDEV(B6:B1198)+1E-12))</f>
        <v/>
      </c>
      <c r="D531" s="3">
        <f>IF('3a Raw'!D531="","",MAX(-3,MIN(3,('3a Raw'!D531-$D3)/$D4)))</f>
        <v/>
      </c>
      <c r="E531" s="3">
        <f>IF(D531="","",(D531-AVERAGE(D6:D1198))/(STDEV(D6:D1198)+1E-12))</f>
        <v/>
      </c>
      <c r="F531" s="3">
        <f>IF('3a Raw'!E531="","",MAX(-3,MIN(3,('3a Raw'!E531-$F3)/$F4)))</f>
        <v/>
      </c>
      <c r="G531" s="3">
        <f>IF(F531="","",(F531-AVERAGE(F6:F1198))/(STDEV(F6:F1198)+1E-12))</f>
        <v/>
      </c>
      <c r="H531" s="3">
        <f>IF('3a Raw'!F531="","",MAX(-3,MIN(3,('3a Raw'!F531-$H3)/$H4)))</f>
        <v/>
      </c>
      <c r="I531" s="3">
        <f>IF(H531="","",(H531-AVERAGE(H6:H1198))/(STDEV(H6:H1198)+1E-12))</f>
        <v/>
      </c>
      <c r="J531" s="3">
        <f>IF('3a Raw'!G531="","",MAX(-3,MIN(3,('3a Raw'!G531-$J3)/$J4)))</f>
        <v/>
      </c>
      <c r="K531" s="3">
        <f>IF(J531="","",(J531-AVERAGE(J6:J1198))/(STDEV(J6:J1198)+1E-12))</f>
        <v/>
      </c>
      <c r="L531" s="3">
        <f>IF('3a Raw'!H531="","",MAX(-3,MIN(3,('3a Raw'!H531-$L3)/$L4)))</f>
        <v/>
      </c>
      <c r="M531" s="3">
        <f>IF(L531="","",(L531-AVERAGE(L6:L1198))/(STDEV(L6:L1198)+1E-12))</f>
        <v/>
      </c>
      <c r="N531" s="3">
        <f>IF('3a Raw'!I531="","",MAX(-3,MIN(3,('3a Raw'!I531-$N3)/$N4)))</f>
        <v/>
      </c>
      <c r="O531" s="3">
        <f>IF(N531="","",(N531-AVERAGE(N6:N1198))/(STDEV(N6:N1198)+1E-12))</f>
        <v/>
      </c>
      <c r="P531" s="3">
        <f>IF('3a Raw'!J531="","",MAX(-3,MIN(3,('3a Raw'!J531-$P3)/$P4)))</f>
        <v/>
      </c>
      <c r="Q531" s="3">
        <f>IF(P531="","",(P531-AVERAGE(P6:P1198))/(STDEV(P6:P1198)+1E-12))</f>
        <v/>
      </c>
      <c r="R531" s="3">
        <f>IF('3a Raw'!K531="","",MAX(-3,MIN(3,('3a Raw'!K531-$R3)/$R4)))</f>
        <v/>
      </c>
      <c r="S531" s="3">
        <f>IF(R531="","",(R531-AVERAGE(R6:R1198))/(STDEV(R6:R1198)+1E-12))</f>
        <v/>
      </c>
      <c r="T531" s="3">
        <f>IF('3a Raw'!L531="","",MAX(-3,MIN(3,('3a Raw'!L531-$T3)/$T4)))</f>
        <v/>
      </c>
      <c r="U531" s="3">
        <f>IF(T531="","",(T531-AVERAGE(T6:T1198))/(STDEV(T6:T1198)+1E-12))</f>
        <v/>
      </c>
      <c r="X531" s="3">
        <f>IF(U531="","",U531-($V$3*G531+$W$3))</f>
        <v/>
      </c>
      <c r="Y531" s="3">
        <f>IF(X531="","",MAX(-3,MIN(3,(X531-$X3)/$X4)))</f>
        <v/>
      </c>
      <c r="Z531" s="3">
        <f>IF(Y531="","",(Y531-AVERAGE(Y6:Y1198))/(STDEV(Y6:Y1198)+1E-12))</f>
        <v/>
      </c>
    </row>
    <row r="532">
      <c r="A532" t="inlineStr">
        <is>
          <t>hwm</t>
        </is>
      </c>
      <c r="B532" s="3">
        <f>IF('3a Raw'!C532="","",MAX(-3,MIN(3,('3a Raw'!C532-$B3)/$B4)))</f>
        <v/>
      </c>
      <c r="C532" s="3">
        <f>IF(B532="","",(B532-AVERAGE(B6:B1198))/(STDEV(B6:B1198)+1E-12))</f>
        <v/>
      </c>
      <c r="D532" s="3">
        <f>IF('3a Raw'!D532="","",MAX(-3,MIN(3,('3a Raw'!D532-$D3)/$D4)))</f>
        <v/>
      </c>
      <c r="E532" s="3">
        <f>IF(D532="","",(D532-AVERAGE(D6:D1198))/(STDEV(D6:D1198)+1E-12))</f>
        <v/>
      </c>
      <c r="F532" s="3">
        <f>IF('3a Raw'!E532="","",MAX(-3,MIN(3,('3a Raw'!E532-$F3)/$F4)))</f>
        <v/>
      </c>
      <c r="G532" s="3">
        <f>IF(F532="","",(F532-AVERAGE(F6:F1198))/(STDEV(F6:F1198)+1E-12))</f>
        <v/>
      </c>
      <c r="H532" s="3">
        <f>IF('3a Raw'!F532="","",MAX(-3,MIN(3,('3a Raw'!F532-$H3)/$H4)))</f>
        <v/>
      </c>
      <c r="I532" s="3">
        <f>IF(H532="","",(H532-AVERAGE(H6:H1198))/(STDEV(H6:H1198)+1E-12))</f>
        <v/>
      </c>
      <c r="J532" s="3">
        <f>IF('3a Raw'!G532="","",MAX(-3,MIN(3,('3a Raw'!G532-$J3)/$J4)))</f>
        <v/>
      </c>
      <c r="K532" s="3">
        <f>IF(J532="","",(J532-AVERAGE(J6:J1198))/(STDEV(J6:J1198)+1E-12))</f>
        <v/>
      </c>
      <c r="L532" s="3">
        <f>IF('3a Raw'!H532="","",MAX(-3,MIN(3,('3a Raw'!H532-$L3)/$L4)))</f>
        <v/>
      </c>
      <c r="M532" s="3">
        <f>IF(L532="","",(L532-AVERAGE(L6:L1198))/(STDEV(L6:L1198)+1E-12))</f>
        <v/>
      </c>
      <c r="N532" s="3">
        <f>IF('3a Raw'!I532="","",MAX(-3,MIN(3,('3a Raw'!I532-$N3)/$N4)))</f>
        <v/>
      </c>
      <c r="O532" s="3">
        <f>IF(N532="","",(N532-AVERAGE(N6:N1198))/(STDEV(N6:N1198)+1E-12))</f>
        <v/>
      </c>
      <c r="P532" s="3">
        <f>IF('3a Raw'!J532="","",MAX(-3,MIN(3,('3a Raw'!J532-$P3)/$P4)))</f>
        <v/>
      </c>
      <c r="Q532" s="3">
        <f>IF(P532="","",(P532-AVERAGE(P6:P1198))/(STDEV(P6:P1198)+1E-12))</f>
        <v/>
      </c>
      <c r="R532" s="3">
        <f>IF('3a Raw'!K532="","",MAX(-3,MIN(3,('3a Raw'!K532-$R3)/$R4)))</f>
        <v/>
      </c>
      <c r="S532" s="3">
        <f>IF(R532="","",(R532-AVERAGE(R6:R1198))/(STDEV(R6:R1198)+1E-12))</f>
        <v/>
      </c>
      <c r="T532" s="3">
        <f>IF('3a Raw'!L532="","",MAX(-3,MIN(3,('3a Raw'!L532-$T3)/$T4)))</f>
        <v/>
      </c>
      <c r="U532" s="3">
        <f>IF(T532="","",(T532-AVERAGE(T6:T1198))/(STDEV(T6:T1198)+1E-12))</f>
        <v/>
      </c>
      <c r="X532" s="3">
        <f>IF(U532="","",U532-($V$3*G532+$W$3))</f>
        <v/>
      </c>
      <c r="Y532" s="3">
        <f>IF(X532="","",MAX(-3,MIN(3,(X532-$X3)/$X4)))</f>
        <v/>
      </c>
      <c r="Z532" s="3">
        <f>IF(Y532="","",(Y532-AVERAGE(Y6:Y1198))/(STDEV(Y6:Y1198)+1E-12))</f>
        <v/>
      </c>
    </row>
    <row r="533">
      <c r="A533" t="inlineStr">
        <is>
          <t>BBG000BLN9N0</t>
        </is>
      </c>
      <c r="B533" s="3">
        <f>IF('3a Raw'!C533="","",MAX(-3,MIN(3,('3a Raw'!C533-$B3)/$B4)))</f>
        <v/>
      </c>
      <c r="C533" s="3">
        <f>IF(B533="","",(B533-AVERAGE(B6:B1198))/(STDEV(B6:B1198)+1E-12))</f>
        <v/>
      </c>
      <c r="D533" s="3">
        <f>IF('3a Raw'!D533="","",MAX(-3,MIN(3,('3a Raw'!D533-$D3)/$D4)))</f>
        <v/>
      </c>
      <c r="E533" s="3">
        <f>IF(D533="","",(D533-AVERAGE(D6:D1198))/(STDEV(D6:D1198)+1E-12))</f>
        <v/>
      </c>
      <c r="F533" s="3">
        <f>IF('3a Raw'!E533="","",MAX(-3,MIN(3,('3a Raw'!E533-$F3)/$F4)))</f>
        <v/>
      </c>
      <c r="G533" s="3">
        <f>IF(F533="","",(F533-AVERAGE(F6:F1198))/(STDEV(F6:F1198)+1E-12))</f>
        <v/>
      </c>
      <c r="H533" s="3">
        <f>IF('3a Raw'!F533="","",MAX(-3,MIN(3,('3a Raw'!F533-$H3)/$H4)))</f>
        <v/>
      </c>
      <c r="I533" s="3">
        <f>IF(H533="","",(H533-AVERAGE(H6:H1198))/(STDEV(H6:H1198)+1E-12))</f>
        <v/>
      </c>
      <c r="J533" s="3">
        <f>IF('3a Raw'!G533="","",MAX(-3,MIN(3,('3a Raw'!G533-$J3)/$J4)))</f>
        <v/>
      </c>
      <c r="K533" s="3">
        <f>IF(J533="","",(J533-AVERAGE(J6:J1198))/(STDEV(J6:J1198)+1E-12))</f>
        <v/>
      </c>
      <c r="L533" s="3">
        <f>IF('3a Raw'!H533="","",MAX(-3,MIN(3,('3a Raw'!H533-$L3)/$L4)))</f>
        <v/>
      </c>
      <c r="M533" s="3">
        <f>IF(L533="","",(L533-AVERAGE(L6:L1198))/(STDEV(L6:L1198)+1E-12))</f>
        <v/>
      </c>
      <c r="N533" s="3">
        <f>IF('3a Raw'!I533="","",MAX(-3,MIN(3,('3a Raw'!I533-$N3)/$N4)))</f>
        <v/>
      </c>
      <c r="O533" s="3">
        <f>IF(N533="","",(N533-AVERAGE(N6:N1198))/(STDEV(N6:N1198)+1E-12))</f>
        <v/>
      </c>
      <c r="P533" s="3">
        <f>IF('3a Raw'!J533="","",MAX(-3,MIN(3,('3a Raw'!J533-$P3)/$P4)))</f>
        <v/>
      </c>
      <c r="Q533" s="3">
        <f>IF(P533="","",(P533-AVERAGE(P6:P1198))/(STDEV(P6:P1198)+1E-12))</f>
        <v/>
      </c>
      <c r="R533" s="3">
        <f>IF('3a Raw'!K533="","",MAX(-3,MIN(3,('3a Raw'!K533-$R3)/$R4)))</f>
        <v/>
      </c>
      <c r="S533" s="3">
        <f>IF(R533="","",(R533-AVERAGE(R6:R1198))/(STDEV(R6:R1198)+1E-12))</f>
        <v/>
      </c>
      <c r="T533" s="3">
        <f>IF('3a Raw'!L533="","",MAX(-3,MIN(3,('3a Raw'!L533-$T3)/$T4)))</f>
        <v/>
      </c>
      <c r="U533" s="3">
        <f>IF(T533="","",(T533-AVERAGE(T6:T1198))/(STDEV(T6:T1198)+1E-12))</f>
        <v/>
      </c>
      <c r="X533" s="3">
        <f>IF(U533="","",U533-($V$3*G533+$W$3))</f>
        <v/>
      </c>
      <c r="Y533" s="3">
        <f>IF(X533="","",MAX(-3,MIN(3,(X533-$X3)/$X4)))</f>
        <v/>
      </c>
      <c r="Z533" s="3">
        <f>IF(Y533="","",(Y533-AVERAGE(Y6:Y1198))/(STDEV(Y6:Y1198)+1E-12))</f>
        <v/>
      </c>
    </row>
    <row r="534">
      <c r="A534" t="inlineStr">
        <is>
          <t>BBG000LV0836</t>
        </is>
      </c>
      <c r="B534" s="3">
        <f>IF('3a Raw'!C534="","",MAX(-3,MIN(3,('3a Raw'!C534-$B3)/$B4)))</f>
        <v/>
      </c>
      <c r="C534" s="3">
        <f>IF(B534="","",(B534-AVERAGE(B6:B1198))/(STDEV(B6:B1198)+1E-12))</f>
        <v/>
      </c>
      <c r="D534" s="3">
        <f>IF('3a Raw'!D534="","",MAX(-3,MIN(3,('3a Raw'!D534-$D3)/$D4)))</f>
        <v/>
      </c>
      <c r="E534" s="3">
        <f>IF(D534="","",(D534-AVERAGE(D6:D1198))/(STDEV(D6:D1198)+1E-12))</f>
        <v/>
      </c>
      <c r="F534" s="3">
        <f>IF('3a Raw'!E534="","",MAX(-3,MIN(3,('3a Raw'!E534-$F3)/$F4)))</f>
        <v/>
      </c>
      <c r="G534" s="3">
        <f>IF(F534="","",(F534-AVERAGE(F6:F1198))/(STDEV(F6:F1198)+1E-12))</f>
        <v/>
      </c>
      <c r="H534" s="3">
        <f>IF('3a Raw'!F534="","",MAX(-3,MIN(3,('3a Raw'!F534-$H3)/$H4)))</f>
        <v/>
      </c>
      <c r="I534" s="3">
        <f>IF(H534="","",(H534-AVERAGE(H6:H1198))/(STDEV(H6:H1198)+1E-12))</f>
        <v/>
      </c>
      <c r="J534" s="3">
        <f>IF('3a Raw'!G534="","",MAX(-3,MIN(3,('3a Raw'!G534-$J3)/$J4)))</f>
        <v/>
      </c>
      <c r="K534" s="3">
        <f>IF(J534="","",(J534-AVERAGE(J6:J1198))/(STDEV(J6:J1198)+1E-12))</f>
        <v/>
      </c>
      <c r="L534" s="3">
        <f>IF('3a Raw'!H534="","",MAX(-3,MIN(3,('3a Raw'!H534-$L3)/$L4)))</f>
        <v/>
      </c>
      <c r="M534" s="3">
        <f>IF(L534="","",(L534-AVERAGE(L6:L1198))/(STDEV(L6:L1198)+1E-12))</f>
        <v/>
      </c>
      <c r="N534" s="3">
        <f>IF('3a Raw'!I534="","",MAX(-3,MIN(3,('3a Raw'!I534-$N3)/$N4)))</f>
        <v/>
      </c>
      <c r="O534" s="3">
        <f>IF(N534="","",(N534-AVERAGE(N6:N1198))/(STDEV(N6:N1198)+1E-12))</f>
        <v/>
      </c>
      <c r="P534" s="3">
        <f>IF('3a Raw'!J534="","",MAX(-3,MIN(3,('3a Raw'!J534-$P3)/$P4)))</f>
        <v/>
      </c>
      <c r="Q534" s="3">
        <f>IF(P534="","",(P534-AVERAGE(P6:P1198))/(STDEV(P6:P1198)+1E-12))</f>
        <v/>
      </c>
      <c r="R534" s="3">
        <f>IF('3a Raw'!K534="","",MAX(-3,MIN(3,('3a Raw'!K534-$R3)/$R4)))</f>
        <v/>
      </c>
      <c r="S534" s="3">
        <f>IF(R534="","",(R534-AVERAGE(R6:R1198))/(STDEV(R6:R1198)+1E-12))</f>
        <v/>
      </c>
      <c r="T534" s="3">
        <f>IF('3a Raw'!L534="","",MAX(-3,MIN(3,('3a Raw'!L534-$T3)/$T4)))</f>
        <v/>
      </c>
      <c r="U534" s="3">
        <f>IF(T534="","",(T534-AVERAGE(T6:T1198))/(STDEV(T6:T1198)+1E-12))</f>
        <v/>
      </c>
      <c r="X534" s="3">
        <f>IF(U534="","",U534-($V$3*G534+$W$3))</f>
        <v/>
      </c>
      <c r="Y534" s="3">
        <f>IF(X534="","",MAX(-3,MIN(3,(X534-$X3)/$X4)))</f>
        <v/>
      </c>
      <c r="Z534" s="3">
        <f>IF(Y534="","",(Y534-AVERAGE(Y6:Y1198))/(STDEV(Y6:Y1198)+1E-12))</f>
        <v/>
      </c>
    </row>
    <row r="535">
      <c r="A535" t="inlineStr">
        <is>
          <t>BBG000BLNNH6</t>
        </is>
      </c>
      <c r="B535" s="3">
        <f>IF('3a Raw'!C535="","",MAX(-3,MIN(3,('3a Raw'!C535-$B3)/$B4)))</f>
        <v/>
      </c>
      <c r="C535" s="3">
        <f>IF(B535="","",(B535-AVERAGE(B6:B1198))/(STDEV(B6:B1198)+1E-12))</f>
        <v/>
      </c>
      <c r="D535" s="3">
        <f>IF('3a Raw'!D535="","",MAX(-3,MIN(3,('3a Raw'!D535-$D3)/$D4)))</f>
        <v/>
      </c>
      <c r="E535" s="3">
        <f>IF(D535="","",(D535-AVERAGE(D6:D1198))/(STDEV(D6:D1198)+1E-12))</f>
        <v/>
      </c>
      <c r="F535" s="3">
        <f>IF('3a Raw'!E535="","",MAX(-3,MIN(3,('3a Raw'!E535-$F3)/$F4)))</f>
        <v/>
      </c>
      <c r="G535" s="3">
        <f>IF(F535="","",(F535-AVERAGE(F6:F1198))/(STDEV(F6:F1198)+1E-12))</f>
        <v/>
      </c>
      <c r="H535" s="3">
        <f>IF('3a Raw'!F535="","",MAX(-3,MIN(3,('3a Raw'!F535-$H3)/$H4)))</f>
        <v/>
      </c>
      <c r="I535" s="3">
        <f>IF(H535="","",(H535-AVERAGE(H6:H1198))/(STDEV(H6:H1198)+1E-12))</f>
        <v/>
      </c>
      <c r="J535" s="3">
        <f>IF('3a Raw'!G535="","",MAX(-3,MIN(3,('3a Raw'!G535-$J3)/$J4)))</f>
        <v/>
      </c>
      <c r="K535" s="3">
        <f>IF(J535="","",(J535-AVERAGE(J6:J1198))/(STDEV(J6:J1198)+1E-12))</f>
        <v/>
      </c>
      <c r="L535" s="3">
        <f>IF('3a Raw'!H535="","",MAX(-3,MIN(3,('3a Raw'!H535-$L3)/$L4)))</f>
        <v/>
      </c>
      <c r="M535" s="3">
        <f>IF(L535="","",(L535-AVERAGE(L6:L1198))/(STDEV(L6:L1198)+1E-12))</f>
        <v/>
      </c>
      <c r="N535" s="3">
        <f>IF('3a Raw'!I535="","",MAX(-3,MIN(3,('3a Raw'!I535-$N3)/$N4)))</f>
        <v/>
      </c>
      <c r="O535" s="3">
        <f>IF(N535="","",(N535-AVERAGE(N6:N1198))/(STDEV(N6:N1198)+1E-12))</f>
        <v/>
      </c>
      <c r="P535" s="3">
        <f>IF('3a Raw'!J535="","",MAX(-3,MIN(3,('3a Raw'!J535-$P3)/$P4)))</f>
        <v/>
      </c>
      <c r="Q535" s="3">
        <f>IF(P535="","",(P535-AVERAGE(P6:P1198))/(STDEV(P6:P1198)+1E-12))</f>
        <v/>
      </c>
      <c r="R535" s="3">
        <f>IF('3a Raw'!K535="","",MAX(-3,MIN(3,('3a Raw'!K535-$R3)/$R4)))</f>
        <v/>
      </c>
      <c r="S535" s="3">
        <f>IF(R535="","",(R535-AVERAGE(R6:R1198))/(STDEV(R6:R1198)+1E-12))</f>
        <v/>
      </c>
      <c r="T535" s="3">
        <f>IF('3a Raw'!L535="","",MAX(-3,MIN(3,('3a Raw'!L535-$T3)/$T4)))</f>
        <v/>
      </c>
      <c r="U535" s="3">
        <f>IF(T535="","",(T535-AVERAGE(T6:T1198))/(STDEV(T6:T1198)+1E-12))</f>
        <v/>
      </c>
      <c r="X535" s="3">
        <f>IF(U535="","",U535-($V$3*G535+$W$3))</f>
        <v/>
      </c>
      <c r="Y535" s="3">
        <f>IF(X535="","",MAX(-3,MIN(3,(X535-$X3)/$X4)))</f>
        <v/>
      </c>
      <c r="Z535" s="3">
        <f>IF(Y535="","",(Y535-AVERAGE(Y6:Y1198))/(STDEV(Y6:Y1198)+1E-12))</f>
        <v/>
      </c>
    </row>
    <row r="536">
      <c r="A536" t="inlineStr">
        <is>
          <t>BBG000DRM643</t>
        </is>
      </c>
      <c r="B536" s="3">
        <f>IF('3a Raw'!C536="","",MAX(-3,MIN(3,('3a Raw'!C536-$B3)/$B4)))</f>
        <v/>
      </c>
      <c r="C536" s="3">
        <f>IF(B536="","",(B536-AVERAGE(B6:B1198))/(STDEV(B6:B1198)+1E-12))</f>
        <v/>
      </c>
      <c r="D536" s="3">
        <f>IF('3a Raw'!D536="","",MAX(-3,MIN(3,('3a Raw'!D536-$D3)/$D4)))</f>
        <v/>
      </c>
      <c r="E536" s="3">
        <f>IF(D536="","",(D536-AVERAGE(D6:D1198))/(STDEV(D6:D1198)+1E-12))</f>
        <v/>
      </c>
      <c r="F536" s="3">
        <f>IF('3a Raw'!E536="","",MAX(-3,MIN(3,('3a Raw'!E536-$F3)/$F4)))</f>
        <v/>
      </c>
      <c r="G536" s="3">
        <f>IF(F536="","",(F536-AVERAGE(F6:F1198))/(STDEV(F6:F1198)+1E-12))</f>
        <v/>
      </c>
      <c r="H536" s="3">
        <f>IF('3a Raw'!F536="","",MAX(-3,MIN(3,('3a Raw'!F536-$H3)/$H4)))</f>
        <v/>
      </c>
      <c r="I536" s="3">
        <f>IF(H536="","",(H536-AVERAGE(H6:H1198))/(STDEV(H6:H1198)+1E-12))</f>
        <v/>
      </c>
      <c r="J536" s="3">
        <f>IF('3a Raw'!G536="","",MAX(-3,MIN(3,('3a Raw'!G536-$J3)/$J4)))</f>
        <v/>
      </c>
      <c r="K536" s="3">
        <f>IF(J536="","",(J536-AVERAGE(J6:J1198))/(STDEV(J6:J1198)+1E-12))</f>
        <v/>
      </c>
      <c r="L536" s="3">
        <f>IF('3a Raw'!H536="","",MAX(-3,MIN(3,('3a Raw'!H536-$L3)/$L4)))</f>
        <v/>
      </c>
      <c r="M536" s="3">
        <f>IF(L536="","",(L536-AVERAGE(L6:L1198))/(STDEV(L6:L1198)+1E-12))</f>
        <v/>
      </c>
      <c r="N536" s="3">
        <f>IF('3a Raw'!I536="","",MAX(-3,MIN(3,('3a Raw'!I536-$N3)/$N4)))</f>
        <v/>
      </c>
      <c r="O536" s="3">
        <f>IF(N536="","",(N536-AVERAGE(N6:N1198))/(STDEV(N6:N1198)+1E-12))</f>
        <v/>
      </c>
      <c r="P536" s="3">
        <f>IF('3a Raw'!J536="","",MAX(-3,MIN(3,('3a Raw'!J536-$P3)/$P4)))</f>
        <v/>
      </c>
      <c r="Q536" s="3">
        <f>IF(P536="","",(P536-AVERAGE(P6:P1198))/(STDEV(P6:P1198)+1E-12))</f>
        <v/>
      </c>
      <c r="R536" s="3">
        <f>IF('3a Raw'!K536="","",MAX(-3,MIN(3,('3a Raw'!K536-$R3)/$R4)))</f>
        <v/>
      </c>
      <c r="S536" s="3">
        <f>IF(R536="","",(R536-AVERAGE(R6:R1198))/(STDEV(R6:R1198)+1E-12))</f>
        <v/>
      </c>
      <c r="T536" s="3">
        <f>IF('3a Raw'!L536="","",MAX(-3,MIN(3,('3a Raw'!L536-$T3)/$T4)))</f>
        <v/>
      </c>
      <c r="U536" s="3">
        <f>IF(T536="","",(T536-AVERAGE(T6:T1198))/(STDEV(T6:T1198)+1E-12))</f>
        <v/>
      </c>
      <c r="X536" s="3">
        <f>IF(U536="","",U536-($V$3*G536+$W$3))</f>
        <v/>
      </c>
      <c r="Y536" s="3">
        <f>IF(X536="","",MAX(-3,MIN(3,(X536-$X3)/$X4)))</f>
        <v/>
      </c>
      <c r="Z536" s="3">
        <f>IF(Y536="","",(Y536-AVERAGE(Y6:Y1198))/(STDEV(Y6:Y1198)+1E-12))</f>
        <v/>
      </c>
    </row>
    <row r="537">
      <c r="A537" t="inlineStr">
        <is>
          <t>BBG000C1FB75</t>
        </is>
      </c>
      <c r="B537" s="3">
        <f>IF('3a Raw'!C537="","",MAX(-3,MIN(3,('3a Raw'!C537-$B3)/$B4)))</f>
        <v/>
      </c>
      <c r="C537" s="3">
        <f>IF(B537="","",(B537-AVERAGE(B6:B1198))/(STDEV(B6:B1198)+1E-12))</f>
        <v/>
      </c>
      <c r="D537" s="3">
        <f>IF('3a Raw'!D537="","",MAX(-3,MIN(3,('3a Raw'!D537-$D3)/$D4)))</f>
        <v/>
      </c>
      <c r="E537" s="3">
        <f>IF(D537="","",(D537-AVERAGE(D6:D1198))/(STDEV(D6:D1198)+1E-12))</f>
        <v/>
      </c>
      <c r="F537" s="3">
        <f>IF('3a Raw'!E537="","",MAX(-3,MIN(3,('3a Raw'!E537-$F3)/$F4)))</f>
        <v/>
      </c>
      <c r="G537" s="3">
        <f>IF(F537="","",(F537-AVERAGE(F6:F1198))/(STDEV(F6:F1198)+1E-12))</f>
        <v/>
      </c>
      <c r="H537" s="3">
        <f>IF('3a Raw'!F537="","",MAX(-3,MIN(3,('3a Raw'!F537-$H3)/$H4)))</f>
        <v/>
      </c>
      <c r="I537" s="3">
        <f>IF(H537="","",(H537-AVERAGE(H6:H1198))/(STDEV(H6:H1198)+1E-12))</f>
        <v/>
      </c>
      <c r="J537" s="3">
        <f>IF('3a Raw'!G537="","",MAX(-3,MIN(3,('3a Raw'!G537-$J3)/$J4)))</f>
        <v/>
      </c>
      <c r="K537" s="3">
        <f>IF(J537="","",(J537-AVERAGE(J6:J1198))/(STDEV(J6:J1198)+1E-12))</f>
        <v/>
      </c>
      <c r="L537" s="3">
        <f>IF('3a Raw'!H537="","",MAX(-3,MIN(3,('3a Raw'!H537-$L3)/$L4)))</f>
        <v/>
      </c>
      <c r="M537" s="3">
        <f>IF(L537="","",(L537-AVERAGE(L6:L1198))/(STDEV(L6:L1198)+1E-12))</f>
        <v/>
      </c>
      <c r="N537" s="3">
        <f>IF('3a Raw'!I537="","",MAX(-3,MIN(3,('3a Raw'!I537-$N3)/$N4)))</f>
        <v/>
      </c>
      <c r="O537" s="3">
        <f>IF(N537="","",(N537-AVERAGE(N6:N1198))/(STDEV(N6:N1198)+1E-12))</f>
        <v/>
      </c>
      <c r="P537" s="3">
        <f>IF('3a Raw'!J537="","",MAX(-3,MIN(3,('3a Raw'!J537-$P3)/$P4)))</f>
        <v/>
      </c>
      <c r="Q537" s="3">
        <f>IF(P537="","",(P537-AVERAGE(P6:P1198))/(STDEV(P6:P1198)+1E-12))</f>
        <v/>
      </c>
      <c r="R537" s="3">
        <f>IF('3a Raw'!K537="","",MAX(-3,MIN(3,('3a Raw'!K537-$R3)/$R4)))</f>
        <v/>
      </c>
      <c r="S537" s="3">
        <f>IF(R537="","",(R537-AVERAGE(R6:R1198))/(STDEV(R6:R1198)+1E-12))</f>
        <v/>
      </c>
      <c r="T537" s="3">
        <f>IF('3a Raw'!L537="","",MAX(-3,MIN(3,('3a Raw'!L537-$T3)/$T4)))</f>
        <v/>
      </c>
      <c r="U537" s="3">
        <f>IF(T537="","",(T537-AVERAGE(T6:T1198))/(STDEV(T6:T1198)+1E-12))</f>
        <v/>
      </c>
      <c r="X537" s="3">
        <f>IF(U537="","",U537-($V$3*G537+$W$3))</f>
        <v/>
      </c>
      <c r="Y537" s="3">
        <f>IF(X537="","",MAX(-3,MIN(3,(X537-$X3)/$X4)))</f>
        <v/>
      </c>
      <c r="Z537" s="3">
        <f>IF(Y537="","",(Y537-AVERAGE(Y6:Y1198))/(STDEV(Y6:Y1198)+1E-12))</f>
        <v/>
      </c>
    </row>
    <row r="538">
      <c r="A538" t="inlineStr">
        <is>
          <t>BBG000BLR3Y7</t>
        </is>
      </c>
      <c r="B538" s="3">
        <f>IF('3a Raw'!C538="","",MAX(-3,MIN(3,('3a Raw'!C538-$B3)/$B4)))</f>
        <v/>
      </c>
      <c r="C538" s="3">
        <f>IF(B538="","",(B538-AVERAGE(B6:B1198))/(STDEV(B6:B1198)+1E-12))</f>
        <v/>
      </c>
      <c r="D538" s="3">
        <f>IF('3a Raw'!D538="","",MAX(-3,MIN(3,('3a Raw'!D538-$D3)/$D4)))</f>
        <v/>
      </c>
      <c r="E538" s="3">
        <f>IF(D538="","",(D538-AVERAGE(D6:D1198))/(STDEV(D6:D1198)+1E-12))</f>
        <v/>
      </c>
      <c r="F538" s="3">
        <f>IF('3a Raw'!E538="","",MAX(-3,MIN(3,('3a Raw'!E538-$F3)/$F4)))</f>
        <v/>
      </c>
      <c r="G538" s="3">
        <f>IF(F538="","",(F538-AVERAGE(F6:F1198))/(STDEV(F6:F1198)+1E-12))</f>
        <v/>
      </c>
      <c r="H538" s="3">
        <f>IF('3a Raw'!F538="","",MAX(-3,MIN(3,('3a Raw'!F538-$H3)/$H4)))</f>
        <v/>
      </c>
      <c r="I538" s="3">
        <f>IF(H538="","",(H538-AVERAGE(H6:H1198))/(STDEV(H6:H1198)+1E-12))</f>
        <v/>
      </c>
      <c r="J538" s="3">
        <f>IF('3a Raw'!G538="","",MAX(-3,MIN(3,('3a Raw'!G538-$J3)/$J4)))</f>
        <v/>
      </c>
      <c r="K538" s="3">
        <f>IF(J538="","",(J538-AVERAGE(J6:J1198))/(STDEV(J6:J1198)+1E-12))</f>
        <v/>
      </c>
      <c r="L538" s="3">
        <f>IF('3a Raw'!H538="","",MAX(-3,MIN(3,('3a Raw'!H538-$L3)/$L4)))</f>
        <v/>
      </c>
      <c r="M538" s="3">
        <f>IF(L538="","",(L538-AVERAGE(L6:L1198))/(STDEV(L6:L1198)+1E-12))</f>
        <v/>
      </c>
      <c r="N538" s="3">
        <f>IF('3a Raw'!I538="","",MAX(-3,MIN(3,('3a Raw'!I538-$N3)/$N4)))</f>
        <v/>
      </c>
      <c r="O538" s="3">
        <f>IF(N538="","",(N538-AVERAGE(N6:N1198))/(STDEV(N6:N1198)+1E-12))</f>
        <v/>
      </c>
      <c r="P538" s="3">
        <f>IF('3a Raw'!J538="","",MAX(-3,MIN(3,('3a Raw'!J538-$P3)/$P4)))</f>
        <v/>
      </c>
      <c r="Q538" s="3">
        <f>IF(P538="","",(P538-AVERAGE(P6:P1198))/(STDEV(P6:P1198)+1E-12))</f>
        <v/>
      </c>
      <c r="R538" s="3">
        <f>IF('3a Raw'!K538="","",MAX(-3,MIN(3,('3a Raw'!K538-$R3)/$R4)))</f>
        <v/>
      </c>
      <c r="S538" s="3">
        <f>IF(R538="","",(R538-AVERAGE(R6:R1198))/(STDEV(R6:R1198)+1E-12))</f>
        <v/>
      </c>
      <c r="T538" s="3">
        <f>IF('3a Raw'!L538="","",MAX(-3,MIN(3,('3a Raw'!L538-$T3)/$T4)))</f>
        <v/>
      </c>
      <c r="U538" s="3">
        <f>IF(T538="","",(T538-AVERAGE(T6:T1198))/(STDEV(T6:T1198)+1E-12))</f>
        <v/>
      </c>
      <c r="X538" s="3">
        <f>IF(U538="","",U538-($V$3*G538+$W$3))</f>
        <v/>
      </c>
      <c r="Y538" s="3">
        <f>IF(X538="","",MAX(-3,MIN(3,(X538-$X3)/$X4)))</f>
        <v/>
      </c>
      <c r="Z538" s="3">
        <f>IF(Y538="","",(Y538-AVERAGE(Y6:Y1198))/(STDEV(Y6:Y1198)+1E-12))</f>
        <v/>
      </c>
    </row>
    <row r="539">
      <c r="A539" t="inlineStr">
        <is>
          <t>BBG000BLRT07</t>
        </is>
      </c>
      <c r="B539" s="3">
        <f>IF('3a Raw'!C539="","",MAX(-3,MIN(3,('3a Raw'!C539-$B3)/$B4)))</f>
        <v/>
      </c>
      <c r="C539" s="3">
        <f>IF(B539="","",(B539-AVERAGE(B6:B1198))/(STDEV(B6:B1198)+1E-12))</f>
        <v/>
      </c>
      <c r="D539" s="3">
        <f>IF('3a Raw'!D539="","",MAX(-3,MIN(3,('3a Raw'!D539-$D3)/$D4)))</f>
        <v/>
      </c>
      <c r="E539" s="3">
        <f>IF(D539="","",(D539-AVERAGE(D6:D1198))/(STDEV(D6:D1198)+1E-12))</f>
        <v/>
      </c>
      <c r="F539" s="3">
        <f>IF('3a Raw'!E539="","",MAX(-3,MIN(3,('3a Raw'!E539-$F3)/$F4)))</f>
        <v/>
      </c>
      <c r="G539" s="3">
        <f>IF(F539="","",(F539-AVERAGE(F6:F1198))/(STDEV(F6:F1198)+1E-12))</f>
        <v/>
      </c>
      <c r="H539" s="3">
        <f>IF('3a Raw'!F539="","",MAX(-3,MIN(3,('3a Raw'!F539-$H3)/$H4)))</f>
        <v/>
      </c>
      <c r="I539" s="3">
        <f>IF(H539="","",(H539-AVERAGE(H6:H1198))/(STDEV(H6:H1198)+1E-12))</f>
        <v/>
      </c>
      <c r="J539" s="3">
        <f>IF('3a Raw'!G539="","",MAX(-3,MIN(3,('3a Raw'!G539-$J3)/$J4)))</f>
        <v/>
      </c>
      <c r="K539" s="3">
        <f>IF(J539="","",(J539-AVERAGE(J6:J1198))/(STDEV(J6:J1198)+1E-12))</f>
        <v/>
      </c>
      <c r="L539" s="3">
        <f>IF('3a Raw'!H539="","",MAX(-3,MIN(3,('3a Raw'!H539-$L3)/$L4)))</f>
        <v/>
      </c>
      <c r="M539" s="3">
        <f>IF(L539="","",(L539-AVERAGE(L6:L1198))/(STDEV(L6:L1198)+1E-12))</f>
        <v/>
      </c>
      <c r="N539" s="3">
        <f>IF('3a Raw'!I539="","",MAX(-3,MIN(3,('3a Raw'!I539-$N3)/$N4)))</f>
        <v/>
      </c>
      <c r="O539" s="3">
        <f>IF(N539="","",(N539-AVERAGE(N6:N1198))/(STDEV(N6:N1198)+1E-12))</f>
        <v/>
      </c>
      <c r="P539" s="3">
        <f>IF('3a Raw'!J539="","",MAX(-3,MIN(3,('3a Raw'!J539-$P3)/$P4)))</f>
        <v/>
      </c>
      <c r="Q539" s="3">
        <f>IF(P539="","",(P539-AVERAGE(P6:P1198))/(STDEV(P6:P1198)+1E-12))</f>
        <v/>
      </c>
      <c r="R539" s="3">
        <f>IF('3a Raw'!K539="","",MAX(-3,MIN(3,('3a Raw'!K539-$R3)/$R4)))</f>
        <v/>
      </c>
      <c r="S539" s="3">
        <f>IF(R539="","",(R539-AVERAGE(R6:R1198))/(STDEV(R6:R1198)+1E-12))</f>
        <v/>
      </c>
      <c r="T539" s="3">
        <f>IF('3a Raw'!L539="","",MAX(-3,MIN(3,('3a Raw'!L539-$T3)/$T4)))</f>
        <v/>
      </c>
      <c r="U539" s="3">
        <f>IF(T539="","",(T539-AVERAGE(T6:T1198))/(STDEV(T6:T1198)+1E-12))</f>
        <v/>
      </c>
      <c r="X539" s="3">
        <f>IF(U539="","",U539-($V$3*G539+$W$3))</f>
        <v/>
      </c>
      <c r="Y539" s="3">
        <f>IF(X539="","",MAX(-3,MIN(3,(X539-$X3)/$X4)))</f>
        <v/>
      </c>
      <c r="Z539" s="3">
        <f>IF(Y539="","",(Y539-AVERAGE(Y6:Y1198))/(STDEV(Y6:Y1198)+1E-12))</f>
        <v/>
      </c>
    </row>
    <row r="540">
      <c r="A540" t="inlineStr">
        <is>
          <t>BBG000C1HN22</t>
        </is>
      </c>
      <c r="B540" s="3">
        <f>IF('3a Raw'!C540="","",MAX(-3,MIN(3,('3a Raw'!C540-$B3)/$B4)))</f>
        <v/>
      </c>
      <c r="C540" s="3">
        <f>IF(B540="","",(B540-AVERAGE(B6:B1198))/(STDEV(B6:B1198)+1E-12))</f>
        <v/>
      </c>
      <c r="D540" s="3">
        <f>IF('3a Raw'!D540="","",MAX(-3,MIN(3,('3a Raw'!D540-$D3)/$D4)))</f>
        <v/>
      </c>
      <c r="E540" s="3">
        <f>IF(D540="","",(D540-AVERAGE(D6:D1198))/(STDEV(D6:D1198)+1E-12))</f>
        <v/>
      </c>
      <c r="F540" s="3">
        <f>IF('3a Raw'!E540="","",MAX(-3,MIN(3,('3a Raw'!E540-$F3)/$F4)))</f>
        <v/>
      </c>
      <c r="G540" s="3">
        <f>IF(F540="","",(F540-AVERAGE(F6:F1198))/(STDEV(F6:F1198)+1E-12))</f>
        <v/>
      </c>
      <c r="H540" s="3">
        <f>IF('3a Raw'!F540="","",MAX(-3,MIN(3,('3a Raw'!F540-$H3)/$H4)))</f>
        <v/>
      </c>
      <c r="I540" s="3">
        <f>IF(H540="","",(H540-AVERAGE(H6:H1198))/(STDEV(H6:H1198)+1E-12))</f>
        <v/>
      </c>
      <c r="J540" s="3">
        <f>IF('3a Raw'!G540="","",MAX(-3,MIN(3,('3a Raw'!G540-$J3)/$J4)))</f>
        <v/>
      </c>
      <c r="K540" s="3">
        <f>IF(J540="","",(J540-AVERAGE(J6:J1198))/(STDEV(J6:J1198)+1E-12))</f>
        <v/>
      </c>
      <c r="L540" s="3">
        <f>IF('3a Raw'!H540="","",MAX(-3,MIN(3,('3a Raw'!H540-$L3)/$L4)))</f>
        <v/>
      </c>
      <c r="M540" s="3">
        <f>IF(L540="","",(L540-AVERAGE(L6:L1198))/(STDEV(L6:L1198)+1E-12))</f>
        <v/>
      </c>
      <c r="N540" s="3">
        <f>IF('3a Raw'!I540="","",MAX(-3,MIN(3,('3a Raw'!I540-$N3)/$N4)))</f>
        <v/>
      </c>
      <c r="O540" s="3">
        <f>IF(N540="","",(N540-AVERAGE(N6:N1198))/(STDEV(N6:N1198)+1E-12))</f>
        <v/>
      </c>
      <c r="P540" s="3">
        <f>IF('3a Raw'!J540="","",MAX(-3,MIN(3,('3a Raw'!J540-$P3)/$P4)))</f>
        <v/>
      </c>
      <c r="Q540" s="3">
        <f>IF(P540="","",(P540-AVERAGE(P6:P1198))/(STDEV(P6:P1198)+1E-12))</f>
        <v/>
      </c>
      <c r="R540" s="3">
        <f>IF('3a Raw'!K540="","",MAX(-3,MIN(3,('3a Raw'!K540-$R3)/$R4)))</f>
        <v/>
      </c>
      <c r="S540" s="3">
        <f>IF(R540="","",(R540-AVERAGE(R6:R1198))/(STDEV(R6:R1198)+1E-12))</f>
        <v/>
      </c>
      <c r="T540" s="3">
        <f>IF('3a Raw'!L540="","",MAX(-3,MIN(3,('3a Raw'!L540-$T3)/$T4)))</f>
        <v/>
      </c>
      <c r="U540" s="3">
        <f>IF(T540="","",(T540-AVERAGE(T6:T1198))/(STDEV(T6:T1198)+1E-12))</f>
        <v/>
      </c>
      <c r="X540" s="3">
        <f>IF(U540="","",U540-($V$3*G540+$W$3))</f>
        <v/>
      </c>
      <c r="Y540" s="3">
        <f>IF(X540="","",MAX(-3,MIN(3,(X540-$X3)/$X4)))</f>
        <v/>
      </c>
      <c r="Z540" s="3">
        <f>IF(Y540="","",(Y540-AVERAGE(Y6:Y1198))/(STDEV(Y6:Y1198)+1E-12))</f>
        <v/>
      </c>
    </row>
    <row r="541">
      <c r="A541" t="inlineStr">
        <is>
          <t>BBG000BLSL58</t>
        </is>
      </c>
      <c r="B541" s="3">
        <f>IF('3a Raw'!C541="","",MAX(-3,MIN(3,('3a Raw'!C541-$B3)/$B4)))</f>
        <v/>
      </c>
      <c r="C541" s="3">
        <f>IF(B541="","",(B541-AVERAGE(B6:B1198))/(STDEV(B6:B1198)+1E-12))</f>
        <v/>
      </c>
      <c r="D541" s="3">
        <f>IF('3a Raw'!D541="","",MAX(-3,MIN(3,('3a Raw'!D541-$D3)/$D4)))</f>
        <v/>
      </c>
      <c r="E541" s="3">
        <f>IF(D541="","",(D541-AVERAGE(D6:D1198))/(STDEV(D6:D1198)+1E-12))</f>
        <v/>
      </c>
      <c r="F541" s="3">
        <f>IF('3a Raw'!E541="","",MAX(-3,MIN(3,('3a Raw'!E541-$F3)/$F4)))</f>
        <v/>
      </c>
      <c r="G541" s="3">
        <f>IF(F541="","",(F541-AVERAGE(F6:F1198))/(STDEV(F6:F1198)+1E-12))</f>
        <v/>
      </c>
      <c r="H541" s="3">
        <f>IF('3a Raw'!F541="","",MAX(-3,MIN(3,('3a Raw'!F541-$H3)/$H4)))</f>
        <v/>
      </c>
      <c r="I541" s="3">
        <f>IF(H541="","",(H541-AVERAGE(H6:H1198))/(STDEV(H6:H1198)+1E-12))</f>
        <v/>
      </c>
      <c r="J541" s="3">
        <f>IF('3a Raw'!G541="","",MAX(-3,MIN(3,('3a Raw'!G541-$J3)/$J4)))</f>
        <v/>
      </c>
      <c r="K541" s="3">
        <f>IF(J541="","",(J541-AVERAGE(J6:J1198))/(STDEV(J6:J1198)+1E-12))</f>
        <v/>
      </c>
      <c r="L541" s="3">
        <f>IF('3a Raw'!H541="","",MAX(-3,MIN(3,('3a Raw'!H541-$L3)/$L4)))</f>
        <v/>
      </c>
      <c r="M541" s="3">
        <f>IF(L541="","",(L541-AVERAGE(L6:L1198))/(STDEV(L6:L1198)+1E-12))</f>
        <v/>
      </c>
      <c r="N541" s="3">
        <f>IF('3a Raw'!I541="","",MAX(-3,MIN(3,('3a Raw'!I541-$N3)/$N4)))</f>
        <v/>
      </c>
      <c r="O541" s="3">
        <f>IF(N541="","",(N541-AVERAGE(N6:N1198))/(STDEV(N6:N1198)+1E-12))</f>
        <v/>
      </c>
      <c r="P541" s="3">
        <f>IF('3a Raw'!J541="","",MAX(-3,MIN(3,('3a Raw'!J541-$P3)/$P4)))</f>
        <v/>
      </c>
      <c r="Q541" s="3">
        <f>IF(P541="","",(P541-AVERAGE(P6:P1198))/(STDEV(P6:P1198)+1E-12))</f>
        <v/>
      </c>
      <c r="R541" s="3">
        <f>IF('3a Raw'!K541="","",MAX(-3,MIN(3,('3a Raw'!K541-$R3)/$R4)))</f>
        <v/>
      </c>
      <c r="S541" s="3">
        <f>IF(R541="","",(R541-AVERAGE(R6:R1198))/(STDEV(R6:R1198)+1E-12))</f>
        <v/>
      </c>
      <c r="T541" s="3">
        <f>IF('3a Raw'!L541="","",MAX(-3,MIN(3,('3a Raw'!L541-$T3)/$T4)))</f>
        <v/>
      </c>
      <c r="U541" s="3">
        <f>IF(T541="","",(T541-AVERAGE(T6:T1198))/(STDEV(T6:T1198)+1E-12))</f>
        <v/>
      </c>
      <c r="X541" s="3">
        <f>IF(U541="","",U541-($V$3*G541+$W$3))</f>
        <v/>
      </c>
      <c r="Y541" s="3">
        <f>IF(X541="","",MAX(-3,MIN(3,(X541-$X3)/$X4)))</f>
        <v/>
      </c>
      <c r="Z541" s="3">
        <f>IF(Y541="","",(Y541-AVERAGE(Y6:Y1198))/(STDEV(Y6:Y1198)+1E-12))</f>
        <v/>
      </c>
    </row>
    <row r="542">
      <c r="A542" t="inlineStr">
        <is>
          <t>BBG000Q218R8</t>
        </is>
      </c>
      <c r="B542" s="3">
        <f>IF('3a Raw'!C542="","",MAX(-3,MIN(3,('3a Raw'!C542-$B3)/$B4)))</f>
        <v/>
      </c>
      <c r="C542" s="3">
        <f>IF(B542="","",(B542-AVERAGE(B6:B1198))/(STDEV(B6:B1198)+1E-12))</f>
        <v/>
      </c>
      <c r="D542" s="3">
        <f>IF('3a Raw'!D542="","",MAX(-3,MIN(3,('3a Raw'!D542-$D3)/$D4)))</f>
        <v/>
      </c>
      <c r="E542" s="3">
        <f>IF(D542="","",(D542-AVERAGE(D6:D1198))/(STDEV(D6:D1198)+1E-12))</f>
        <v/>
      </c>
      <c r="F542" s="3">
        <f>IF('3a Raw'!E542="","",MAX(-3,MIN(3,('3a Raw'!E542-$F3)/$F4)))</f>
        <v/>
      </c>
      <c r="G542" s="3">
        <f>IF(F542="","",(F542-AVERAGE(F6:F1198))/(STDEV(F6:F1198)+1E-12))</f>
        <v/>
      </c>
      <c r="H542" s="3">
        <f>IF('3a Raw'!F542="","",MAX(-3,MIN(3,('3a Raw'!F542-$H3)/$H4)))</f>
        <v/>
      </c>
      <c r="I542" s="3">
        <f>IF(H542="","",(H542-AVERAGE(H6:H1198))/(STDEV(H6:H1198)+1E-12))</f>
        <v/>
      </c>
      <c r="J542" s="3">
        <f>IF('3a Raw'!G542="","",MAX(-3,MIN(3,('3a Raw'!G542-$J3)/$J4)))</f>
        <v/>
      </c>
      <c r="K542" s="3">
        <f>IF(J542="","",(J542-AVERAGE(J6:J1198))/(STDEV(J6:J1198)+1E-12))</f>
        <v/>
      </c>
      <c r="L542" s="3">
        <f>IF('3a Raw'!H542="","",MAX(-3,MIN(3,('3a Raw'!H542-$L3)/$L4)))</f>
        <v/>
      </c>
      <c r="M542" s="3">
        <f>IF(L542="","",(L542-AVERAGE(L6:L1198))/(STDEV(L6:L1198)+1E-12))</f>
        <v/>
      </c>
      <c r="N542" s="3">
        <f>IF('3a Raw'!I542="","",MAX(-3,MIN(3,('3a Raw'!I542-$N3)/$N4)))</f>
        <v/>
      </c>
      <c r="O542" s="3">
        <f>IF(N542="","",(N542-AVERAGE(N6:N1198))/(STDEV(N6:N1198)+1E-12))</f>
        <v/>
      </c>
      <c r="P542" s="3">
        <f>IF('3a Raw'!J542="","",MAX(-3,MIN(3,('3a Raw'!J542-$P3)/$P4)))</f>
        <v/>
      </c>
      <c r="Q542" s="3">
        <f>IF(P542="","",(P542-AVERAGE(P6:P1198))/(STDEV(P6:P1198)+1E-12))</f>
        <v/>
      </c>
      <c r="R542" s="3">
        <f>IF('3a Raw'!K542="","",MAX(-3,MIN(3,('3a Raw'!K542-$R3)/$R4)))</f>
        <v/>
      </c>
      <c r="S542" s="3">
        <f>IF(R542="","",(R542-AVERAGE(R6:R1198))/(STDEV(R6:R1198)+1E-12))</f>
        <v/>
      </c>
      <c r="T542" s="3">
        <f>IF('3a Raw'!L542="","",MAX(-3,MIN(3,('3a Raw'!L542-$T3)/$T4)))</f>
        <v/>
      </c>
      <c r="U542" s="3">
        <f>IF(T542="","",(T542-AVERAGE(T6:T1198))/(STDEV(T6:T1198)+1E-12))</f>
        <v/>
      </c>
      <c r="X542" s="3">
        <f>IF(U542="","",U542-($V$3*G542+$W$3))</f>
        <v/>
      </c>
      <c r="Y542" s="3">
        <f>IF(X542="","",MAX(-3,MIN(3,(X542-$X3)/$X4)))</f>
        <v/>
      </c>
      <c r="Z542" s="3">
        <f>IF(Y542="","",(Y542-AVERAGE(Y6:Y1198))/(STDEV(Y6:Y1198)+1E-12))</f>
        <v/>
      </c>
    </row>
    <row r="543">
      <c r="A543" t="inlineStr">
        <is>
          <t>BBG000DSMS70</t>
        </is>
      </c>
      <c r="B543" s="3">
        <f>IF('3a Raw'!C543="","",MAX(-3,MIN(3,('3a Raw'!C543-$B3)/$B4)))</f>
        <v/>
      </c>
      <c r="C543" s="3">
        <f>IF(B543="","",(B543-AVERAGE(B6:B1198))/(STDEV(B6:B1198)+1E-12))</f>
        <v/>
      </c>
      <c r="D543" s="3">
        <f>IF('3a Raw'!D543="","",MAX(-3,MIN(3,('3a Raw'!D543-$D3)/$D4)))</f>
        <v/>
      </c>
      <c r="E543" s="3">
        <f>IF(D543="","",(D543-AVERAGE(D6:D1198))/(STDEV(D6:D1198)+1E-12))</f>
        <v/>
      </c>
      <c r="F543" s="3">
        <f>IF('3a Raw'!E543="","",MAX(-3,MIN(3,('3a Raw'!E543-$F3)/$F4)))</f>
        <v/>
      </c>
      <c r="G543" s="3">
        <f>IF(F543="","",(F543-AVERAGE(F6:F1198))/(STDEV(F6:F1198)+1E-12))</f>
        <v/>
      </c>
      <c r="H543" s="3">
        <f>IF('3a Raw'!F543="","",MAX(-3,MIN(3,('3a Raw'!F543-$H3)/$H4)))</f>
        <v/>
      </c>
      <c r="I543" s="3">
        <f>IF(H543="","",(H543-AVERAGE(H6:H1198))/(STDEV(H6:H1198)+1E-12))</f>
        <v/>
      </c>
      <c r="J543" s="3">
        <f>IF('3a Raw'!G543="","",MAX(-3,MIN(3,('3a Raw'!G543-$J3)/$J4)))</f>
        <v/>
      </c>
      <c r="K543" s="3">
        <f>IF(J543="","",(J543-AVERAGE(J6:J1198))/(STDEV(J6:J1198)+1E-12))</f>
        <v/>
      </c>
      <c r="L543" s="3">
        <f>IF('3a Raw'!H543="","",MAX(-3,MIN(3,('3a Raw'!H543-$L3)/$L4)))</f>
        <v/>
      </c>
      <c r="M543" s="3">
        <f>IF(L543="","",(L543-AVERAGE(L6:L1198))/(STDEV(L6:L1198)+1E-12))</f>
        <v/>
      </c>
      <c r="N543" s="3">
        <f>IF('3a Raw'!I543="","",MAX(-3,MIN(3,('3a Raw'!I543-$N3)/$N4)))</f>
        <v/>
      </c>
      <c r="O543" s="3">
        <f>IF(N543="","",(N543-AVERAGE(N6:N1198))/(STDEV(N6:N1198)+1E-12))</f>
        <v/>
      </c>
      <c r="P543" s="3">
        <f>IF('3a Raw'!J543="","",MAX(-3,MIN(3,('3a Raw'!J543-$P3)/$P4)))</f>
        <v/>
      </c>
      <c r="Q543" s="3">
        <f>IF(P543="","",(P543-AVERAGE(P6:P1198))/(STDEV(P6:P1198)+1E-12))</f>
        <v/>
      </c>
      <c r="R543" s="3">
        <f>IF('3a Raw'!K543="","",MAX(-3,MIN(3,('3a Raw'!K543-$R3)/$R4)))</f>
        <v/>
      </c>
      <c r="S543" s="3">
        <f>IF(R543="","",(R543-AVERAGE(R6:R1198))/(STDEV(R6:R1198)+1E-12))</f>
        <v/>
      </c>
      <c r="T543" s="3">
        <f>IF('3a Raw'!L543="","",MAX(-3,MIN(3,('3a Raw'!L543-$T3)/$T4)))</f>
        <v/>
      </c>
      <c r="U543" s="3">
        <f>IF(T543="","",(T543-AVERAGE(T6:T1198))/(STDEV(T6:T1198)+1E-12))</f>
        <v/>
      </c>
      <c r="X543" s="3">
        <f>IF(U543="","",U543-($V$3*G543+$W$3))</f>
        <v/>
      </c>
      <c r="Y543" s="3">
        <f>IF(X543="","",MAX(-3,MIN(3,(X543-$X3)/$X4)))</f>
        <v/>
      </c>
      <c r="Z543" s="3">
        <f>IF(Y543="","",(Y543-AVERAGE(Y6:Y1198))/(STDEV(Y6:Y1198)+1E-12))</f>
        <v/>
      </c>
    </row>
    <row r="544">
      <c r="A544" t="inlineStr">
        <is>
          <t>BBG000K8KKL9</t>
        </is>
      </c>
      <c r="B544" s="3">
        <f>IF('3a Raw'!C544="","",MAX(-3,MIN(3,('3a Raw'!C544-$B3)/$B4)))</f>
        <v/>
      </c>
      <c r="C544" s="3">
        <f>IF(B544="","",(B544-AVERAGE(B6:B1198))/(STDEV(B6:B1198)+1E-12))</f>
        <v/>
      </c>
      <c r="D544" s="3">
        <f>IF('3a Raw'!D544="","",MAX(-3,MIN(3,('3a Raw'!D544-$D3)/$D4)))</f>
        <v/>
      </c>
      <c r="E544" s="3">
        <f>IF(D544="","",(D544-AVERAGE(D6:D1198))/(STDEV(D6:D1198)+1E-12))</f>
        <v/>
      </c>
      <c r="F544" s="3">
        <f>IF('3a Raw'!E544="","",MAX(-3,MIN(3,('3a Raw'!E544-$F3)/$F4)))</f>
        <v/>
      </c>
      <c r="G544" s="3">
        <f>IF(F544="","",(F544-AVERAGE(F6:F1198))/(STDEV(F6:F1198)+1E-12))</f>
        <v/>
      </c>
      <c r="H544" s="3">
        <f>IF('3a Raw'!F544="","",MAX(-3,MIN(3,('3a Raw'!F544-$H3)/$H4)))</f>
        <v/>
      </c>
      <c r="I544" s="3">
        <f>IF(H544="","",(H544-AVERAGE(H6:H1198))/(STDEV(H6:H1198)+1E-12))</f>
        <v/>
      </c>
      <c r="J544" s="3">
        <f>IF('3a Raw'!G544="","",MAX(-3,MIN(3,('3a Raw'!G544-$J3)/$J4)))</f>
        <v/>
      </c>
      <c r="K544" s="3">
        <f>IF(J544="","",(J544-AVERAGE(J6:J1198))/(STDEV(J6:J1198)+1E-12))</f>
        <v/>
      </c>
      <c r="L544" s="3">
        <f>IF('3a Raw'!H544="","",MAX(-3,MIN(3,('3a Raw'!H544-$L3)/$L4)))</f>
        <v/>
      </c>
      <c r="M544" s="3">
        <f>IF(L544="","",(L544-AVERAGE(L6:L1198))/(STDEV(L6:L1198)+1E-12))</f>
        <v/>
      </c>
      <c r="N544" s="3">
        <f>IF('3a Raw'!I544="","",MAX(-3,MIN(3,('3a Raw'!I544-$N3)/$N4)))</f>
        <v/>
      </c>
      <c r="O544" s="3">
        <f>IF(N544="","",(N544-AVERAGE(N6:N1198))/(STDEV(N6:N1198)+1E-12))</f>
        <v/>
      </c>
      <c r="P544" s="3">
        <f>IF('3a Raw'!J544="","",MAX(-3,MIN(3,('3a Raw'!J544-$P3)/$P4)))</f>
        <v/>
      </c>
      <c r="Q544" s="3">
        <f>IF(P544="","",(P544-AVERAGE(P6:P1198))/(STDEV(P6:P1198)+1E-12))</f>
        <v/>
      </c>
      <c r="R544" s="3">
        <f>IF('3a Raw'!K544="","",MAX(-3,MIN(3,('3a Raw'!K544-$R3)/$R4)))</f>
        <v/>
      </c>
      <c r="S544" s="3">
        <f>IF(R544="","",(R544-AVERAGE(R6:R1198))/(STDEV(R6:R1198)+1E-12))</f>
        <v/>
      </c>
      <c r="T544" s="3">
        <f>IF('3a Raw'!L544="","",MAX(-3,MIN(3,('3a Raw'!L544-$T3)/$T4)))</f>
        <v/>
      </c>
      <c r="U544" s="3">
        <f>IF(T544="","",(T544-AVERAGE(T6:T1198))/(STDEV(T6:T1198)+1E-12))</f>
        <v/>
      </c>
      <c r="X544" s="3">
        <f>IF(U544="","",U544-($V$3*G544+$W$3))</f>
        <v/>
      </c>
      <c r="Y544" s="3">
        <f>IF(X544="","",MAX(-3,MIN(3,(X544-$X3)/$X4)))</f>
        <v/>
      </c>
      <c r="Z544" s="3">
        <f>IF(Y544="","",(Y544-AVERAGE(Y6:Y1198))/(STDEV(Y6:Y1198)+1E-12))</f>
        <v/>
      </c>
    </row>
    <row r="545">
      <c r="A545" t="inlineStr">
        <is>
          <t>BBG00P5MC0Q8</t>
        </is>
      </c>
      <c r="B545" s="3">
        <f>IF('3a Raw'!C545="","",MAX(-3,MIN(3,('3a Raw'!C545-$B3)/$B4)))</f>
        <v/>
      </c>
      <c r="C545" s="3">
        <f>IF(B545="","",(B545-AVERAGE(B6:B1198))/(STDEV(B6:B1198)+1E-12))</f>
        <v/>
      </c>
      <c r="D545" s="3">
        <f>IF('3a Raw'!D545="","",MAX(-3,MIN(3,('3a Raw'!D545-$D3)/$D4)))</f>
        <v/>
      </c>
      <c r="E545" s="3">
        <f>IF(D545="","",(D545-AVERAGE(D6:D1198))/(STDEV(D6:D1198)+1E-12))</f>
        <v/>
      </c>
      <c r="F545" s="3">
        <f>IF('3a Raw'!E545="","",MAX(-3,MIN(3,('3a Raw'!E545-$F3)/$F4)))</f>
        <v/>
      </c>
      <c r="G545" s="3">
        <f>IF(F545="","",(F545-AVERAGE(F6:F1198))/(STDEV(F6:F1198)+1E-12))</f>
        <v/>
      </c>
      <c r="H545" s="3">
        <f>IF('3a Raw'!F545="","",MAX(-3,MIN(3,('3a Raw'!F545-$H3)/$H4)))</f>
        <v/>
      </c>
      <c r="I545" s="3">
        <f>IF(H545="","",(H545-AVERAGE(H6:H1198))/(STDEV(H6:H1198)+1E-12))</f>
        <v/>
      </c>
      <c r="J545" s="3">
        <f>IF('3a Raw'!G545="","",MAX(-3,MIN(3,('3a Raw'!G545-$J3)/$J4)))</f>
        <v/>
      </c>
      <c r="K545" s="3">
        <f>IF(J545="","",(J545-AVERAGE(J6:J1198))/(STDEV(J6:J1198)+1E-12))</f>
        <v/>
      </c>
      <c r="L545" s="3">
        <f>IF('3a Raw'!H545="","",MAX(-3,MIN(3,('3a Raw'!H545-$L3)/$L4)))</f>
        <v/>
      </c>
      <c r="M545" s="3">
        <f>IF(L545="","",(L545-AVERAGE(L6:L1198))/(STDEV(L6:L1198)+1E-12))</f>
        <v/>
      </c>
      <c r="N545" s="3">
        <f>IF('3a Raw'!I545="","",MAX(-3,MIN(3,('3a Raw'!I545-$N3)/$N4)))</f>
        <v/>
      </c>
      <c r="O545" s="3">
        <f>IF(N545="","",(N545-AVERAGE(N6:N1198))/(STDEV(N6:N1198)+1E-12))</f>
        <v/>
      </c>
      <c r="P545" s="3">
        <f>IF('3a Raw'!J545="","",MAX(-3,MIN(3,('3a Raw'!J545-$P3)/$P4)))</f>
        <v/>
      </c>
      <c r="Q545" s="3">
        <f>IF(P545="","",(P545-AVERAGE(P6:P1198))/(STDEV(P6:P1198)+1E-12))</f>
        <v/>
      </c>
      <c r="R545" s="3">
        <f>IF('3a Raw'!K545="","",MAX(-3,MIN(3,('3a Raw'!K545-$R3)/$R4)))</f>
        <v/>
      </c>
      <c r="S545" s="3">
        <f>IF(R545="","",(R545-AVERAGE(R6:R1198))/(STDEV(R6:R1198)+1E-12))</f>
        <v/>
      </c>
      <c r="T545" s="3">
        <f>IF('3a Raw'!L545="","",MAX(-3,MIN(3,('3a Raw'!L545-$T3)/$T4)))</f>
        <v/>
      </c>
      <c r="U545" s="3">
        <f>IF(T545="","",(T545-AVERAGE(T6:T1198))/(STDEV(T6:T1198)+1E-12))</f>
        <v/>
      </c>
      <c r="X545" s="3">
        <f>IF(U545="","",U545-($V$3*G545+$W$3))</f>
        <v/>
      </c>
      <c r="Y545" s="3">
        <f>IF(X545="","",MAX(-3,MIN(3,(X545-$X3)/$X4)))</f>
        <v/>
      </c>
      <c r="Z545" s="3">
        <f>IF(Y545="","",(Y545-AVERAGE(Y6:Y1198))/(STDEV(Y6:Y1198)+1E-12))</f>
        <v/>
      </c>
    </row>
    <row r="546">
      <c r="A546" t="inlineStr">
        <is>
          <t>BBG000BNPSQ9</t>
        </is>
      </c>
      <c r="B546" s="3">
        <f>IF('3a Raw'!C546="","",MAX(-3,MIN(3,('3a Raw'!C546-$B3)/$B4)))</f>
        <v/>
      </c>
      <c r="C546" s="3">
        <f>IF(B546="","",(B546-AVERAGE(B6:B1198))/(STDEV(B6:B1198)+1E-12))</f>
        <v/>
      </c>
      <c r="D546" s="3">
        <f>IF('3a Raw'!D546="","",MAX(-3,MIN(3,('3a Raw'!D546-$D3)/$D4)))</f>
        <v/>
      </c>
      <c r="E546" s="3">
        <f>IF(D546="","",(D546-AVERAGE(D6:D1198))/(STDEV(D6:D1198)+1E-12))</f>
        <v/>
      </c>
      <c r="F546" s="3">
        <f>IF('3a Raw'!E546="","",MAX(-3,MIN(3,('3a Raw'!E546-$F3)/$F4)))</f>
        <v/>
      </c>
      <c r="G546" s="3">
        <f>IF(F546="","",(F546-AVERAGE(F6:F1198))/(STDEV(F6:F1198)+1E-12))</f>
        <v/>
      </c>
      <c r="H546" s="3">
        <f>IF('3a Raw'!F546="","",MAX(-3,MIN(3,('3a Raw'!F546-$H3)/$H4)))</f>
        <v/>
      </c>
      <c r="I546" s="3">
        <f>IF(H546="","",(H546-AVERAGE(H6:H1198))/(STDEV(H6:H1198)+1E-12))</f>
        <v/>
      </c>
      <c r="J546" s="3">
        <f>IF('3a Raw'!G546="","",MAX(-3,MIN(3,('3a Raw'!G546-$J3)/$J4)))</f>
        <v/>
      </c>
      <c r="K546" s="3">
        <f>IF(J546="","",(J546-AVERAGE(J6:J1198))/(STDEV(J6:J1198)+1E-12))</f>
        <v/>
      </c>
      <c r="L546" s="3">
        <f>IF('3a Raw'!H546="","",MAX(-3,MIN(3,('3a Raw'!H546-$L3)/$L4)))</f>
        <v/>
      </c>
      <c r="M546" s="3">
        <f>IF(L546="","",(L546-AVERAGE(L6:L1198))/(STDEV(L6:L1198)+1E-12))</f>
        <v/>
      </c>
      <c r="N546" s="3">
        <f>IF('3a Raw'!I546="","",MAX(-3,MIN(3,('3a Raw'!I546-$N3)/$N4)))</f>
        <v/>
      </c>
      <c r="O546" s="3">
        <f>IF(N546="","",(N546-AVERAGE(N6:N1198))/(STDEV(N6:N1198)+1E-12))</f>
        <v/>
      </c>
      <c r="P546" s="3">
        <f>IF('3a Raw'!J546="","",MAX(-3,MIN(3,('3a Raw'!J546-$P3)/$P4)))</f>
        <v/>
      </c>
      <c r="Q546" s="3">
        <f>IF(P546="","",(P546-AVERAGE(P6:P1198))/(STDEV(P6:P1198)+1E-12))</f>
        <v/>
      </c>
      <c r="R546" s="3">
        <f>IF('3a Raw'!K546="","",MAX(-3,MIN(3,('3a Raw'!K546-$R3)/$R4)))</f>
        <v/>
      </c>
      <c r="S546" s="3">
        <f>IF(R546="","",(R546-AVERAGE(R6:R1198))/(STDEV(R6:R1198)+1E-12))</f>
        <v/>
      </c>
      <c r="T546" s="3">
        <f>IF('3a Raw'!L546="","",MAX(-3,MIN(3,('3a Raw'!L546-$T3)/$T4)))</f>
        <v/>
      </c>
      <c r="U546" s="3">
        <f>IF(T546="","",(T546-AVERAGE(T6:T1198))/(STDEV(T6:T1198)+1E-12))</f>
        <v/>
      </c>
      <c r="X546" s="3">
        <f>IF(U546="","",U546-($V$3*G546+$W$3))</f>
        <v/>
      </c>
      <c r="Y546" s="3">
        <f>IF(X546="","",MAX(-3,MIN(3,(X546-$X3)/$X4)))</f>
        <v/>
      </c>
      <c r="Z546" s="3">
        <f>IF(Y546="","",(Y546-AVERAGE(Y6:Y1198))/(STDEV(Y6:Y1198)+1E-12))</f>
        <v/>
      </c>
    </row>
    <row r="547">
      <c r="A547" t="inlineStr">
        <is>
          <t>BBG00Z3XTNX8</t>
        </is>
      </c>
      <c r="B547" s="3">
        <f>IF('3a Raw'!C547="","",MAX(-3,MIN(3,('3a Raw'!C547-$B3)/$B4)))</f>
        <v/>
      </c>
      <c r="C547" s="3">
        <f>IF(B547="","",(B547-AVERAGE(B6:B1198))/(STDEV(B6:B1198)+1E-12))</f>
        <v/>
      </c>
      <c r="D547" s="3">
        <f>IF('3a Raw'!D547="","",MAX(-3,MIN(3,('3a Raw'!D547-$D3)/$D4)))</f>
        <v/>
      </c>
      <c r="E547" s="3">
        <f>IF(D547="","",(D547-AVERAGE(D6:D1198))/(STDEV(D6:D1198)+1E-12))</f>
        <v/>
      </c>
      <c r="F547" s="3">
        <f>IF('3a Raw'!E547="","",MAX(-3,MIN(3,('3a Raw'!E547-$F3)/$F4)))</f>
        <v/>
      </c>
      <c r="G547" s="3">
        <f>IF(F547="","",(F547-AVERAGE(F6:F1198))/(STDEV(F6:F1198)+1E-12))</f>
        <v/>
      </c>
      <c r="H547" s="3">
        <f>IF('3a Raw'!F547="","",MAX(-3,MIN(3,('3a Raw'!F547-$H3)/$H4)))</f>
        <v/>
      </c>
      <c r="I547" s="3">
        <f>IF(H547="","",(H547-AVERAGE(H6:H1198))/(STDEV(H6:H1198)+1E-12))</f>
        <v/>
      </c>
      <c r="J547" s="3">
        <f>IF('3a Raw'!G547="","",MAX(-3,MIN(3,('3a Raw'!G547-$J3)/$J4)))</f>
        <v/>
      </c>
      <c r="K547" s="3">
        <f>IF(J547="","",(J547-AVERAGE(J6:J1198))/(STDEV(J6:J1198)+1E-12))</f>
        <v/>
      </c>
      <c r="L547" s="3">
        <f>IF('3a Raw'!H547="","",MAX(-3,MIN(3,('3a Raw'!H547-$L3)/$L4)))</f>
        <v/>
      </c>
      <c r="M547" s="3">
        <f>IF(L547="","",(L547-AVERAGE(L6:L1198))/(STDEV(L6:L1198)+1E-12))</f>
        <v/>
      </c>
      <c r="N547" s="3">
        <f>IF('3a Raw'!I547="","",MAX(-3,MIN(3,('3a Raw'!I547-$N3)/$N4)))</f>
        <v/>
      </c>
      <c r="O547" s="3">
        <f>IF(N547="","",(N547-AVERAGE(N6:N1198))/(STDEV(N6:N1198)+1E-12))</f>
        <v/>
      </c>
      <c r="P547" s="3">
        <f>IF('3a Raw'!J547="","",MAX(-3,MIN(3,('3a Raw'!J547-$P3)/$P4)))</f>
        <v/>
      </c>
      <c r="Q547" s="3">
        <f>IF(P547="","",(P547-AVERAGE(P6:P1198))/(STDEV(P6:P1198)+1E-12))</f>
        <v/>
      </c>
      <c r="R547" s="3">
        <f>IF('3a Raw'!K547="","",MAX(-3,MIN(3,('3a Raw'!K547-$R3)/$R4)))</f>
        <v/>
      </c>
      <c r="S547" s="3">
        <f>IF(R547="","",(R547-AVERAGE(R6:R1198))/(STDEV(R6:R1198)+1E-12))</f>
        <v/>
      </c>
      <c r="T547" s="3">
        <f>IF('3a Raw'!L547="","",MAX(-3,MIN(3,('3a Raw'!L547-$T3)/$T4)))</f>
        <v/>
      </c>
      <c r="U547" s="3">
        <f>IF(T547="","",(T547-AVERAGE(T6:T1198))/(STDEV(T6:T1198)+1E-12))</f>
        <v/>
      </c>
      <c r="X547" s="3">
        <f>IF(U547="","",U547-($V$3*G547+$W$3))</f>
        <v/>
      </c>
      <c r="Y547" s="3">
        <f>IF(X547="","",MAX(-3,MIN(3,(X547-$X3)/$X4)))</f>
        <v/>
      </c>
      <c r="Z547" s="3">
        <f>IF(Y547="","",(Y547-AVERAGE(Y6:Y1198))/(STDEV(Y6:Y1198)+1E-12))</f>
        <v/>
      </c>
    </row>
    <row r="548">
      <c r="A548" t="inlineStr">
        <is>
          <t>BBG000BSGQL7</t>
        </is>
      </c>
      <c r="B548" s="3">
        <f>IF('3a Raw'!C548="","",MAX(-3,MIN(3,('3a Raw'!C548-$B3)/$B4)))</f>
        <v/>
      </c>
      <c r="C548" s="3">
        <f>IF(B548="","",(B548-AVERAGE(B6:B1198))/(STDEV(B6:B1198)+1E-12))</f>
        <v/>
      </c>
      <c r="D548" s="3">
        <f>IF('3a Raw'!D548="","",MAX(-3,MIN(3,('3a Raw'!D548-$D3)/$D4)))</f>
        <v/>
      </c>
      <c r="E548" s="3">
        <f>IF(D548="","",(D548-AVERAGE(D6:D1198))/(STDEV(D6:D1198)+1E-12))</f>
        <v/>
      </c>
      <c r="F548" s="3">
        <f>IF('3a Raw'!E548="","",MAX(-3,MIN(3,('3a Raw'!E548-$F3)/$F4)))</f>
        <v/>
      </c>
      <c r="G548" s="3">
        <f>IF(F548="","",(F548-AVERAGE(F6:F1198))/(STDEV(F6:F1198)+1E-12))</f>
        <v/>
      </c>
      <c r="H548" s="3">
        <f>IF('3a Raw'!F548="","",MAX(-3,MIN(3,('3a Raw'!F548-$H3)/$H4)))</f>
        <v/>
      </c>
      <c r="I548" s="3">
        <f>IF(H548="","",(H548-AVERAGE(H6:H1198))/(STDEV(H6:H1198)+1E-12))</f>
        <v/>
      </c>
      <c r="J548" s="3">
        <f>IF('3a Raw'!G548="","",MAX(-3,MIN(3,('3a Raw'!G548-$J3)/$J4)))</f>
        <v/>
      </c>
      <c r="K548" s="3">
        <f>IF(J548="","",(J548-AVERAGE(J6:J1198))/(STDEV(J6:J1198)+1E-12))</f>
        <v/>
      </c>
      <c r="L548" s="3">
        <f>IF('3a Raw'!H548="","",MAX(-3,MIN(3,('3a Raw'!H548-$L3)/$L4)))</f>
        <v/>
      </c>
      <c r="M548" s="3">
        <f>IF(L548="","",(L548-AVERAGE(L6:L1198))/(STDEV(L6:L1198)+1E-12))</f>
        <v/>
      </c>
      <c r="N548" s="3">
        <f>IF('3a Raw'!I548="","",MAX(-3,MIN(3,('3a Raw'!I548-$N3)/$N4)))</f>
        <v/>
      </c>
      <c r="O548" s="3">
        <f>IF(N548="","",(N548-AVERAGE(N6:N1198))/(STDEV(N6:N1198)+1E-12))</f>
        <v/>
      </c>
      <c r="P548" s="3">
        <f>IF('3a Raw'!J548="","",MAX(-3,MIN(3,('3a Raw'!J548-$P3)/$P4)))</f>
        <v/>
      </c>
      <c r="Q548" s="3">
        <f>IF(P548="","",(P548-AVERAGE(P6:P1198))/(STDEV(P6:P1198)+1E-12))</f>
        <v/>
      </c>
      <c r="R548" s="3">
        <f>IF('3a Raw'!K548="","",MAX(-3,MIN(3,('3a Raw'!K548-$R3)/$R4)))</f>
        <v/>
      </c>
      <c r="S548" s="3">
        <f>IF(R548="","",(R548-AVERAGE(R6:R1198))/(STDEV(R6:R1198)+1E-12))</f>
        <v/>
      </c>
      <c r="T548" s="3">
        <f>IF('3a Raw'!L548="","",MAX(-3,MIN(3,('3a Raw'!L548-$T3)/$T4)))</f>
        <v/>
      </c>
      <c r="U548" s="3">
        <f>IF(T548="","",(T548-AVERAGE(T6:T1198))/(STDEV(T6:T1198)+1E-12))</f>
        <v/>
      </c>
      <c r="X548" s="3">
        <f>IF(U548="","",U548-($V$3*G548+$W$3))</f>
        <v/>
      </c>
      <c r="Y548" s="3">
        <f>IF(X548="","",MAX(-3,MIN(3,(X548-$X3)/$X4)))</f>
        <v/>
      </c>
      <c r="Z548" s="3">
        <f>IF(Y548="","",(Y548-AVERAGE(Y6:Y1198))/(STDEV(Y6:Y1198)+1E-12))</f>
        <v/>
      </c>
    </row>
    <row r="549">
      <c r="A549" t="inlineStr">
        <is>
          <t>BBG01Q381K59</t>
        </is>
      </c>
      <c r="B549" s="3">
        <f>IF('3a Raw'!C549="","",MAX(-3,MIN(3,('3a Raw'!C549-$B3)/$B4)))</f>
        <v/>
      </c>
      <c r="C549" s="3">
        <f>IF(B549="","",(B549-AVERAGE(B6:B1198))/(STDEV(B6:B1198)+1E-12))</f>
        <v/>
      </c>
      <c r="D549" s="3">
        <f>IF('3a Raw'!D549="","",MAX(-3,MIN(3,('3a Raw'!D549-$D3)/$D4)))</f>
        <v/>
      </c>
      <c r="E549" s="3">
        <f>IF(D549="","",(D549-AVERAGE(D6:D1198))/(STDEV(D6:D1198)+1E-12))</f>
        <v/>
      </c>
      <c r="F549" s="3">
        <f>IF('3a Raw'!E549="","",MAX(-3,MIN(3,('3a Raw'!E549-$F3)/$F4)))</f>
        <v/>
      </c>
      <c r="G549" s="3">
        <f>IF(F549="","",(F549-AVERAGE(F6:F1198))/(STDEV(F6:F1198)+1E-12))</f>
        <v/>
      </c>
      <c r="H549" s="3">
        <f>IF('3a Raw'!F549="","",MAX(-3,MIN(3,('3a Raw'!F549-$H3)/$H4)))</f>
        <v/>
      </c>
      <c r="I549" s="3">
        <f>IF(H549="","",(H549-AVERAGE(H6:H1198))/(STDEV(H6:H1198)+1E-12))</f>
        <v/>
      </c>
      <c r="J549" s="3">
        <f>IF('3a Raw'!G549="","",MAX(-3,MIN(3,('3a Raw'!G549-$J3)/$J4)))</f>
        <v/>
      </c>
      <c r="K549" s="3">
        <f>IF(J549="","",(J549-AVERAGE(J6:J1198))/(STDEV(J6:J1198)+1E-12))</f>
        <v/>
      </c>
      <c r="L549" s="3">
        <f>IF('3a Raw'!H549="","",MAX(-3,MIN(3,('3a Raw'!H549-$L3)/$L4)))</f>
        <v/>
      </c>
      <c r="M549" s="3">
        <f>IF(L549="","",(L549-AVERAGE(L6:L1198))/(STDEV(L6:L1198)+1E-12))</f>
        <v/>
      </c>
      <c r="N549" s="3">
        <f>IF('3a Raw'!I549="","",MAX(-3,MIN(3,('3a Raw'!I549-$N3)/$N4)))</f>
        <v/>
      </c>
      <c r="O549" s="3">
        <f>IF(N549="","",(N549-AVERAGE(N6:N1198))/(STDEV(N6:N1198)+1E-12))</f>
        <v/>
      </c>
      <c r="P549" s="3">
        <f>IF('3a Raw'!J549="","",MAX(-3,MIN(3,('3a Raw'!J549-$P3)/$P4)))</f>
        <v/>
      </c>
      <c r="Q549" s="3">
        <f>IF(P549="","",(P549-AVERAGE(P6:P1198))/(STDEV(P6:P1198)+1E-12))</f>
        <v/>
      </c>
      <c r="R549" s="3">
        <f>IF('3a Raw'!K549="","",MAX(-3,MIN(3,('3a Raw'!K549-$R3)/$R4)))</f>
        <v/>
      </c>
      <c r="S549" s="3">
        <f>IF(R549="","",(R549-AVERAGE(R6:R1198))/(STDEV(R6:R1198)+1E-12))</f>
        <v/>
      </c>
      <c r="T549" s="3">
        <f>IF('3a Raw'!L549="","",MAX(-3,MIN(3,('3a Raw'!L549-$T3)/$T4)))</f>
        <v/>
      </c>
      <c r="U549" s="3">
        <f>IF(T549="","",(T549-AVERAGE(T6:T1198))/(STDEV(T6:T1198)+1E-12))</f>
        <v/>
      </c>
      <c r="X549" s="3">
        <f>IF(U549="","",U549-($V$3*G549+$W$3))</f>
        <v/>
      </c>
      <c r="Y549" s="3">
        <f>IF(X549="","",MAX(-3,MIN(3,(X549-$X3)/$X4)))</f>
        <v/>
      </c>
      <c r="Z549" s="3">
        <f>IF(Y549="","",(Y549-AVERAGE(Y6:Y1198))/(STDEV(Y6:Y1198)+1E-12))</f>
        <v/>
      </c>
    </row>
    <row r="550">
      <c r="A550" t="inlineStr">
        <is>
          <t>BBG000BWM5P3</t>
        </is>
      </c>
      <c r="B550" s="3">
        <f>IF('3a Raw'!C550="","",MAX(-3,MIN(3,('3a Raw'!C550-$B3)/$B4)))</f>
        <v/>
      </c>
      <c r="C550" s="3">
        <f>IF(B550="","",(B550-AVERAGE(B6:B1198))/(STDEV(B6:B1198)+1E-12))</f>
        <v/>
      </c>
      <c r="D550" s="3">
        <f>IF('3a Raw'!D550="","",MAX(-3,MIN(3,('3a Raw'!D550-$D3)/$D4)))</f>
        <v/>
      </c>
      <c r="E550" s="3">
        <f>IF(D550="","",(D550-AVERAGE(D6:D1198))/(STDEV(D6:D1198)+1E-12))</f>
        <v/>
      </c>
      <c r="F550" s="3">
        <f>IF('3a Raw'!E550="","",MAX(-3,MIN(3,('3a Raw'!E550-$F3)/$F4)))</f>
        <v/>
      </c>
      <c r="G550" s="3">
        <f>IF(F550="","",(F550-AVERAGE(F6:F1198))/(STDEV(F6:F1198)+1E-12))</f>
        <v/>
      </c>
      <c r="H550" s="3">
        <f>IF('3a Raw'!F550="","",MAX(-3,MIN(3,('3a Raw'!F550-$H3)/$H4)))</f>
        <v/>
      </c>
      <c r="I550" s="3">
        <f>IF(H550="","",(H550-AVERAGE(H6:H1198))/(STDEV(H6:H1198)+1E-12))</f>
        <v/>
      </c>
      <c r="J550" s="3">
        <f>IF('3a Raw'!G550="","",MAX(-3,MIN(3,('3a Raw'!G550-$J3)/$J4)))</f>
        <v/>
      </c>
      <c r="K550" s="3">
        <f>IF(J550="","",(J550-AVERAGE(J6:J1198))/(STDEV(J6:J1198)+1E-12))</f>
        <v/>
      </c>
      <c r="L550" s="3">
        <f>IF('3a Raw'!H550="","",MAX(-3,MIN(3,('3a Raw'!H550-$L3)/$L4)))</f>
        <v/>
      </c>
      <c r="M550" s="3">
        <f>IF(L550="","",(L550-AVERAGE(L6:L1198))/(STDEV(L6:L1198)+1E-12))</f>
        <v/>
      </c>
      <c r="N550" s="3">
        <f>IF('3a Raw'!I550="","",MAX(-3,MIN(3,('3a Raw'!I550-$N3)/$N4)))</f>
        <v/>
      </c>
      <c r="O550" s="3">
        <f>IF(N550="","",(N550-AVERAGE(N6:N1198))/(STDEV(N6:N1198)+1E-12))</f>
        <v/>
      </c>
      <c r="P550" s="3">
        <f>IF('3a Raw'!J550="","",MAX(-3,MIN(3,('3a Raw'!J550-$P3)/$P4)))</f>
        <v/>
      </c>
      <c r="Q550" s="3">
        <f>IF(P550="","",(P550-AVERAGE(P6:P1198))/(STDEV(P6:P1198)+1E-12))</f>
        <v/>
      </c>
      <c r="R550" s="3">
        <f>IF('3a Raw'!K550="","",MAX(-3,MIN(3,('3a Raw'!K550-$R3)/$R4)))</f>
        <v/>
      </c>
      <c r="S550" s="3">
        <f>IF(R550="","",(R550-AVERAGE(R6:R1198))/(STDEV(R6:R1198)+1E-12))</f>
        <v/>
      </c>
      <c r="T550" s="3">
        <f>IF('3a Raw'!L550="","",MAX(-3,MIN(3,('3a Raw'!L550-$T3)/$T4)))</f>
        <v/>
      </c>
      <c r="U550" s="3">
        <f>IF(T550="","",(T550-AVERAGE(T6:T1198))/(STDEV(T6:T1198)+1E-12))</f>
        <v/>
      </c>
      <c r="X550" s="3">
        <f>IF(U550="","",U550-($V$3*G550+$W$3))</f>
        <v/>
      </c>
      <c r="Y550" s="3">
        <f>IF(X550="","",MAX(-3,MIN(3,(X550-$X3)/$X4)))</f>
        <v/>
      </c>
      <c r="Z550" s="3">
        <f>IF(Y550="","",(Y550-AVERAGE(Y6:Y1198))/(STDEV(Y6:Y1198)+1E-12))</f>
        <v/>
      </c>
    </row>
    <row r="551">
      <c r="A551" t="inlineStr">
        <is>
          <t>BBG000C0G1D1</t>
        </is>
      </c>
      <c r="B551" s="3">
        <f>IF('3a Raw'!C551="","",MAX(-3,MIN(3,('3a Raw'!C551-$B3)/$B4)))</f>
        <v/>
      </c>
      <c r="C551" s="3">
        <f>IF(B551="","",(B551-AVERAGE(B6:B1198))/(STDEV(B6:B1198)+1E-12))</f>
        <v/>
      </c>
      <c r="D551" s="3">
        <f>IF('3a Raw'!D551="","",MAX(-3,MIN(3,('3a Raw'!D551-$D3)/$D4)))</f>
        <v/>
      </c>
      <c r="E551" s="3">
        <f>IF(D551="","",(D551-AVERAGE(D6:D1198))/(STDEV(D6:D1198)+1E-12))</f>
        <v/>
      </c>
      <c r="F551" s="3">
        <f>IF('3a Raw'!E551="","",MAX(-3,MIN(3,('3a Raw'!E551-$F3)/$F4)))</f>
        <v/>
      </c>
      <c r="G551" s="3">
        <f>IF(F551="","",(F551-AVERAGE(F6:F1198))/(STDEV(F6:F1198)+1E-12))</f>
        <v/>
      </c>
      <c r="H551" s="3">
        <f>IF('3a Raw'!F551="","",MAX(-3,MIN(3,('3a Raw'!F551-$H3)/$H4)))</f>
        <v/>
      </c>
      <c r="I551" s="3">
        <f>IF(H551="","",(H551-AVERAGE(H6:H1198))/(STDEV(H6:H1198)+1E-12))</f>
        <v/>
      </c>
      <c r="J551" s="3">
        <f>IF('3a Raw'!G551="","",MAX(-3,MIN(3,('3a Raw'!G551-$J3)/$J4)))</f>
        <v/>
      </c>
      <c r="K551" s="3">
        <f>IF(J551="","",(J551-AVERAGE(J6:J1198))/(STDEV(J6:J1198)+1E-12))</f>
        <v/>
      </c>
      <c r="L551" s="3">
        <f>IF('3a Raw'!H551="","",MAX(-3,MIN(3,('3a Raw'!H551-$L3)/$L4)))</f>
        <v/>
      </c>
      <c r="M551" s="3">
        <f>IF(L551="","",(L551-AVERAGE(L6:L1198))/(STDEV(L6:L1198)+1E-12))</f>
        <v/>
      </c>
      <c r="N551" s="3">
        <f>IF('3a Raw'!I551="","",MAX(-3,MIN(3,('3a Raw'!I551-$N3)/$N4)))</f>
        <v/>
      </c>
      <c r="O551" s="3">
        <f>IF(N551="","",(N551-AVERAGE(N6:N1198))/(STDEV(N6:N1198)+1E-12))</f>
        <v/>
      </c>
      <c r="P551" s="3">
        <f>IF('3a Raw'!J551="","",MAX(-3,MIN(3,('3a Raw'!J551-$P3)/$P4)))</f>
        <v/>
      </c>
      <c r="Q551" s="3">
        <f>IF(P551="","",(P551-AVERAGE(P6:P1198))/(STDEV(P6:P1198)+1E-12))</f>
        <v/>
      </c>
      <c r="R551" s="3">
        <f>IF('3a Raw'!K551="","",MAX(-3,MIN(3,('3a Raw'!K551-$R3)/$R4)))</f>
        <v/>
      </c>
      <c r="S551" s="3">
        <f>IF(R551="","",(R551-AVERAGE(R6:R1198))/(STDEV(R6:R1198)+1E-12))</f>
        <v/>
      </c>
      <c r="T551" s="3">
        <f>IF('3a Raw'!L551="","",MAX(-3,MIN(3,('3a Raw'!L551-$T3)/$T4)))</f>
        <v/>
      </c>
      <c r="U551" s="3">
        <f>IF(T551="","",(T551-AVERAGE(T6:T1198))/(STDEV(T6:T1198)+1E-12))</f>
        <v/>
      </c>
      <c r="X551" s="3">
        <f>IF(U551="","",U551-($V$3*G551+$W$3))</f>
        <v/>
      </c>
      <c r="Y551" s="3">
        <f>IF(X551="","",MAX(-3,MIN(3,(X551-$X3)/$X4)))</f>
        <v/>
      </c>
      <c r="Z551" s="3">
        <f>IF(Y551="","",(Y551-AVERAGE(Y6:Y1198))/(STDEV(Y6:Y1198)+1E-12))</f>
        <v/>
      </c>
    </row>
    <row r="552">
      <c r="A552" t="inlineStr">
        <is>
          <t>BBG000BH5DV1</t>
        </is>
      </c>
      <c r="B552" s="3">
        <f>IF('3a Raw'!C552="","",MAX(-3,MIN(3,('3a Raw'!C552-$B3)/$B4)))</f>
        <v/>
      </c>
      <c r="C552" s="3">
        <f>IF(B552="","",(B552-AVERAGE(B6:B1198))/(STDEV(B6:B1198)+1E-12))</f>
        <v/>
      </c>
      <c r="D552" s="3">
        <f>IF('3a Raw'!D552="","",MAX(-3,MIN(3,('3a Raw'!D552-$D3)/$D4)))</f>
        <v/>
      </c>
      <c r="E552" s="3">
        <f>IF(D552="","",(D552-AVERAGE(D6:D1198))/(STDEV(D6:D1198)+1E-12))</f>
        <v/>
      </c>
      <c r="F552" s="3">
        <f>IF('3a Raw'!E552="","",MAX(-3,MIN(3,('3a Raw'!E552-$F3)/$F4)))</f>
        <v/>
      </c>
      <c r="G552" s="3">
        <f>IF(F552="","",(F552-AVERAGE(F6:F1198))/(STDEV(F6:F1198)+1E-12))</f>
        <v/>
      </c>
      <c r="H552" s="3">
        <f>IF('3a Raw'!F552="","",MAX(-3,MIN(3,('3a Raw'!F552-$H3)/$H4)))</f>
        <v/>
      </c>
      <c r="I552" s="3">
        <f>IF(H552="","",(H552-AVERAGE(H6:H1198))/(STDEV(H6:H1198)+1E-12))</f>
        <v/>
      </c>
      <c r="J552" s="3">
        <f>IF('3a Raw'!G552="","",MAX(-3,MIN(3,('3a Raw'!G552-$J3)/$J4)))</f>
        <v/>
      </c>
      <c r="K552" s="3">
        <f>IF(J552="","",(J552-AVERAGE(J6:J1198))/(STDEV(J6:J1198)+1E-12))</f>
        <v/>
      </c>
      <c r="L552" s="3">
        <f>IF('3a Raw'!H552="","",MAX(-3,MIN(3,('3a Raw'!H552-$L3)/$L4)))</f>
        <v/>
      </c>
      <c r="M552" s="3">
        <f>IF(L552="","",(L552-AVERAGE(L6:L1198))/(STDEV(L6:L1198)+1E-12))</f>
        <v/>
      </c>
      <c r="N552" s="3">
        <f>IF('3a Raw'!I552="","",MAX(-3,MIN(3,('3a Raw'!I552-$N3)/$N4)))</f>
        <v/>
      </c>
      <c r="O552" s="3">
        <f>IF(N552="","",(N552-AVERAGE(N6:N1198))/(STDEV(N6:N1198)+1E-12))</f>
        <v/>
      </c>
      <c r="P552" s="3">
        <f>IF('3a Raw'!J552="","",MAX(-3,MIN(3,('3a Raw'!J552-$P3)/$P4)))</f>
        <v/>
      </c>
      <c r="Q552" s="3">
        <f>IF(P552="","",(P552-AVERAGE(P6:P1198))/(STDEV(P6:P1198)+1E-12))</f>
        <v/>
      </c>
      <c r="R552" s="3">
        <f>IF('3a Raw'!K552="","",MAX(-3,MIN(3,('3a Raw'!K552-$R3)/$R4)))</f>
        <v/>
      </c>
      <c r="S552" s="3">
        <f>IF(R552="","",(R552-AVERAGE(R6:R1198))/(STDEV(R6:R1198)+1E-12))</f>
        <v/>
      </c>
      <c r="T552" s="3">
        <f>IF('3a Raw'!L552="","",MAX(-3,MIN(3,('3a Raw'!L552-$T3)/$T4)))</f>
        <v/>
      </c>
      <c r="U552" s="3">
        <f>IF(T552="","",(T552-AVERAGE(T6:T1198))/(STDEV(T6:T1198)+1E-12))</f>
        <v/>
      </c>
      <c r="X552" s="3">
        <f>IF(U552="","",U552-($V$3*G552+$W$3))</f>
        <v/>
      </c>
      <c r="Y552" s="3">
        <f>IF(X552="","",MAX(-3,MIN(3,(X552-$X3)/$X4)))</f>
        <v/>
      </c>
      <c r="Z552" s="3">
        <f>IF(Y552="","",(Y552-AVERAGE(Y6:Y1198))/(STDEV(Y6:Y1198)+1E-12))</f>
        <v/>
      </c>
    </row>
    <row r="553">
      <c r="A553" t="inlineStr">
        <is>
          <t>BBG000BW6F33</t>
        </is>
      </c>
      <c r="B553" s="3">
        <f>IF('3a Raw'!C553="","",MAX(-3,MIN(3,('3a Raw'!C553-$B3)/$B4)))</f>
        <v/>
      </c>
      <c r="C553" s="3">
        <f>IF(B553="","",(B553-AVERAGE(B6:B1198))/(STDEV(B6:B1198)+1E-12))</f>
        <v/>
      </c>
      <c r="D553" s="3">
        <f>IF('3a Raw'!D553="","",MAX(-3,MIN(3,('3a Raw'!D553-$D3)/$D4)))</f>
        <v/>
      </c>
      <c r="E553" s="3">
        <f>IF(D553="","",(D553-AVERAGE(D6:D1198))/(STDEV(D6:D1198)+1E-12))</f>
        <v/>
      </c>
      <c r="F553" s="3">
        <f>IF('3a Raw'!E553="","",MAX(-3,MIN(3,('3a Raw'!E553-$F3)/$F4)))</f>
        <v/>
      </c>
      <c r="G553" s="3">
        <f>IF(F553="","",(F553-AVERAGE(F6:F1198))/(STDEV(F6:F1198)+1E-12))</f>
        <v/>
      </c>
      <c r="H553" s="3">
        <f>IF('3a Raw'!F553="","",MAX(-3,MIN(3,('3a Raw'!F553-$H3)/$H4)))</f>
        <v/>
      </c>
      <c r="I553" s="3">
        <f>IF(H553="","",(H553-AVERAGE(H6:H1198))/(STDEV(H6:H1198)+1E-12))</f>
        <v/>
      </c>
      <c r="J553" s="3">
        <f>IF('3a Raw'!G553="","",MAX(-3,MIN(3,('3a Raw'!G553-$J3)/$J4)))</f>
        <v/>
      </c>
      <c r="K553" s="3">
        <f>IF(J553="","",(J553-AVERAGE(J6:J1198))/(STDEV(J6:J1198)+1E-12))</f>
        <v/>
      </c>
      <c r="L553" s="3">
        <f>IF('3a Raw'!H553="","",MAX(-3,MIN(3,('3a Raw'!H553-$L3)/$L4)))</f>
        <v/>
      </c>
      <c r="M553" s="3">
        <f>IF(L553="","",(L553-AVERAGE(L6:L1198))/(STDEV(L6:L1198)+1E-12))</f>
        <v/>
      </c>
      <c r="N553" s="3">
        <f>IF('3a Raw'!I553="","",MAX(-3,MIN(3,('3a Raw'!I553-$N3)/$N4)))</f>
        <v/>
      </c>
      <c r="O553" s="3">
        <f>IF(N553="","",(N553-AVERAGE(N6:N1198))/(STDEV(N6:N1198)+1E-12))</f>
        <v/>
      </c>
      <c r="P553" s="3">
        <f>IF('3a Raw'!J553="","",MAX(-3,MIN(3,('3a Raw'!J553-$P3)/$P4)))</f>
        <v/>
      </c>
      <c r="Q553" s="3">
        <f>IF(P553="","",(P553-AVERAGE(P6:P1198))/(STDEV(P6:P1198)+1E-12))</f>
        <v/>
      </c>
      <c r="R553" s="3">
        <f>IF('3a Raw'!K553="","",MAX(-3,MIN(3,('3a Raw'!K553-$R3)/$R4)))</f>
        <v/>
      </c>
      <c r="S553" s="3">
        <f>IF(R553="","",(R553-AVERAGE(R6:R1198))/(STDEV(R6:R1198)+1E-12))</f>
        <v/>
      </c>
      <c r="T553" s="3">
        <f>IF('3a Raw'!L553="","",MAX(-3,MIN(3,('3a Raw'!L553-$T3)/$T4)))</f>
        <v/>
      </c>
      <c r="U553" s="3">
        <f>IF(T553="","",(T553-AVERAGE(T6:T1198))/(STDEV(T6:T1198)+1E-12))</f>
        <v/>
      </c>
      <c r="X553" s="3">
        <f>IF(U553="","",U553-($V$3*G553+$W$3))</f>
        <v/>
      </c>
      <c r="Y553" s="3">
        <f>IF(X553="","",MAX(-3,MIN(3,(X553-$X3)/$X4)))</f>
        <v/>
      </c>
      <c r="Z553" s="3">
        <f>IF(Y553="","",(Y553-AVERAGE(Y6:Y1198))/(STDEV(Y6:Y1198)+1E-12))</f>
        <v/>
      </c>
    </row>
    <row r="554">
      <c r="A554" t="inlineStr">
        <is>
          <t>BBG00FQH6BS9</t>
        </is>
      </c>
      <c r="B554" s="3">
        <f>IF('3a Raw'!C554="","",MAX(-3,MIN(3,('3a Raw'!C554-$B3)/$B4)))</f>
        <v/>
      </c>
      <c r="C554" s="3">
        <f>IF(B554="","",(B554-AVERAGE(B6:B1198))/(STDEV(B6:B1198)+1E-12))</f>
        <v/>
      </c>
      <c r="D554" s="3">
        <f>IF('3a Raw'!D554="","",MAX(-3,MIN(3,('3a Raw'!D554-$D3)/$D4)))</f>
        <v/>
      </c>
      <c r="E554" s="3">
        <f>IF(D554="","",(D554-AVERAGE(D6:D1198))/(STDEV(D6:D1198)+1E-12))</f>
        <v/>
      </c>
      <c r="F554" s="3">
        <f>IF('3a Raw'!E554="","",MAX(-3,MIN(3,('3a Raw'!E554-$F3)/$F4)))</f>
        <v/>
      </c>
      <c r="G554" s="3">
        <f>IF(F554="","",(F554-AVERAGE(F6:F1198))/(STDEV(F6:F1198)+1E-12))</f>
        <v/>
      </c>
      <c r="H554" s="3">
        <f>IF('3a Raw'!F554="","",MAX(-3,MIN(3,('3a Raw'!F554-$H3)/$H4)))</f>
        <v/>
      </c>
      <c r="I554" s="3">
        <f>IF(H554="","",(H554-AVERAGE(H6:H1198))/(STDEV(H6:H1198)+1E-12))</f>
        <v/>
      </c>
      <c r="J554" s="3">
        <f>IF('3a Raw'!G554="","",MAX(-3,MIN(3,('3a Raw'!G554-$J3)/$J4)))</f>
        <v/>
      </c>
      <c r="K554" s="3">
        <f>IF(J554="","",(J554-AVERAGE(J6:J1198))/(STDEV(J6:J1198)+1E-12))</f>
        <v/>
      </c>
      <c r="L554" s="3">
        <f>IF('3a Raw'!H554="","",MAX(-3,MIN(3,('3a Raw'!H554-$L3)/$L4)))</f>
        <v/>
      </c>
      <c r="M554" s="3">
        <f>IF(L554="","",(L554-AVERAGE(L6:L1198))/(STDEV(L6:L1198)+1E-12))</f>
        <v/>
      </c>
      <c r="N554" s="3">
        <f>IF('3a Raw'!I554="","",MAX(-3,MIN(3,('3a Raw'!I554-$N3)/$N4)))</f>
        <v/>
      </c>
      <c r="O554" s="3">
        <f>IF(N554="","",(N554-AVERAGE(N6:N1198))/(STDEV(N6:N1198)+1E-12))</f>
        <v/>
      </c>
      <c r="P554" s="3">
        <f>IF('3a Raw'!J554="","",MAX(-3,MIN(3,('3a Raw'!J554-$P3)/$P4)))</f>
        <v/>
      </c>
      <c r="Q554" s="3">
        <f>IF(P554="","",(P554-AVERAGE(P6:P1198))/(STDEV(P6:P1198)+1E-12))</f>
        <v/>
      </c>
      <c r="R554" s="3">
        <f>IF('3a Raw'!K554="","",MAX(-3,MIN(3,('3a Raw'!K554-$R3)/$R4)))</f>
        <v/>
      </c>
      <c r="S554" s="3">
        <f>IF(R554="","",(R554-AVERAGE(R6:R1198))/(STDEV(R6:R1198)+1E-12))</f>
        <v/>
      </c>
      <c r="T554" s="3">
        <f>IF('3a Raw'!L554="","",MAX(-3,MIN(3,('3a Raw'!L554-$T3)/$T4)))</f>
        <v/>
      </c>
      <c r="U554" s="3">
        <f>IF(T554="","",(T554-AVERAGE(T6:T1198))/(STDEV(T6:T1198)+1E-12))</f>
        <v/>
      </c>
      <c r="X554" s="3">
        <f>IF(U554="","",U554-($V$3*G554+$W$3))</f>
        <v/>
      </c>
      <c r="Y554" s="3">
        <f>IF(X554="","",MAX(-3,MIN(3,(X554-$X3)/$X4)))</f>
        <v/>
      </c>
      <c r="Z554" s="3">
        <f>IF(Y554="","",(Y554-AVERAGE(Y6:Y1198))/(STDEV(Y6:Y1198)+1E-12))</f>
        <v/>
      </c>
    </row>
    <row r="555">
      <c r="A555" t="inlineStr">
        <is>
          <t>BBG000JH6683</t>
        </is>
      </c>
      <c r="B555" s="3">
        <f>IF('3a Raw'!C555="","",MAX(-3,MIN(3,('3a Raw'!C555-$B3)/$B4)))</f>
        <v/>
      </c>
      <c r="C555" s="3">
        <f>IF(B555="","",(B555-AVERAGE(B6:B1198))/(STDEV(B6:B1198)+1E-12))</f>
        <v/>
      </c>
      <c r="D555" s="3">
        <f>IF('3a Raw'!D555="","",MAX(-3,MIN(3,('3a Raw'!D555-$D3)/$D4)))</f>
        <v/>
      </c>
      <c r="E555" s="3">
        <f>IF(D555="","",(D555-AVERAGE(D6:D1198))/(STDEV(D6:D1198)+1E-12))</f>
        <v/>
      </c>
      <c r="F555" s="3">
        <f>IF('3a Raw'!E555="","",MAX(-3,MIN(3,('3a Raw'!E555-$F3)/$F4)))</f>
        <v/>
      </c>
      <c r="G555" s="3">
        <f>IF(F555="","",(F555-AVERAGE(F6:F1198))/(STDEV(F6:F1198)+1E-12))</f>
        <v/>
      </c>
      <c r="H555" s="3">
        <f>IF('3a Raw'!F555="","",MAX(-3,MIN(3,('3a Raw'!F555-$H3)/$H4)))</f>
        <v/>
      </c>
      <c r="I555" s="3">
        <f>IF(H555="","",(H555-AVERAGE(H6:H1198))/(STDEV(H6:H1198)+1E-12))</f>
        <v/>
      </c>
      <c r="J555" s="3">
        <f>IF('3a Raw'!G555="","",MAX(-3,MIN(3,('3a Raw'!G555-$J3)/$J4)))</f>
        <v/>
      </c>
      <c r="K555" s="3">
        <f>IF(J555="","",(J555-AVERAGE(J6:J1198))/(STDEV(J6:J1198)+1E-12))</f>
        <v/>
      </c>
      <c r="L555" s="3">
        <f>IF('3a Raw'!H555="","",MAX(-3,MIN(3,('3a Raw'!H555-$L3)/$L4)))</f>
        <v/>
      </c>
      <c r="M555" s="3">
        <f>IF(L555="","",(L555-AVERAGE(L6:L1198))/(STDEV(L6:L1198)+1E-12))</f>
        <v/>
      </c>
      <c r="N555" s="3">
        <f>IF('3a Raw'!I555="","",MAX(-3,MIN(3,('3a Raw'!I555-$N3)/$N4)))</f>
        <v/>
      </c>
      <c r="O555" s="3">
        <f>IF(N555="","",(N555-AVERAGE(N6:N1198))/(STDEV(N6:N1198)+1E-12))</f>
        <v/>
      </c>
      <c r="P555" s="3">
        <f>IF('3a Raw'!J555="","",MAX(-3,MIN(3,('3a Raw'!J555-$P3)/$P4)))</f>
        <v/>
      </c>
      <c r="Q555" s="3">
        <f>IF(P555="","",(P555-AVERAGE(P6:P1198))/(STDEV(P6:P1198)+1E-12))</f>
        <v/>
      </c>
      <c r="R555" s="3">
        <f>IF('3a Raw'!K555="","",MAX(-3,MIN(3,('3a Raw'!K555-$R3)/$R4)))</f>
        <v/>
      </c>
      <c r="S555" s="3">
        <f>IF(R555="","",(R555-AVERAGE(R6:R1198))/(STDEV(R6:R1198)+1E-12))</f>
        <v/>
      </c>
      <c r="T555" s="3">
        <f>IF('3a Raw'!L555="","",MAX(-3,MIN(3,('3a Raw'!L555-$T3)/$T4)))</f>
        <v/>
      </c>
      <c r="U555" s="3">
        <f>IF(T555="","",(T555-AVERAGE(T6:T1198))/(STDEV(T6:T1198)+1E-12))</f>
        <v/>
      </c>
      <c r="X555" s="3">
        <f>IF(U555="","",U555-($V$3*G555+$W$3))</f>
        <v/>
      </c>
      <c r="Y555" s="3">
        <f>IF(X555="","",MAX(-3,MIN(3,(X555-$X3)/$X4)))</f>
        <v/>
      </c>
      <c r="Z555" s="3">
        <f>IF(Y555="","",(Y555-AVERAGE(Y6:Y1198))/(STDEV(Y6:Y1198)+1E-12))</f>
        <v/>
      </c>
    </row>
    <row r="556">
      <c r="A556" t="inlineStr">
        <is>
          <t>BBG000BM5SR2</t>
        </is>
      </c>
      <c r="B556" s="3">
        <f>IF('3a Raw'!C556="","",MAX(-3,MIN(3,('3a Raw'!C556-$B3)/$B4)))</f>
        <v/>
      </c>
      <c r="C556" s="3">
        <f>IF(B556="","",(B556-AVERAGE(B6:B1198))/(STDEV(B6:B1198)+1E-12))</f>
        <v/>
      </c>
      <c r="D556" s="3">
        <f>IF('3a Raw'!D556="","",MAX(-3,MIN(3,('3a Raw'!D556-$D3)/$D4)))</f>
        <v/>
      </c>
      <c r="E556" s="3">
        <f>IF(D556="","",(D556-AVERAGE(D6:D1198))/(STDEV(D6:D1198)+1E-12))</f>
        <v/>
      </c>
      <c r="F556" s="3">
        <f>IF('3a Raw'!E556="","",MAX(-3,MIN(3,('3a Raw'!E556-$F3)/$F4)))</f>
        <v/>
      </c>
      <c r="G556" s="3">
        <f>IF(F556="","",(F556-AVERAGE(F6:F1198))/(STDEV(F6:F1198)+1E-12))</f>
        <v/>
      </c>
      <c r="H556" s="3">
        <f>IF('3a Raw'!F556="","",MAX(-3,MIN(3,('3a Raw'!F556-$H3)/$H4)))</f>
        <v/>
      </c>
      <c r="I556" s="3">
        <f>IF(H556="","",(H556-AVERAGE(H6:H1198))/(STDEV(H6:H1198)+1E-12))</f>
        <v/>
      </c>
      <c r="J556" s="3">
        <f>IF('3a Raw'!G556="","",MAX(-3,MIN(3,('3a Raw'!G556-$J3)/$J4)))</f>
        <v/>
      </c>
      <c r="K556" s="3">
        <f>IF(J556="","",(J556-AVERAGE(J6:J1198))/(STDEV(J6:J1198)+1E-12))</f>
        <v/>
      </c>
      <c r="L556" s="3">
        <f>IF('3a Raw'!H556="","",MAX(-3,MIN(3,('3a Raw'!H556-$L3)/$L4)))</f>
        <v/>
      </c>
      <c r="M556" s="3">
        <f>IF(L556="","",(L556-AVERAGE(L6:L1198))/(STDEV(L6:L1198)+1E-12))</f>
        <v/>
      </c>
      <c r="N556" s="3">
        <f>IF('3a Raw'!I556="","",MAX(-3,MIN(3,('3a Raw'!I556-$N3)/$N4)))</f>
        <v/>
      </c>
      <c r="O556" s="3">
        <f>IF(N556="","",(N556-AVERAGE(N6:N1198))/(STDEV(N6:N1198)+1E-12))</f>
        <v/>
      </c>
      <c r="P556" s="3">
        <f>IF('3a Raw'!J556="","",MAX(-3,MIN(3,('3a Raw'!J556-$P3)/$P4)))</f>
        <v/>
      </c>
      <c r="Q556" s="3">
        <f>IF(P556="","",(P556-AVERAGE(P6:P1198))/(STDEV(P6:P1198)+1E-12))</f>
        <v/>
      </c>
      <c r="R556" s="3">
        <f>IF('3a Raw'!K556="","",MAX(-3,MIN(3,('3a Raw'!K556-$R3)/$R4)))</f>
        <v/>
      </c>
      <c r="S556" s="3">
        <f>IF(R556="","",(R556-AVERAGE(R6:R1198))/(STDEV(R6:R1198)+1E-12))</f>
        <v/>
      </c>
      <c r="T556" s="3">
        <f>IF('3a Raw'!L556="","",MAX(-3,MIN(3,('3a Raw'!L556-$T3)/$T4)))</f>
        <v/>
      </c>
      <c r="U556" s="3">
        <f>IF(T556="","",(T556-AVERAGE(T6:T1198))/(STDEV(T6:T1198)+1E-12))</f>
        <v/>
      </c>
      <c r="X556" s="3">
        <f>IF(U556="","",U556-($V$3*G556+$W$3))</f>
        <v/>
      </c>
      <c r="Y556" s="3">
        <f>IF(X556="","",MAX(-3,MIN(3,(X556-$X3)/$X4)))</f>
        <v/>
      </c>
      <c r="Z556" s="3">
        <f>IF(Y556="","",(Y556-AVERAGE(Y6:Y1198))/(STDEV(Y6:Y1198)+1E-12))</f>
        <v/>
      </c>
    </row>
    <row r="557">
      <c r="A557" t="inlineStr">
        <is>
          <t>BBG000DCGRL8</t>
        </is>
      </c>
      <c r="B557" s="3">
        <f>IF('3a Raw'!C557="","",MAX(-3,MIN(3,('3a Raw'!C557-$B3)/$B4)))</f>
        <v/>
      </c>
      <c r="C557" s="3">
        <f>IF(B557="","",(B557-AVERAGE(B6:B1198))/(STDEV(B6:B1198)+1E-12))</f>
        <v/>
      </c>
      <c r="D557" s="3">
        <f>IF('3a Raw'!D557="","",MAX(-3,MIN(3,('3a Raw'!D557-$D3)/$D4)))</f>
        <v/>
      </c>
      <c r="E557" s="3">
        <f>IF(D557="","",(D557-AVERAGE(D6:D1198))/(STDEV(D6:D1198)+1E-12))</f>
        <v/>
      </c>
      <c r="F557" s="3">
        <f>IF('3a Raw'!E557="","",MAX(-3,MIN(3,('3a Raw'!E557-$F3)/$F4)))</f>
        <v/>
      </c>
      <c r="G557" s="3">
        <f>IF(F557="","",(F557-AVERAGE(F6:F1198))/(STDEV(F6:F1198)+1E-12))</f>
        <v/>
      </c>
      <c r="H557" s="3">
        <f>IF('3a Raw'!F557="","",MAX(-3,MIN(3,('3a Raw'!F557-$H3)/$H4)))</f>
        <v/>
      </c>
      <c r="I557" s="3">
        <f>IF(H557="","",(H557-AVERAGE(H6:H1198))/(STDEV(H6:H1198)+1E-12))</f>
        <v/>
      </c>
      <c r="J557" s="3">
        <f>IF('3a Raw'!G557="","",MAX(-3,MIN(3,('3a Raw'!G557-$J3)/$J4)))</f>
        <v/>
      </c>
      <c r="K557" s="3">
        <f>IF(J557="","",(J557-AVERAGE(J6:J1198))/(STDEV(J6:J1198)+1E-12))</f>
        <v/>
      </c>
      <c r="L557" s="3">
        <f>IF('3a Raw'!H557="","",MAX(-3,MIN(3,('3a Raw'!H557-$L3)/$L4)))</f>
        <v/>
      </c>
      <c r="M557" s="3">
        <f>IF(L557="","",(L557-AVERAGE(L6:L1198))/(STDEV(L6:L1198)+1E-12))</f>
        <v/>
      </c>
      <c r="N557" s="3">
        <f>IF('3a Raw'!I557="","",MAX(-3,MIN(3,('3a Raw'!I557-$N3)/$N4)))</f>
        <v/>
      </c>
      <c r="O557" s="3">
        <f>IF(N557="","",(N557-AVERAGE(N6:N1198))/(STDEV(N6:N1198)+1E-12))</f>
        <v/>
      </c>
      <c r="P557" s="3">
        <f>IF('3a Raw'!J557="","",MAX(-3,MIN(3,('3a Raw'!J557-$P3)/$P4)))</f>
        <v/>
      </c>
      <c r="Q557" s="3">
        <f>IF(P557="","",(P557-AVERAGE(P6:P1198))/(STDEV(P6:P1198)+1E-12))</f>
        <v/>
      </c>
      <c r="R557" s="3">
        <f>IF('3a Raw'!K557="","",MAX(-3,MIN(3,('3a Raw'!K557-$R3)/$R4)))</f>
        <v/>
      </c>
      <c r="S557" s="3">
        <f>IF(R557="","",(R557-AVERAGE(R6:R1198))/(STDEV(R6:R1198)+1E-12))</f>
        <v/>
      </c>
      <c r="T557" s="3">
        <f>IF('3a Raw'!L557="","",MAX(-3,MIN(3,('3a Raw'!L557-$T3)/$T4)))</f>
        <v/>
      </c>
      <c r="U557" s="3">
        <f>IF(T557="","",(T557-AVERAGE(T6:T1198))/(STDEV(T6:T1198)+1E-12))</f>
        <v/>
      </c>
      <c r="X557" s="3">
        <f>IF(U557="","",U557-($V$3*G557+$W$3))</f>
        <v/>
      </c>
      <c r="Y557" s="3">
        <f>IF(X557="","",MAX(-3,MIN(3,(X557-$X3)/$X4)))</f>
        <v/>
      </c>
      <c r="Z557" s="3">
        <f>IF(Y557="","",(Y557-AVERAGE(Y6:Y1198))/(STDEV(Y6:Y1198)+1E-12))</f>
        <v/>
      </c>
    </row>
    <row r="558">
      <c r="A558" t="inlineStr">
        <is>
          <t>BBG00K6DZBD3</t>
        </is>
      </c>
      <c r="B558" s="3">
        <f>IF('3a Raw'!C558="","",MAX(-3,MIN(3,('3a Raw'!C558-$B3)/$B4)))</f>
        <v/>
      </c>
      <c r="C558" s="3">
        <f>IF(B558="","",(B558-AVERAGE(B6:B1198))/(STDEV(B6:B1198)+1E-12))</f>
        <v/>
      </c>
      <c r="D558" s="3">
        <f>IF('3a Raw'!D558="","",MAX(-3,MIN(3,('3a Raw'!D558-$D3)/$D4)))</f>
        <v/>
      </c>
      <c r="E558" s="3">
        <f>IF(D558="","",(D558-AVERAGE(D6:D1198))/(STDEV(D6:D1198)+1E-12))</f>
        <v/>
      </c>
      <c r="F558" s="3">
        <f>IF('3a Raw'!E558="","",MAX(-3,MIN(3,('3a Raw'!E558-$F3)/$F4)))</f>
        <v/>
      </c>
      <c r="G558" s="3">
        <f>IF(F558="","",(F558-AVERAGE(F6:F1198))/(STDEV(F6:F1198)+1E-12))</f>
        <v/>
      </c>
      <c r="H558" s="3">
        <f>IF('3a Raw'!F558="","",MAX(-3,MIN(3,('3a Raw'!F558-$H3)/$H4)))</f>
        <v/>
      </c>
      <c r="I558" s="3">
        <f>IF(H558="","",(H558-AVERAGE(H6:H1198))/(STDEV(H6:H1198)+1E-12))</f>
        <v/>
      </c>
      <c r="J558" s="3">
        <f>IF('3a Raw'!G558="","",MAX(-3,MIN(3,('3a Raw'!G558-$J3)/$J4)))</f>
        <v/>
      </c>
      <c r="K558" s="3">
        <f>IF(J558="","",(J558-AVERAGE(J6:J1198))/(STDEV(J6:J1198)+1E-12))</f>
        <v/>
      </c>
      <c r="L558" s="3">
        <f>IF('3a Raw'!H558="","",MAX(-3,MIN(3,('3a Raw'!H558-$L3)/$L4)))</f>
        <v/>
      </c>
      <c r="M558" s="3">
        <f>IF(L558="","",(L558-AVERAGE(L6:L1198))/(STDEV(L6:L1198)+1E-12))</f>
        <v/>
      </c>
      <c r="N558" s="3">
        <f>IF('3a Raw'!I558="","",MAX(-3,MIN(3,('3a Raw'!I558-$N3)/$N4)))</f>
        <v/>
      </c>
      <c r="O558" s="3">
        <f>IF(N558="","",(N558-AVERAGE(N6:N1198))/(STDEV(N6:N1198)+1E-12))</f>
        <v/>
      </c>
      <c r="P558" s="3">
        <f>IF('3a Raw'!J558="","",MAX(-3,MIN(3,('3a Raw'!J558-$P3)/$P4)))</f>
        <v/>
      </c>
      <c r="Q558" s="3">
        <f>IF(P558="","",(P558-AVERAGE(P6:P1198))/(STDEV(P6:P1198)+1E-12))</f>
        <v/>
      </c>
      <c r="R558" s="3">
        <f>IF('3a Raw'!K558="","",MAX(-3,MIN(3,('3a Raw'!K558-$R3)/$R4)))</f>
        <v/>
      </c>
      <c r="S558" s="3">
        <f>IF(R558="","",(R558-AVERAGE(R6:R1198))/(STDEV(R6:R1198)+1E-12))</f>
        <v/>
      </c>
      <c r="T558" s="3">
        <f>IF('3a Raw'!L558="","",MAX(-3,MIN(3,('3a Raw'!L558-$T3)/$T4)))</f>
        <v/>
      </c>
      <c r="U558" s="3">
        <f>IF(T558="","",(T558-AVERAGE(T6:T1198))/(STDEV(T6:T1198)+1E-12))</f>
        <v/>
      </c>
      <c r="X558" s="3">
        <f>IF(U558="","",U558-($V$3*G558+$W$3))</f>
        <v/>
      </c>
      <c r="Y558" s="3">
        <f>IF(X558="","",MAX(-3,MIN(3,(X558-$X3)/$X4)))</f>
        <v/>
      </c>
      <c r="Z558" s="3">
        <f>IF(Y558="","",(Y558-AVERAGE(Y6:Y1198))/(STDEV(Y6:Y1198)+1E-12))</f>
        <v/>
      </c>
    </row>
    <row r="559">
      <c r="A559" t="inlineStr">
        <is>
          <t>iqv</t>
        </is>
      </c>
      <c r="B559" s="3">
        <f>IF('3a Raw'!C559="","",MAX(-3,MIN(3,('3a Raw'!C559-$B3)/$B4)))</f>
        <v/>
      </c>
      <c r="C559" s="3">
        <f>IF(B559="","",(B559-AVERAGE(B6:B1198))/(STDEV(B6:B1198)+1E-12))</f>
        <v/>
      </c>
      <c r="D559" s="3">
        <f>IF('3a Raw'!D559="","",MAX(-3,MIN(3,('3a Raw'!D559-$D3)/$D4)))</f>
        <v/>
      </c>
      <c r="E559" s="3">
        <f>IF(D559="","",(D559-AVERAGE(D6:D1198))/(STDEV(D6:D1198)+1E-12))</f>
        <v/>
      </c>
      <c r="F559" s="3">
        <f>IF('3a Raw'!E559="","",MAX(-3,MIN(3,('3a Raw'!E559-$F3)/$F4)))</f>
        <v/>
      </c>
      <c r="G559" s="3">
        <f>IF(F559="","",(F559-AVERAGE(F6:F1198))/(STDEV(F6:F1198)+1E-12))</f>
        <v/>
      </c>
      <c r="H559" s="3">
        <f>IF('3a Raw'!F559="","",MAX(-3,MIN(3,('3a Raw'!F559-$H3)/$H4)))</f>
        <v/>
      </c>
      <c r="I559" s="3">
        <f>IF(H559="","",(H559-AVERAGE(H6:H1198))/(STDEV(H6:H1198)+1E-12))</f>
        <v/>
      </c>
      <c r="J559" s="3">
        <f>IF('3a Raw'!G559="","",MAX(-3,MIN(3,('3a Raw'!G559-$J3)/$J4)))</f>
        <v/>
      </c>
      <c r="K559" s="3">
        <f>IF(J559="","",(J559-AVERAGE(J6:J1198))/(STDEV(J6:J1198)+1E-12))</f>
        <v/>
      </c>
      <c r="L559" s="3">
        <f>IF('3a Raw'!H559="","",MAX(-3,MIN(3,('3a Raw'!H559-$L3)/$L4)))</f>
        <v/>
      </c>
      <c r="M559" s="3">
        <f>IF(L559="","",(L559-AVERAGE(L6:L1198))/(STDEV(L6:L1198)+1E-12))</f>
        <v/>
      </c>
      <c r="N559" s="3">
        <f>IF('3a Raw'!I559="","",MAX(-3,MIN(3,('3a Raw'!I559-$N3)/$N4)))</f>
        <v/>
      </c>
      <c r="O559" s="3">
        <f>IF(N559="","",(N559-AVERAGE(N6:N1198))/(STDEV(N6:N1198)+1E-12))</f>
        <v/>
      </c>
      <c r="P559" s="3">
        <f>IF('3a Raw'!J559="","",MAX(-3,MIN(3,('3a Raw'!J559-$P3)/$P4)))</f>
        <v/>
      </c>
      <c r="Q559" s="3">
        <f>IF(P559="","",(P559-AVERAGE(P6:P1198))/(STDEV(P6:P1198)+1E-12))</f>
        <v/>
      </c>
      <c r="R559" s="3">
        <f>IF('3a Raw'!K559="","",MAX(-3,MIN(3,('3a Raw'!K559-$R3)/$R4)))</f>
        <v/>
      </c>
      <c r="S559" s="3">
        <f>IF(R559="","",(R559-AVERAGE(R6:R1198))/(STDEV(R6:R1198)+1E-12))</f>
        <v/>
      </c>
      <c r="T559" s="3">
        <f>IF('3a Raw'!L559="","",MAX(-3,MIN(3,('3a Raw'!L559-$T3)/$T4)))</f>
        <v/>
      </c>
      <c r="U559" s="3">
        <f>IF(T559="","",(T559-AVERAGE(T6:T1198))/(STDEV(T6:T1198)+1E-12))</f>
        <v/>
      </c>
      <c r="X559" s="3">
        <f>IF(U559="","",U559-($V$3*G559+$W$3))</f>
        <v/>
      </c>
      <c r="Y559" s="3">
        <f>IF(X559="","",MAX(-3,MIN(3,(X559-$X3)/$X4)))</f>
        <v/>
      </c>
      <c r="Z559" s="3">
        <f>IF(Y559="","",(Y559-AVERAGE(Y6:Y1198))/(STDEV(Y6:Y1198)+1E-12))</f>
        <v/>
      </c>
    </row>
    <row r="560">
      <c r="A560" t="inlineStr">
        <is>
          <t>ir</t>
        </is>
      </c>
      <c r="B560" s="3">
        <f>IF('3a Raw'!C560="","",MAX(-3,MIN(3,('3a Raw'!C560-$B3)/$B4)))</f>
        <v/>
      </c>
      <c r="C560" s="3">
        <f>IF(B560="","",(B560-AVERAGE(B6:B1198))/(STDEV(B6:B1198)+1E-12))</f>
        <v/>
      </c>
      <c r="D560" s="3">
        <f>IF('3a Raw'!D560="","",MAX(-3,MIN(3,('3a Raw'!D560-$D3)/$D4)))</f>
        <v/>
      </c>
      <c r="E560" s="3">
        <f>IF(D560="","",(D560-AVERAGE(D6:D1198))/(STDEV(D6:D1198)+1E-12))</f>
        <v/>
      </c>
      <c r="F560" s="3">
        <f>IF('3a Raw'!E560="","",MAX(-3,MIN(3,('3a Raw'!E560-$F3)/$F4)))</f>
        <v/>
      </c>
      <c r="G560" s="3">
        <f>IF(F560="","",(F560-AVERAGE(F6:F1198))/(STDEV(F6:F1198)+1E-12))</f>
        <v/>
      </c>
      <c r="H560" s="3">
        <f>IF('3a Raw'!F560="","",MAX(-3,MIN(3,('3a Raw'!F560-$H3)/$H4)))</f>
        <v/>
      </c>
      <c r="I560" s="3">
        <f>IF(H560="","",(H560-AVERAGE(H6:H1198))/(STDEV(H6:H1198)+1E-12))</f>
        <v/>
      </c>
      <c r="J560" s="3">
        <f>IF('3a Raw'!G560="","",MAX(-3,MIN(3,('3a Raw'!G560-$J3)/$J4)))</f>
        <v/>
      </c>
      <c r="K560" s="3">
        <f>IF(J560="","",(J560-AVERAGE(J6:J1198))/(STDEV(J6:J1198)+1E-12))</f>
        <v/>
      </c>
      <c r="L560" s="3">
        <f>IF('3a Raw'!H560="","",MAX(-3,MIN(3,('3a Raw'!H560-$L3)/$L4)))</f>
        <v/>
      </c>
      <c r="M560" s="3">
        <f>IF(L560="","",(L560-AVERAGE(L6:L1198))/(STDEV(L6:L1198)+1E-12))</f>
        <v/>
      </c>
      <c r="N560" s="3">
        <f>IF('3a Raw'!I560="","",MAX(-3,MIN(3,('3a Raw'!I560-$N3)/$N4)))</f>
        <v/>
      </c>
      <c r="O560" s="3">
        <f>IF(N560="","",(N560-AVERAGE(N6:N1198))/(STDEV(N6:N1198)+1E-12))</f>
        <v/>
      </c>
      <c r="P560" s="3">
        <f>IF('3a Raw'!J560="","",MAX(-3,MIN(3,('3a Raw'!J560-$P3)/$P4)))</f>
        <v/>
      </c>
      <c r="Q560" s="3">
        <f>IF(P560="","",(P560-AVERAGE(P6:P1198))/(STDEV(P6:P1198)+1E-12))</f>
        <v/>
      </c>
      <c r="R560" s="3">
        <f>IF('3a Raw'!K560="","",MAX(-3,MIN(3,('3a Raw'!K560-$R3)/$R4)))</f>
        <v/>
      </c>
      <c r="S560" s="3">
        <f>IF(R560="","",(R560-AVERAGE(R6:R1198))/(STDEV(R6:R1198)+1E-12))</f>
        <v/>
      </c>
      <c r="T560" s="3">
        <f>IF('3a Raw'!L560="","",MAX(-3,MIN(3,('3a Raw'!L560-$T3)/$T4)))</f>
        <v/>
      </c>
      <c r="U560" s="3">
        <f>IF(T560="","",(T560-AVERAGE(T6:T1198))/(STDEV(T6:T1198)+1E-12))</f>
        <v/>
      </c>
      <c r="X560" s="3">
        <f>IF(U560="","",U560-($V$3*G560+$W$3))</f>
        <v/>
      </c>
      <c r="Y560" s="3">
        <f>IF(X560="","",MAX(-3,MIN(3,(X560-$X3)/$X4)))</f>
        <v/>
      </c>
      <c r="Z560" s="3">
        <f>IF(Y560="","",(Y560-AVERAGE(Y6:Y1198))/(STDEV(Y6:Y1198)+1E-12))</f>
        <v/>
      </c>
    </row>
    <row r="561">
      <c r="A561" t="inlineStr">
        <is>
          <t>BBG000KCZPC3</t>
        </is>
      </c>
      <c r="B561" s="3">
        <f>IF('3a Raw'!C561="","",MAX(-3,MIN(3,('3a Raw'!C561-$B3)/$B4)))</f>
        <v/>
      </c>
      <c r="C561" s="3">
        <f>IF(B561="","",(B561-AVERAGE(B6:B1198))/(STDEV(B6:B1198)+1E-12))</f>
        <v/>
      </c>
      <c r="D561" s="3">
        <f>IF('3a Raw'!D561="","",MAX(-3,MIN(3,('3a Raw'!D561-$D3)/$D4)))</f>
        <v/>
      </c>
      <c r="E561" s="3">
        <f>IF(D561="","",(D561-AVERAGE(D6:D1198))/(STDEV(D6:D1198)+1E-12))</f>
        <v/>
      </c>
      <c r="F561" s="3">
        <f>IF('3a Raw'!E561="","",MAX(-3,MIN(3,('3a Raw'!E561-$F3)/$F4)))</f>
        <v/>
      </c>
      <c r="G561" s="3">
        <f>IF(F561="","",(F561-AVERAGE(F6:F1198))/(STDEV(F6:F1198)+1E-12))</f>
        <v/>
      </c>
      <c r="H561" s="3">
        <f>IF('3a Raw'!F561="","",MAX(-3,MIN(3,('3a Raw'!F561-$H3)/$H4)))</f>
        <v/>
      </c>
      <c r="I561" s="3">
        <f>IF(H561="","",(H561-AVERAGE(H6:H1198))/(STDEV(H6:H1198)+1E-12))</f>
        <v/>
      </c>
      <c r="J561" s="3">
        <f>IF('3a Raw'!G561="","",MAX(-3,MIN(3,('3a Raw'!G561-$J3)/$J4)))</f>
        <v/>
      </c>
      <c r="K561" s="3">
        <f>IF(J561="","",(J561-AVERAGE(J6:J1198))/(STDEV(J6:J1198)+1E-12))</f>
        <v/>
      </c>
      <c r="L561" s="3">
        <f>IF('3a Raw'!H561="","",MAX(-3,MIN(3,('3a Raw'!H561-$L3)/$L4)))</f>
        <v/>
      </c>
      <c r="M561" s="3">
        <f>IF(L561="","",(L561-AVERAGE(L6:L1198))/(STDEV(L6:L1198)+1E-12))</f>
        <v/>
      </c>
      <c r="N561" s="3">
        <f>IF('3a Raw'!I561="","",MAX(-3,MIN(3,('3a Raw'!I561-$N3)/$N4)))</f>
        <v/>
      </c>
      <c r="O561" s="3">
        <f>IF(N561="","",(N561-AVERAGE(N6:N1198))/(STDEV(N6:N1198)+1E-12))</f>
        <v/>
      </c>
      <c r="P561" s="3">
        <f>IF('3a Raw'!J561="","",MAX(-3,MIN(3,('3a Raw'!J561-$P3)/$P4)))</f>
        <v/>
      </c>
      <c r="Q561" s="3">
        <f>IF(P561="","",(P561-AVERAGE(P6:P1198))/(STDEV(P6:P1198)+1E-12))</f>
        <v/>
      </c>
      <c r="R561" s="3">
        <f>IF('3a Raw'!K561="","",MAX(-3,MIN(3,('3a Raw'!K561-$R3)/$R4)))</f>
        <v/>
      </c>
      <c r="S561" s="3">
        <f>IF(R561="","",(R561-AVERAGE(R6:R1198))/(STDEV(R6:R1198)+1E-12))</f>
        <v/>
      </c>
      <c r="T561" s="3">
        <f>IF('3a Raw'!L561="","",MAX(-3,MIN(3,('3a Raw'!L561-$T3)/$T4)))</f>
        <v/>
      </c>
      <c r="U561" s="3">
        <f>IF(T561="","",(T561-AVERAGE(T6:T1198))/(STDEV(T6:T1198)+1E-12))</f>
        <v/>
      </c>
      <c r="X561" s="3">
        <f>IF(U561="","",U561-($V$3*G561+$W$3))</f>
        <v/>
      </c>
      <c r="Y561" s="3">
        <f>IF(X561="","",MAX(-3,MIN(3,(X561-$X3)/$X4)))</f>
        <v/>
      </c>
      <c r="Z561" s="3">
        <f>IF(Y561="","",(Y561-AVERAGE(Y6:Y1198))/(STDEV(Y6:Y1198)+1E-12))</f>
        <v/>
      </c>
    </row>
    <row r="562">
      <c r="A562" t="inlineStr">
        <is>
          <t>BBG004Q00KS7</t>
        </is>
      </c>
      <c r="B562" s="3">
        <f>IF('3a Raw'!C562="","",MAX(-3,MIN(3,('3a Raw'!C562-$B3)/$B4)))</f>
        <v/>
      </c>
      <c r="C562" s="3">
        <f>IF(B562="","",(B562-AVERAGE(B6:B1198))/(STDEV(B6:B1198)+1E-12))</f>
        <v/>
      </c>
      <c r="D562" s="3">
        <f>IF('3a Raw'!D562="","",MAX(-3,MIN(3,('3a Raw'!D562-$D3)/$D4)))</f>
        <v/>
      </c>
      <c r="E562" s="3">
        <f>IF(D562="","",(D562-AVERAGE(D6:D1198))/(STDEV(D6:D1198)+1E-12))</f>
        <v/>
      </c>
      <c r="F562" s="3">
        <f>IF('3a Raw'!E562="","",MAX(-3,MIN(3,('3a Raw'!E562-$F3)/$F4)))</f>
        <v/>
      </c>
      <c r="G562" s="3">
        <f>IF(F562="","",(F562-AVERAGE(F6:F1198))/(STDEV(F6:F1198)+1E-12))</f>
        <v/>
      </c>
      <c r="H562" s="3">
        <f>IF('3a Raw'!F562="","",MAX(-3,MIN(3,('3a Raw'!F562-$H3)/$H4)))</f>
        <v/>
      </c>
      <c r="I562" s="3">
        <f>IF(H562="","",(H562-AVERAGE(H6:H1198))/(STDEV(H6:H1198)+1E-12))</f>
        <v/>
      </c>
      <c r="J562" s="3">
        <f>IF('3a Raw'!G562="","",MAX(-3,MIN(3,('3a Raw'!G562-$J3)/$J4)))</f>
        <v/>
      </c>
      <c r="K562" s="3">
        <f>IF(J562="","",(J562-AVERAGE(J6:J1198))/(STDEV(J6:J1198)+1E-12))</f>
        <v/>
      </c>
      <c r="L562" s="3">
        <f>IF('3a Raw'!H562="","",MAX(-3,MIN(3,('3a Raw'!H562-$L3)/$L4)))</f>
        <v/>
      </c>
      <c r="M562" s="3">
        <f>IF(L562="","",(L562-AVERAGE(L6:L1198))/(STDEV(L6:L1198)+1E-12))</f>
        <v/>
      </c>
      <c r="N562" s="3">
        <f>IF('3a Raw'!I562="","",MAX(-3,MIN(3,('3a Raw'!I562-$N3)/$N4)))</f>
        <v/>
      </c>
      <c r="O562" s="3">
        <f>IF(N562="","",(N562-AVERAGE(N6:N1198))/(STDEV(N6:N1198)+1E-12))</f>
        <v/>
      </c>
      <c r="P562" s="3">
        <f>IF('3a Raw'!J562="","",MAX(-3,MIN(3,('3a Raw'!J562-$P3)/$P4)))</f>
        <v/>
      </c>
      <c r="Q562" s="3">
        <f>IF(P562="","",(P562-AVERAGE(P6:P1198))/(STDEV(P6:P1198)+1E-12))</f>
        <v/>
      </c>
      <c r="R562" s="3">
        <f>IF('3a Raw'!K562="","",MAX(-3,MIN(3,('3a Raw'!K562-$R3)/$R4)))</f>
        <v/>
      </c>
      <c r="S562" s="3">
        <f>IF(R562="","",(R562-AVERAGE(R6:R1198))/(STDEV(R6:R1198)+1E-12))</f>
        <v/>
      </c>
      <c r="T562" s="3">
        <f>IF('3a Raw'!L562="","",MAX(-3,MIN(3,('3a Raw'!L562-$T3)/$T4)))</f>
        <v/>
      </c>
      <c r="U562" s="3">
        <f>IF(T562="","",(T562-AVERAGE(T6:T1198))/(STDEV(T6:T1198)+1E-12))</f>
        <v/>
      </c>
      <c r="X562" s="3">
        <f>IF(U562="","",U562-($V$3*G562+$W$3))</f>
        <v/>
      </c>
      <c r="Y562" s="3">
        <f>IF(X562="","",MAX(-3,MIN(3,(X562-$X3)/$X4)))</f>
        <v/>
      </c>
      <c r="Z562" s="3">
        <f>IF(Y562="","",(Y562-AVERAGE(Y6:Y1198))/(STDEV(Y6:Y1198)+1E-12))</f>
        <v/>
      </c>
    </row>
    <row r="563">
      <c r="A563" t="inlineStr">
        <is>
          <t>BBG000BJPDZ1</t>
        </is>
      </c>
      <c r="B563" s="3">
        <f>IF('3a Raw'!C563="","",MAX(-3,MIN(3,('3a Raw'!C563-$B3)/$B4)))</f>
        <v/>
      </c>
      <c r="C563" s="3">
        <f>IF(B563="","",(B563-AVERAGE(B6:B1198))/(STDEV(B6:B1198)+1E-12))</f>
        <v/>
      </c>
      <c r="D563" s="3">
        <f>IF('3a Raw'!D563="","",MAX(-3,MIN(3,('3a Raw'!D563-$D3)/$D4)))</f>
        <v/>
      </c>
      <c r="E563" s="3">
        <f>IF(D563="","",(D563-AVERAGE(D6:D1198))/(STDEV(D6:D1198)+1E-12))</f>
        <v/>
      </c>
      <c r="F563" s="3">
        <f>IF('3a Raw'!E563="","",MAX(-3,MIN(3,('3a Raw'!E563-$F3)/$F4)))</f>
        <v/>
      </c>
      <c r="G563" s="3">
        <f>IF(F563="","",(F563-AVERAGE(F6:F1198))/(STDEV(F6:F1198)+1E-12))</f>
        <v/>
      </c>
      <c r="H563" s="3">
        <f>IF('3a Raw'!F563="","",MAX(-3,MIN(3,('3a Raw'!F563-$H3)/$H4)))</f>
        <v/>
      </c>
      <c r="I563" s="3">
        <f>IF(H563="","",(H563-AVERAGE(H6:H1198))/(STDEV(H6:H1198)+1E-12))</f>
        <v/>
      </c>
      <c r="J563" s="3">
        <f>IF('3a Raw'!G563="","",MAX(-3,MIN(3,('3a Raw'!G563-$J3)/$J4)))</f>
        <v/>
      </c>
      <c r="K563" s="3">
        <f>IF(J563="","",(J563-AVERAGE(J6:J1198))/(STDEV(J6:J1198)+1E-12))</f>
        <v/>
      </c>
      <c r="L563" s="3">
        <f>IF('3a Raw'!H563="","",MAX(-3,MIN(3,('3a Raw'!H563-$L3)/$L4)))</f>
        <v/>
      </c>
      <c r="M563" s="3">
        <f>IF(L563="","",(L563-AVERAGE(L6:L1198))/(STDEV(L6:L1198)+1E-12))</f>
        <v/>
      </c>
      <c r="N563" s="3">
        <f>IF('3a Raw'!I563="","",MAX(-3,MIN(3,('3a Raw'!I563-$N3)/$N4)))</f>
        <v/>
      </c>
      <c r="O563" s="3">
        <f>IF(N563="","",(N563-AVERAGE(N6:N1198))/(STDEV(N6:N1198)+1E-12))</f>
        <v/>
      </c>
      <c r="P563" s="3">
        <f>IF('3a Raw'!J563="","",MAX(-3,MIN(3,('3a Raw'!J563-$P3)/$P4)))</f>
        <v/>
      </c>
      <c r="Q563" s="3">
        <f>IF(P563="","",(P563-AVERAGE(P6:P1198))/(STDEV(P6:P1198)+1E-12))</f>
        <v/>
      </c>
      <c r="R563" s="3">
        <f>IF('3a Raw'!K563="","",MAX(-3,MIN(3,('3a Raw'!K563-$R3)/$R4)))</f>
        <v/>
      </c>
      <c r="S563" s="3">
        <f>IF(R563="","",(R563-AVERAGE(R6:R1198))/(STDEV(R6:R1198)+1E-12))</f>
        <v/>
      </c>
      <c r="T563" s="3">
        <f>IF('3a Raw'!L563="","",MAX(-3,MIN(3,('3a Raw'!L563-$T3)/$T4)))</f>
        <v/>
      </c>
      <c r="U563" s="3">
        <f>IF(T563="","",(T563-AVERAGE(T6:T1198))/(STDEV(T6:T1198)+1E-12))</f>
        <v/>
      </c>
      <c r="X563" s="3">
        <f>IF(U563="","",U563-($V$3*G563+$W$3))</f>
        <v/>
      </c>
      <c r="Y563" s="3">
        <f>IF(X563="","",MAX(-3,MIN(3,(X563-$X3)/$X4)))</f>
        <v/>
      </c>
      <c r="Z563" s="3">
        <f>IF(Y563="","",(Y563-AVERAGE(Y6:Y1198))/(STDEV(Y6:Y1198)+1E-12))</f>
        <v/>
      </c>
    </row>
    <row r="564">
      <c r="A564" t="inlineStr">
        <is>
          <t>BBG000BB65D0</t>
        </is>
      </c>
      <c r="B564" s="3">
        <f>IF('3a Raw'!C564="","",MAX(-3,MIN(3,('3a Raw'!C564-$B3)/$B4)))</f>
        <v/>
      </c>
      <c r="C564" s="3">
        <f>IF(B564="","",(B564-AVERAGE(B6:B1198))/(STDEV(B6:B1198)+1E-12))</f>
        <v/>
      </c>
      <c r="D564" s="3">
        <f>IF('3a Raw'!D564="","",MAX(-3,MIN(3,('3a Raw'!D564-$D3)/$D4)))</f>
        <v/>
      </c>
      <c r="E564" s="3">
        <f>IF(D564="","",(D564-AVERAGE(D6:D1198))/(STDEV(D6:D1198)+1E-12))</f>
        <v/>
      </c>
      <c r="F564" s="3">
        <f>IF('3a Raw'!E564="","",MAX(-3,MIN(3,('3a Raw'!E564-$F3)/$F4)))</f>
        <v/>
      </c>
      <c r="G564" s="3">
        <f>IF(F564="","",(F564-AVERAGE(F6:F1198))/(STDEV(F6:F1198)+1E-12))</f>
        <v/>
      </c>
      <c r="H564" s="3">
        <f>IF('3a Raw'!F564="","",MAX(-3,MIN(3,('3a Raw'!F564-$H3)/$H4)))</f>
        <v/>
      </c>
      <c r="I564" s="3">
        <f>IF(H564="","",(H564-AVERAGE(H6:H1198))/(STDEV(H6:H1198)+1E-12))</f>
        <v/>
      </c>
      <c r="J564" s="3">
        <f>IF('3a Raw'!G564="","",MAX(-3,MIN(3,('3a Raw'!G564-$J3)/$J4)))</f>
        <v/>
      </c>
      <c r="K564" s="3">
        <f>IF(J564="","",(J564-AVERAGE(J6:J1198))/(STDEV(J6:J1198)+1E-12))</f>
        <v/>
      </c>
      <c r="L564" s="3">
        <f>IF('3a Raw'!H564="","",MAX(-3,MIN(3,('3a Raw'!H564-$L3)/$L4)))</f>
        <v/>
      </c>
      <c r="M564" s="3">
        <f>IF(L564="","",(L564-AVERAGE(L6:L1198))/(STDEV(L6:L1198)+1E-12))</f>
        <v/>
      </c>
      <c r="N564" s="3">
        <f>IF('3a Raw'!I564="","",MAX(-3,MIN(3,('3a Raw'!I564-$N3)/$N4)))</f>
        <v/>
      </c>
      <c r="O564" s="3">
        <f>IF(N564="","",(N564-AVERAGE(N6:N1198))/(STDEV(N6:N1198)+1E-12))</f>
        <v/>
      </c>
      <c r="P564" s="3">
        <f>IF('3a Raw'!J564="","",MAX(-3,MIN(3,('3a Raw'!J564-$P3)/$P4)))</f>
        <v/>
      </c>
      <c r="Q564" s="3">
        <f>IF(P564="","",(P564-AVERAGE(P6:P1198))/(STDEV(P6:P1198)+1E-12))</f>
        <v/>
      </c>
      <c r="R564" s="3">
        <f>IF('3a Raw'!K564="","",MAX(-3,MIN(3,('3a Raw'!K564-$R3)/$R4)))</f>
        <v/>
      </c>
      <c r="S564" s="3">
        <f>IF(R564="","",(R564-AVERAGE(R6:R1198))/(STDEV(R6:R1198)+1E-12))</f>
        <v/>
      </c>
      <c r="T564" s="3">
        <f>IF('3a Raw'!L564="","",MAX(-3,MIN(3,('3a Raw'!L564-$T3)/$T4)))</f>
        <v/>
      </c>
      <c r="U564" s="3">
        <f>IF(T564="","",(T564-AVERAGE(T6:T1198))/(STDEV(T6:T1198)+1E-12))</f>
        <v/>
      </c>
      <c r="X564" s="3">
        <f>IF(U564="","",U564-($V$3*G564+$W$3))</f>
        <v/>
      </c>
      <c r="Y564" s="3">
        <f>IF(X564="","",MAX(-3,MIN(3,(X564-$X3)/$X4)))</f>
        <v/>
      </c>
      <c r="Z564" s="3">
        <f>IF(Y564="","",(Y564-AVERAGE(Y6:Y1198))/(STDEV(Y6:Y1198)+1E-12))</f>
        <v/>
      </c>
    </row>
    <row r="565">
      <c r="A565" t="inlineStr">
        <is>
          <t>BBG000BW6JV4</t>
        </is>
      </c>
      <c r="B565" s="3">
        <f>IF('3a Raw'!C565="","",MAX(-3,MIN(3,('3a Raw'!C565-$B3)/$B4)))</f>
        <v/>
      </c>
      <c r="C565" s="3">
        <f>IF(B565="","",(B565-AVERAGE(B6:B1198))/(STDEV(B6:B1198)+1E-12))</f>
        <v/>
      </c>
      <c r="D565" s="3">
        <f>IF('3a Raw'!D565="","",MAX(-3,MIN(3,('3a Raw'!D565-$D3)/$D4)))</f>
        <v/>
      </c>
      <c r="E565" s="3">
        <f>IF(D565="","",(D565-AVERAGE(D6:D1198))/(STDEV(D6:D1198)+1E-12))</f>
        <v/>
      </c>
      <c r="F565" s="3">
        <f>IF('3a Raw'!E565="","",MAX(-3,MIN(3,('3a Raw'!E565-$F3)/$F4)))</f>
        <v/>
      </c>
      <c r="G565" s="3">
        <f>IF(F565="","",(F565-AVERAGE(F6:F1198))/(STDEV(F6:F1198)+1E-12))</f>
        <v/>
      </c>
      <c r="H565" s="3">
        <f>IF('3a Raw'!F565="","",MAX(-3,MIN(3,('3a Raw'!F565-$H3)/$H4)))</f>
        <v/>
      </c>
      <c r="I565" s="3">
        <f>IF(H565="","",(H565-AVERAGE(H6:H1198))/(STDEV(H6:H1198)+1E-12))</f>
        <v/>
      </c>
      <c r="J565" s="3">
        <f>IF('3a Raw'!G565="","",MAX(-3,MIN(3,('3a Raw'!G565-$J3)/$J4)))</f>
        <v/>
      </c>
      <c r="K565" s="3">
        <f>IF(J565="","",(J565-AVERAGE(J6:J1198))/(STDEV(J6:J1198)+1E-12))</f>
        <v/>
      </c>
      <c r="L565" s="3">
        <f>IF('3a Raw'!H565="","",MAX(-3,MIN(3,('3a Raw'!H565-$L3)/$L4)))</f>
        <v/>
      </c>
      <c r="M565" s="3">
        <f>IF(L565="","",(L565-AVERAGE(L6:L1198))/(STDEV(L6:L1198)+1E-12))</f>
        <v/>
      </c>
      <c r="N565" s="3">
        <f>IF('3a Raw'!I565="","",MAX(-3,MIN(3,('3a Raw'!I565-$N3)/$N4)))</f>
        <v/>
      </c>
      <c r="O565" s="3">
        <f>IF(N565="","",(N565-AVERAGE(N6:N1198))/(STDEV(N6:N1198)+1E-12))</f>
        <v/>
      </c>
      <c r="P565" s="3">
        <f>IF('3a Raw'!J565="","",MAX(-3,MIN(3,('3a Raw'!J565-$P3)/$P4)))</f>
        <v/>
      </c>
      <c r="Q565" s="3">
        <f>IF(P565="","",(P565-AVERAGE(P6:P1198))/(STDEV(P6:P1198)+1E-12))</f>
        <v/>
      </c>
      <c r="R565" s="3">
        <f>IF('3a Raw'!K565="","",MAX(-3,MIN(3,('3a Raw'!K565-$R3)/$R4)))</f>
        <v/>
      </c>
      <c r="S565" s="3">
        <f>IF(R565="","",(R565-AVERAGE(R6:R1198))/(STDEV(R6:R1198)+1E-12))</f>
        <v/>
      </c>
      <c r="T565" s="3">
        <f>IF('3a Raw'!L565="","",MAX(-3,MIN(3,('3a Raw'!L565-$T3)/$T4)))</f>
        <v/>
      </c>
      <c r="U565" s="3">
        <f>IF(T565="","",(T565-AVERAGE(T6:T1198))/(STDEV(T6:T1198)+1E-12))</f>
        <v/>
      </c>
      <c r="X565" s="3">
        <f>IF(U565="","",U565-($V$3*G565+$W$3))</f>
        <v/>
      </c>
      <c r="Y565" s="3">
        <f>IF(X565="","",MAX(-3,MIN(3,(X565-$X3)/$X4)))</f>
        <v/>
      </c>
      <c r="Z565" s="3">
        <f>IF(Y565="","",(Y565-AVERAGE(Y6:Y1198))/(STDEV(Y6:Y1198)+1E-12))</f>
        <v/>
      </c>
    </row>
    <row r="566">
      <c r="A566" t="inlineStr">
        <is>
          <t>BBG000BD2167</t>
        </is>
      </c>
      <c r="B566" s="3">
        <f>IF('3a Raw'!C566="","",MAX(-3,MIN(3,('3a Raw'!C566-$B3)/$B4)))</f>
        <v/>
      </c>
      <c r="C566" s="3">
        <f>IF(B566="","",(B566-AVERAGE(B6:B1198))/(STDEV(B6:B1198)+1E-12))</f>
        <v/>
      </c>
      <c r="D566" s="3">
        <f>IF('3a Raw'!D566="","",MAX(-3,MIN(3,('3a Raw'!D566-$D3)/$D4)))</f>
        <v/>
      </c>
      <c r="E566" s="3">
        <f>IF(D566="","",(D566-AVERAGE(D6:D1198))/(STDEV(D6:D1198)+1E-12))</f>
        <v/>
      </c>
      <c r="F566" s="3">
        <f>IF('3a Raw'!E566="","",MAX(-3,MIN(3,('3a Raw'!E566-$F3)/$F4)))</f>
        <v/>
      </c>
      <c r="G566" s="3">
        <f>IF(F566="","",(F566-AVERAGE(F6:F1198))/(STDEV(F6:F1198)+1E-12))</f>
        <v/>
      </c>
      <c r="H566" s="3">
        <f>IF('3a Raw'!F566="","",MAX(-3,MIN(3,('3a Raw'!F566-$H3)/$H4)))</f>
        <v/>
      </c>
      <c r="I566" s="3">
        <f>IF(H566="","",(H566-AVERAGE(H6:H1198))/(STDEV(H6:H1198)+1E-12))</f>
        <v/>
      </c>
      <c r="J566" s="3">
        <f>IF('3a Raw'!G566="","",MAX(-3,MIN(3,('3a Raw'!G566-$J3)/$J4)))</f>
        <v/>
      </c>
      <c r="K566" s="3">
        <f>IF(J566="","",(J566-AVERAGE(J6:J1198))/(STDEV(J6:J1198)+1E-12))</f>
        <v/>
      </c>
      <c r="L566" s="3">
        <f>IF('3a Raw'!H566="","",MAX(-3,MIN(3,('3a Raw'!H566-$L3)/$L4)))</f>
        <v/>
      </c>
      <c r="M566" s="3">
        <f>IF(L566="","",(L566-AVERAGE(L6:L1198))/(STDEV(L6:L1198)+1E-12))</f>
        <v/>
      </c>
      <c r="N566" s="3">
        <f>IF('3a Raw'!I566="","",MAX(-3,MIN(3,('3a Raw'!I566-$N3)/$N4)))</f>
        <v/>
      </c>
      <c r="O566" s="3">
        <f>IF(N566="","",(N566-AVERAGE(N6:N1198))/(STDEV(N6:N1198)+1E-12))</f>
        <v/>
      </c>
      <c r="P566" s="3">
        <f>IF('3a Raw'!J566="","",MAX(-3,MIN(3,('3a Raw'!J566-$P3)/$P4)))</f>
        <v/>
      </c>
      <c r="Q566" s="3">
        <f>IF(P566="","",(P566-AVERAGE(P6:P1198))/(STDEV(P6:P1198)+1E-12))</f>
        <v/>
      </c>
      <c r="R566" s="3">
        <f>IF('3a Raw'!K566="","",MAX(-3,MIN(3,('3a Raw'!K566-$R3)/$R4)))</f>
        <v/>
      </c>
      <c r="S566" s="3">
        <f>IF(R566="","",(R566-AVERAGE(R6:R1198))/(STDEV(R6:R1198)+1E-12))</f>
        <v/>
      </c>
      <c r="T566" s="3">
        <f>IF('3a Raw'!L566="","",MAX(-3,MIN(3,('3a Raw'!L566-$T3)/$T4)))</f>
        <v/>
      </c>
      <c r="U566" s="3">
        <f>IF(T566="","",(T566-AVERAGE(T6:T1198))/(STDEV(T6:T1198)+1E-12))</f>
        <v/>
      </c>
      <c r="X566" s="3">
        <f>IF(U566="","",U566-($V$3*G566+$W$3))</f>
        <v/>
      </c>
      <c r="Y566" s="3">
        <f>IF(X566="","",MAX(-3,MIN(3,(X566-$X3)/$X4)))</f>
        <v/>
      </c>
      <c r="Z566" s="3">
        <f>IF(Y566="","",(Y566-AVERAGE(Y6:Y1198))/(STDEV(Y6:Y1198)+1E-12))</f>
        <v/>
      </c>
    </row>
    <row r="567">
      <c r="A567" t="inlineStr">
        <is>
          <t>BBG00CVQZQ96</t>
        </is>
      </c>
      <c r="B567" s="3">
        <f>IF('3a Raw'!C567="","",MAX(-3,MIN(3,('3a Raw'!C567-$B3)/$B4)))</f>
        <v/>
      </c>
      <c r="C567" s="3">
        <f>IF(B567="","",(B567-AVERAGE(B6:B1198))/(STDEV(B6:B1198)+1E-12))</f>
        <v/>
      </c>
      <c r="D567" s="3">
        <f>IF('3a Raw'!D567="","",MAX(-3,MIN(3,('3a Raw'!D567-$D3)/$D4)))</f>
        <v/>
      </c>
      <c r="E567" s="3">
        <f>IF(D567="","",(D567-AVERAGE(D6:D1198))/(STDEV(D6:D1198)+1E-12))</f>
        <v/>
      </c>
      <c r="F567" s="3">
        <f>IF('3a Raw'!E567="","",MAX(-3,MIN(3,('3a Raw'!E567-$F3)/$F4)))</f>
        <v/>
      </c>
      <c r="G567" s="3">
        <f>IF(F567="","",(F567-AVERAGE(F6:F1198))/(STDEV(F6:F1198)+1E-12))</f>
        <v/>
      </c>
      <c r="H567" s="3">
        <f>IF('3a Raw'!F567="","",MAX(-3,MIN(3,('3a Raw'!F567-$H3)/$H4)))</f>
        <v/>
      </c>
      <c r="I567" s="3">
        <f>IF(H567="","",(H567-AVERAGE(H6:H1198))/(STDEV(H6:H1198)+1E-12))</f>
        <v/>
      </c>
      <c r="J567" s="3">
        <f>IF('3a Raw'!G567="","",MAX(-3,MIN(3,('3a Raw'!G567-$J3)/$J4)))</f>
        <v/>
      </c>
      <c r="K567" s="3">
        <f>IF(J567="","",(J567-AVERAGE(J6:J1198))/(STDEV(J6:J1198)+1E-12))</f>
        <v/>
      </c>
      <c r="L567" s="3">
        <f>IF('3a Raw'!H567="","",MAX(-3,MIN(3,('3a Raw'!H567-$L3)/$L4)))</f>
        <v/>
      </c>
      <c r="M567" s="3">
        <f>IF(L567="","",(L567-AVERAGE(L6:L1198))/(STDEV(L6:L1198)+1E-12))</f>
        <v/>
      </c>
      <c r="N567" s="3">
        <f>IF('3a Raw'!I567="","",MAX(-3,MIN(3,('3a Raw'!I567-$N3)/$N4)))</f>
        <v/>
      </c>
      <c r="O567" s="3">
        <f>IF(N567="","",(N567-AVERAGE(N6:N1198))/(STDEV(N6:N1198)+1E-12))</f>
        <v/>
      </c>
      <c r="P567" s="3">
        <f>IF('3a Raw'!J567="","",MAX(-3,MIN(3,('3a Raw'!J567-$P3)/$P4)))</f>
        <v/>
      </c>
      <c r="Q567" s="3">
        <f>IF(P567="","",(P567-AVERAGE(P6:P1198))/(STDEV(P6:P1198)+1E-12))</f>
        <v/>
      </c>
      <c r="R567" s="3">
        <f>IF('3a Raw'!K567="","",MAX(-3,MIN(3,('3a Raw'!K567-$R3)/$R4)))</f>
        <v/>
      </c>
      <c r="S567" s="3">
        <f>IF(R567="","",(R567-AVERAGE(R6:R1198))/(STDEV(R6:R1198)+1E-12))</f>
        <v/>
      </c>
      <c r="T567" s="3">
        <f>IF('3a Raw'!L567="","",MAX(-3,MIN(3,('3a Raw'!L567-$T3)/$T4)))</f>
        <v/>
      </c>
      <c r="U567" s="3">
        <f>IF(T567="","",(T567-AVERAGE(T6:T1198))/(STDEV(T6:T1198)+1E-12))</f>
        <v/>
      </c>
      <c r="X567" s="3">
        <f>IF(U567="","",U567-($V$3*G567+$W$3))</f>
        <v/>
      </c>
      <c r="Y567" s="3">
        <f>IF(X567="","",MAX(-3,MIN(3,(X567-$X3)/$X4)))</f>
        <v/>
      </c>
      <c r="Z567" s="3">
        <f>IF(Y567="","",(Y567-AVERAGE(Y6:Y1198))/(STDEV(Y6:Y1198)+1E-12))</f>
        <v/>
      </c>
    </row>
    <row r="568">
      <c r="A568" t="inlineStr">
        <is>
          <t>BBG000BPVKZ4</t>
        </is>
      </c>
      <c r="B568" s="3">
        <f>IF('3a Raw'!C568="","",MAX(-3,MIN(3,('3a Raw'!C568-$B3)/$B4)))</f>
        <v/>
      </c>
      <c r="C568" s="3">
        <f>IF(B568="","",(B568-AVERAGE(B6:B1198))/(STDEV(B6:B1198)+1E-12))</f>
        <v/>
      </c>
      <c r="D568" s="3">
        <f>IF('3a Raw'!D568="","",MAX(-3,MIN(3,('3a Raw'!D568-$D3)/$D4)))</f>
        <v/>
      </c>
      <c r="E568" s="3">
        <f>IF(D568="","",(D568-AVERAGE(D6:D1198))/(STDEV(D6:D1198)+1E-12))</f>
        <v/>
      </c>
      <c r="F568" s="3">
        <f>IF('3a Raw'!E568="","",MAX(-3,MIN(3,('3a Raw'!E568-$F3)/$F4)))</f>
        <v/>
      </c>
      <c r="G568" s="3">
        <f>IF(F568="","",(F568-AVERAGE(F6:F1198))/(STDEV(F6:F1198)+1E-12))</f>
        <v/>
      </c>
      <c r="H568" s="3">
        <f>IF('3a Raw'!F568="","",MAX(-3,MIN(3,('3a Raw'!F568-$H3)/$H4)))</f>
        <v/>
      </c>
      <c r="I568" s="3">
        <f>IF(H568="","",(H568-AVERAGE(H6:H1198))/(STDEV(H6:H1198)+1E-12))</f>
        <v/>
      </c>
      <c r="J568" s="3">
        <f>IF('3a Raw'!G568="","",MAX(-3,MIN(3,('3a Raw'!G568-$J3)/$J4)))</f>
        <v/>
      </c>
      <c r="K568" s="3">
        <f>IF(J568="","",(J568-AVERAGE(J6:J1198))/(STDEV(J6:J1198)+1E-12))</f>
        <v/>
      </c>
      <c r="L568" s="3">
        <f>IF('3a Raw'!H568="","",MAX(-3,MIN(3,('3a Raw'!H568-$L3)/$L4)))</f>
        <v/>
      </c>
      <c r="M568" s="3">
        <f>IF(L568="","",(L568-AVERAGE(L6:L1198))/(STDEV(L6:L1198)+1E-12))</f>
        <v/>
      </c>
      <c r="N568" s="3">
        <f>IF('3a Raw'!I568="","",MAX(-3,MIN(3,('3a Raw'!I568-$N3)/$N4)))</f>
        <v/>
      </c>
      <c r="O568" s="3">
        <f>IF(N568="","",(N568-AVERAGE(N6:N1198))/(STDEV(N6:N1198)+1E-12))</f>
        <v/>
      </c>
      <c r="P568" s="3">
        <f>IF('3a Raw'!J568="","",MAX(-3,MIN(3,('3a Raw'!J568-$P3)/$P4)))</f>
        <v/>
      </c>
      <c r="Q568" s="3">
        <f>IF(P568="","",(P568-AVERAGE(P6:P1198))/(STDEV(P6:P1198)+1E-12))</f>
        <v/>
      </c>
      <c r="R568" s="3">
        <f>IF('3a Raw'!K568="","",MAX(-3,MIN(3,('3a Raw'!K568-$R3)/$R4)))</f>
        <v/>
      </c>
      <c r="S568" s="3">
        <f>IF(R568="","",(R568-AVERAGE(R6:R1198))/(STDEV(R6:R1198)+1E-12))</f>
        <v/>
      </c>
      <c r="T568" s="3">
        <f>IF('3a Raw'!L568="","",MAX(-3,MIN(3,('3a Raw'!L568-$T3)/$T4)))</f>
        <v/>
      </c>
      <c r="U568" s="3">
        <f>IF(T568="","",(T568-AVERAGE(T6:T1198))/(STDEV(T6:T1198)+1E-12))</f>
        <v/>
      </c>
      <c r="X568" s="3">
        <f>IF(U568="","",U568-($V$3*G568+$W$3))</f>
        <v/>
      </c>
      <c r="Y568" s="3">
        <f>IF(X568="","",MAX(-3,MIN(3,(X568-$X3)/$X4)))</f>
        <v/>
      </c>
      <c r="Z568" s="3">
        <f>IF(Y568="","",(Y568-AVERAGE(Y6:Y1198))/(STDEV(Y6:Y1198)+1E-12))</f>
        <v/>
      </c>
    </row>
    <row r="569">
      <c r="A569" t="inlineStr">
        <is>
          <t>BBG000BMBL90</t>
        </is>
      </c>
      <c r="B569" s="3">
        <f>IF('3a Raw'!C569="","",MAX(-3,MIN(3,('3a Raw'!C569-$B3)/$B4)))</f>
        <v/>
      </c>
      <c r="C569" s="3">
        <f>IF(B569="","",(B569-AVERAGE(B6:B1198))/(STDEV(B6:B1198)+1E-12))</f>
        <v/>
      </c>
      <c r="D569" s="3">
        <f>IF('3a Raw'!D569="","",MAX(-3,MIN(3,('3a Raw'!D569-$D3)/$D4)))</f>
        <v/>
      </c>
      <c r="E569" s="3">
        <f>IF(D569="","",(D569-AVERAGE(D6:D1198))/(STDEV(D6:D1198)+1E-12))</f>
        <v/>
      </c>
      <c r="F569" s="3">
        <f>IF('3a Raw'!E569="","",MAX(-3,MIN(3,('3a Raw'!E569-$F3)/$F4)))</f>
        <v/>
      </c>
      <c r="G569" s="3">
        <f>IF(F569="","",(F569-AVERAGE(F6:F1198))/(STDEV(F6:F1198)+1E-12))</f>
        <v/>
      </c>
      <c r="H569" s="3">
        <f>IF('3a Raw'!F569="","",MAX(-3,MIN(3,('3a Raw'!F569-$H3)/$H4)))</f>
        <v/>
      </c>
      <c r="I569" s="3">
        <f>IF(H569="","",(H569-AVERAGE(H6:H1198))/(STDEV(H6:H1198)+1E-12))</f>
        <v/>
      </c>
      <c r="J569" s="3">
        <f>IF('3a Raw'!G569="","",MAX(-3,MIN(3,('3a Raw'!G569-$J3)/$J4)))</f>
        <v/>
      </c>
      <c r="K569" s="3">
        <f>IF(J569="","",(J569-AVERAGE(J6:J1198))/(STDEV(J6:J1198)+1E-12))</f>
        <v/>
      </c>
      <c r="L569" s="3">
        <f>IF('3a Raw'!H569="","",MAX(-3,MIN(3,('3a Raw'!H569-$L3)/$L4)))</f>
        <v/>
      </c>
      <c r="M569" s="3">
        <f>IF(L569="","",(L569-AVERAGE(L6:L1198))/(STDEV(L6:L1198)+1E-12))</f>
        <v/>
      </c>
      <c r="N569" s="3">
        <f>IF('3a Raw'!I569="","",MAX(-3,MIN(3,('3a Raw'!I569-$N3)/$N4)))</f>
        <v/>
      </c>
      <c r="O569" s="3">
        <f>IF(N569="","",(N569-AVERAGE(N6:N1198))/(STDEV(N6:N1198)+1E-12))</f>
        <v/>
      </c>
      <c r="P569" s="3">
        <f>IF('3a Raw'!J569="","",MAX(-3,MIN(3,('3a Raw'!J569-$P3)/$P4)))</f>
        <v/>
      </c>
      <c r="Q569" s="3">
        <f>IF(P569="","",(P569-AVERAGE(P6:P1198))/(STDEV(P6:P1198)+1E-12))</f>
        <v/>
      </c>
      <c r="R569" s="3">
        <f>IF('3a Raw'!K569="","",MAX(-3,MIN(3,('3a Raw'!K569-$R3)/$R4)))</f>
        <v/>
      </c>
      <c r="S569" s="3">
        <f>IF(R569="","",(R569-AVERAGE(R6:R1198))/(STDEV(R6:R1198)+1E-12))</f>
        <v/>
      </c>
      <c r="T569" s="3">
        <f>IF('3a Raw'!L569="","",MAX(-3,MIN(3,('3a Raw'!L569-$T3)/$T4)))</f>
        <v/>
      </c>
      <c r="U569" s="3">
        <f>IF(T569="","",(T569-AVERAGE(T6:T1198))/(STDEV(T6:T1198)+1E-12))</f>
        <v/>
      </c>
      <c r="X569" s="3">
        <f>IF(U569="","",U569-($V$3*G569+$W$3))</f>
        <v/>
      </c>
      <c r="Y569" s="3">
        <f>IF(X569="","",MAX(-3,MIN(3,(X569-$X3)/$X4)))</f>
        <v/>
      </c>
      <c r="Z569" s="3">
        <f>IF(Y569="","",(Y569-AVERAGE(Y6:Y1198))/(STDEV(Y6:Y1198)+1E-12))</f>
        <v/>
      </c>
    </row>
    <row r="570">
      <c r="A570" t="inlineStr">
        <is>
          <t>ivz</t>
        </is>
      </c>
      <c r="B570" s="3">
        <f>IF('3a Raw'!C570="","",MAX(-3,MIN(3,('3a Raw'!C570-$B3)/$B4)))</f>
        <v/>
      </c>
      <c r="C570" s="3">
        <f>IF(B570="","",(B570-AVERAGE(B6:B1198))/(STDEV(B6:B1198)+1E-12))</f>
        <v/>
      </c>
      <c r="D570" s="3">
        <f>IF('3a Raw'!D570="","",MAX(-3,MIN(3,('3a Raw'!D570-$D3)/$D4)))</f>
        <v/>
      </c>
      <c r="E570" s="3">
        <f>IF(D570="","",(D570-AVERAGE(D6:D1198))/(STDEV(D6:D1198)+1E-12))</f>
        <v/>
      </c>
      <c r="F570" s="3">
        <f>IF('3a Raw'!E570="","",MAX(-3,MIN(3,('3a Raw'!E570-$F3)/$F4)))</f>
        <v/>
      </c>
      <c r="G570" s="3">
        <f>IF(F570="","",(F570-AVERAGE(F6:F1198))/(STDEV(F6:F1198)+1E-12))</f>
        <v/>
      </c>
      <c r="H570" s="3">
        <f>IF('3a Raw'!F570="","",MAX(-3,MIN(3,('3a Raw'!F570-$H3)/$H4)))</f>
        <v/>
      </c>
      <c r="I570" s="3">
        <f>IF(H570="","",(H570-AVERAGE(H6:H1198))/(STDEV(H6:H1198)+1E-12))</f>
        <v/>
      </c>
      <c r="J570" s="3">
        <f>IF('3a Raw'!G570="","",MAX(-3,MIN(3,('3a Raw'!G570-$J3)/$J4)))</f>
        <v/>
      </c>
      <c r="K570" s="3">
        <f>IF(J570="","",(J570-AVERAGE(J6:J1198))/(STDEV(J6:J1198)+1E-12))</f>
        <v/>
      </c>
      <c r="L570" s="3">
        <f>IF('3a Raw'!H570="","",MAX(-3,MIN(3,('3a Raw'!H570-$L3)/$L4)))</f>
        <v/>
      </c>
      <c r="M570" s="3">
        <f>IF(L570="","",(L570-AVERAGE(L6:L1198))/(STDEV(L6:L1198)+1E-12))</f>
        <v/>
      </c>
      <c r="N570" s="3">
        <f>IF('3a Raw'!I570="","",MAX(-3,MIN(3,('3a Raw'!I570-$N3)/$N4)))</f>
        <v/>
      </c>
      <c r="O570" s="3">
        <f>IF(N570="","",(N570-AVERAGE(N6:N1198))/(STDEV(N6:N1198)+1E-12))</f>
        <v/>
      </c>
      <c r="P570" s="3">
        <f>IF('3a Raw'!J570="","",MAX(-3,MIN(3,('3a Raw'!J570-$P3)/$P4)))</f>
        <v/>
      </c>
      <c r="Q570" s="3">
        <f>IF(P570="","",(P570-AVERAGE(P6:P1198))/(STDEV(P6:P1198)+1E-12))</f>
        <v/>
      </c>
      <c r="R570" s="3">
        <f>IF('3a Raw'!K570="","",MAX(-3,MIN(3,('3a Raw'!K570-$R3)/$R4)))</f>
        <v/>
      </c>
      <c r="S570" s="3">
        <f>IF(R570="","",(R570-AVERAGE(R6:R1198))/(STDEV(R6:R1198)+1E-12))</f>
        <v/>
      </c>
      <c r="T570" s="3">
        <f>IF('3a Raw'!L570="","",MAX(-3,MIN(3,('3a Raw'!L570-$T3)/$T4)))</f>
        <v/>
      </c>
      <c r="U570" s="3">
        <f>IF(T570="","",(T570-AVERAGE(T6:T1198))/(STDEV(T6:T1198)+1E-12))</f>
        <v/>
      </c>
      <c r="X570" s="3">
        <f>IF(U570="","",U570-($V$3*G570+$W$3))</f>
        <v/>
      </c>
      <c r="Y570" s="3">
        <f>IF(X570="","",MAX(-3,MIN(3,(X570-$X3)/$X4)))</f>
        <v/>
      </c>
      <c r="Z570" s="3">
        <f>IF(Y570="","",(Y570-AVERAGE(Y6:Y1198))/(STDEV(Y6:Y1198)+1E-12))</f>
        <v/>
      </c>
    </row>
    <row r="571">
      <c r="A571" t="inlineStr">
        <is>
          <t>BBG019C1BQR4</t>
        </is>
      </c>
      <c r="B571" s="3">
        <f>IF('3a Raw'!C571="","",MAX(-3,MIN(3,('3a Raw'!C571-$B3)/$B4)))</f>
        <v/>
      </c>
      <c r="C571" s="3">
        <f>IF(B571="","",(B571-AVERAGE(B6:B1198))/(STDEV(B6:B1198)+1E-12))</f>
        <v/>
      </c>
      <c r="D571" s="3">
        <f>IF('3a Raw'!D571="","",MAX(-3,MIN(3,('3a Raw'!D571-$D3)/$D4)))</f>
        <v/>
      </c>
      <c r="E571" s="3">
        <f>IF(D571="","",(D571-AVERAGE(D6:D1198))/(STDEV(D6:D1198)+1E-12))</f>
        <v/>
      </c>
      <c r="F571" s="3">
        <f>IF('3a Raw'!E571="","",MAX(-3,MIN(3,('3a Raw'!E571-$F3)/$F4)))</f>
        <v/>
      </c>
      <c r="G571" s="3">
        <f>IF(F571="","",(F571-AVERAGE(F6:F1198))/(STDEV(F6:F1198)+1E-12))</f>
        <v/>
      </c>
      <c r="H571" s="3">
        <f>IF('3a Raw'!F571="","",MAX(-3,MIN(3,('3a Raw'!F571-$H3)/$H4)))</f>
        <v/>
      </c>
      <c r="I571" s="3">
        <f>IF(H571="","",(H571-AVERAGE(H6:H1198))/(STDEV(H6:H1198)+1E-12))</f>
        <v/>
      </c>
      <c r="J571" s="3">
        <f>IF('3a Raw'!G571="","",MAX(-3,MIN(3,('3a Raw'!G571-$J3)/$J4)))</f>
        <v/>
      </c>
      <c r="K571" s="3">
        <f>IF(J571="","",(J571-AVERAGE(J6:J1198))/(STDEV(J6:J1198)+1E-12))</f>
        <v/>
      </c>
      <c r="L571" s="3">
        <f>IF('3a Raw'!H571="","",MAX(-3,MIN(3,('3a Raw'!H571-$L3)/$L4)))</f>
        <v/>
      </c>
      <c r="M571" s="3">
        <f>IF(L571="","",(L571-AVERAGE(L6:L1198))/(STDEV(L6:L1198)+1E-12))</f>
        <v/>
      </c>
      <c r="N571" s="3">
        <f>IF('3a Raw'!I571="","",MAX(-3,MIN(3,('3a Raw'!I571-$N3)/$N4)))</f>
        <v/>
      </c>
      <c r="O571" s="3">
        <f>IF(N571="","",(N571-AVERAGE(N6:N1198))/(STDEV(N6:N1198)+1E-12))</f>
        <v/>
      </c>
      <c r="P571" s="3">
        <f>IF('3a Raw'!J571="","",MAX(-3,MIN(3,('3a Raw'!J571-$P3)/$P4)))</f>
        <v/>
      </c>
      <c r="Q571" s="3">
        <f>IF(P571="","",(P571-AVERAGE(P6:P1198))/(STDEV(P6:P1198)+1E-12))</f>
        <v/>
      </c>
      <c r="R571" s="3">
        <f>IF('3a Raw'!K571="","",MAX(-3,MIN(3,('3a Raw'!K571-$R3)/$R4)))</f>
        <v/>
      </c>
      <c r="S571" s="3">
        <f>IF(R571="","",(R571-AVERAGE(R6:R1198))/(STDEV(R6:R1198)+1E-12))</f>
        <v/>
      </c>
      <c r="T571" s="3">
        <f>IF('3a Raw'!L571="","",MAX(-3,MIN(3,('3a Raw'!L571-$T3)/$T4)))</f>
        <v/>
      </c>
      <c r="U571" s="3">
        <f>IF(T571="","",(T571-AVERAGE(T6:T1198))/(STDEV(T6:T1198)+1E-12))</f>
        <v/>
      </c>
      <c r="X571" s="3">
        <f>IF(U571="","",U571-($V$3*G571+$W$3))</f>
        <v/>
      </c>
      <c r="Y571" s="3">
        <f>IF(X571="","",MAX(-3,MIN(3,(X571-$X3)/$X4)))</f>
        <v/>
      </c>
      <c r="Z571" s="3">
        <f>IF(Y571="","",(Y571-AVERAGE(Y6:Y1198))/(STDEV(Y6:Y1198)+1E-12))</f>
        <v/>
      </c>
    </row>
    <row r="572">
      <c r="A572" t="inlineStr">
        <is>
          <t>BBG020PSLYJ0</t>
        </is>
      </c>
      <c r="B572" s="3">
        <f>IF('3a Raw'!C572="","",MAX(-3,MIN(3,('3a Raw'!C572-$B3)/$B4)))</f>
        <v/>
      </c>
      <c r="C572" s="3">
        <f>IF(B572="","",(B572-AVERAGE(B6:B1198))/(STDEV(B6:B1198)+1E-12))</f>
        <v/>
      </c>
      <c r="D572" s="3">
        <f>IF('3a Raw'!D572="","",MAX(-3,MIN(3,('3a Raw'!D572-$D3)/$D4)))</f>
        <v/>
      </c>
      <c r="E572" s="3">
        <f>IF(D572="","",(D572-AVERAGE(D6:D1198))/(STDEV(D6:D1198)+1E-12))</f>
        <v/>
      </c>
      <c r="F572" s="3">
        <f>IF('3a Raw'!E572="","",MAX(-3,MIN(3,('3a Raw'!E572-$F3)/$F4)))</f>
        <v/>
      </c>
      <c r="G572" s="3">
        <f>IF(F572="","",(F572-AVERAGE(F6:F1198))/(STDEV(F6:F1198)+1E-12))</f>
        <v/>
      </c>
      <c r="H572" s="3">
        <f>IF('3a Raw'!F572="","",MAX(-3,MIN(3,('3a Raw'!F572-$H3)/$H4)))</f>
        <v/>
      </c>
      <c r="I572" s="3">
        <f>IF(H572="","",(H572-AVERAGE(H6:H1198))/(STDEV(H6:H1198)+1E-12))</f>
        <v/>
      </c>
      <c r="J572" s="3">
        <f>IF('3a Raw'!G572="","",MAX(-3,MIN(3,('3a Raw'!G572-$J3)/$J4)))</f>
        <v/>
      </c>
      <c r="K572" s="3">
        <f>IF(J572="","",(J572-AVERAGE(J6:J1198))/(STDEV(J6:J1198)+1E-12))</f>
        <v/>
      </c>
      <c r="L572" s="3">
        <f>IF('3a Raw'!H572="","",MAX(-3,MIN(3,('3a Raw'!H572-$L3)/$L4)))</f>
        <v/>
      </c>
      <c r="M572" s="3">
        <f>IF(L572="","",(L572-AVERAGE(L6:L1198))/(STDEV(L6:L1198)+1E-12))</f>
        <v/>
      </c>
      <c r="N572" s="3">
        <f>IF('3a Raw'!I572="","",MAX(-3,MIN(3,('3a Raw'!I572-$N3)/$N4)))</f>
        <v/>
      </c>
      <c r="O572" s="3">
        <f>IF(N572="","",(N572-AVERAGE(N6:N1198))/(STDEV(N6:N1198)+1E-12))</f>
        <v/>
      </c>
      <c r="P572" s="3">
        <f>IF('3a Raw'!J572="","",MAX(-3,MIN(3,('3a Raw'!J572-$P3)/$P4)))</f>
        <v/>
      </c>
      <c r="Q572" s="3">
        <f>IF(P572="","",(P572-AVERAGE(P6:P1198))/(STDEV(P6:P1198)+1E-12))</f>
        <v/>
      </c>
      <c r="R572" s="3">
        <f>IF('3a Raw'!K572="","",MAX(-3,MIN(3,('3a Raw'!K572-$R3)/$R4)))</f>
        <v/>
      </c>
      <c r="S572" s="3">
        <f>IF(R572="","",(R572-AVERAGE(R6:R1198))/(STDEV(R6:R1198)+1E-12))</f>
        <v/>
      </c>
      <c r="T572" s="3">
        <f>IF('3a Raw'!L572="","",MAX(-3,MIN(3,('3a Raw'!L572-$T3)/$T4)))</f>
        <v/>
      </c>
      <c r="U572" s="3">
        <f>IF(T572="","",(T572-AVERAGE(T6:T1198))/(STDEV(T6:T1198)+1E-12))</f>
        <v/>
      </c>
      <c r="X572" s="3">
        <f>IF(U572="","",U572-($V$3*G572+$W$3))</f>
        <v/>
      </c>
      <c r="Y572" s="3">
        <f>IF(X572="","",MAX(-3,MIN(3,(X572-$X3)/$X4)))</f>
        <v/>
      </c>
      <c r="Z572" s="3">
        <f>IF(Y572="","",(Y572-AVERAGE(Y6:Y1198))/(STDEV(Y6:Y1198)+1E-12))</f>
        <v/>
      </c>
    </row>
    <row r="573">
      <c r="A573" t="inlineStr">
        <is>
          <t>BBG000BMDBZ1</t>
        </is>
      </c>
      <c r="B573" s="3">
        <f>IF('3a Raw'!C573="","",MAX(-3,MIN(3,('3a Raw'!C573-$B3)/$B4)))</f>
        <v/>
      </c>
      <c r="C573" s="3">
        <f>IF(B573="","",(B573-AVERAGE(B6:B1198))/(STDEV(B6:B1198)+1E-12))</f>
        <v/>
      </c>
      <c r="D573" s="3">
        <f>IF('3a Raw'!D573="","",MAX(-3,MIN(3,('3a Raw'!D573-$D3)/$D4)))</f>
        <v/>
      </c>
      <c r="E573" s="3">
        <f>IF(D573="","",(D573-AVERAGE(D6:D1198))/(STDEV(D6:D1198)+1E-12))</f>
        <v/>
      </c>
      <c r="F573" s="3">
        <f>IF('3a Raw'!E573="","",MAX(-3,MIN(3,('3a Raw'!E573-$F3)/$F4)))</f>
        <v/>
      </c>
      <c r="G573" s="3">
        <f>IF(F573="","",(F573-AVERAGE(F6:F1198))/(STDEV(F6:F1198)+1E-12))</f>
        <v/>
      </c>
      <c r="H573" s="3">
        <f>IF('3a Raw'!F573="","",MAX(-3,MIN(3,('3a Raw'!F573-$H3)/$H4)))</f>
        <v/>
      </c>
      <c r="I573" s="3">
        <f>IF(H573="","",(H573-AVERAGE(H6:H1198))/(STDEV(H6:H1198)+1E-12))</f>
        <v/>
      </c>
      <c r="J573" s="3">
        <f>IF('3a Raw'!G573="","",MAX(-3,MIN(3,('3a Raw'!G573-$J3)/$J4)))</f>
        <v/>
      </c>
      <c r="K573" s="3">
        <f>IF(J573="","",(J573-AVERAGE(J6:J1198))/(STDEV(J6:J1198)+1E-12))</f>
        <v/>
      </c>
      <c r="L573" s="3">
        <f>IF('3a Raw'!H573="","",MAX(-3,MIN(3,('3a Raw'!H573-$L3)/$L4)))</f>
        <v/>
      </c>
      <c r="M573" s="3">
        <f>IF(L573="","",(L573-AVERAGE(L6:L1198))/(STDEV(L6:L1198)+1E-12))</f>
        <v/>
      </c>
      <c r="N573" s="3">
        <f>IF('3a Raw'!I573="","",MAX(-3,MIN(3,('3a Raw'!I573-$N3)/$N4)))</f>
        <v/>
      </c>
      <c r="O573" s="3">
        <f>IF(N573="","",(N573-AVERAGE(N6:N1198))/(STDEV(N6:N1198)+1E-12))</f>
        <v/>
      </c>
      <c r="P573" s="3">
        <f>IF('3a Raw'!J573="","",MAX(-3,MIN(3,('3a Raw'!J573-$P3)/$P4)))</f>
        <v/>
      </c>
      <c r="Q573" s="3">
        <f>IF(P573="","",(P573-AVERAGE(P6:P1198))/(STDEV(P6:P1198)+1E-12))</f>
        <v/>
      </c>
      <c r="R573" s="3">
        <f>IF('3a Raw'!K573="","",MAX(-3,MIN(3,('3a Raw'!K573-$R3)/$R4)))</f>
        <v/>
      </c>
      <c r="S573" s="3">
        <f>IF(R573="","",(R573-AVERAGE(R6:R1198))/(STDEV(R6:R1198)+1E-12))</f>
        <v/>
      </c>
      <c r="T573" s="3">
        <f>IF('3a Raw'!L573="","",MAX(-3,MIN(3,('3a Raw'!L573-$T3)/$T4)))</f>
        <v/>
      </c>
      <c r="U573" s="3">
        <f>IF(T573="","",(T573-AVERAGE(T6:T1198))/(STDEV(T6:T1198)+1E-12))</f>
        <v/>
      </c>
      <c r="X573" s="3">
        <f>IF(U573="","",U573-($V$3*G573+$W$3))</f>
        <v/>
      </c>
      <c r="Y573" s="3">
        <f>IF(X573="","",MAX(-3,MIN(3,(X573-$X3)/$X4)))</f>
        <v/>
      </c>
      <c r="Z573" s="3">
        <f>IF(Y573="","",(Y573-AVERAGE(Y6:Y1198))/(STDEV(Y6:Y1198)+1E-12))</f>
        <v/>
      </c>
    </row>
    <row r="574">
      <c r="A574" t="inlineStr">
        <is>
          <t>jbl</t>
        </is>
      </c>
      <c r="B574" s="3">
        <f>IF('3a Raw'!C574="","",MAX(-3,MIN(3,('3a Raw'!C574-$B3)/$B4)))</f>
        <v/>
      </c>
      <c r="C574" s="3">
        <f>IF(B574="","",(B574-AVERAGE(B6:B1198))/(STDEV(B6:B1198)+1E-12))</f>
        <v/>
      </c>
      <c r="D574" s="3">
        <f>IF('3a Raw'!D574="","",MAX(-3,MIN(3,('3a Raw'!D574-$D3)/$D4)))</f>
        <v/>
      </c>
      <c r="E574" s="3">
        <f>IF(D574="","",(D574-AVERAGE(D6:D1198))/(STDEV(D6:D1198)+1E-12))</f>
        <v/>
      </c>
      <c r="F574" s="3">
        <f>IF('3a Raw'!E574="","",MAX(-3,MIN(3,('3a Raw'!E574-$F3)/$F4)))</f>
        <v/>
      </c>
      <c r="G574" s="3">
        <f>IF(F574="","",(F574-AVERAGE(F6:F1198))/(STDEV(F6:F1198)+1E-12))</f>
        <v/>
      </c>
      <c r="H574" s="3">
        <f>IF('3a Raw'!F574="","",MAX(-3,MIN(3,('3a Raw'!F574-$H3)/$H4)))</f>
        <v/>
      </c>
      <c r="I574" s="3">
        <f>IF(H574="","",(H574-AVERAGE(H6:H1198))/(STDEV(H6:H1198)+1E-12))</f>
        <v/>
      </c>
      <c r="J574" s="3">
        <f>IF('3a Raw'!G574="","",MAX(-3,MIN(3,('3a Raw'!G574-$J3)/$J4)))</f>
        <v/>
      </c>
      <c r="K574" s="3">
        <f>IF(J574="","",(J574-AVERAGE(J6:J1198))/(STDEV(J6:J1198)+1E-12))</f>
        <v/>
      </c>
      <c r="L574" s="3">
        <f>IF('3a Raw'!H574="","",MAX(-3,MIN(3,('3a Raw'!H574-$L3)/$L4)))</f>
        <v/>
      </c>
      <c r="M574" s="3">
        <f>IF(L574="","",(L574-AVERAGE(L6:L1198))/(STDEV(L6:L1198)+1E-12))</f>
        <v/>
      </c>
      <c r="N574" s="3">
        <f>IF('3a Raw'!I574="","",MAX(-3,MIN(3,('3a Raw'!I574-$N3)/$N4)))</f>
        <v/>
      </c>
      <c r="O574" s="3">
        <f>IF(N574="","",(N574-AVERAGE(N6:N1198))/(STDEV(N6:N1198)+1E-12))</f>
        <v/>
      </c>
      <c r="P574" s="3">
        <f>IF('3a Raw'!J574="","",MAX(-3,MIN(3,('3a Raw'!J574-$P3)/$P4)))</f>
        <v/>
      </c>
      <c r="Q574" s="3">
        <f>IF(P574="","",(P574-AVERAGE(P6:P1198))/(STDEV(P6:P1198)+1E-12))</f>
        <v/>
      </c>
      <c r="R574" s="3">
        <f>IF('3a Raw'!K574="","",MAX(-3,MIN(3,('3a Raw'!K574-$R3)/$R4)))</f>
        <v/>
      </c>
      <c r="S574" s="3">
        <f>IF(R574="","",(R574-AVERAGE(R6:R1198))/(STDEV(R6:R1198)+1E-12))</f>
        <v/>
      </c>
      <c r="T574" s="3">
        <f>IF('3a Raw'!L574="","",MAX(-3,MIN(3,('3a Raw'!L574-$T3)/$T4)))</f>
        <v/>
      </c>
      <c r="U574" s="3">
        <f>IF(T574="","",(T574-AVERAGE(T6:T1198))/(STDEV(T6:T1198)+1E-12))</f>
        <v/>
      </c>
      <c r="X574" s="3">
        <f>IF(U574="","",U574-($V$3*G574+$W$3))</f>
        <v/>
      </c>
      <c r="Y574" s="3">
        <f>IF(X574="","",MAX(-3,MIN(3,(X574-$X3)/$X4)))</f>
        <v/>
      </c>
      <c r="Z574" s="3">
        <f>IF(Y574="","",(Y574-AVERAGE(Y6:Y1198))/(STDEV(Y6:Y1198)+1E-12))</f>
        <v/>
      </c>
    </row>
    <row r="575">
      <c r="A575" t="inlineStr">
        <is>
          <t>BBG000BRQ6L2</t>
        </is>
      </c>
      <c r="B575" s="3">
        <f>IF('3a Raw'!C575="","",MAX(-3,MIN(3,('3a Raw'!C575-$B3)/$B4)))</f>
        <v/>
      </c>
      <c r="C575" s="3">
        <f>IF(B575="","",(B575-AVERAGE(B6:B1198))/(STDEV(B6:B1198)+1E-12))</f>
        <v/>
      </c>
      <c r="D575" s="3">
        <f>IF('3a Raw'!D575="","",MAX(-3,MIN(3,('3a Raw'!D575-$D3)/$D4)))</f>
        <v/>
      </c>
      <c r="E575" s="3">
        <f>IF(D575="","",(D575-AVERAGE(D6:D1198))/(STDEV(D6:D1198)+1E-12))</f>
        <v/>
      </c>
      <c r="F575" s="3">
        <f>IF('3a Raw'!E575="","",MAX(-3,MIN(3,('3a Raw'!E575-$F3)/$F4)))</f>
        <v/>
      </c>
      <c r="G575" s="3">
        <f>IF(F575="","",(F575-AVERAGE(F6:F1198))/(STDEV(F6:F1198)+1E-12))</f>
        <v/>
      </c>
      <c r="H575" s="3">
        <f>IF('3a Raw'!F575="","",MAX(-3,MIN(3,('3a Raw'!F575-$H3)/$H4)))</f>
        <v/>
      </c>
      <c r="I575" s="3">
        <f>IF(H575="","",(H575-AVERAGE(H6:H1198))/(STDEV(H6:H1198)+1E-12))</f>
        <v/>
      </c>
      <c r="J575" s="3">
        <f>IF('3a Raw'!G575="","",MAX(-3,MIN(3,('3a Raw'!G575-$J3)/$J4)))</f>
        <v/>
      </c>
      <c r="K575" s="3">
        <f>IF(J575="","",(J575-AVERAGE(J6:J1198))/(STDEV(J6:J1198)+1E-12))</f>
        <v/>
      </c>
      <c r="L575" s="3">
        <f>IF('3a Raw'!H575="","",MAX(-3,MIN(3,('3a Raw'!H575-$L3)/$L4)))</f>
        <v/>
      </c>
      <c r="M575" s="3">
        <f>IF(L575="","",(L575-AVERAGE(L6:L1198))/(STDEV(L6:L1198)+1E-12))</f>
        <v/>
      </c>
      <c r="N575" s="3">
        <f>IF('3a Raw'!I575="","",MAX(-3,MIN(3,('3a Raw'!I575-$N3)/$N4)))</f>
        <v/>
      </c>
      <c r="O575" s="3">
        <f>IF(N575="","",(N575-AVERAGE(N6:N1198))/(STDEV(N6:N1198)+1E-12))</f>
        <v/>
      </c>
      <c r="P575" s="3">
        <f>IF('3a Raw'!J575="","",MAX(-3,MIN(3,('3a Raw'!J575-$P3)/$P4)))</f>
        <v/>
      </c>
      <c r="Q575" s="3">
        <f>IF(P575="","",(P575-AVERAGE(P6:P1198))/(STDEV(P6:P1198)+1E-12))</f>
        <v/>
      </c>
      <c r="R575" s="3">
        <f>IF('3a Raw'!K575="","",MAX(-3,MIN(3,('3a Raw'!K575-$R3)/$R4)))</f>
        <v/>
      </c>
      <c r="S575" s="3">
        <f>IF(R575="","",(R575-AVERAGE(R6:R1198))/(STDEV(R6:R1198)+1E-12))</f>
        <v/>
      </c>
      <c r="T575" s="3">
        <f>IF('3a Raw'!L575="","",MAX(-3,MIN(3,('3a Raw'!L575-$T3)/$T4)))</f>
        <v/>
      </c>
      <c r="U575" s="3">
        <f>IF(T575="","",(T575-AVERAGE(T6:T1198))/(STDEV(T6:T1198)+1E-12))</f>
        <v/>
      </c>
      <c r="X575" s="3">
        <f>IF(U575="","",U575-($V$3*G575+$W$3))</f>
        <v/>
      </c>
      <c r="Y575" s="3">
        <f>IF(X575="","",MAX(-3,MIN(3,(X575-$X3)/$X4)))</f>
        <v/>
      </c>
      <c r="Z575" s="3">
        <f>IF(Y575="","",(Y575-AVERAGE(Y6:Y1198))/(STDEV(Y6:Y1198)+1E-12))</f>
        <v/>
      </c>
    </row>
    <row r="576">
      <c r="A576" t="inlineStr">
        <is>
          <t>BBG000VLBCQ1</t>
        </is>
      </c>
      <c r="B576" s="3">
        <f>IF('3a Raw'!C576="","",MAX(-3,MIN(3,('3a Raw'!C576-$B3)/$B4)))</f>
        <v/>
      </c>
      <c r="C576" s="3">
        <f>IF(B576="","",(B576-AVERAGE(B6:B1198))/(STDEV(B6:B1198)+1E-12))</f>
        <v/>
      </c>
      <c r="D576" s="3">
        <f>IF('3a Raw'!D576="","",MAX(-3,MIN(3,('3a Raw'!D576-$D3)/$D4)))</f>
        <v/>
      </c>
      <c r="E576" s="3">
        <f>IF(D576="","",(D576-AVERAGE(D6:D1198))/(STDEV(D6:D1198)+1E-12))</f>
        <v/>
      </c>
      <c r="F576" s="3">
        <f>IF('3a Raw'!E576="","",MAX(-3,MIN(3,('3a Raw'!E576-$F3)/$F4)))</f>
        <v/>
      </c>
      <c r="G576" s="3">
        <f>IF(F576="","",(F576-AVERAGE(F6:F1198))/(STDEV(F6:F1198)+1E-12))</f>
        <v/>
      </c>
      <c r="H576" s="3">
        <f>IF('3a Raw'!F576="","",MAX(-3,MIN(3,('3a Raw'!F576-$H3)/$H4)))</f>
        <v/>
      </c>
      <c r="I576" s="3">
        <f>IF(H576="","",(H576-AVERAGE(H6:H1198))/(STDEV(H6:H1198)+1E-12))</f>
        <v/>
      </c>
      <c r="J576" s="3">
        <f>IF('3a Raw'!G576="","",MAX(-3,MIN(3,('3a Raw'!G576-$J3)/$J4)))</f>
        <v/>
      </c>
      <c r="K576" s="3">
        <f>IF(J576="","",(J576-AVERAGE(J6:J1198))/(STDEV(J6:J1198)+1E-12))</f>
        <v/>
      </c>
      <c r="L576" s="3">
        <f>IF('3a Raw'!H576="","",MAX(-3,MIN(3,('3a Raw'!H576-$L3)/$L4)))</f>
        <v/>
      </c>
      <c r="M576" s="3">
        <f>IF(L576="","",(L576-AVERAGE(L6:L1198))/(STDEV(L6:L1198)+1E-12))</f>
        <v/>
      </c>
      <c r="N576" s="3">
        <f>IF('3a Raw'!I576="","",MAX(-3,MIN(3,('3a Raw'!I576-$N3)/$N4)))</f>
        <v/>
      </c>
      <c r="O576" s="3">
        <f>IF(N576="","",(N576-AVERAGE(N6:N1198))/(STDEV(N6:N1198)+1E-12))</f>
        <v/>
      </c>
      <c r="P576" s="3">
        <f>IF('3a Raw'!J576="","",MAX(-3,MIN(3,('3a Raw'!J576-$P3)/$P4)))</f>
        <v/>
      </c>
      <c r="Q576" s="3">
        <f>IF(P576="","",(P576-AVERAGE(P6:P1198))/(STDEV(P6:P1198)+1E-12))</f>
        <v/>
      </c>
      <c r="R576" s="3">
        <f>IF('3a Raw'!K576="","",MAX(-3,MIN(3,('3a Raw'!K576-$R3)/$R4)))</f>
        <v/>
      </c>
      <c r="S576" s="3">
        <f>IF(R576="","",(R576-AVERAGE(R6:R1198))/(STDEV(R6:R1198)+1E-12))</f>
        <v/>
      </c>
      <c r="T576" s="3">
        <f>IF('3a Raw'!L576="","",MAX(-3,MIN(3,('3a Raw'!L576-$T3)/$T4)))</f>
        <v/>
      </c>
      <c r="U576" s="3">
        <f>IF(T576="","",(T576-AVERAGE(T6:T1198))/(STDEV(T6:T1198)+1E-12))</f>
        <v/>
      </c>
      <c r="X576" s="3">
        <f>IF(U576="","",U576-($V$3*G576+$W$3))</f>
        <v/>
      </c>
      <c r="Y576" s="3">
        <f>IF(X576="","",MAX(-3,MIN(3,(X576-$X3)/$X4)))</f>
        <v/>
      </c>
      <c r="Z576" s="3">
        <f>IF(Y576="","",(Y576-AVERAGE(Y6:Y1198))/(STDEV(Y6:Y1198)+1E-12))</f>
        <v/>
      </c>
    </row>
    <row r="577">
      <c r="A577" t="inlineStr">
        <is>
          <t>jci</t>
        </is>
      </c>
      <c r="B577" s="3">
        <f>IF('3a Raw'!C577="","",MAX(-3,MIN(3,('3a Raw'!C577-$B3)/$B4)))</f>
        <v/>
      </c>
      <c r="C577" s="3">
        <f>IF(B577="","",(B577-AVERAGE(B6:B1198))/(STDEV(B6:B1198)+1E-12))</f>
        <v/>
      </c>
      <c r="D577" s="3">
        <f>IF('3a Raw'!D577="","",MAX(-3,MIN(3,('3a Raw'!D577-$D3)/$D4)))</f>
        <v/>
      </c>
      <c r="E577" s="3">
        <f>IF(D577="","",(D577-AVERAGE(D6:D1198))/(STDEV(D6:D1198)+1E-12))</f>
        <v/>
      </c>
      <c r="F577" s="3">
        <f>IF('3a Raw'!E577="","",MAX(-3,MIN(3,('3a Raw'!E577-$F3)/$F4)))</f>
        <v/>
      </c>
      <c r="G577" s="3">
        <f>IF(F577="","",(F577-AVERAGE(F6:F1198))/(STDEV(F6:F1198)+1E-12))</f>
        <v/>
      </c>
      <c r="H577" s="3">
        <f>IF('3a Raw'!F577="","",MAX(-3,MIN(3,('3a Raw'!F577-$H3)/$H4)))</f>
        <v/>
      </c>
      <c r="I577" s="3">
        <f>IF(H577="","",(H577-AVERAGE(H6:H1198))/(STDEV(H6:H1198)+1E-12))</f>
        <v/>
      </c>
      <c r="J577" s="3">
        <f>IF('3a Raw'!G577="","",MAX(-3,MIN(3,('3a Raw'!G577-$J3)/$J4)))</f>
        <v/>
      </c>
      <c r="K577" s="3">
        <f>IF(J577="","",(J577-AVERAGE(J6:J1198))/(STDEV(J6:J1198)+1E-12))</f>
        <v/>
      </c>
      <c r="L577" s="3">
        <f>IF('3a Raw'!H577="","",MAX(-3,MIN(3,('3a Raw'!H577-$L3)/$L4)))</f>
        <v/>
      </c>
      <c r="M577" s="3">
        <f>IF(L577="","",(L577-AVERAGE(L6:L1198))/(STDEV(L6:L1198)+1E-12))</f>
        <v/>
      </c>
      <c r="N577" s="3">
        <f>IF('3a Raw'!I577="","",MAX(-3,MIN(3,('3a Raw'!I577-$N3)/$N4)))</f>
        <v/>
      </c>
      <c r="O577" s="3">
        <f>IF(N577="","",(N577-AVERAGE(N6:N1198))/(STDEV(N6:N1198)+1E-12))</f>
        <v/>
      </c>
      <c r="P577" s="3">
        <f>IF('3a Raw'!J577="","",MAX(-3,MIN(3,('3a Raw'!J577-$P3)/$P4)))</f>
        <v/>
      </c>
      <c r="Q577" s="3">
        <f>IF(P577="","",(P577-AVERAGE(P6:P1198))/(STDEV(P6:P1198)+1E-12))</f>
        <v/>
      </c>
      <c r="R577" s="3">
        <f>IF('3a Raw'!K577="","",MAX(-3,MIN(3,('3a Raw'!K577-$R3)/$R4)))</f>
        <v/>
      </c>
      <c r="S577" s="3">
        <f>IF(R577="","",(R577-AVERAGE(R6:R1198))/(STDEV(R6:R1198)+1E-12))</f>
        <v/>
      </c>
      <c r="T577" s="3">
        <f>IF('3a Raw'!L577="","",MAX(-3,MIN(3,('3a Raw'!L577-$T3)/$T4)))</f>
        <v/>
      </c>
      <c r="U577" s="3">
        <f>IF(T577="","",(T577-AVERAGE(T6:T1198))/(STDEV(T6:T1198)+1E-12))</f>
        <v/>
      </c>
      <c r="X577" s="3">
        <f>IF(U577="","",U577-($V$3*G577+$W$3))</f>
        <v/>
      </c>
      <c r="Y577" s="3">
        <f>IF(X577="","",MAX(-3,MIN(3,(X577-$X3)/$X4)))</f>
        <v/>
      </c>
      <c r="Z577" s="3">
        <f>IF(Y577="","",(Y577-AVERAGE(Y6:Y1198))/(STDEV(Y6:Y1198)+1E-12))</f>
        <v/>
      </c>
    </row>
    <row r="578">
      <c r="A578" t="inlineStr">
        <is>
          <t>BBG005YHY0Q7</t>
        </is>
      </c>
      <c r="B578" s="3">
        <f>IF('3a Raw'!C578="","",MAX(-3,MIN(3,('3a Raw'!C578-$B3)/$B4)))</f>
        <v/>
      </c>
      <c r="C578" s="3">
        <f>IF(B578="","",(B578-AVERAGE(B6:B1198))/(STDEV(B6:B1198)+1E-12))</f>
        <v/>
      </c>
      <c r="D578" s="3">
        <f>IF('3a Raw'!D578="","",MAX(-3,MIN(3,('3a Raw'!D578-$D3)/$D4)))</f>
        <v/>
      </c>
      <c r="E578" s="3">
        <f>IF(D578="","",(D578-AVERAGE(D6:D1198))/(STDEV(D6:D1198)+1E-12))</f>
        <v/>
      </c>
      <c r="F578" s="3">
        <f>IF('3a Raw'!E578="","",MAX(-3,MIN(3,('3a Raw'!E578-$F3)/$F4)))</f>
        <v/>
      </c>
      <c r="G578" s="3">
        <f>IF(F578="","",(F578-AVERAGE(F6:F1198))/(STDEV(F6:F1198)+1E-12))</f>
        <v/>
      </c>
      <c r="H578" s="3">
        <f>IF('3a Raw'!F578="","",MAX(-3,MIN(3,('3a Raw'!F578-$H3)/$H4)))</f>
        <v/>
      </c>
      <c r="I578" s="3">
        <f>IF(H578="","",(H578-AVERAGE(H6:H1198))/(STDEV(H6:H1198)+1E-12))</f>
        <v/>
      </c>
      <c r="J578" s="3">
        <f>IF('3a Raw'!G578="","",MAX(-3,MIN(3,('3a Raw'!G578-$J3)/$J4)))</f>
        <v/>
      </c>
      <c r="K578" s="3">
        <f>IF(J578="","",(J578-AVERAGE(J6:J1198))/(STDEV(J6:J1198)+1E-12))</f>
        <v/>
      </c>
      <c r="L578" s="3">
        <f>IF('3a Raw'!H578="","",MAX(-3,MIN(3,('3a Raw'!H578-$L3)/$L4)))</f>
        <v/>
      </c>
      <c r="M578" s="3">
        <f>IF(L578="","",(L578-AVERAGE(L6:L1198))/(STDEV(L6:L1198)+1E-12))</f>
        <v/>
      </c>
      <c r="N578" s="3">
        <f>IF('3a Raw'!I578="","",MAX(-3,MIN(3,('3a Raw'!I578-$N3)/$N4)))</f>
        <v/>
      </c>
      <c r="O578" s="3">
        <f>IF(N578="","",(N578-AVERAGE(N6:N1198))/(STDEV(N6:N1198)+1E-12))</f>
        <v/>
      </c>
      <c r="P578" s="3">
        <f>IF('3a Raw'!J578="","",MAX(-3,MIN(3,('3a Raw'!J578-$P3)/$P4)))</f>
        <v/>
      </c>
      <c r="Q578" s="3">
        <f>IF(P578="","",(P578-AVERAGE(P6:P1198))/(STDEV(P6:P1198)+1E-12))</f>
        <v/>
      </c>
      <c r="R578" s="3">
        <f>IF('3a Raw'!K578="","",MAX(-3,MIN(3,('3a Raw'!K578-$R3)/$R4)))</f>
        <v/>
      </c>
      <c r="S578" s="3">
        <f>IF(R578="","",(R578-AVERAGE(R6:R1198))/(STDEV(R6:R1198)+1E-12))</f>
        <v/>
      </c>
      <c r="T578" s="3">
        <f>IF('3a Raw'!L578="","",MAX(-3,MIN(3,('3a Raw'!L578-$T3)/$T4)))</f>
        <v/>
      </c>
      <c r="U578" s="3">
        <f>IF(T578="","",(T578-AVERAGE(T6:T1198))/(STDEV(T6:T1198)+1E-12))</f>
        <v/>
      </c>
      <c r="X578" s="3">
        <f>IF(U578="","",U578-($V$3*G578+$W$3))</f>
        <v/>
      </c>
      <c r="Y578" s="3">
        <f>IF(X578="","",MAX(-3,MIN(3,(X578-$X3)/$X4)))</f>
        <v/>
      </c>
      <c r="Z578" s="3">
        <f>IF(Y578="","",(Y578-AVERAGE(Y6:Y1198))/(STDEV(Y6:Y1198)+1E-12))</f>
        <v/>
      </c>
    </row>
    <row r="579">
      <c r="A579" t="inlineStr">
        <is>
          <t>BBG000BNHSP9</t>
        </is>
      </c>
      <c r="B579" s="3">
        <f>IF('3a Raw'!C579="","",MAX(-3,MIN(3,('3a Raw'!C579-$B3)/$B4)))</f>
        <v/>
      </c>
      <c r="C579" s="3">
        <f>IF(B579="","",(B579-AVERAGE(B6:B1198))/(STDEV(B6:B1198)+1E-12))</f>
        <v/>
      </c>
      <c r="D579" s="3">
        <f>IF('3a Raw'!D579="","",MAX(-3,MIN(3,('3a Raw'!D579-$D3)/$D4)))</f>
        <v/>
      </c>
      <c r="E579" s="3">
        <f>IF(D579="","",(D579-AVERAGE(D6:D1198))/(STDEV(D6:D1198)+1E-12))</f>
        <v/>
      </c>
      <c r="F579" s="3">
        <f>IF('3a Raw'!E579="","",MAX(-3,MIN(3,('3a Raw'!E579-$F3)/$F4)))</f>
        <v/>
      </c>
      <c r="G579" s="3">
        <f>IF(F579="","",(F579-AVERAGE(F6:F1198))/(STDEV(F6:F1198)+1E-12))</f>
        <v/>
      </c>
      <c r="H579" s="3">
        <f>IF('3a Raw'!F579="","",MAX(-3,MIN(3,('3a Raw'!F579-$H3)/$H4)))</f>
        <v/>
      </c>
      <c r="I579" s="3">
        <f>IF(H579="","",(H579-AVERAGE(H6:H1198))/(STDEV(H6:H1198)+1E-12))</f>
        <v/>
      </c>
      <c r="J579" s="3">
        <f>IF('3a Raw'!G579="","",MAX(-3,MIN(3,('3a Raw'!G579-$J3)/$J4)))</f>
        <v/>
      </c>
      <c r="K579" s="3">
        <f>IF(J579="","",(J579-AVERAGE(J6:J1198))/(STDEV(J6:J1198)+1E-12))</f>
        <v/>
      </c>
      <c r="L579" s="3">
        <f>IF('3a Raw'!H579="","",MAX(-3,MIN(3,('3a Raw'!H579-$L3)/$L4)))</f>
        <v/>
      </c>
      <c r="M579" s="3">
        <f>IF(L579="","",(L579-AVERAGE(L6:L1198))/(STDEV(L6:L1198)+1E-12))</f>
        <v/>
      </c>
      <c r="N579" s="3">
        <f>IF('3a Raw'!I579="","",MAX(-3,MIN(3,('3a Raw'!I579-$N3)/$N4)))</f>
        <v/>
      </c>
      <c r="O579" s="3">
        <f>IF(N579="","",(N579-AVERAGE(N6:N1198))/(STDEV(N6:N1198)+1E-12))</f>
        <v/>
      </c>
      <c r="P579" s="3">
        <f>IF('3a Raw'!J579="","",MAX(-3,MIN(3,('3a Raw'!J579-$P3)/$P4)))</f>
        <v/>
      </c>
      <c r="Q579" s="3">
        <f>IF(P579="","",(P579-AVERAGE(P6:P1198))/(STDEV(P6:P1198)+1E-12))</f>
        <v/>
      </c>
      <c r="R579" s="3">
        <f>IF('3a Raw'!K579="","",MAX(-3,MIN(3,('3a Raw'!K579-$R3)/$R4)))</f>
        <v/>
      </c>
      <c r="S579" s="3">
        <f>IF(R579="","",(R579-AVERAGE(R6:R1198))/(STDEV(R6:R1198)+1E-12))</f>
        <v/>
      </c>
      <c r="T579" s="3">
        <f>IF('3a Raw'!L579="","",MAX(-3,MIN(3,('3a Raw'!L579-$T3)/$T4)))</f>
        <v/>
      </c>
      <c r="U579" s="3">
        <f>IF(T579="","",(T579-AVERAGE(T6:T1198))/(STDEV(T6:T1198)+1E-12))</f>
        <v/>
      </c>
      <c r="X579" s="3">
        <f>IF(U579="","",U579-($V$3*G579+$W$3))</f>
        <v/>
      </c>
      <c r="Y579" s="3">
        <f>IF(X579="","",MAX(-3,MIN(3,(X579-$X3)/$X4)))</f>
        <v/>
      </c>
      <c r="Z579" s="3">
        <f>IF(Y579="","",(Y579-AVERAGE(Y6:Y1198))/(STDEV(Y6:Y1198)+1E-12))</f>
        <v/>
      </c>
    </row>
    <row r="580">
      <c r="A580" t="inlineStr">
        <is>
          <t>jkhy</t>
        </is>
      </c>
      <c r="B580" s="3">
        <f>IF('3a Raw'!C580="","",MAX(-3,MIN(3,('3a Raw'!C580-$B3)/$B4)))</f>
        <v/>
      </c>
      <c r="C580" s="3">
        <f>IF(B580="","",(B580-AVERAGE(B6:B1198))/(STDEV(B6:B1198)+1E-12))</f>
        <v/>
      </c>
      <c r="D580" s="3">
        <f>IF('3a Raw'!D580="","",MAX(-3,MIN(3,('3a Raw'!D580-$D3)/$D4)))</f>
        <v/>
      </c>
      <c r="E580" s="3">
        <f>IF(D580="","",(D580-AVERAGE(D6:D1198))/(STDEV(D6:D1198)+1E-12))</f>
        <v/>
      </c>
      <c r="F580" s="3">
        <f>IF('3a Raw'!E580="","",MAX(-3,MIN(3,('3a Raw'!E580-$F3)/$F4)))</f>
        <v/>
      </c>
      <c r="G580" s="3">
        <f>IF(F580="","",(F580-AVERAGE(F6:F1198))/(STDEV(F6:F1198)+1E-12))</f>
        <v/>
      </c>
      <c r="H580" s="3">
        <f>IF('3a Raw'!F580="","",MAX(-3,MIN(3,('3a Raw'!F580-$H3)/$H4)))</f>
        <v/>
      </c>
      <c r="I580" s="3">
        <f>IF(H580="","",(H580-AVERAGE(H6:H1198))/(STDEV(H6:H1198)+1E-12))</f>
        <v/>
      </c>
      <c r="J580" s="3">
        <f>IF('3a Raw'!G580="","",MAX(-3,MIN(3,('3a Raw'!G580-$J3)/$J4)))</f>
        <v/>
      </c>
      <c r="K580" s="3">
        <f>IF(J580="","",(J580-AVERAGE(J6:J1198))/(STDEV(J6:J1198)+1E-12))</f>
        <v/>
      </c>
      <c r="L580" s="3">
        <f>IF('3a Raw'!H580="","",MAX(-3,MIN(3,('3a Raw'!H580-$L3)/$L4)))</f>
        <v/>
      </c>
      <c r="M580" s="3">
        <f>IF(L580="","",(L580-AVERAGE(L6:L1198))/(STDEV(L6:L1198)+1E-12))</f>
        <v/>
      </c>
      <c r="N580" s="3">
        <f>IF('3a Raw'!I580="","",MAX(-3,MIN(3,('3a Raw'!I580-$N3)/$N4)))</f>
        <v/>
      </c>
      <c r="O580" s="3">
        <f>IF(N580="","",(N580-AVERAGE(N6:N1198))/(STDEV(N6:N1198)+1E-12))</f>
        <v/>
      </c>
      <c r="P580" s="3">
        <f>IF('3a Raw'!J580="","",MAX(-3,MIN(3,('3a Raw'!J580-$P3)/$P4)))</f>
        <v/>
      </c>
      <c r="Q580" s="3">
        <f>IF(P580="","",(P580-AVERAGE(P6:P1198))/(STDEV(P6:P1198)+1E-12))</f>
        <v/>
      </c>
      <c r="R580" s="3">
        <f>IF('3a Raw'!K580="","",MAX(-3,MIN(3,('3a Raw'!K580-$R3)/$R4)))</f>
        <v/>
      </c>
      <c r="S580" s="3">
        <f>IF(R580="","",(R580-AVERAGE(R6:R1198))/(STDEV(R6:R1198)+1E-12))</f>
        <v/>
      </c>
      <c r="T580" s="3">
        <f>IF('3a Raw'!L580="","",MAX(-3,MIN(3,('3a Raw'!L580-$T3)/$T4)))</f>
        <v/>
      </c>
      <c r="U580" s="3">
        <f>IF(T580="","",(T580-AVERAGE(T6:T1198))/(STDEV(T6:T1198)+1E-12))</f>
        <v/>
      </c>
      <c r="X580" s="3">
        <f>IF(U580="","",U580-($V$3*G580+$W$3))</f>
        <v/>
      </c>
      <c r="Y580" s="3">
        <f>IF(X580="","",MAX(-3,MIN(3,(X580-$X3)/$X4)))</f>
        <v/>
      </c>
      <c r="Z580" s="3">
        <f>IF(Y580="","",(Y580-AVERAGE(Y6:Y1198))/(STDEV(Y6:Y1198)+1E-12))</f>
        <v/>
      </c>
    </row>
    <row r="581">
      <c r="A581" t="inlineStr">
        <is>
          <t>BBG000Q72QF9</t>
        </is>
      </c>
      <c r="B581" s="3">
        <f>IF('3a Raw'!C581="","",MAX(-3,MIN(3,('3a Raw'!C581-$B3)/$B4)))</f>
        <v/>
      </c>
      <c r="C581" s="3">
        <f>IF(B581="","",(B581-AVERAGE(B6:B1198))/(STDEV(B6:B1198)+1E-12))</f>
        <v/>
      </c>
      <c r="D581" s="3">
        <f>IF('3a Raw'!D581="","",MAX(-3,MIN(3,('3a Raw'!D581-$D3)/$D4)))</f>
        <v/>
      </c>
      <c r="E581" s="3">
        <f>IF(D581="","",(D581-AVERAGE(D6:D1198))/(STDEV(D6:D1198)+1E-12))</f>
        <v/>
      </c>
      <c r="F581" s="3">
        <f>IF('3a Raw'!E581="","",MAX(-3,MIN(3,('3a Raw'!E581-$F3)/$F4)))</f>
        <v/>
      </c>
      <c r="G581" s="3">
        <f>IF(F581="","",(F581-AVERAGE(F6:F1198))/(STDEV(F6:F1198)+1E-12))</f>
        <v/>
      </c>
      <c r="H581" s="3">
        <f>IF('3a Raw'!F581="","",MAX(-3,MIN(3,('3a Raw'!F581-$H3)/$H4)))</f>
        <v/>
      </c>
      <c r="I581" s="3">
        <f>IF(H581="","",(H581-AVERAGE(H6:H1198))/(STDEV(H6:H1198)+1E-12))</f>
        <v/>
      </c>
      <c r="J581" s="3">
        <f>IF('3a Raw'!G581="","",MAX(-3,MIN(3,('3a Raw'!G581-$J3)/$J4)))</f>
        <v/>
      </c>
      <c r="K581" s="3">
        <f>IF(J581="","",(J581-AVERAGE(J6:J1198))/(STDEV(J6:J1198)+1E-12))</f>
        <v/>
      </c>
      <c r="L581" s="3">
        <f>IF('3a Raw'!H581="","",MAX(-3,MIN(3,('3a Raw'!H581-$L3)/$L4)))</f>
        <v/>
      </c>
      <c r="M581" s="3">
        <f>IF(L581="","",(L581-AVERAGE(L6:L1198))/(STDEV(L6:L1198)+1E-12))</f>
        <v/>
      </c>
      <c r="N581" s="3">
        <f>IF('3a Raw'!I581="","",MAX(-3,MIN(3,('3a Raw'!I581-$N3)/$N4)))</f>
        <v/>
      </c>
      <c r="O581" s="3">
        <f>IF(N581="","",(N581-AVERAGE(N6:N1198))/(STDEV(N6:N1198)+1E-12))</f>
        <v/>
      </c>
      <c r="P581" s="3">
        <f>IF('3a Raw'!J581="","",MAX(-3,MIN(3,('3a Raw'!J581-$P3)/$P4)))</f>
        <v/>
      </c>
      <c r="Q581" s="3">
        <f>IF(P581="","",(P581-AVERAGE(P6:P1198))/(STDEV(P6:P1198)+1E-12))</f>
        <v/>
      </c>
      <c r="R581" s="3">
        <f>IF('3a Raw'!K581="","",MAX(-3,MIN(3,('3a Raw'!K581-$R3)/$R4)))</f>
        <v/>
      </c>
      <c r="S581" s="3">
        <f>IF(R581="","",(R581-AVERAGE(R6:R1198))/(STDEV(R6:R1198)+1E-12))</f>
        <v/>
      </c>
      <c r="T581" s="3">
        <f>IF('3a Raw'!L581="","",MAX(-3,MIN(3,('3a Raw'!L581-$T3)/$T4)))</f>
        <v/>
      </c>
      <c r="U581" s="3">
        <f>IF(T581="","",(T581-AVERAGE(T6:T1198))/(STDEV(T6:T1198)+1E-12))</f>
        <v/>
      </c>
      <c r="X581" s="3">
        <f>IF(U581="","",U581-($V$3*G581+$W$3))</f>
        <v/>
      </c>
      <c r="Y581" s="3">
        <f>IF(X581="","",MAX(-3,MIN(3,(X581-$X3)/$X4)))</f>
        <v/>
      </c>
      <c r="Z581" s="3">
        <f>IF(Y581="","",(Y581-AVERAGE(Y6:Y1198))/(STDEV(Y6:Y1198)+1E-12))</f>
        <v/>
      </c>
    </row>
    <row r="582">
      <c r="A582" t="inlineStr">
        <is>
          <t>BBG000BMHYD1</t>
        </is>
      </c>
      <c r="B582" s="3">
        <f>IF('3a Raw'!C582="","",MAX(-3,MIN(3,('3a Raw'!C582-$B3)/$B4)))</f>
        <v/>
      </c>
      <c r="C582" s="3">
        <f>IF(B582="","",(B582-AVERAGE(B6:B1198))/(STDEV(B6:B1198)+1E-12))</f>
        <v/>
      </c>
      <c r="D582" s="3">
        <f>IF('3a Raw'!D582="","",MAX(-3,MIN(3,('3a Raw'!D582-$D3)/$D4)))</f>
        <v/>
      </c>
      <c r="E582" s="3">
        <f>IF(D582="","",(D582-AVERAGE(D6:D1198))/(STDEV(D6:D1198)+1E-12))</f>
        <v/>
      </c>
      <c r="F582" s="3">
        <f>IF('3a Raw'!E582="","",MAX(-3,MIN(3,('3a Raw'!E582-$F3)/$F4)))</f>
        <v/>
      </c>
      <c r="G582" s="3">
        <f>IF(F582="","",(F582-AVERAGE(F6:F1198))/(STDEV(F6:F1198)+1E-12))</f>
        <v/>
      </c>
      <c r="H582" s="3">
        <f>IF('3a Raw'!F582="","",MAX(-3,MIN(3,('3a Raw'!F582-$H3)/$H4)))</f>
        <v/>
      </c>
      <c r="I582" s="3">
        <f>IF(H582="","",(H582-AVERAGE(H6:H1198))/(STDEV(H6:H1198)+1E-12))</f>
        <v/>
      </c>
      <c r="J582" s="3">
        <f>IF('3a Raw'!G582="","",MAX(-3,MIN(3,('3a Raw'!G582-$J3)/$J4)))</f>
        <v/>
      </c>
      <c r="K582" s="3">
        <f>IF(J582="","",(J582-AVERAGE(J6:J1198))/(STDEV(J6:J1198)+1E-12))</f>
        <v/>
      </c>
      <c r="L582" s="3">
        <f>IF('3a Raw'!H582="","",MAX(-3,MIN(3,('3a Raw'!H582-$L3)/$L4)))</f>
        <v/>
      </c>
      <c r="M582" s="3">
        <f>IF(L582="","",(L582-AVERAGE(L6:L1198))/(STDEV(L6:L1198)+1E-12))</f>
        <v/>
      </c>
      <c r="N582" s="3">
        <f>IF('3a Raw'!I582="","",MAX(-3,MIN(3,('3a Raw'!I582-$N3)/$N4)))</f>
        <v/>
      </c>
      <c r="O582" s="3">
        <f>IF(N582="","",(N582-AVERAGE(N6:N1198))/(STDEV(N6:N1198)+1E-12))</f>
        <v/>
      </c>
      <c r="P582" s="3">
        <f>IF('3a Raw'!J582="","",MAX(-3,MIN(3,('3a Raw'!J582-$P3)/$P4)))</f>
        <v/>
      </c>
      <c r="Q582" s="3">
        <f>IF(P582="","",(P582-AVERAGE(P6:P1198))/(STDEV(P6:P1198)+1E-12))</f>
        <v/>
      </c>
      <c r="R582" s="3">
        <f>IF('3a Raw'!K582="","",MAX(-3,MIN(3,('3a Raw'!K582-$R3)/$R4)))</f>
        <v/>
      </c>
      <c r="S582" s="3">
        <f>IF(R582="","",(R582-AVERAGE(R6:R1198))/(STDEV(R6:R1198)+1E-12))</f>
        <v/>
      </c>
      <c r="T582" s="3">
        <f>IF('3a Raw'!L582="","",MAX(-3,MIN(3,('3a Raw'!L582-$T3)/$T4)))</f>
        <v/>
      </c>
      <c r="U582" s="3">
        <f>IF(T582="","",(T582-AVERAGE(T6:T1198))/(STDEV(T6:T1198)+1E-12))</f>
        <v/>
      </c>
      <c r="X582" s="3">
        <f>IF(U582="","",U582-($V$3*G582+$W$3))</f>
        <v/>
      </c>
      <c r="Y582" s="3">
        <f>IF(X582="","",MAX(-3,MIN(3,(X582-$X3)/$X4)))</f>
        <v/>
      </c>
      <c r="Z582" s="3">
        <f>IF(Y582="","",(Y582-AVERAGE(Y6:Y1198))/(STDEV(Y6:Y1198)+1E-12))</f>
        <v/>
      </c>
    </row>
    <row r="583">
      <c r="A583" t="inlineStr">
        <is>
          <t>BBG000DMBXR2</t>
        </is>
      </c>
      <c r="B583" s="3">
        <f>IF('3a Raw'!C583="","",MAX(-3,MIN(3,('3a Raw'!C583-$B3)/$B4)))</f>
        <v/>
      </c>
      <c r="C583" s="3">
        <f>IF(B583="","",(B583-AVERAGE(B6:B1198))/(STDEV(B6:B1198)+1E-12))</f>
        <v/>
      </c>
      <c r="D583" s="3">
        <f>IF('3a Raw'!D583="","",MAX(-3,MIN(3,('3a Raw'!D583-$D3)/$D4)))</f>
        <v/>
      </c>
      <c r="E583" s="3">
        <f>IF(D583="","",(D583-AVERAGE(D6:D1198))/(STDEV(D6:D1198)+1E-12))</f>
        <v/>
      </c>
      <c r="F583" s="3">
        <f>IF('3a Raw'!E583="","",MAX(-3,MIN(3,('3a Raw'!E583-$F3)/$F4)))</f>
        <v/>
      </c>
      <c r="G583" s="3">
        <f>IF(F583="","",(F583-AVERAGE(F6:F1198))/(STDEV(F6:F1198)+1E-12))</f>
        <v/>
      </c>
      <c r="H583" s="3">
        <f>IF('3a Raw'!F583="","",MAX(-3,MIN(3,('3a Raw'!F583-$H3)/$H4)))</f>
        <v/>
      </c>
      <c r="I583" s="3">
        <f>IF(H583="","",(H583-AVERAGE(H6:H1198))/(STDEV(H6:H1198)+1E-12))</f>
        <v/>
      </c>
      <c r="J583" s="3">
        <f>IF('3a Raw'!G583="","",MAX(-3,MIN(3,('3a Raw'!G583-$J3)/$J4)))</f>
        <v/>
      </c>
      <c r="K583" s="3">
        <f>IF(J583="","",(J583-AVERAGE(J6:J1198))/(STDEV(J6:J1198)+1E-12))</f>
        <v/>
      </c>
      <c r="L583" s="3">
        <f>IF('3a Raw'!H583="","",MAX(-3,MIN(3,('3a Raw'!H583-$L3)/$L4)))</f>
        <v/>
      </c>
      <c r="M583" s="3">
        <f>IF(L583="","",(L583-AVERAGE(L6:L1198))/(STDEV(L6:L1198)+1E-12))</f>
        <v/>
      </c>
      <c r="N583" s="3">
        <f>IF('3a Raw'!I583="","",MAX(-3,MIN(3,('3a Raw'!I583-$N3)/$N4)))</f>
        <v/>
      </c>
      <c r="O583" s="3">
        <f>IF(N583="","",(N583-AVERAGE(N6:N1198))/(STDEV(N6:N1198)+1E-12))</f>
        <v/>
      </c>
      <c r="P583" s="3">
        <f>IF('3a Raw'!J583="","",MAX(-3,MIN(3,('3a Raw'!J583-$P3)/$P4)))</f>
        <v/>
      </c>
      <c r="Q583" s="3">
        <f>IF(P583="","",(P583-AVERAGE(P6:P1198))/(STDEV(P6:P1198)+1E-12))</f>
        <v/>
      </c>
      <c r="R583" s="3">
        <f>IF('3a Raw'!K583="","",MAX(-3,MIN(3,('3a Raw'!K583-$R3)/$R4)))</f>
        <v/>
      </c>
      <c r="S583" s="3">
        <f>IF(R583="","",(R583-AVERAGE(R6:R1198))/(STDEV(R6:R1198)+1E-12))</f>
        <v/>
      </c>
      <c r="T583" s="3">
        <f>IF('3a Raw'!L583="","",MAX(-3,MIN(3,('3a Raw'!L583-$T3)/$T4)))</f>
        <v/>
      </c>
      <c r="U583" s="3">
        <f>IF(T583="","",(T583-AVERAGE(T6:T1198))/(STDEV(T6:T1198)+1E-12))</f>
        <v/>
      </c>
      <c r="X583" s="3">
        <f>IF(U583="","",U583-($V$3*G583+$W$3))</f>
        <v/>
      </c>
      <c r="Y583" s="3">
        <f>IF(X583="","",MAX(-3,MIN(3,(X583-$X3)/$X4)))</f>
        <v/>
      </c>
      <c r="Z583" s="3">
        <f>IF(Y583="","",(Y583-AVERAGE(Y6:Y1198))/(STDEV(Y6:Y1198)+1E-12))</f>
        <v/>
      </c>
    </row>
    <row r="584">
      <c r="A584" t="inlineStr">
        <is>
          <t>BBG00922Y5Z6</t>
        </is>
      </c>
      <c r="B584" s="3">
        <f>IF('3a Raw'!C584="","",MAX(-3,MIN(3,('3a Raw'!C584-$B3)/$B4)))</f>
        <v/>
      </c>
      <c r="C584" s="3">
        <f>IF(B584="","",(B584-AVERAGE(B6:B1198))/(STDEV(B6:B1198)+1E-12))</f>
        <v/>
      </c>
      <c r="D584" s="3">
        <f>IF('3a Raw'!D584="","",MAX(-3,MIN(3,('3a Raw'!D584-$D3)/$D4)))</f>
        <v/>
      </c>
      <c r="E584" s="3">
        <f>IF(D584="","",(D584-AVERAGE(D6:D1198))/(STDEV(D6:D1198)+1E-12))</f>
        <v/>
      </c>
      <c r="F584" s="3">
        <f>IF('3a Raw'!E584="","",MAX(-3,MIN(3,('3a Raw'!E584-$F3)/$F4)))</f>
        <v/>
      </c>
      <c r="G584" s="3">
        <f>IF(F584="","",(F584-AVERAGE(F6:F1198))/(STDEV(F6:F1198)+1E-12))</f>
        <v/>
      </c>
      <c r="H584" s="3">
        <f>IF('3a Raw'!F584="","",MAX(-3,MIN(3,('3a Raw'!F584-$H3)/$H4)))</f>
        <v/>
      </c>
      <c r="I584" s="3">
        <f>IF(H584="","",(H584-AVERAGE(H6:H1198))/(STDEV(H6:H1198)+1E-12))</f>
        <v/>
      </c>
      <c r="J584" s="3">
        <f>IF('3a Raw'!G584="","",MAX(-3,MIN(3,('3a Raw'!G584-$J3)/$J4)))</f>
        <v/>
      </c>
      <c r="K584" s="3">
        <f>IF(J584="","",(J584-AVERAGE(J6:J1198))/(STDEV(J6:J1198)+1E-12))</f>
        <v/>
      </c>
      <c r="L584" s="3">
        <f>IF('3a Raw'!H584="","",MAX(-3,MIN(3,('3a Raw'!H584-$L3)/$L4)))</f>
        <v/>
      </c>
      <c r="M584" s="3">
        <f>IF(L584="","",(L584-AVERAGE(L6:L1198))/(STDEV(L6:L1198)+1E-12))</f>
        <v/>
      </c>
      <c r="N584" s="3">
        <f>IF('3a Raw'!I584="","",MAX(-3,MIN(3,('3a Raw'!I584-$N3)/$N4)))</f>
        <v/>
      </c>
      <c r="O584" s="3">
        <f>IF(N584="","",(N584-AVERAGE(N6:N1198))/(STDEV(N6:N1198)+1E-12))</f>
        <v/>
      </c>
      <c r="P584" s="3">
        <f>IF('3a Raw'!J584="","",MAX(-3,MIN(3,('3a Raw'!J584-$P3)/$P4)))</f>
        <v/>
      </c>
      <c r="Q584" s="3">
        <f>IF(P584="","",(P584-AVERAGE(P6:P1198))/(STDEV(P6:P1198)+1E-12))</f>
        <v/>
      </c>
      <c r="R584" s="3">
        <f>IF('3a Raw'!K584="","",MAX(-3,MIN(3,('3a Raw'!K584-$R3)/$R4)))</f>
        <v/>
      </c>
      <c r="S584" s="3">
        <f>IF(R584="","",(R584-AVERAGE(R6:R1198))/(STDEV(R6:R1198)+1E-12))</f>
        <v/>
      </c>
      <c r="T584" s="3">
        <f>IF('3a Raw'!L584="","",MAX(-3,MIN(3,('3a Raw'!L584-$T3)/$T4)))</f>
        <v/>
      </c>
      <c r="U584" s="3">
        <f>IF(T584="","",(T584-AVERAGE(T6:T1198))/(STDEV(T6:T1198)+1E-12))</f>
        <v/>
      </c>
      <c r="X584" s="3">
        <f>IF(U584="","",U584-($V$3*G584+$W$3))</f>
        <v/>
      </c>
      <c r="Y584" s="3">
        <f>IF(X584="","",MAX(-3,MIN(3,(X584-$X3)/$X4)))</f>
        <v/>
      </c>
      <c r="Z584" s="3">
        <f>IF(Y584="","",(Y584-AVERAGE(Y6:Y1198))/(STDEV(Y6:Y1198)+1E-12))</f>
        <v/>
      </c>
    </row>
    <row r="585">
      <c r="A585" t="inlineStr">
        <is>
          <t>BBG000BMLWX8</t>
        </is>
      </c>
      <c r="B585" s="3">
        <f>IF('3a Raw'!C585="","",MAX(-3,MIN(3,('3a Raw'!C585-$B3)/$B4)))</f>
        <v/>
      </c>
      <c r="C585" s="3">
        <f>IF(B585="","",(B585-AVERAGE(B6:B1198))/(STDEV(B6:B1198)+1E-12))</f>
        <v/>
      </c>
      <c r="D585" s="3">
        <f>IF('3a Raw'!D585="","",MAX(-3,MIN(3,('3a Raw'!D585-$D3)/$D4)))</f>
        <v/>
      </c>
      <c r="E585" s="3">
        <f>IF(D585="","",(D585-AVERAGE(D6:D1198))/(STDEV(D6:D1198)+1E-12))</f>
        <v/>
      </c>
      <c r="F585" s="3">
        <f>IF('3a Raw'!E585="","",MAX(-3,MIN(3,('3a Raw'!E585-$F3)/$F4)))</f>
        <v/>
      </c>
      <c r="G585" s="3">
        <f>IF(F585="","",(F585-AVERAGE(F6:F1198))/(STDEV(F6:F1198)+1E-12))</f>
        <v/>
      </c>
      <c r="H585" s="3">
        <f>IF('3a Raw'!F585="","",MAX(-3,MIN(3,('3a Raw'!F585-$H3)/$H4)))</f>
        <v/>
      </c>
      <c r="I585" s="3">
        <f>IF(H585="","",(H585-AVERAGE(H6:H1198))/(STDEV(H6:H1198)+1E-12))</f>
        <v/>
      </c>
      <c r="J585" s="3">
        <f>IF('3a Raw'!G585="","",MAX(-3,MIN(3,('3a Raw'!G585-$J3)/$J4)))</f>
        <v/>
      </c>
      <c r="K585" s="3">
        <f>IF(J585="","",(J585-AVERAGE(J6:J1198))/(STDEV(J6:J1198)+1E-12))</f>
        <v/>
      </c>
      <c r="L585" s="3">
        <f>IF('3a Raw'!H585="","",MAX(-3,MIN(3,('3a Raw'!H585-$L3)/$L4)))</f>
        <v/>
      </c>
      <c r="M585" s="3">
        <f>IF(L585="","",(L585-AVERAGE(L6:L1198))/(STDEV(L6:L1198)+1E-12))</f>
        <v/>
      </c>
      <c r="N585" s="3">
        <f>IF('3a Raw'!I585="","",MAX(-3,MIN(3,('3a Raw'!I585-$N3)/$N4)))</f>
        <v/>
      </c>
      <c r="O585" s="3">
        <f>IF(N585="","",(N585-AVERAGE(N6:N1198))/(STDEV(N6:N1198)+1E-12))</f>
        <v/>
      </c>
      <c r="P585" s="3">
        <f>IF('3a Raw'!J585="","",MAX(-3,MIN(3,('3a Raw'!J585-$P3)/$P4)))</f>
        <v/>
      </c>
      <c r="Q585" s="3">
        <f>IF(P585="","",(P585-AVERAGE(P6:P1198))/(STDEV(P6:P1198)+1E-12))</f>
        <v/>
      </c>
      <c r="R585" s="3">
        <f>IF('3a Raw'!K585="","",MAX(-3,MIN(3,('3a Raw'!K585-$R3)/$R4)))</f>
        <v/>
      </c>
      <c r="S585" s="3">
        <f>IF(R585="","",(R585-AVERAGE(R6:R1198))/(STDEV(R6:R1198)+1E-12))</f>
        <v/>
      </c>
      <c r="T585" s="3">
        <f>IF('3a Raw'!L585="","",MAX(-3,MIN(3,('3a Raw'!L585-$T3)/$T4)))</f>
        <v/>
      </c>
      <c r="U585" s="3">
        <f>IF(T585="","",(T585-AVERAGE(T6:T1198))/(STDEV(T6:T1198)+1E-12))</f>
        <v/>
      </c>
      <c r="X585" s="3">
        <f>IF(U585="","",U585-($V$3*G585+$W$3))</f>
        <v/>
      </c>
      <c r="Y585" s="3">
        <f>IF(X585="","",MAX(-3,MIN(3,(X585-$X3)/$X4)))</f>
        <v/>
      </c>
      <c r="Z585" s="3">
        <f>IF(Y585="","",(Y585-AVERAGE(Y6:Y1198))/(STDEV(Y6:Y1198)+1E-12))</f>
        <v/>
      </c>
    </row>
    <row r="586">
      <c r="A586" t="inlineStr">
        <is>
          <t>BBG000P28YZ6</t>
        </is>
      </c>
      <c r="B586" s="3">
        <f>IF('3a Raw'!C586="","",MAX(-3,MIN(3,('3a Raw'!C586-$B3)/$B4)))</f>
        <v/>
      </c>
      <c r="C586" s="3">
        <f>IF(B586="","",(B586-AVERAGE(B6:B1198))/(STDEV(B6:B1198)+1E-12))</f>
        <v/>
      </c>
      <c r="D586" s="3">
        <f>IF('3a Raw'!D586="","",MAX(-3,MIN(3,('3a Raw'!D586-$D3)/$D4)))</f>
        <v/>
      </c>
      <c r="E586" s="3">
        <f>IF(D586="","",(D586-AVERAGE(D6:D1198))/(STDEV(D6:D1198)+1E-12))</f>
        <v/>
      </c>
      <c r="F586" s="3">
        <f>IF('3a Raw'!E586="","",MAX(-3,MIN(3,('3a Raw'!E586-$F3)/$F4)))</f>
        <v/>
      </c>
      <c r="G586" s="3">
        <f>IF(F586="","",(F586-AVERAGE(F6:F1198))/(STDEV(F6:F1198)+1E-12))</f>
        <v/>
      </c>
      <c r="H586" s="3">
        <f>IF('3a Raw'!F586="","",MAX(-3,MIN(3,('3a Raw'!F586-$H3)/$H4)))</f>
        <v/>
      </c>
      <c r="I586" s="3">
        <f>IF(H586="","",(H586-AVERAGE(H6:H1198))/(STDEV(H6:H1198)+1E-12))</f>
        <v/>
      </c>
      <c r="J586" s="3">
        <f>IF('3a Raw'!G586="","",MAX(-3,MIN(3,('3a Raw'!G586-$J3)/$J4)))</f>
        <v/>
      </c>
      <c r="K586" s="3">
        <f>IF(J586="","",(J586-AVERAGE(J6:J1198))/(STDEV(J6:J1198)+1E-12))</f>
        <v/>
      </c>
      <c r="L586" s="3">
        <f>IF('3a Raw'!H586="","",MAX(-3,MIN(3,('3a Raw'!H586-$L3)/$L4)))</f>
        <v/>
      </c>
      <c r="M586" s="3">
        <f>IF(L586="","",(L586-AVERAGE(L6:L1198))/(STDEV(L6:L1198)+1E-12))</f>
        <v/>
      </c>
      <c r="N586" s="3">
        <f>IF('3a Raw'!I586="","",MAX(-3,MIN(3,('3a Raw'!I586-$N3)/$N4)))</f>
        <v/>
      </c>
      <c r="O586" s="3">
        <f>IF(N586="","",(N586-AVERAGE(N6:N1198))/(STDEV(N6:N1198)+1E-12))</f>
        <v/>
      </c>
      <c r="P586" s="3">
        <f>IF('3a Raw'!J586="","",MAX(-3,MIN(3,('3a Raw'!J586-$P3)/$P4)))</f>
        <v/>
      </c>
      <c r="Q586" s="3">
        <f>IF(P586="","",(P586-AVERAGE(P6:P1198))/(STDEV(P6:P1198)+1E-12))</f>
        <v/>
      </c>
      <c r="R586" s="3">
        <f>IF('3a Raw'!K586="","",MAX(-3,MIN(3,('3a Raw'!K586-$R3)/$R4)))</f>
        <v/>
      </c>
      <c r="S586" s="3">
        <f>IF(R586="","",(R586-AVERAGE(R6:R1198))/(STDEV(R6:R1198)+1E-12))</f>
        <v/>
      </c>
      <c r="T586" s="3">
        <f>IF('3a Raw'!L586="","",MAX(-3,MIN(3,('3a Raw'!L586-$T3)/$T4)))</f>
        <v/>
      </c>
      <c r="U586" s="3">
        <f>IF(T586="","",(T586-AVERAGE(T6:T1198))/(STDEV(T6:T1198)+1E-12))</f>
        <v/>
      </c>
      <c r="X586" s="3">
        <f>IF(U586="","",U586-($V$3*G586+$W$3))</f>
        <v/>
      </c>
      <c r="Y586" s="3">
        <f>IF(X586="","",MAX(-3,MIN(3,(X586-$X3)/$X4)))</f>
        <v/>
      </c>
      <c r="Z586" s="3">
        <f>IF(Y586="","",(Y586-AVERAGE(Y6:Y1198))/(STDEV(Y6:Y1198)+1E-12))</f>
        <v/>
      </c>
    </row>
    <row r="587">
      <c r="A587" t="inlineStr">
        <is>
          <t>BBG012W99DN6</t>
        </is>
      </c>
      <c r="B587" s="3">
        <f>IF('3a Raw'!C587="","",MAX(-3,MIN(3,('3a Raw'!C587-$B3)/$B4)))</f>
        <v/>
      </c>
      <c r="C587" s="3">
        <f>IF(B587="","",(B587-AVERAGE(B6:B1198))/(STDEV(B6:B1198)+1E-12))</f>
        <v/>
      </c>
      <c r="D587" s="3">
        <f>IF('3a Raw'!D587="","",MAX(-3,MIN(3,('3a Raw'!D587-$D3)/$D4)))</f>
        <v/>
      </c>
      <c r="E587" s="3">
        <f>IF(D587="","",(D587-AVERAGE(D6:D1198))/(STDEV(D6:D1198)+1E-12))</f>
        <v/>
      </c>
      <c r="F587" s="3">
        <f>IF('3a Raw'!E587="","",MAX(-3,MIN(3,('3a Raw'!E587-$F3)/$F4)))</f>
        <v/>
      </c>
      <c r="G587" s="3">
        <f>IF(F587="","",(F587-AVERAGE(F6:F1198))/(STDEV(F6:F1198)+1E-12))</f>
        <v/>
      </c>
      <c r="H587" s="3">
        <f>IF('3a Raw'!F587="","",MAX(-3,MIN(3,('3a Raw'!F587-$H3)/$H4)))</f>
        <v/>
      </c>
      <c r="I587" s="3">
        <f>IF(H587="","",(H587-AVERAGE(H6:H1198))/(STDEV(H6:H1198)+1E-12))</f>
        <v/>
      </c>
      <c r="J587" s="3">
        <f>IF('3a Raw'!G587="","",MAX(-3,MIN(3,('3a Raw'!G587-$J3)/$J4)))</f>
        <v/>
      </c>
      <c r="K587" s="3">
        <f>IF(J587="","",(J587-AVERAGE(J6:J1198))/(STDEV(J6:J1198)+1E-12))</f>
        <v/>
      </c>
      <c r="L587" s="3">
        <f>IF('3a Raw'!H587="","",MAX(-3,MIN(3,('3a Raw'!H587-$L3)/$L4)))</f>
        <v/>
      </c>
      <c r="M587" s="3">
        <f>IF(L587="","",(L587-AVERAGE(L6:L1198))/(STDEV(L6:L1198)+1E-12))</f>
        <v/>
      </c>
      <c r="N587" s="3">
        <f>IF('3a Raw'!I587="","",MAX(-3,MIN(3,('3a Raw'!I587-$N3)/$N4)))</f>
        <v/>
      </c>
      <c r="O587" s="3">
        <f>IF(N587="","",(N587-AVERAGE(N6:N1198))/(STDEV(N6:N1198)+1E-12))</f>
        <v/>
      </c>
      <c r="P587" s="3">
        <f>IF('3a Raw'!J587="","",MAX(-3,MIN(3,('3a Raw'!J587-$P3)/$P4)))</f>
        <v/>
      </c>
      <c r="Q587" s="3">
        <f>IF(P587="","",(P587-AVERAGE(P6:P1198))/(STDEV(P6:P1198)+1E-12))</f>
        <v/>
      </c>
      <c r="R587" s="3">
        <f>IF('3a Raw'!K587="","",MAX(-3,MIN(3,('3a Raw'!K587-$R3)/$R4)))</f>
        <v/>
      </c>
      <c r="S587" s="3">
        <f>IF(R587="","",(R587-AVERAGE(R6:R1198))/(STDEV(R6:R1198)+1E-12))</f>
        <v/>
      </c>
      <c r="T587" s="3">
        <f>IF('3a Raw'!L587="","",MAX(-3,MIN(3,('3a Raw'!L587-$T3)/$T4)))</f>
        <v/>
      </c>
      <c r="U587" s="3">
        <f>IF(T587="","",(T587-AVERAGE(T6:T1198))/(STDEV(T6:T1198)+1E-12))</f>
        <v/>
      </c>
      <c r="X587" s="3">
        <f>IF(U587="","",U587-($V$3*G587+$W$3))</f>
        <v/>
      </c>
      <c r="Y587" s="3">
        <f>IF(X587="","",MAX(-3,MIN(3,(X587-$X3)/$X4)))</f>
        <v/>
      </c>
      <c r="Z587" s="3">
        <f>IF(Y587="","",(Y587-AVERAGE(Y6:Y1198))/(STDEV(Y6:Y1198)+1E-12))</f>
        <v/>
      </c>
    </row>
    <row r="588">
      <c r="A588" t="inlineStr">
        <is>
          <t>BBG01GWQM2H3</t>
        </is>
      </c>
      <c r="B588" s="3">
        <f>IF('3a Raw'!C588="","",MAX(-3,MIN(3,('3a Raw'!C588-$B3)/$B4)))</f>
        <v/>
      </c>
      <c r="C588" s="3">
        <f>IF(B588="","",(B588-AVERAGE(B6:B1198))/(STDEV(B6:B1198)+1E-12))</f>
        <v/>
      </c>
      <c r="D588" s="3">
        <f>IF('3a Raw'!D588="","",MAX(-3,MIN(3,('3a Raw'!D588-$D3)/$D4)))</f>
        <v/>
      </c>
      <c r="E588" s="3">
        <f>IF(D588="","",(D588-AVERAGE(D6:D1198))/(STDEV(D6:D1198)+1E-12))</f>
        <v/>
      </c>
      <c r="F588" s="3">
        <f>IF('3a Raw'!E588="","",MAX(-3,MIN(3,('3a Raw'!E588-$F3)/$F4)))</f>
        <v/>
      </c>
      <c r="G588" s="3">
        <f>IF(F588="","",(F588-AVERAGE(F6:F1198))/(STDEV(F6:F1198)+1E-12))</f>
        <v/>
      </c>
      <c r="H588" s="3">
        <f>IF('3a Raw'!F588="","",MAX(-3,MIN(3,('3a Raw'!F588-$H3)/$H4)))</f>
        <v/>
      </c>
      <c r="I588" s="3">
        <f>IF(H588="","",(H588-AVERAGE(H6:H1198))/(STDEV(H6:H1198)+1E-12))</f>
        <v/>
      </c>
      <c r="J588" s="3">
        <f>IF('3a Raw'!G588="","",MAX(-3,MIN(3,('3a Raw'!G588-$J3)/$J4)))</f>
        <v/>
      </c>
      <c r="K588" s="3">
        <f>IF(J588="","",(J588-AVERAGE(J6:J1198))/(STDEV(J6:J1198)+1E-12))</f>
        <v/>
      </c>
      <c r="L588" s="3">
        <f>IF('3a Raw'!H588="","",MAX(-3,MIN(3,('3a Raw'!H588-$L3)/$L4)))</f>
        <v/>
      </c>
      <c r="M588" s="3">
        <f>IF(L588="","",(L588-AVERAGE(L6:L1198))/(STDEV(L6:L1198)+1E-12))</f>
        <v/>
      </c>
      <c r="N588" s="3">
        <f>IF('3a Raw'!I588="","",MAX(-3,MIN(3,('3a Raw'!I588-$N3)/$N4)))</f>
        <v/>
      </c>
      <c r="O588" s="3">
        <f>IF(N588="","",(N588-AVERAGE(N6:N1198))/(STDEV(N6:N1198)+1E-12))</f>
        <v/>
      </c>
      <c r="P588" s="3">
        <f>IF('3a Raw'!J588="","",MAX(-3,MIN(3,('3a Raw'!J588-$P3)/$P4)))</f>
        <v/>
      </c>
      <c r="Q588" s="3">
        <f>IF(P588="","",(P588-AVERAGE(P6:P1198))/(STDEV(P6:P1198)+1E-12))</f>
        <v/>
      </c>
      <c r="R588" s="3">
        <f>IF('3a Raw'!K588="","",MAX(-3,MIN(3,('3a Raw'!K588-$R3)/$R4)))</f>
        <v/>
      </c>
      <c r="S588" s="3">
        <f>IF(R588="","",(R588-AVERAGE(R6:R1198))/(STDEV(R6:R1198)+1E-12))</f>
        <v/>
      </c>
      <c r="T588" s="3">
        <f>IF('3a Raw'!L588="","",MAX(-3,MIN(3,('3a Raw'!L588-$T3)/$T4)))</f>
        <v/>
      </c>
      <c r="U588" s="3">
        <f>IF(T588="","",(T588-AVERAGE(T6:T1198))/(STDEV(T6:T1198)+1E-12))</f>
        <v/>
      </c>
      <c r="X588" s="3">
        <f>IF(U588="","",U588-($V$3*G588+$W$3))</f>
        <v/>
      </c>
      <c r="Y588" s="3">
        <f>IF(X588="","",MAX(-3,MIN(3,(X588-$X3)/$X4)))</f>
        <v/>
      </c>
      <c r="Z588" s="3">
        <f>IF(Y588="","",(Y588-AVERAGE(Y6:Y1198))/(STDEV(Y6:Y1198)+1E-12))</f>
        <v/>
      </c>
    </row>
    <row r="589">
      <c r="A589" t="inlineStr">
        <is>
          <t>BBG000TJM7F0</t>
        </is>
      </c>
      <c r="B589" s="3">
        <f>IF('3a Raw'!C589="","",MAX(-3,MIN(3,('3a Raw'!C589-$B3)/$B4)))</f>
        <v/>
      </c>
      <c r="C589" s="3">
        <f>IF(B589="","",(B589-AVERAGE(B6:B1198))/(STDEV(B6:B1198)+1E-12))</f>
        <v/>
      </c>
      <c r="D589" s="3">
        <f>IF('3a Raw'!D589="","",MAX(-3,MIN(3,('3a Raw'!D589-$D3)/$D4)))</f>
        <v/>
      </c>
      <c r="E589" s="3">
        <f>IF(D589="","",(D589-AVERAGE(D6:D1198))/(STDEV(D6:D1198)+1E-12))</f>
        <v/>
      </c>
      <c r="F589" s="3">
        <f>IF('3a Raw'!E589="","",MAX(-3,MIN(3,('3a Raw'!E589-$F3)/$F4)))</f>
        <v/>
      </c>
      <c r="G589" s="3">
        <f>IF(F589="","",(F589-AVERAGE(F6:F1198))/(STDEV(F6:F1198)+1E-12))</f>
        <v/>
      </c>
      <c r="H589" s="3">
        <f>IF('3a Raw'!F589="","",MAX(-3,MIN(3,('3a Raw'!F589-$H3)/$H4)))</f>
        <v/>
      </c>
      <c r="I589" s="3">
        <f>IF(H589="","",(H589-AVERAGE(H6:H1198))/(STDEV(H6:H1198)+1E-12))</f>
        <v/>
      </c>
      <c r="J589" s="3">
        <f>IF('3a Raw'!G589="","",MAX(-3,MIN(3,('3a Raw'!G589-$J3)/$J4)))</f>
        <v/>
      </c>
      <c r="K589" s="3">
        <f>IF(J589="","",(J589-AVERAGE(J6:J1198))/(STDEV(J6:J1198)+1E-12))</f>
        <v/>
      </c>
      <c r="L589" s="3">
        <f>IF('3a Raw'!H589="","",MAX(-3,MIN(3,('3a Raw'!H589-$L3)/$L4)))</f>
        <v/>
      </c>
      <c r="M589" s="3">
        <f>IF(L589="","",(L589-AVERAGE(L6:L1198))/(STDEV(L6:L1198)+1E-12))</f>
        <v/>
      </c>
      <c r="N589" s="3">
        <f>IF('3a Raw'!I589="","",MAX(-3,MIN(3,('3a Raw'!I589-$N3)/$N4)))</f>
        <v/>
      </c>
      <c r="O589" s="3">
        <f>IF(N589="","",(N589-AVERAGE(N6:N1198))/(STDEV(N6:N1198)+1E-12))</f>
        <v/>
      </c>
      <c r="P589" s="3">
        <f>IF('3a Raw'!J589="","",MAX(-3,MIN(3,('3a Raw'!J589-$P3)/$P4)))</f>
        <v/>
      </c>
      <c r="Q589" s="3">
        <f>IF(P589="","",(P589-AVERAGE(P6:P1198))/(STDEV(P6:P1198)+1E-12))</f>
        <v/>
      </c>
      <c r="R589" s="3">
        <f>IF('3a Raw'!K589="","",MAX(-3,MIN(3,('3a Raw'!K589-$R3)/$R4)))</f>
        <v/>
      </c>
      <c r="S589" s="3">
        <f>IF(R589="","",(R589-AVERAGE(R6:R1198))/(STDEV(R6:R1198)+1E-12))</f>
        <v/>
      </c>
      <c r="T589" s="3">
        <f>IF('3a Raw'!L589="","",MAX(-3,MIN(3,('3a Raw'!L589-$T3)/$T4)))</f>
        <v/>
      </c>
      <c r="U589" s="3">
        <f>IF(T589="","",(T589-AVERAGE(T6:T1198))/(STDEV(T6:T1198)+1E-12))</f>
        <v/>
      </c>
      <c r="X589" s="3">
        <f>IF(U589="","",U589-($V$3*G589+$W$3))</f>
        <v/>
      </c>
      <c r="Y589" s="3">
        <f>IF(X589="","",MAX(-3,MIN(3,(X589-$X3)/$X4)))</f>
        <v/>
      </c>
      <c r="Z589" s="3">
        <f>IF(Y589="","",(Y589-AVERAGE(Y6:Y1198))/(STDEV(Y6:Y1198)+1E-12))</f>
        <v/>
      </c>
    </row>
    <row r="590">
      <c r="A590" t="inlineStr">
        <is>
          <t>BBG000BMQPL1</t>
        </is>
      </c>
      <c r="B590" s="3">
        <f>IF('3a Raw'!C590="","",MAX(-3,MIN(3,('3a Raw'!C590-$B3)/$B4)))</f>
        <v/>
      </c>
      <c r="C590" s="3">
        <f>IF(B590="","",(B590-AVERAGE(B6:B1198))/(STDEV(B6:B1198)+1E-12))</f>
        <v/>
      </c>
      <c r="D590" s="3">
        <f>IF('3a Raw'!D590="","",MAX(-3,MIN(3,('3a Raw'!D590-$D3)/$D4)))</f>
        <v/>
      </c>
      <c r="E590" s="3">
        <f>IF(D590="","",(D590-AVERAGE(D6:D1198))/(STDEV(D6:D1198)+1E-12))</f>
        <v/>
      </c>
      <c r="F590" s="3">
        <f>IF('3a Raw'!E590="","",MAX(-3,MIN(3,('3a Raw'!E590-$F3)/$F4)))</f>
        <v/>
      </c>
      <c r="G590" s="3">
        <f>IF(F590="","",(F590-AVERAGE(F6:F1198))/(STDEV(F6:F1198)+1E-12))</f>
        <v/>
      </c>
      <c r="H590" s="3">
        <f>IF('3a Raw'!F590="","",MAX(-3,MIN(3,('3a Raw'!F590-$H3)/$H4)))</f>
        <v/>
      </c>
      <c r="I590" s="3">
        <f>IF(H590="","",(H590-AVERAGE(H6:H1198))/(STDEV(H6:H1198)+1E-12))</f>
        <v/>
      </c>
      <c r="J590" s="3">
        <f>IF('3a Raw'!G590="","",MAX(-3,MIN(3,('3a Raw'!G590-$J3)/$J4)))</f>
        <v/>
      </c>
      <c r="K590" s="3">
        <f>IF(J590="","",(J590-AVERAGE(J6:J1198))/(STDEV(J6:J1198)+1E-12))</f>
        <v/>
      </c>
      <c r="L590" s="3">
        <f>IF('3a Raw'!H590="","",MAX(-3,MIN(3,('3a Raw'!H590-$L3)/$L4)))</f>
        <v/>
      </c>
      <c r="M590" s="3">
        <f>IF(L590="","",(L590-AVERAGE(L6:L1198))/(STDEV(L6:L1198)+1E-12))</f>
        <v/>
      </c>
      <c r="N590" s="3">
        <f>IF('3a Raw'!I590="","",MAX(-3,MIN(3,('3a Raw'!I590-$N3)/$N4)))</f>
        <v/>
      </c>
      <c r="O590" s="3">
        <f>IF(N590="","",(N590-AVERAGE(N6:N1198))/(STDEV(N6:N1198)+1E-12))</f>
        <v/>
      </c>
      <c r="P590" s="3">
        <f>IF('3a Raw'!J590="","",MAX(-3,MIN(3,('3a Raw'!J590-$P3)/$P4)))</f>
        <v/>
      </c>
      <c r="Q590" s="3">
        <f>IF(P590="","",(P590-AVERAGE(P6:P1198))/(STDEV(P6:P1198)+1E-12))</f>
        <v/>
      </c>
      <c r="R590" s="3">
        <f>IF('3a Raw'!K590="","",MAX(-3,MIN(3,('3a Raw'!K590-$R3)/$R4)))</f>
        <v/>
      </c>
      <c r="S590" s="3">
        <f>IF(R590="","",(R590-AVERAGE(R6:R1198))/(STDEV(R6:R1198)+1E-12))</f>
        <v/>
      </c>
      <c r="T590" s="3">
        <f>IF('3a Raw'!L590="","",MAX(-3,MIN(3,('3a Raw'!L590-$T3)/$T4)))</f>
        <v/>
      </c>
      <c r="U590" s="3">
        <f>IF(T590="","",(T590-AVERAGE(T6:T1198))/(STDEV(T6:T1198)+1E-12))</f>
        <v/>
      </c>
      <c r="X590" s="3">
        <f>IF(U590="","",U590-($V$3*G590+$W$3))</f>
        <v/>
      </c>
      <c r="Y590" s="3">
        <f>IF(X590="","",MAX(-3,MIN(3,(X590-$X3)/$X4)))</f>
        <v/>
      </c>
      <c r="Z590" s="3">
        <f>IF(Y590="","",(Y590-AVERAGE(Y6:Y1198))/(STDEV(Y6:Y1198)+1E-12))</f>
        <v/>
      </c>
    </row>
    <row r="591">
      <c r="A591" t="inlineStr">
        <is>
          <t>keys</t>
        </is>
      </c>
      <c r="B591" s="3">
        <f>IF('3a Raw'!C591="","",MAX(-3,MIN(3,('3a Raw'!C591-$B3)/$B4)))</f>
        <v/>
      </c>
      <c r="C591" s="3">
        <f>IF(B591="","",(B591-AVERAGE(B6:B1198))/(STDEV(B6:B1198)+1E-12))</f>
        <v/>
      </c>
      <c r="D591" s="3">
        <f>IF('3a Raw'!D591="","",MAX(-3,MIN(3,('3a Raw'!D591-$D3)/$D4)))</f>
        <v/>
      </c>
      <c r="E591" s="3">
        <f>IF(D591="","",(D591-AVERAGE(D6:D1198))/(STDEV(D6:D1198)+1E-12))</f>
        <v/>
      </c>
      <c r="F591" s="3">
        <f>IF('3a Raw'!E591="","",MAX(-3,MIN(3,('3a Raw'!E591-$F3)/$F4)))</f>
        <v/>
      </c>
      <c r="G591" s="3">
        <f>IF(F591="","",(F591-AVERAGE(F6:F1198))/(STDEV(F6:F1198)+1E-12))</f>
        <v/>
      </c>
      <c r="H591" s="3">
        <f>IF('3a Raw'!F591="","",MAX(-3,MIN(3,('3a Raw'!F591-$H3)/$H4)))</f>
        <v/>
      </c>
      <c r="I591" s="3">
        <f>IF(H591="","",(H591-AVERAGE(H6:H1198))/(STDEV(H6:H1198)+1E-12))</f>
        <v/>
      </c>
      <c r="J591" s="3">
        <f>IF('3a Raw'!G591="","",MAX(-3,MIN(3,('3a Raw'!G591-$J3)/$J4)))</f>
        <v/>
      </c>
      <c r="K591" s="3">
        <f>IF(J591="","",(J591-AVERAGE(J6:J1198))/(STDEV(J6:J1198)+1E-12))</f>
        <v/>
      </c>
      <c r="L591" s="3">
        <f>IF('3a Raw'!H591="","",MAX(-3,MIN(3,('3a Raw'!H591-$L3)/$L4)))</f>
        <v/>
      </c>
      <c r="M591" s="3">
        <f>IF(L591="","",(L591-AVERAGE(L6:L1198))/(STDEV(L6:L1198)+1E-12))</f>
        <v/>
      </c>
      <c r="N591" s="3">
        <f>IF('3a Raw'!I591="","",MAX(-3,MIN(3,('3a Raw'!I591-$N3)/$N4)))</f>
        <v/>
      </c>
      <c r="O591" s="3">
        <f>IF(N591="","",(N591-AVERAGE(N6:N1198))/(STDEV(N6:N1198)+1E-12))</f>
        <v/>
      </c>
      <c r="P591" s="3">
        <f>IF('3a Raw'!J591="","",MAX(-3,MIN(3,('3a Raw'!J591-$P3)/$P4)))</f>
        <v/>
      </c>
      <c r="Q591" s="3">
        <f>IF(P591="","",(P591-AVERAGE(P6:P1198))/(STDEV(P6:P1198)+1E-12))</f>
        <v/>
      </c>
      <c r="R591" s="3">
        <f>IF('3a Raw'!K591="","",MAX(-3,MIN(3,('3a Raw'!K591-$R3)/$R4)))</f>
        <v/>
      </c>
      <c r="S591" s="3">
        <f>IF(R591="","",(R591-AVERAGE(R6:R1198))/(STDEV(R6:R1198)+1E-12))</f>
        <v/>
      </c>
      <c r="T591" s="3">
        <f>IF('3a Raw'!L591="","",MAX(-3,MIN(3,('3a Raw'!L591-$T3)/$T4)))</f>
        <v/>
      </c>
      <c r="U591" s="3">
        <f>IF(T591="","",(T591-AVERAGE(T6:T1198))/(STDEV(T6:T1198)+1E-12))</f>
        <v/>
      </c>
      <c r="X591" s="3">
        <f>IF(U591="","",U591-($V$3*G591+$W$3))</f>
        <v/>
      </c>
      <c r="Y591" s="3">
        <f>IF(X591="","",MAX(-3,MIN(3,(X591-$X3)/$X4)))</f>
        <v/>
      </c>
      <c r="Z591" s="3">
        <f>IF(Y591="","",(Y591-AVERAGE(Y6:Y1198))/(STDEV(Y6:Y1198)+1E-12))</f>
        <v/>
      </c>
    </row>
    <row r="592">
      <c r="A592" t="inlineStr">
        <is>
          <t>BBG005CPNTQ2</t>
        </is>
      </c>
      <c r="B592" s="3">
        <f>IF('3a Raw'!C592="","",MAX(-3,MIN(3,('3a Raw'!C592-$B3)/$B4)))</f>
        <v/>
      </c>
      <c r="C592" s="3">
        <f>IF(B592="","",(B592-AVERAGE(B6:B1198))/(STDEV(B6:B1198)+1E-12))</f>
        <v/>
      </c>
      <c r="D592" s="3">
        <f>IF('3a Raw'!D592="","",MAX(-3,MIN(3,('3a Raw'!D592-$D3)/$D4)))</f>
        <v/>
      </c>
      <c r="E592" s="3">
        <f>IF(D592="","",(D592-AVERAGE(D6:D1198))/(STDEV(D6:D1198)+1E-12))</f>
        <v/>
      </c>
      <c r="F592" s="3">
        <f>IF('3a Raw'!E592="","",MAX(-3,MIN(3,('3a Raw'!E592-$F3)/$F4)))</f>
        <v/>
      </c>
      <c r="G592" s="3">
        <f>IF(F592="","",(F592-AVERAGE(F6:F1198))/(STDEV(F6:F1198)+1E-12))</f>
        <v/>
      </c>
      <c r="H592" s="3">
        <f>IF('3a Raw'!F592="","",MAX(-3,MIN(3,('3a Raw'!F592-$H3)/$H4)))</f>
        <v/>
      </c>
      <c r="I592" s="3">
        <f>IF(H592="","",(H592-AVERAGE(H6:H1198))/(STDEV(H6:H1198)+1E-12))</f>
        <v/>
      </c>
      <c r="J592" s="3">
        <f>IF('3a Raw'!G592="","",MAX(-3,MIN(3,('3a Raw'!G592-$J3)/$J4)))</f>
        <v/>
      </c>
      <c r="K592" s="3">
        <f>IF(J592="","",(J592-AVERAGE(J6:J1198))/(STDEV(J6:J1198)+1E-12))</f>
        <v/>
      </c>
      <c r="L592" s="3">
        <f>IF('3a Raw'!H592="","",MAX(-3,MIN(3,('3a Raw'!H592-$L3)/$L4)))</f>
        <v/>
      </c>
      <c r="M592" s="3">
        <f>IF(L592="","",(L592-AVERAGE(L6:L1198))/(STDEV(L6:L1198)+1E-12))</f>
        <v/>
      </c>
      <c r="N592" s="3">
        <f>IF('3a Raw'!I592="","",MAX(-3,MIN(3,('3a Raw'!I592-$N3)/$N4)))</f>
        <v/>
      </c>
      <c r="O592" s="3">
        <f>IF(N592="","",(N592-AVERAGE(N6:N1198))/(STDEV(N6:N1198)+1E-12))</f>
        <v/>
      </c>
      <c r="P592" s="3">
        <f>IF('3a Raw'!J592="","",MAX(-3,MIN(3,('3a Raw'!J592-$P3)/$P4)))</f>
        <v/>
      </c>
      <c r="Q592" s="3">
        <f>IF(P592="","",(P592-AVERAGE(P6:P1198))/(STDEV(P6:P1198)+1E-12))</f>
        <v/>
      </c>
      <c r="R592" s="3">
        <f>IF('3a Raw'!K592="","",MAX(-3,MIN(3,('3a Raw'!K592-$R3)/$R4)))</f>
        <v/>
      </c>
      <c r="S592" s="3">
        <f>IF(R592="","",(R592-AVERAGE(R6:R1198))/(STDEV(R6:R1198)+1E-12))</f>
        <v/>
      </c>
      <c r="T592" s="3">
        <f>IF('3a Raw'!L592="","",MAX(-3,MIN(3,('3a Raw'!L592-$T3)/$T4)))</f>
        <v/>
      </c>
      <c r="U592" s="3">
        <f>IF(T592="","",(T592-AVERAGE(T6:T1198))/(STDEV(T6:T1198)+1E-12))</f>
        <v/>
      </c>
      <c r="X592" s="3">
        <f>IF(U592="","",U592-($V$3*G592+$W$3))</f>
        <v/>
      </c>
      <c r="Y592" s="3">
        <f>IF(X592="","",MAX(-3,MIN(3,(X592-$X3)/$X4)))</f>
        <v/>
      </c>
      <c r="Z592" s="3">
        <f>IF(Y592="","",(Y592-AVERAGE(Y6:Y1198))/(STDEV(Y6:Y1198)+1E-12))</f>
        <v/>
      </c>
    </row>
    <row r="593">
      <c r="A593" t="inlineStr">
        <is>
          <t>BBG000CN3S73</t>
        </is>
      </c>
      <c r="B593" s="3">
        <f>IF('3a Raw'!C593="","",MAX(-3,MIN(3,('3a Raw'!C593-$B3)/$B4)))</f>
        <v/>
      </c>
      <c r="C593" s="3">
        <f>IF(B593="","",(B593-AVERAGE(B6:B1198))/(STDEV(B6:B1198)+1E-12))</f>
        <v/>
      </c>
      <c r="D593" s="3">
        <f>IF('3a Raw'!D593="","",MAX(-3,MIN(3,('3a Raw'!D593-$D3)/$D4)))</f>
        <v/>
      </c>
      <c r="E593" s="3">
        <f>IF(D593="","",(D593-AVERAGE(D6:D1198))/(STDEV(D6:D1198)+1E-12))</f>
        <v/>
      </c>
      <c r="F593" s="3">
        <f>IF('3a Raw'!E593="","",MAX(-3,MIN(3,('3a Raw'!E593-$F3)/$F4)))</f>
        <v/>
      </c>
      <c r="G593" s="3">
        <f>IF(F593="","",(F593-AVERAGE(F6:F1198))/(STDEV(F6:F1198)+1E-12))</f>
        <v/>
      </c>
      <c r="H593" s="3">
        <f>IF('3a Raw'!F593="","",MAX(-3,MIN(3,('3a Raw'!F593-$H3)/$H4)))</f>
        <v/>
      </c>
      <c r="I593" s="3">
        <f>IF(H593="","",(H593-AVERAGE(H6:H1198))/(STDEV(H6:H1198)+1E-12))</f>
        <v/>
      </c>
      <c r="J593" s="3">
        <f>IF('3a Raw'!G593="","",MAX(-3,MIN(3,('3a Raw'!G593-$J3)/$J4)))</f>
        <v/>
      </c>
      <c r="K593" s="3">
        <f>IF(J593="","",(J593-AVERAGE(J6:J1198))/(STDEV(J6:J1198)+1E-12))</f>
        <v/>
      </c>
      <c r="L593" s="3">
        <f>IF('3a Raw'!H593="","",MAX(-3,MIN(3,('3a Raw'!H593-$L3)/$L4)))</f>
        <v/>
      </c>
      <c r="M593" s="3">
        <f>IF(L593="","",(L593-AVERAGE(L6:L1198))/(STDEV(L6:L1198)+1E-12))</f>
        <v/>
      </c>
      <c r="N593" s="3">
        <f>IF('3a Raw'!I593="","",MAX(-3,MIN(3,('3a Raw'!I593-$N3)/$N4)))</f>
        <v/>
      </c>
      <c r="O593" s="3">
        <f>IF(N593="","",(N593-AVERAGE(N6:N1198))/(STDEV(N6:N1198)+1E-12))</f>
        <v/>
      </c>
      <c r="P593" s="3">
        <f>IF('3a Raw'!J593="","",MAX(-3,MIN(3,('3a Raw'!J593-$P3)/$P4)))</f>
        <v/>
      </c>
      <c r="Q593" s="3">
        <f>IF(P593="","",(P593-AVERAGE(P6:P1198))/(STDEV(P6:P1198)+1E-12))</f>
        <v/>
      </c>
      <c r="R593" s="3">
        <f>IF('3a Raw'!K593="","",MAX(-3,MIN(3,('3a Raw'!K593-$R3)/$R4)))</f>
        <v/>
      </c>
      <c r="S593" s="3">
        <f>IF(R593="","",(R593-AVERAGE(R6:R1198))/(STDEV(R6:R1198)+1E-12))</f>
        <v/>
      </c>
      <c r="T593" s="3">
        <f>IF('3a Raw'!L593="","",MAX(-3,MIN(3,('3a Raw'!L593-$T3)/$T4)))</f>
        <v/>
      </c>
      <c r="U593" s="3">
        <f>IF(T593="","",(T593-AVERAGE(T6:T1198))/(STDEV(T6:T1198)+1E-12))</f>
        <v/>
      </c>
      <c r="X593" s="3">
        <f>IF(U593="","",U593-($V$3*G593+$W$3))</f>
        <v/>
      </c>
      <c r="Y593" s="3">
        <f>IF(X593="","",MAX(-3,MIN(3,(X593-$X3)/$X4)))</f>
        <v/>
      </c>
      <c r="Z593" s="3">
        <f>IF(Y593="","",(Y593-AVERAGE(Y6:Y1198))/(STDEV(Y6:Y1198)+1E-12))</f>
        <v/>
      </c>
    </row>
    <row r="594">
      <c r="A594" t="inlineStr">
        <is>
          <t>BBG000BCQ6J8</t>
        </is>
      </c>
      <c r="B594" s="3">
        <f>IF('3a Raw'!C594="","",MAX(-3,MIN(3,('3a Raw'!C594-$B3)/$B4)))</f>
        <v/>
      </c>
      <c r="C594" s="3">
        <f>IF(B594="","",(B594-AVERAGE(B6:B1198))/(STDEV(B6:B1198)+1E-12))</f>
        <v/>
      </c>
      <c r="D594" s="3">
        <f>IF('3a Raw'!D594="","",MAX(-3,MIN(3,('3a Raw'!D594-$D3)/$D4)))</f>
        <v/>
      </c>
      <c r="E594" s="3">
        <f>IF(D594="","",(D594-AVERAGE(D6:D1198))/(STDEV(D6:D1198)+1E-12))</f>
        <v/>
      </c>
      <c r="F594" s="3">
        <f>IF('3a Raw'!E594="","",MAX(-3,MIN(3,('3a Raw'!E594-$F3)/$F4)))</f>
        <v/>
      </c>
      <c r="G594" s="3">
        <f>IF(F594="","",(F594-AVERAGE(F6:F1198))/(STDEV(F6:F1198)+1E-12))</f>
        <v/>
      </c>
      <c r="H594" s="3">
        <f>IF('3a Raw'!F594="","",MAX(-3,MIN(3,('3a Raw'!F594-$H3)/$H4)))</f>
        <v/>
      </c>
      <c r="I594" s="3">
        <f>IF(H594="","",(H594-AVERAGE(H6:H1198))/(STDEV(H6:H1198)+1E-12))</f>
        <v/>
      </c>
      <c r="J594" s="3">
        <f>IF('3a Raw'!G594="","",MAX(-3,MIN(3,('3a Raw'!G594-$J3)/$J4)))</f>
        <v/>
      </c>
      <c r="K594" s="3">
        <f>IF(J594="","",(J594-AVERAGE(J6:J1198))/(STDEV(J6:J1198)+1E-12))</f>
        <v/>
      </c>
      <c r="L594" s="3">
        <f>IF('3a Raw'!H594="","",MAX(-3,MIN(3,('3a Raw'!H594-$L3)/$L4)))</f>
        <v/>
      </c>
      <c r="M594" s="3">
        <f>IF(L594="","",(L594-AVERAGE(L6:L1198))/(STDEV(L6:L1198)+1E-12))</f>
        <v/>
      </c>
      <c r="N594" s="3">
        <f>IF('3a Raw'!I594="","",MAX(-3,MIN(3,('3a Raw'!I594-$N3)/$N4)))</f>
        <v/>
      </c>
      <c r="O594" s="3">
        <f>IF(N594="","",(N594-AVERAGE(N6:N1198))/(STDEV(N6:N1198)+1E-12))</f>
        <v/>
      </c>
      <c r="P594" s="3">
        <f>IF('3a Raw'!J594="","",MAX(-3,MIN(3,('3a Raw'!J594-$P3)/$P4)))</f>
        <v/>
      </c>
      <c r="Q594" s="3">
        <f>IF(P594="","",(P594-AVERAGE(P6:P1198))/(STDEV(P6:P1198)+1E-12))</f>
        <v/>
      </c>
      <c r="R594" s="3">
        <f>IF('3a Raw'!K594="","",MAX(-3,MIN(3,('3a Raw'!K594-$R3)/$R4)))</f>
        <v/>
      </c>
      <c r="S594" s="3">
        <f>IF(R594="","",(R594-AVERAGE(R6:R1198))/(STDEV(R6:R1198)+1E-12))</f>
        <v/>
      </c>
      <c r="T594" s="3">
        <f>IF('3a Raw'!L594="","",MAX(-3,MIN(3,('3a Raw'!L594-$T3)/$T4)))</f>
        <v/>
      </c>
      <c r="U594" s="3">
        <f>IF(T594="","",(T594-AVERAGE(T6:T1198))/(STDEV(T6:T1198)+1E-12))</f>
        <v/>
      </c>
      <c r="X594" s="3">
        <f>IF(U594="","",U594-($V$3*G594+$W$3))</f>
        <v/>
      </c>
      <c r="Y594" s="3">
        <f>IF(X594="","",MAX(-3,MIN(3,(X594-$X3)/$X4)))</f>
        <v/>
      </c>
      <c r="Z594" s="3">
        <f>IF(Y594="","",(Y594-AVERAGE(Y6:Y1198))/(STDEV(Y6:Y1198)+1E-12))</f>
        <v/>
      </c>
    </row>
    <row r="595">
      <c r="A595" t="inlineStr">
        <is>
          <t>BBG000BMTFR4</t>
        </is>
      </c>
      <c r="B595" s="3">
        <f>IF('3a Raw'!C595="","",MAX(-3,MIN(3,('3a Raw'!C595-$B3)/$B4)))</f>
        <v/>
      </c>
      <c r="C595" s="3">
        <f>IF(B595="","",(B595-AVERAGE(B6:B1198))/(STDEV(B6:B1198)+1E-12))</f>
        <v/>
      </c>
      <c r="D595" s="3">
        <f>IF('3a Raw'!D595="","",MAX(-3,MIN(3,('3a Raw'!D595-$D3)/$D4)))</f>
        <v/>
      </c>
      <c r="E595" s="3">
        <f>IF(D595="","",(D595-AVERAGE(D6:D1198))/(STDEV(D6:D1198)+1E-12))</f>
        <v/>
      </c>
      <c r="F595" s="3">
        <f>IF('3a Raw'!E595="","",MAX(-3,MIN(3,('3a Raw'!E595-$F3)/$F4)))</f>
        <v/>
      </c>
      <c r="G595" s="3">
        <f>IF(F595="","",(F595-AVERAGE(F6:F1198))/(STDEV(F6:F1198)+1E-12))</f>
        <v/>
      </c>
      <c r="H595" s="3">
        <f>IF('3a Raw'!F595="","",MAX(-3,MIN(3,('3a Raw'!F595-$H3)/$H4)))</f>
        <v/>
      </c>
      <c r="I595" s="3">
        <f>IF(H595="","",(H595-AVERAGE(H6:H1198))/(STDEV(H6:H1198)+1E-12))</f>
        <v/>
      </c>
      <c r="J595" s="3">
        <f>IF('3a Raw'!G595="","",MAX(-3,MIN(3,('3a Raw'!G595-$J3)/$J4)))</f>
        <v/>
      </c>
      <c r="K595" s="3">
        <f>IF(J595="","",(J595-AVERAGE(J6:J1198))/(STDEV(J6:J1198)+1E-12))</f>
        <v/>
      </c>
      <c r="L595" s="3">
        <f>IF('3a Raw'!H595="","",MAX(-3,MIN(3,('3a Raw'!H595-$L3)/$L4)))</f>
        <v/>
      </c>
      <c r="M595" s="3">
        <f>IF(L595="","",(L595-AVERAGE(L6:L1198))/(STDEV(L6:L1198)+1E-12))</f>
        <v/>
      </c>
      <c r="N595" s="3">
        <f>IF('3a Raw'!I595="","",MAX(-3,MIN(3,('3a Raw'!I595-$N3)/$N4)))</f>
        <v/>
      </c>
      <c r="O595" s="3">
        <f>IF(N595="","",(N595-AVERAGE(N6:N1198))/(STDEV(N6:N1198)+1E-12))</f>
        <v/>
      </c>
      <c r="P595" s="3">
        <f>IF('3a Raw'!J595="","",MAX(-3,MIN(3,('3a Raw'!J595-$P3)/$P4)))</f>
        <v/>
      </c>
      <c r="Q595" s="3">
        <f>IF(P595="","",(P595-AVERAGE(P6:P1198))/(STDEV(P6:P1198)+1E-12))</f>
        <v/>
      </c>
      <c r="R595" s="3">
        <f>IF('3a Raw'!K595="","",MAX(-3,MIN(3,('3a Raw'!K595-$R3)/$R4)))</f>
        <v/>
      </c>
      <c r="S595" s="3">
        <f>IF(R595="","",(R595-AVERAGE(R6:R1198))/(STDEV(R6:R1198)+1E-12))</f>
        <v/>
      </c>
      <c r="T595" s="3">
        <f>IF('3a Raw'!L595="","",MAX(-3,MIN(3,('3a Raw'!L595-$T3)/$T4)))</f>
        <v/>
      </c>
      <c r="U595" s="3">
        <f>IF(T595="","",(T595-AVERAGE(T6:T1198))/(STDEV(T6:T1198)+1E-12))</f>
        <v/>
      </c>
      <c r="X595" s="3">
        <f>IF(U595="","",U595-($V$3*G595+$W$3))</f>
        <v/>
      </c>
      <c r="Y595" s="3">
        <f>IF(X595="","",MAX(-3,MIN(3,(X595-$X3)/$X4)))</f>
        <v/>
      </c>
      <c r="Z595" s="3">
        <f>IF(Y595="","",(Y595-AVERAGE(Y6:Y1198))/(STDEV(Y6:Y1198)+1E-12))</f>
        <v/>
      </c>
    </row>
    <row r="596">
      <c r="A596" t="inlineStr">
        <is>
          <t>BBG0132WLLM5</t>
        </is>
      </c>
      <c r="B596" s="3">
        <f>IF('3a Raw'!C596="","",MAX(-3,MIN(3,('3a Raw'!C596-$B3)/$B4)))</f>
        <v/>
      </c>
      <c r="C596" s="3">
        <f>IF(B596="","",(B596-AVERAGE(B6:B1198))/(STDEV(B6:B1198)+1E-12))</f>
        <v/>
      </c>
      <c r="D596" s="3">
        <f>IF('3a Raw'!D596="","",MAX(-3,MIN(3,('3a Raw'!D596-$D3)/$D4)))</f>
        <v/>
      </c>
      <c r="E596" s="3">
        <f>IF(D596="","",(D596-AVERAGE(D6:D1198))/(STDEV(D6:D1198)+1E-12))</f>
        <v/>
      </c>
      <c r="F596" s="3">
        <f>IF('3a Raw'!E596="","",MAX(-3,MIN(3,('3a Raw'!E596-$F3)/$F4)))</f>
        <v/>
      </c>
      <c r="G596" s="3">
        <f>IF(F596="","",(F596-AVERAGE(F6:F1198))/(STDEV(F6:F1198)+1E-12))</f>
        <v/>
      </c>
      <c r="H596" s="3">
        <f>IF('3a Raw'!F596="","",MAX(-3,MIN(3,('3a Raw'!F596-$H3)/$H4)))</f>
        <v/>
      </c>
      <c r="I596" s="3">
        <f>IF(H596="","",(H596-AVERAGE(H6:H1198))/(STDEV(H6:H1198)+1E-12))</f>
        <v/>
      </c>
      <c r="J596" s="3">
        <f>IF('3a Raw'!G596="","",MAX(-3,MIN(3,('3a Raw'!G596-$J3)/$J4)))</f>
        <v/>
      </c>
      <c r="K596" s="3">
        <f>IF(J596="","",(J596-AVERAGE(J6:J1198))/(STDEV(J6:J1198)+1E-12))</f>
        <v/>
      </c>
      <c r="L596" s="3">
        <f>IF('3a Raw'!H596="","",MAX(-3,MIN(3,('3a Raw'!H596-$L3)/$L4)))</f>
        <v/>
      </c>
      <c r="M596" s="3">
        <f>IF(L596="","",(L596-AVERAGE(L6:L1198))/(STDEV(L6:L1198)+1E-12))</f>
        <v/>
      </c>
      <c r="N596" s="3">
        <f>IF('3a Raw'!I596="","",MAX(-3,MIN(3,('3a Raw'!I596-$N3)/$N4)))</f>
        <v/>
      </c>
      <c r="O596" s="3">
        <f>IF(N596="","",(N596-AVERAGE(N6:N1198))/(STDEV(N6:N1198)+1E-12))</f>
        <v/>
      </c>
      <c r="P596" s="3">
        <f>IF('3a Raw'!J596="","",MAX(-3,MIN(3,('3a Raw'!J596-$P3)/$P4)))</f>
        <v/>
      </c>
      <c r="Q596" s="3">
        <f>IF(P596="","",(P596-AVERAGE(P6:P1198))/(STDEV(P6:P1198)+1E-12))</f>
        <v/>
      </c>
      <c r="R596" s="3">
        <f>IF('3a Raw'!K596="","",MAX(-3,MIN(3,('3a Raw'!K596-$R3)/$R4)))</f>
        <v/>
      </c>
      <c r="S596" s="3">
        <f>IF(R596="","",(R596-AVERAGE(R6:R1198))/(STDEV(R6:R1198)+1E-12))</f>
        <v/>
      </c>
      <c r="T596" s="3">
        <f>IF('3a Raw'!L596="","",MAX(-3,MIN(3,('3a Raw'!L596-$T3)/$T4)))</f>
        <v/>
      </c>
      <c r="U596" s="3">
        <f>IF(T596="","",(T596-AVERAGE(T6:T1198))/(STDEV(T6:T1198)+1E-12))</f>
        <v/>
      </c>
      <c r="X596" s="3">
        <f>IF(U596="","",U596-($V$3*G596+$W$3))</f>
        <v/>
      </c>
      <c r="Y596" s="3">
        <f>IF(X596="","",MAX(-3,MIN(3,(X596-$X3)/$X4)))</f>
        <v/>
      </c>
      <c r="Z596" s="3">
        <f>IF(Y596="","",(Y596-AVERAGE(Y6:Y1198))/(STDEV(Y6:Y1198)+1E-12))</f>
        <v/>
      </c>
    </row>
    <row r="597">
      <c r="A597" t="inlineStr">
        <is>
          <t>BBG000BMW2Z0</t>
        </is>
      </c>
      <c r="B597" s="3">
        <f>IF('3a Raw'!C597="","",MAX(-3,MIN(3,('3a Raw'!C597-$B3)/$B4)))</f>
        <v/>
      </c>
      <c r="C597" s="3">
        <f>IF(B597="","",(B597-AVERAGE(B6:B1198))/(STDEV(B6:B1198)+1E-12))</f>
        <v/>
      </c>
      <c r="D597" s="3">
        <f>IF('3a Raw'!D597="","",MAX(-3,MIN(3,('3a Raw'!D597-$D3)/$D4)))</f>
        <v/>
      </c>
      <c r="E597" s="3">
        <f>IF(D597="","",(D597-AVERAGE(D6:D1198))/(STDEV(D6:D1198)+1E-12))</f>
        <v/>
      </c>
      <c r="F597" s="3">
        <f>IF('3a Raw'!E597="","",MAX(-3,MIN(3,('3a Raw'!E597-$F3)/$F4)))</f>
        <v/>
      </c>
      <c r="G597" s="3">
        <f>IF(F597="","",(F597-AVERAGE(F6:F1198))/(STDEV(F6:F1198)+1E-12))</f>
        <v/>
      </c>
      <c r="H597" s="3">
        <f>IF('3a Raw'!F597="","",MAX(-3,MIN(3,('3a Raw'!F597-$H3)/$H4)))</f>
        <v/>
      </c>
      <c r="I597" s="3">
        <f>IF(H597="","",(H597-AVERAGE(H6:H1198))/(STDEV(H6:H1198)+1E-12))</f>
        <v/>
      </c>
      <c r="J597" s="3">
        <f>IF('3a Raw'!G597="","",MAX(-3,MIN(3,('3a Raw'!G597-$J3)/$J4)))</f>
        <v/>
      </c>
      <c r="K597" s="3">
        <f>IF(J597="","",(J597-AVERAGE(J6:J1198))/(STDEV(J6:J1198)+1E-12))</f>
        <v/>
      </c>
      <c r="L597" s="3">
        <f>IF('3a Raw'!H597="","",MAX(-3,MIN(3,('3a Raw'!H597-$L3)/$L4)))</f>
        <v/>
      </c>
      <c r="M597" s="3">
        <f>IF(L597="","",(L597-AVERAGE(L6:L1198))/(STDEV(L6:L1198)+1E-12))</f>
        <v/>
      </c>
      <c r="N597" s="3">
        <f>IF('3a Raw'!I597="","",MAX(-3,MIN(3,('3a Raw'!I597-$N3)/$N4)))</f>
        <v/>
      </c>
      <c r="O597" s="3">
        <f>IF(N597="","",(N597-AVERAGE(N6:N1198))/(STDEV(N6:N1198)+1E-12))</f>
        <v/>
      </c>
      <c r="P597" s="3">
        <f>IF('3a Raw'!J597="","",MAX(-3,MIN(3,('3a Raw'!J597-$P3)/$P4)))</f>
        <v/>
      </c>
      <c r="Q597" s="3">
        <f>IF(P597="","",(P597-AVERAGE(P6:P1198))/(STDEV(P6:P1198)+1E-12))</f>
        <v/>
      </c>
      <c r="R597" s="3">
        <f>IF('3a Raw'!K597="","",MAX(-3,MIN(3,('3a Raw'!K597-$R3)/$R4)))</f>
        <v/>
      </c>
      <c r="S597" s="3">
        <f>IF(R597="","",(R597-AVERAGE(R6:R1198))/(STDEV(R6:R1198)+1E-12))</f>
        <v/>
      </c>
      <c r="T597" s="3">
        <f>IF('3a Raw'!L597="","",MAX(-3,MIN(3,('3a Raw'!L597-$T3)/$T4)))</f>
        <v/>
      </c>
      <c r="U597" s="3">
        <f>IF(T597="","",(T597-AVERAGE(T6:T1198))/(STDEV(T6:T1198)+1E-12))</f>
        <v/>
      </c>
      <c r="X597" s="3">
        <f>IF(U597="","",U597-($V$3*G597+$W$3))</f>
        <v/>
      </c>
      <c r="Y597" s="3">
        <f>IF(X597="","",MAX(-3,MIN(3,(X597-$X3)/$X4)))</f>
        <v/>
      </c>
      <c r="Z597" s="3">
        <f>IF(Y597="","",(Y597-AVERAGE(Y6:Y1198))/(STDEV(Y6:Y1198)+1E-12))</f>
        <v/>
      </c>
    </row>
    <row r="598">
      <c r="A598" t="inlineStr">
        <is>
          <t>BBG0019JZ882</t>
        </is>
      </c>
      <c r="B598" s="3">
        <f>IF('3a Raw'!C598="","",MAX(-3,MIN(3,('3a Raw'!C598-$B3)/$B4)))</f>
        <v/>
      </c>
      <c r="C598" s="3">
        <f>IF(B598="","",(B598-AVERAGE(B6:B1198))/(STDEV(B6:B1198)+1E-12))</f>
        <v/>
      </c>
      <c r="D598" s="3">
        <f>IF('3a Raw'!D598="","",MAX(-3,MIN(3,('3a Raw'!D598-$D3)/$D4)))</f>
        <v/>
      </c>
      <c r="E598" s="3">
        <f>IF(D598="","",(D598-AVERAGE(D6:D1198))/(STDEV(D6:D1198)+1E-12))</f>
        <v/>
      </c>
      <c r="F598" s="3">
        <f>IF('3a Raw'!E598="","",MAX(-3,MIN(3,('3a Raw'!E598-$F3)/$F4)))</f>
        <v/>
      </c>
      <c r="G598" s="3">
        <f>IF(F598="","",(F598-AVERAGE(F6:F1198))/(STDEV(F6:F1198)+1E-12))</f>
        <v/>
      </c>
      <c r="H598" s="3">
        <f>IF('3a Raw'!F598="","",MAX(-3,MIN(3,('3a Raw'!F598-$H3)/$H4)))</f>
        <v/>
      </c>
      <c r="I598" s="3">
        <f>IF(H598="","",(H598-AVERAGE(H6:H1198))/(STDEV(H6:H1198)+1E-12))</f>
        <v/>
      </c>
      <c r="J598" s="3">
        <f>IF('3a Raw'!G598="","",MAX(-3,MIN(3,('3a Raw'!G598-$J3)/$J4)))</f>
        <v/>
      </c>
      <c r="K598" s="3">
        <f>IF(J598="","",(J598-AVERAGE(J6:J1198))/(STDEV(J6:J1198)+1E-12))</f>
        <v/>
      </c>
      <c r="L598" s="3">
        <f>IF('3a Raw'!H598="","",MAX(-3,MIN(3,('3a Raw'!H598-$L3)/$L4)))</f>
        <v/>
      </c>
      <c r="M598" s="3">
        <f>IF(L598="","",(L598-AVERAGE(L6:L1198))/(STDEV(L6:L1198)+1E-12))</f>
        <v/>
      </c>
      <c r="N598" s="3">
        <f>IF('3a Raw'!I598="","",MAX(-3,MIN(3,('3a Raw'!I598-$N3)/$N4)))</f>
        <v/>
      </c>
      <c r="O598" s="3">
        <f>IF(N598="","",(N598-AVERAGE(N6:N1198))/(STDEV(N6:N1198)+1E-12))</f>
        <v/>
      </c>
      <c r="P598" s="3">
        <f>IF('3a Raw'!J598="","",MAX(-3,MIN(3,('3a Raw'!J598-$P3)/$P4)))</f>
        <v/>
      </c>
      <c r="Q598" s="3">
        <f>IF(P598="","",(P598-AVERAGE(P6:P1198))/(STDEV(P6:P1198)+1E-12))</f>
        <v/>
      </c>
      <c r="R598" s="3">
        <f>IF('3a Raw'!K598="","",MAX(-3,MIN(3,('3a Raw'!K598-$R3)/$R4)))</f>
        <v/>
      </c>
      <c r="S598" s="3">
        <f>IF(R598="","",(R598-AVERAGE(R6:R1198))/(STDEV(R6:R1198)+1E-12))</f>
        <v/>
      </c>
      <c r="T598" s="3">
        <f>IF('3a Raw'!L598="","",MAX(-3,MIN(3,('3a Raw'!L598-$T3)/$T4)))</f>
        <v/>
      </c>
      <c r="U598" s="3">
        <f>IF(T598="","",(T598-AVERAGE(T6:T1198))/(STDEV(T6:T1198)+1E-12))</f>
        <v/>
      </c>
      <c r="X598" s="3">
        <f>IF(U598="","",U598-($V$3*G598+$W$3))</f>
        <v/>
      </c>
      <c r="Y598" s="3">
        <f>IF(X598="","",MAX(-3,MIN(3,(X598-$X3)/$X4)))</f>
        <v/>
      </c>
      <c r="Z598" s="3">
        <f>IF(Y598="","",(Y598-AVERAGE(Y6:Y1198))/(STDEV(Y6:Y1198)+1E-12))</f>
        <v/>
      </c>
    </row>
    <row r="599">
      <c r="A599" t="inlineStr">
        <is>
          <t>BBG000BLMZK6</t>
        </is>
      </c>
      <c r="B599" s="3">
        <f>IF('3a Raw'!C599="","",MAX(-3,MIN(3,('3a Raw'!C599-$B3)/$B4)))</f>
        <v/>
      </c>
      <c r="C599" s="3">
        <f>IF(B599="","",(B599-AVERAGE(B6:B1198))/(STDEV(B6:B1198)+1E-12))</f>
        <v/>
      </c>
      <c r="D599" s="3">
        <f>IF('3a Raw'!D599="","",MAX(-3,MIN(3,('3a Raw'!D599-$D3)/$D4)))</f>
        <v/>
      </c>
      <c r="E599" s="3">
        <f>IF(D599="","",(D599-AVERAGE(D6:D1198))/(STDEV(D6:D1198)+1E-12))</f>
        <v/>
      </c>
      <c r="F599" s="3">
        <f>IF('3a Raw'!E599="","",MAX(-3,MIN(3,('3a Raw'!E599-$F3)/$F4)))</f>
        <v/>
      </c>
      <c r="G599" s="3">
        <f>IF(F599="","",(F599-AVERAGE(F6:F1198))/(STDEV(F6:F1198)+1E-12))</f>
        <v/>
      </c>
      <c r="H599" s="3">
        <f>IF('3a Raw'!F599="","",MAX(-3,MIN(3,('3a Raw'!F599-$H3)/$H4)))</f>
        <v/>
      </c>
      <c r="I599" s="3">
        <f>IF(H599="","",(H599-AVERAGE(H6:H1198))/(STDEV(H6:H1198)+1E-12))</f>
        <v/>
      </c>
      <c r="J599" s="3">
        <f>IF('3a Raw'!G599="","",MAX(-3,MIN(3,('3a Raw'!G599-$J3)/$J4)))</f>
        <v/>
      </c>
      <c r="K599" s="3">
        <f>IF(J599="","",(J599-AVERAGE(J6:J1198))/(STDEV(J6:J1198)+1E-12))</f>
        <v/>
      </c>
      <c r="L599" s="3">
        <f>IF('3a Raw'!H599="","",MAX(-3,MIN(3,('3a Raw'!H599-$L3)/$L4)))</f>
        <v/>
      </c>
      <c r="M599" s="3">
        <f>IF(L599="","",(L599-AVERAGE(L6:L1198))/(STDEV(L6:L1198)+1E-12))</f>
        <v/>
      </c>
      <c r="N599" s="3">
        <f>IF('3a Raw'!I599="","",MAX(-3,MIN(3,('3a Raw'!I599-$N3)/$N4)))</f>
        <v/>
      </c>
      <c r="O599" s="3">
        <f>IF(N599="","",(N599-AVERAGE(N6:N1198))/(STDEV(N6:N1198)+1E-12))</f>
        <v/>
      </c>
      <c r="P599" s="3">
        <f>IF('3a Raw'!J599="","",MAX(-3,MIN(3,('3a Raw'!J599-$P3)/$P4)))</f>
        <v/>
      </c>
      <c r="Q599" s="3">
        <f>IF(P599="","",(P599-AVERAGE(P6:P1198))/(STDEV(P6:P1198)+1E-12))</f>
        <v/>
      </c>
      <c r="R599" s="3">
        <f>IF('3a Raw'!K599="","",MAX(-3,MIN(3,('3a Raw'!K599-$R3)/$R4)))</f>
        <v/>
      </c>
      <c r="S599" s="3">
        <f>IF(R599="","",(R599-AVERAGE(R6:R1198))/(STDEV(R6:R1198)+1E-12))</f>
        <v/>
      </c>
      <c r="T599" s="3">
        <f>IF('3a Raw'!L599="","",MAX(-3,MIN(3,('3a Raw'!L599-$T3)/$T4)))</f>
        <v/>
      </c>
      <c r="U599" s="3">
        <f>IF(T599="","",(T599-AVERAGE(T6:T1198))/(STDEV(T6:T1198)+1E-12))</f>
        <v/>
      </c>
      <c r="X599" s="3">
        <f>IF(U599="","",U599-($V$3*G599+$W$3))</f>
        <v/>
      </c>
      <c r="Y599" s="3">
        <f>IF(X599="","",MAX(-3,MIN(3,(X599-$X3)/$X4)))</f>
        <v/>
      </c>
      <c r="Z599" s="3">
        <f>IF(Y599="","",(Y599-AVERAGE(Y6:Y1198))/(STDEV(Y6:Y1198)+1E-12))</f>
        <v/>
      </c>
    </row>
    <row r="600">
      <c r="A600" t="inlineStr">
        <is>
          <t>BBG004M8M6J1</t>
        </is>
      </c>
      <c r="B600" s="3">
        <f>IF('3a Raw'!C600="","",MAX(-3,MIN(3,('3a Raw'!C600-$B3)/$B4)))</f>
        <v/>
      </c>
      <c r="C600" s="3">
        <f>IF(B600="","",(B600-AVERAGE(B6:B1198))/(STDEV(B6:B1198)+1E-12))</f>
        <v/>
      </c>
      <c r="D600" s="3">
        <f>IF('3a Raw'!D600="","",MAX(-3,MIN(3,('3a Raw'!D600-$D3)/$D4)))</f>
        <v/>
      </c>
      <c r="E600" s="3">
        <f>IF(D600="","",(D600-AVERAGE(D6:D1198))/(STDEV(D6:D1198)+1E-12))</f>
        <v/>
      </c>
      <c r="F600" s="3">
        <f>IF('3a Raw'!E600="","",MAX(-3,MIN(3,('3a Raw'!E600-$F3)/$F4)))</f>
        <v/>
      </c>
      <c r="G600" s="3">
        <f>IF(F600="","",(F600-AVERAGE(F6:F1198))/(STDEV(F6:F1198)+1E-12))</f>
        <v/>
      </c>
      <c r="H600" s="3">
        <f>IF('3a Raw'!F600="","",MAX(-3,MIN(3,('3a Raw'!F600-$H3)/$H4)))</f>
        <v/>
      </c>
      <c r="I600" s="3">
        <f>IF(H600="","",(H600-AVERAGE(H6:H1198))/(STDEV(H6:H1198)+1E-12))</f>
        <v/>
      </c>
      <c r="J600" s="3">
        <f>IF('3a Raw'!G600="","",MAX(-3,MIN(3,('3a Raw'!G600-$J3)/$J4)))</f>
        <v/>
      </c>
      <c r="K600" s="3">
        <f>IF(J600="","",(J600-AVERAGE(J6:J1198))/(STDEV(J6:J1198)+1E-12))</f>
        <v/>
      </c>
      <c r="L600" s="3">
        <f>IF('3a Raw'!H600="","",MAX(-3,MIN(3,('3a Raw'!H600-$L3)/$L4)))</f>
        <v/>
      </c>
      <c r="M600" s="3">
        <f>IF(L600="","",(L600-AVERAGE(L6:L1198))/(STDEV(L6:L1198)+1E-12))</f>
        <v/>
      </c>
      <c r="N600" s="3">
        <f>IF('3a Raw'!I600="","",MAX(-3,MIN(3,('3a Raw'!I600-$N3)/$N4)))</f>
        <v/>
      </c>
      <c r="O600" s="3">
        <f>IF(N600="","",(N600-AVERAGE(N6:N1198))/(STDEV(N6:N1198)+1E-12))</f>
        <v/>
      </c>
      <c r="P600" s="3">
        <f>IF('3a Raw'!J600="","",MAX(-3,MIN(3,('3a Raw'!J600-$P3)/$P4)))</f>
        <v/>
      </c>
      <c r="Q600" s="3">
        <f>IF(P600="","",(P600-AVERAGE(P6:P1198))/(STDEV(P6:P1198)+1E-12))</f>
        <v/>
      </c>
      <c r="R600" s="3">
        <f>IF('3a Raw'!K600="","",MAX(-3,MIN(3,('3a Raw'!K600-$R3)/$R4)))</f>
        <v/>
      </c>
      <c r="S600" s="3">
        <f>IF(R600="","",(R600-AVERAGE(R6:R1198))/(STDEV(R6:R1198)+1E-12))</f>
        <v/>
      </c>
      <c r="T600" s="3">
        <f>IF('3a Raw'!L600="","",MAX(-3,MIN(3,('3a Raw'!L600-$T3)/$T4)))</f>
        <v/>
      </c>
      <c r="U600" s="3">
        <f>IF(T600="","",(T600-AVERAGE(T6:T1198))/(STDEV(T6:T1198)+1E-12))</f>
        <v/>
      </c>
      <c r="X600" s="3">
        <f>IF(U600="","",U600-($V$3*G600+$W$3))</f>
        <v/>
      </c>
      <c r="Y600" s="3">
        <f>IF(X600="","",MAX(-3,MIN(3,(X600-$X3)/$X4)))</f>
        <v/>
      </c>
      <c r="Z600" s="3">
        <f>IF(Y600="","",(Y600-AVERAGE(Y6:Y1198))/(STDEV(Y6:Y1198)+1E-12))</f>
        <v/>
      </c>
    </row>
    <row r="601">
      <c r="A601" t="inlineStr">
        <is>
          <t>BBG00GCLZ7B8</t>
        </is>
      </c>
      <c r="B601" s="3">
        <f>IF('3a Raw'!C601="","",MAX(-3,MIN(3,('3a Raw'!C601-$B3)/$B4)))</f>
        <v/>
      </c>
      <c r="C601" s="3">
        <f>IF(B601="","",(B601-AVERAGE(B6:B1198))/(STDEV(B6:B1198)+1E-12))</f>
        <v/>
      </c>
      <c r="D601" s="3">
        <f>IF('3a Raw'!D601="","",MAX(-3,MIN(3,('3a Raw'!D601-$D3)/$D4)))</f>
        <v/>
      </c>
      <c r="E601" s="3">
        <f>IF(D601="","",(D601-AVERAGE(D6:D1198))/(STDEV(D6:D1198)+1E-12))</f>
        <v/>
      </c>
      <c r="F601" s="3">
        <f>IF('3a Raw'!E601="","",MAX(-3,MIN(3,('3a Raw'!E601-$F3)/$F4)))</f>
        <v/>
      </c>
      <c r="G601" s="3">
        <f>IF(F601="","",(F601-AVERAGE(F6:F1198))/(STDEV(F6:F1198)+1E-12))</f>
        <v/>
      </c>
      <c r="H601" s="3">
        <f>IF('3a Raw'!F601="","",MAX(-3,MIN(3,('3a Raw'!F601-$H3)/$H4)))</f>
        <v/>
      </c>
      <c r="I601" s="3">
        <f>IF(H601="","",(H601-AVERAGE(H6:H1198))/(STDEV(H6:H1198)+1E-12))</f>
        <v/>
      </c>
      <c r="J601" s="3">
        <f>IF('3a Raw'!G601="","",MAX(-3,MIN(3,('3a Raw'!G601-$J3)/$J4)))</f>
        <v/>
      </c>
      <c r="K601" s="3">
        <f>IF(J601="","",(J601-AVERAGE(J6:J1198))/(STDEV(J6:J1198)+1E-12))</f>
        <v/>
      </c>
      <c r="L601" s="3">
        <f>IF('3a Raw'!H601="","",MAX(-3,MIN(3,('3a Raw'!H601-$L3)/$L4)))</f>
        <v/>
      </c>
      <c r="M601" s="3">
        <f>IF(L601="","",(L601-AVERAGE(L6:L1198))/(STDEV(L6:L1198)+1E-12))</f>
        <v/>
      </c>
      <c r="N601" s="3">
        <f>IF('3a Raw'!I601="","",MAX(-3,MIN(3,('3a Raw'!I601-$N3)/$N4)))</f>
        <v/>
      </c>
      <c r="O601" s="3">
        <f>IF(N601="","",(N601-AVERAGE(N6:N1198))/(STDEV(N6:N1198)+1E-12))</f>
        <v/>
      </c>
      <c r="P601" s="3">
        <f>IF('3a Raw'!J601="","",MAX(-3,MIN(3,('3a Raw'!J601-$P3)/$P4)))</f>
        <v/>
      </c>
      <c r="Q601" s="3">
        <f>IF(P601="","",(P601-AVERAGE(P6:P1198))/(STDEV(P6:P1198)+1E-12))</f>
        <v/>
      </c>
      <c r="R601" s="3">
        <f>IF('3a Raw'!K601="","",MAX(-3,MIN(3,('3a Raw'!K601-$R3)/$R4)))</f>
        <v/>
      </c>
      <c r="S601" s="3">
        <f>IF(R601="","",(R601-AVERAGE(R6:R1198))/(STDEV(R6:R1198)+1E-12))</f>
        <v/>
      </c>
      <c r="T601" s="3">
        <f>IF('3a Raw'!L601="","",MAX(-3,MIN(3,('3a Raw'!L601-$T3)/$T4)))</f>
        <v/>
      </c>
      <c r="U601" s="3">
        <f>IF(T601="","",(T601-AVERAGE(T6:T1198))/(STDEV(T6:T1198)+1E-12))</f>
        <v/>
      </c>
      <c r="X601" s="3">
        <f>IF(U601="","",U601-($V$3*G601+$W$3))</f>
        <v/>
      </c>
      <c r="Y601" s="3">
        <f>IF(X601="","",MAX(-3,MIN(3,(X601-$X3)/$X4)))</f>
        <v/>
      </c>
      <c r="Z601" s="3">
        <f>IF(Y601="","",(Y601-AVERAGE(Y6:Y1198))/(STDEV(Y6:Y1198)+1E-12))</f>
        <v/>
      </c>
    </row>
    <row r="602">
      <c r="A602" t="inlineStr">
        <is>
          <t>BBG000BMX289</t>
        </is>
      </c>
      <c r="B602" s="3">
        <f>IF('3a Raw'!C602="","",MAX(-3,MIN(3,('3a Raw'!C602-$B3)/$B4)))</f>
        <v/>
      </c>
      <c r="C602" s="3">
        <f>IF(B602="","",(B602-AVERAGE(B6:B1198))/(STDEV(B6:B1198)+1E-12))</f>
        <v/>
      </c>
      <c r="D602" s="3">
        <f>IF('3a Raw'!D602="","",MAX(-3,MIN(3,('3a Raw'!D602-$D3)/$D4)))</f>
        <v/>
      </c>
      <c r="E602" s="3">
        <f>IF(D602="","",(D602-AVERAGE(D6:D1198))/(STDEV(D6:D1198)+1E-12))</f>
        <v/>
      </c>
      <c r="F602" s="3">
        <f>IF('3a Raw'!E602="","",MAX(-3,MIN(3,('3a Raw'!E602-$F3)/$F4)))</f>
        <v/>
      </c>
      <c r="G602" s="3">
        <f>IF(F602="","",(F602-AVERAGE(F6:F1198))/(STDEV(F6:F1198)+1E-12))</f>
        <v/>
      </c>
      <c r="H602" s="3">
        <f>IF('3a Raw'!F602="","",MAX(-3,MIN(3,('3a Raw'!F602-$H3)/$H4)))</f>
        <v/>
      </c>
      <c r="I602" s="3">
        <f>IF(H602="","",(H602-AVERAGE(H6:H1198))/(STDEV(H6:H1198)+1E-12))</f>
        <v/>
      </c>
      <c r="J602" s="3">
        <f>IF('3a Raw'!G602="","",MAX(-3,MIN(3,('3a Raw'!G602-$J3)/$J4)))</f>
        <v/>
      </c>
      <c r="K602" s="3">
        <f>IF(J602="","",(J602-AVERAGE(J6:J1198))/(STDEV(J6:J1198)+1E-12))</f>
        <v/>
      </c>
      <c r="L602" s="3">
        <f>IF('3a Raw'!H602="","",MAX(-3,MIN(3,('3a Raw'!H602-$L3)/$L4)))</f>
        <v/>
      </c>
      <c r="M602" s="3">
        <f>IF(L602="","",(L602-AVERAGE(L6:L1198))/(STDEV(L6:L1198)+1E-12))</f>
        <v/>
      </c>
      <c r="N602" s="3">
        <f>IF('3a Raw'!I602="","",MAX(-3,MIN(3,('3a Raw'!I602-$N3)/$N4)))</f>
        <v/>
      </c>
      <c r="O602" s="3">
        <f>IF(N602="","",(N602-AVERAGE(N6:N1198))/(STDEV(N6:N1198)+1E-12))</f>
        <v/>
      </c>
      <c r="P602" s="3">
        <f>IF('3a Raw'!J602="","",MAX(-3,MIN(3,('3a Raw'!J602-$P3)/$P4)))</f>
        <v/>
      </c>
      <c r="Q602" s="3">
        <f>IF(P602="","",(P602-AVERAGE(P6:P1198))/(STDEV(P6:P1198)+1E-12))</f>
        <v/>
      </c>
      <c r="R602" s="3">
        <f>IF('3a Raw'!K602="","",MAX(-3,MIN(3,('3a Raw'!K602-$R3)/$R4)))</f>
        <v/>
      </c>
      <c r="S602" s="3">
        <f>IF(R602="","",(R602-AVERAGE(R6:R1198))/(STDEV(R6:R1198)+1E-12))</f>
        <v/>
      </c>
      <c r="T602" s="3">
        <f>IF('3a Raw'!L602="","",MAX(-3,MIN(3,('3a Raw'!L602-$T3)/$T4)))</f>
        <v/>
      </c>
      <c r="U602" s="3">
        <f>IF(T602="","",(T602-AVERAGE(T6:T1198))/(STDEV(T6:T1198)+1E-12))</f>
        <v/>
      </c>
      <c r="X602" s="3">
        <f>IF(U602="","",U602-($V$3*G602+$W$3))</f>
        <v/>
      </c>
      <c r="Y602" s="3">
        <f>IF(X602="","",MAX(-3,MIN(3,(X602-$X3)/$X4)))</f>
        <v/>
      </c>
      <c r="Z602" s="3">
        <f>IF(Y602="","",(Y602-AVERAGE(Y6:Y1198))/(STDEV(Y6:Y1198)+1E-12))</f>
        <v/>
      </c>
    </row>
    <row r="603">
      <c r="A603" t="inlineStr">
        <is>
          <t>BBG0057GTG80</t>
        </is>
      </c>
      <c r="B603" s="3">
        <f>IF('3a Raw'!C603="","",MAX(-3,MIN(3,('3a Raw'!C603-$B3)/$B4)))</f>
        <v/>
      </c>
      <c r="C603" s="3">
        <f>IF(B603="","",(B603-AVERAGE(B6:B1198))/(STDEV(B6:B1198)+1E-12))</f>
        <v/>
      </c>
      <c r="D603" s="3">
        <f>IF('3a Raw'!D603="","",MAX(-3,MIN(3,('3a Raw'!D603-$D3)/$D4)))</f>
        <v/>
      </c>
      <c r="E603" s="3">
        <f>IF(D603="","",(D603-AVERAGE(D6:D1198))/(STDEV(D6:D1198)+1E-12))</f>
        <v/>
      </c>
      <c r="F603" s="3">
        <f>IF('3a Raw'!E603="","",MAX(-3,MIN(3,('3a Raw'!E603-$F3)/$F4)))</f>
        <v/>
      </c>
      <c r="G603" s="3">
        <f>IF(F603="","",(F603-AVERAGE(F6:F1198))/(STDEV(F6:F1198)+1E-12))</f>
        <v/>
      </c>
      <c r="H603" s="3">
        <f>IF('3a Raw'!F603="","",MAX(-3,MIN(3,('3a Raw'!F603-$H3)/$H4)))</f>
        <v/>
      </c>
      <c r="I603" s="3">
        <f>IF(H603="","",(H603-AVERAGE(H6:H1198))/(STDEV(H6:H1198)+1E-12))</f>
        <v/>
      </c>
      <c r="J603" s="3">
        <f>IF('3a Raw'!G603="","",MAX(-3,MIN(3,('3a Raw'!G603-$J3)/$J4)))</f>
        <v/>
      </c>
      <c r="K603" s="3">
        <f>IF(J603="","",(J603-AVERAGE(J6:J1198))/(STDEV(J6:J1198)+1E-12))</f>
        <v/>
      </c>
      <c r="L603" s="3">
        <f>IF('3a Raw'!H603="","",MAX(-3,MIN(3,('3a Raw'!H603-$L3)/$L4)))</f>
        <v/>
      </c>
      <c r="M603" s="3">
        <f>IF(L603="","",(L603-AVERAGE(L6:L1198))/(STDEV(L6:L1198)+1E-12))</f>
        <v/>
      </c>
      <c r="N603" s="3">
        <f>IF('3a Raw'!I603="","",MAX(-3,MIN(3,('3a Raw'!I603-$N3)/$N4)))</f>
        <v/>
      </c>
      <c r="O603" s="3">
        <f>IF(N603="","",(N603-AVERAGE(N6:N1198))/(STDEV(N6:N1198)+1E-12))</f>
        <v/>
      </c>
      <c r="P603" s="3">
        <f>IF('3a Raw'!J603="","",MAX(-3,MIN(3,('3a Raw'!J603-$P3)/$P4)))</f>
        <v/>
      </c>
      <c r="Q603" s="3">
        <f>IF(P603="","",(P603-AVERAGE(P6:P1198))/(STDEV(P6:P1198)+1E-12))</f>
        <v/>
      </c>
      <c r="R603" s="3">
        <f>IF('3a Raw'!K603="","",MAX(-3,MIN(3,('3a Raw'!K603-$R3)/$R4)))</f>
        <v/>
      </c>
      <c r="S603" s="3">
        <f>IF(R603="","",(R603-AVERAGE(R6:R1198))/(STDEV(R6:R1198)+1E-12))</f>
        <v/>
      </c>
      <c r="T603" s="3">
        <f>IF('3a Raw'!L603="","",MAX(-3,MIN(3,('3a Raw'!L603-$T3)/$T4)))</f>
        <v/>
      </c>
      <c r="U603" s="3">
        <f>IF(T603="","",(T603-AVERAGE(T6:T1198))/(STDEV(T6:T1198)+1E-12))</f>
        <v/>
      </c>
      <c r="X603" s="3">
        <f>IF(U603="","",U603-($V$3*G603+$W$3))</f>
        <v/>
      </c>
      <c r="Y603" s="3">
        <f>IF(X603="","",MAX(-3,MIN(3,(X603-$X3)/$X4)))</f>
        <v/>
      </c>
      <c r="Z603" s="3">
        <f>IF(Y603="","",(Y603-AVERAGE(Y6:Y1198))/(STDEV(Y6:Y1198)+1E-12))</f>
        <v/>
      </c>
    </row>
    <row r="604">
      <c r="A604" t="inlineStr">
        <is>
          <t>BBG000L2Q7C4</t>
        </is>
      </c>
      <c r="B604" s="3">
        <f>IF('3a Raw'!C604="","",MAX(-3,MIN(3,('3a Raw'!C604-$B3)/$B4)))</f>
        <v/>
      </c>
      <c r="C604" s="3">
        <f>IF(B604="","",(B604-AVERAGE(B6:B1198))/(STDEV(B6:B1198)+1E-12))</f>
        <v/>
      </c>
      <c r="D604" s="3">
        <f>IF('3a Raw'!D604="","",MAX(-3,MIN(3,('3a Raw'!D604-$D3)/$D4)))</f>
        <v/>
      </c>
      <c r="E604" s="3">
        <f>IF(D604="","",(D604-AVERAGE(D6:D1198))/(STDEV(D6:D1198)+1E-12))</f>
        <v/>
      </c>
      <c r="F604" s="3">
        <f>IF('3a Raw'!E604="","",MAX(-3,MIN(3,('3a Raw'!E604-$F3)/$F4)))</f>
        <v/>
      </c>
      <c r="G604" s="3">
        <f>IF(F604="","",(F604-AVERAGE(F6:F1198))/(STDEV(F6:F1198)+1E-12))</f>
        <v/>
      </c>
      <c r="H604" s="3">
        <f>IF('3a Raw'!F604="","",MAX(-3,MIN(3,('3a Raw'!F604-$H3)/$H4)))</f>
        <v/>
      </c>
      <c r="I604" s="3">
        <f>IF(H604="","",(H604-AVERAGE(H6:H1198))/(STDEV(H6:H1198)+1E-12))</f>
        <v/>
      </c>
      <c r="J604" s="3">
        <f>IF('3a Raw'!G604="","",MAX(-3,MIN(3,('3a Raw'!G604-$J3)/$J4)))</f>
        <v/>
      </c>
      <c r="K604" s="3">
        <f>IF(J604="","",(J604-AVERAGE(J6:J1198))/(STDEV(J6:J1198)+1E-12))</f>
        <v/>
      </c>
      <c r="L604" s="3">
        <f>IF('3a Raw'!H604="","",MAX(-3,MIN(3,('3a Raw'!H604-$L3)/$L4)))</f>
        <v/>
      </c>
      <c r="M604" s="3">
        <f>IF(L604="","",(L604-AVERAGE(L6:L1198))/(STDEV(L6:L1198)+1E-12))</f>
        <v/>
      </c>
      <c r="N604" s="3">
        <f>IF('3a Raw'!I604="","",MAX(-3,MIN(3,('3a Raw'!I604-$N3)/$N4)))</f>
        <v/>
      </c>
      <c r="O604" s="3">
        <f>IF(N604="","",(N604-AVERAGE(N6:N1198))/(STDEV(N6:N1198)+1E-12))</f>
        <v/>
      </c>
      <c r="P604" s="3">
        <f>IF('3a Raw'!J604="","",MAX(-3,MIN(3,('3a Raw'!J604-$P3)/$P4)))</f>
        <v/>
      </c>
      <c r="Q604" s="3">
        <f>IF(P604="","",(P604-AVERAGE(P6:P1198))/(STDEV(P6:P1198)+1E-12))</f>
        <v/>
      </c>
      <c r="R604" s="3">
        <f>IF('3a Raw'!K604="","",MAX(-3,MIN(3,('3a Raw'!K604-$R3)/$R4)))</f>
        <v/>
      </c>
      <c r="S604" s="3">
        <f>IF(R604="","",(R604-AVERAGE(R6:R1198))/(STDEV(R6:R1198)+1E-12))</f>
        <v/>
      </c>
      <c r="T604" s="3">
        <f>IF('3a Raw'!L604="","",MAX(-3,MIN(3,('3a Raw'!L604-$T3)/$T4)))</f>
        <v/>
      </c>
      <c r="U604" s="3">
        <f>IF(T604="","",(T604-AVERAGE(T6:T1198))/(STDEV(T6:T1198)+1E-12))</f>
        <v/>
      </c>
      <c r="X604" s="3">
        <f>IF(U604="","",U604-($V$3*G604+$W$3))</f>
        <v/>
      </c>
      <c r="Y604" s="3">
        <f>IF(X604="","",MAX(-3,MIN(3,(X604-$X3)/$X4)))</f>
        <v/>
      </c>
      <c r="Z604" s="3">
        <f>IF(Y604="","",(Y604-AVERAGE(Y6:Y1198))/(STDEV(Y6:Y1198)+1E-12))</f>
        <v/>
      </c>
    </row>
    <row r="605">
      <c r="A605" t="inlineStr">
        <is>
          <t>BBG000BMY992</t>
        </is>
      </c>
      <c r="B605" s="3">
        <f>IF('3a Raw'!C605="","",MAX(-3,MIN(3,('3a Raw'!C605-$B3)/$B4)))</f>
        <v/>
      </c>
      <c r="C605" s="3">
        <f>IF(B605="","",(B605-AVERAGE(B6:B1198))/(STDEV(B6:B1198)+1E-12))</f>
        <v/>
      </c>
      <c r="D605" s="3">
        <f>IF('3a Raw'!D605="","",MAX(-3,MIN(3,('3a Raw'!D605-$D3)/$D4)))</f>
        <v/>
      </c>
      <c r="E605" s="3">
        <f>IF(D605="","",(D605-AVERAGE(D6:D1198))/(STDEV(D6:D1198)+1E-12))</f>
        <v/>
      </c>
      <c r="F605" s="3">
        <f>IF('3a Raw'!E605="","",MAX(-3,MIN(3,('3a Raw'!E605-$F3)/$F4)))</f>
        <v/>
      </c>
      <c r="G605" s="3">
        <f>IF(F605="","",(F605-AVERAGE(F6:F1198))/(STDEV(F6:F1198)+1E-12))</f>
        <v/>
      </c>
      <c r="H605" s="3">
        <f>IF('3a Raw'!F605="","",MAX(-3,MIN(3,('3a Raw'!F605-$H3)/$H4)))</f>
        <v/>
      </c>
      <c r="I605" s="3">
        <f>IF(H605="","",(H605-AVERAGE(H6:H1198))/(STDEV(H6:H1198)+1E-12))</f>
        <v/>
      </c>
      <c r="J605" s="3">
        <f>IF('3a Raw'!G605="","",MAX(-3,MIN(3,('3a Raw'!G605-$J3)/$J4)))</f>
        <v/>
      </c>
      <c r="K605" s="3">
        <f>IF(J605="","",(J605-AVERAGE(J6:J1198))/(STDEV(J6:J1198)+1E-12))</f>
        <v/>
      </c>
      <c r="L605" s="3">
        <f>IF('3a Raw'!H605="","",MAX(-3,MIN(3,('3a Raw'!H605-$L3)/$L4)))</f>
        <v/>
      </c>
      <c r="M605" s="3">
        <f>IF(L605="","",(L605-AVERAGE(L6:L1198))/(STDEV(L6:L1198)+1E-12))</f>
        <v/>
      </c>
      <c r="N605" s="3">
        <f>IF('3a Raw'!I605="","",MAX(-3,MIN(3,('3a Raw'!I605-$N3)/$N4)))</f>
        <v/>
      </c>
      <c r="O605" s="3">
        <f>IF(N605="","",(N605-AVERAGE(N6:N1198))/(STDEV(N6:N1198)+1E-12))</f>
        <v/>
      </c>
      <c r="P605" s="3">
        <f>IF('3a Raw'!J605="","",MAX(-3,MIN(3,('3a Raw'!J605-$P3)/$P4)))</f>
        <v/>
      </c>
      <c r="Q605" s="3">
        <f>IF(P605="","",(P605-AVERAGE(P6:P1198))/(STDEV(P6:P1198)+1E-12))</f>
        <v/>
      </c>
      <c r="R605" s="3">
        <f>IF('3a Raw'!K605="","",MAX(-3,MIN(3,('3a Raw'!K605-$R3)/$R4)))</f>
        <v/>
      </c>
      <c r="S605" s="3">
        <f>IF(R605="","",(R605-AVERAGE(R6:R1198))/(STDEV(R6:R1198)+1E-12))</f>
        <v/>
      </c>
      <c r="T605" s="3">
        <f>IF('3a Raw'!L605="","",MAX(-3,MIN(3,('3a Raw'!L605-$T3)/$T4)))</f>
        <v/>
      </c>
      <c r="U605" s="3">
        <f>IF(T605="","",(T605-AVERAGE(T6:T1198))/(STDEV(T6:T1198)+1E-12))</f>
        <v/>
      </c>
      <c r="X605" s="3">
        <f>IF(U605="","",U605-($V$3*G605+$W$3))</f>
        <v/>
      </c>
      <c r="Y605" s="3">
        <f>IF(X605="","",MAX(-3,MIN(3,(X605-$X3)/$X4)))</f>
        <v/>
      </c>
      <c r="Z605" s="3">
        <f>IF(Y605="","",(Y605-AVERAGE(Y6:Y1198))/(STDEV(Y6:Y1198)+1E-12))</f>
        <v/>
      </c>
    </row>
    <row r="606">
      <c r="A606" t="inlineStr">
        <is>
          <t>BBG01RXK1PK9</t>
        </is>
      </c>
      <c r="B606" s="3">
        <f>IF('3a Raw'!C606="","",MAX(-3,MIN(3,('3a Raw'!C606-$B3)/$B4)))</f>
        <v/>
      </c>
      <c r="C606" s="3">
        <f>IF(B606="","",(B606-AVERAGE(B6:B1198))/(STDEV(B6:B1198)+1E-12))</f>
        <v/>
      </c>
      <c r="D606" s="3">
        <f>IF('3a Raw'!D606="","",MAX(-3,MIN(3,('3a Raw'!D606-$D3)/$D4)))</f>
        <v/>
      </c>
      <c r="E606" s="3">
        <f>IF(D606="","",(D606-AVERAGE(D6:D1198))/(STDEV(D6:D1198)+1E-12))</f>
        <v/>
      </c>
      <c r="F606" s="3">
        <f>IF('3a Raw'!E606="","",MAX(-3,MIN(3,('3a Raw'!E606-$F3)/$F4)))</f>
        <v/>
      </c>
      <c r="G606" s="3">
        <f>IF(F606="","",(F606-AVERAGE(F6:F1198))/(STDEV(F6:F1198)+1E-12))</f>
        <v/>
      </c>
      <c r="H606" s="3">
        <f>IF('3a Raw'!F606="","",MAX(-3,MIN(3,('3a Raw'!F606-$H3)/$H4)))</f>
        <v/>
      </c>
      <c r="I606" s="3">
        <f>IF(H606="","",(H606-AVERAGE(H6:H1198))/(STDEV(H6:H1198)+1E-12))</f>
        <v/>
      </c>
      <c r="J606" s="3">
        <f>IF('3a Raw'!G606="","",MAX(-3,MIN(3,('3a Raw'!G606-$J3)/$J4)))</f>
        <v/>
      </c>
      <c r="K606" s="3">
        <f>IF(J606="","",(J606-AVERAGE(J6:J1198))/(STDEV(J6:J1198)+1E-12))</f>
        <v/>
      </c>
      <c r="L606" s="3">
        <f>IF('3a Raw'!H606="","",MAX(-3,MIN(3,('3a Raw'!H606-$L3)/$L4)))</f>
        <v/>
      </c>
      <c r="M606" s="3">
        <f>IF(L606="","",(L606-AVERAGE(L6:L1198))/(STDEV(L6:L1198)+1E-12))</f>
        <v/>
      </c>
      <c r="N606" s="3">
        <f>IF('3a Raw'!I606="","",MAX(-3,MIN(3,('3a Raw'!I606-$N3)/$N4)))</f>
        <v/>
      </c>
      <c r="O606" s="3">
        <f>IF(N606="","",(N606-AVERAGE(N6:N1198))/(STDEV(N6:N1198)+1E-12))</f>
        <v/>
      </c>
      <c r="P606" s="3">
        <f>IF('3a Raw'!J606="","",MAX(-3,MIN(3,('3a Raw'!J606-$P3)/$P4)))</f>
        <v/>
      </c>
      <c r="Q606" s="3">
        <f>IF(P606="","",(P606-AVERAGE(P6:P1198))/(STDEV(P6:P1198)+1E-12))</f>
        <v/>
      </c>
      <c r="R606" s="3">
        <f>IF('3a Raw'!K606="","",MAX(-3,MIN(3,('3a Raw'!K606-$R3)/$R4)))</f>
        <v/>
      </c>
      <c r="S606" s="3">
        <f>IF(R606="","",(R606-AVERAGE(R6:R1198))/(STDEV(R6:R1198)+1E-12))</f>
        <v/>
      </c>
      <c r="T606" s="3">
        <f>IF('3a Raw'!L606="","",MAX(-3,MIN(3,('3a Raw'!L606-$T3)/$T4)))</f>
        <v/>
      </c>
      <c r="U606" s="3">
        <f>IF(T606="","",(T606-AVERAGE(T6:T1198))/(STDEV(T6:T1198)+1E-12))</f>
        <v/>
      </c>
      <c r="X606" s="3">
        <f>IF(U606="","",U606-($V$3*G606+$W$3))</f>
        <v/>
      </c>
      <c r="Y606" s="3">
        <f>IF(X606="","",MAX(-3,MIN(3,(X606-$X3)/$X4)))</f>
        <v/>
      </c>
      <c r="Z606" s="3">
        <f>IF(Y606="","",(Y606-AVERAGE(Y6:Y1198))/(STDEV(Y6:Y1198)+1E-12))</f>
        <v/>
      </c>
    </row>
    <row r="607">
      <c r="A607" t="inlineStr">
        <is>
          <t>BBG00FQH6MJ5</t>
        </is>
      </c>
      <c r="B607" s="3">
        <f>IF('3a Raw'!C607="","",MAX(-3,MIN(3,('3a Raw'!C607-$B3)/$B4)))</f>
        <v/>
      </c>
      <c r="C607" s="3">
        <f>IF(B607="","",(B607-AVERAGE(B6:B1198))/(STDEV(B6:B1198)+1E-12))</f>
        <v/>
      </c>
      <c r="D607" s="3">
        <f>IF('3a Raw'!D607="","",MAX(-3,MIN(3,('3a Raw'!D607-$D3)/$D4)))</f>
        <v/>
      </c>
      <c r="E607" s="3">
        <f>IF(D607="","",(D607-AVERAGE(D6:D1198))/(STDEV(D6:D1198)+1E-12))</f>
        <v/>
      </c>
      <c r="F607" s="3">
        <f>IF('3a Raw'!E607="","",MAX(-3,MIN(3,('3a Raw'!E607-$F3)/$F4)))</f>
        <v/>
      </c>
      <c r="G607" s="3">
        <f>IF(F607="","",(F607-AVERAGE(F6:F1198))/(STDEV(F6:F1198)+1E-12))</f>
        <v/>
      </c>
      <c r="H607" s="3">
        <f>IF('3a Raw'!F607="","",MAX(-3,MIN(3,('3a Raw'!F607-$H3)/$H4)))</f>
        <v/>
      </c>
      <c r="I607" s="3">
        <f>IF(H607="","",(H607-AVERAGE(H6:H1198))/(STDEV(H6:H1198)+1E-12))</f>
        <v/>
      </c>
      <c r="J607" s="3">
        <f>IF('3a Raw'!G607="","",MAX(-3,MIN(3,('3a Raw'!G607-$J3)/$J4)))</f>
        <v/>
      </c>
      <c r="K607" s="3">
        <f>IF(J607="","",(J607-AVERAGE(J6:J1198))/(STDEV(J6:J1198)+1E-12))</f>
        <v/>
      </c>
      <c r="L607" s="3">
        <f>IF('3a Raw'!H607="","",MAX(-3,MIN(3,('3a Raw'!H607-$L3)/$L4)))</f>
        <v/>
      </c>
      <c r="M607" s="3">
        <f>IF(L607="","",(L607-AVERAGE(L6:L1198))/(STDEV(L6:L1198)+1E-12))</f>
        <v/>
      </c>
      <c r="N607" s="3">
        <f>IF('3a Raw'!I607="","",MAX(-3,MIN(3,('3a Raw'!I607-$N3)/$N4)))</f>
        <v/>
      </c>
      <c r="O607" s="3">
        <f>IF(N607="","",(N607-AVERAGE(N6:N1198))/(STDEV(N6:N1198)+1E-12))</f>
        <v/>
      </c>
      <c r="P607" s="3">
        <f>IF('3a Raw'!J607="","",MAX(-3,MIN(3,('3a Raw'!J607-$P3)/$P4)))</f>
        <v/>
      </c>
      <c r="Q607" s="3">
        <f>IF(P607="","",(P607-AVERAGE(P6:P1198))/(STDEV(P6:P1198)+1E-12))</f>
        <v/>
      </c>
      <c r="R607" s="3">
        <f>IF('3a Raw'!K607="","",MAX(-3,MIN(3,('3a Raw'!K607-$R3)/$R4)))</f>
        <v/>
      </c>
      <c r="S607" s="3">
        <f>IF(R607="","",(R607-AVERAGE(R6:R1198))/(STDEV(R6:R1198)+1E-12))</f>
        <v/>
      </c>
      <c r="T607" s="3">
        <f>IF('3a Raw'!L607="","",MAX(-3,MIN(3,('3a Raw'!L607-$T3)/$T4)))</f>
        <v/>
      </c>
      <c r="U607" s="3">
        <f>IF(T607="","",(T607-AVERAGE(T6:T1198))/(STDEV(T6:T1198)+1E-12))</f>
        <v/>
      </c>
      <c r="X607" s="3">
        <f>IF(U607="","",U607-($V$3*G607+$W$3))</f>
        <v/>
      </c>
      <c r="Y607" s="3">
        <f>IF(X607="","",MAX(-3,MIN(3,(X607-$X3)/$X4)))</f>
        <v/>
      </c>
      <c r="Z607" s="3">
        <f>IF(Y607="","",(Y607-AVERAGE(Y6:Y1198))/(STDEV(Y6:Y1198)+1E-12))</f>
        <v/>
      </c>
    </row>
    <row r="608">
      <c r="A608" t="inlineStr">
        <is>
          <t>BBG000CS7CT9</t>
        </is>
      </c>
      <c r="B608" s="3">
        <f>IF('3a Raw'!C608="","",MAX(-3,MIN(3,('3a Raw'!C608-$B3)/$B4)))</f>
        <v/>
      </c>
      <c r="C608" s="3">
        <f>IF(B608="","",(B608-AVERAGE(B6:B1198))/(STDEV(B6:B1198)+1E-12))</f>
        <v/>
      </c>
      <c r="D608" s="3">
        <f>IF('3a Raw'!D608="","",MAX(-3,MIN(3,('3a Raw'!D608-$D3)/$D4)))</f>
        <v/>
      </c>
      <c r="E608" s="3">
        <f>IF(D608="","",(D608-AVERAGE(D6:D1198))/(STDEV(D6:D1198)+1E-12))</f>
        <v/>
      </c>
      <c r="F608" s="3">
        <f>IF('3a Raw'!E608="","",MAX(-3,MIN(3,('3a Raw'!E608-$F3)/$F4)))</f>
        <v/>
      </c>
      <c r="G608" s="3">
        <f>IF(F608="","",(F608-AVERAGE(F6:F1198))/(STDEV(F6:F1198)+1E-12))</f>
        <v/>
      </c>
      <c r="H608" s="3">
        <f>IF('3a Raw'!F608="","",MAX(-3,MIN(3,('3a Raw'!F608-$H3)/$H4)))</f>
        <v/>
      </c>
      <c r="I608" s="3">
        <f>IF(H608="","",(H608-AVERAGE(H6:H1198))/(STDEV(H6:H1198)+1E-12))</f>
        <v/>
      </c>
      <c r="J608" s="3">
        <f>IF('3a Raw'!G608="","",MAX(-3,MIN(3,('3a Raw'!G608-$J3)/$J4)))</f>
        <v/>
      </c>
      <c r="K608" s="3">
        <f>IF(J608="","",(J608-AVERAGE(J6:J1198))/(STDEV(J6:J1198)+1E-12))</f>
        <v/>
      </c>
      <c r="L608" s="3">
        <f>IF('3a Raw'!H608="","",MAX(-3,MIN(3,('3a Raw'!H608-$L3)/$L4)))</f>
        <v/>
      </c>
      <c r="M608" s="3">
        <f>IF(L608="","",(L608-AVERAGE(L6:L1198))/(STDEV(L6:L1198)+1E-12))</f>
        <v/>
      </c>
      <c r="N608" s="3">
        <f>IF('3a Raw'!I608="","",MAX(-3,MIN(3,('3a Raw'!I608-$N3)/$N4)))</f>
        <v/>
      </c>
      <c r="O608" s="3">
        <f>IF(N608="","",(N608-AVERAGE(N6:N1198))/(STDEV(N6:N1198)+1E-12))</f>
        <v/>
      </c>
      <c r="P608" s="3">
        <f>IF('3a Raw'!J608="","",MAX(-3,MIN(3,('3a Raw'!J608-$P3)/$P4)))</f>
        <v/>
      </c>
      <c r="Q608" s="3">
        <f>IF(P608="","",(P608-AVERAGE(P6:P1198))/(STDEV(P6:P1198)+1E-12))</f>
        <v/>
      </c>
      <c r="R608" s="3">
        <f>IF('3a Raw'!K608="","",MAX(-3,MIN(3,('3a Raw'!K608-$R3)/$R4)))</f>
        <v/>
      </c>
      <c r="S608" s="3">
        <f>IF(R608="","",(R608-AVERAGE(R6:R1198))/(STDEV(R6:R1198)+1E-12))</f>
        <v/>
      </c>
      <c r="T608" s="3">
        <f>IF('3a Raw'!L608="","",MAX(-3,MIN(3,('3a Raw'!L608-$T3)/$T4)))</f>
        <v/>
      </c>
      <c r="U608" s="3">
        <f>IF(T608="","",(T608-AVERAGE(T6:T1198))/(STDEV(T6:T1198)+1E-12))</f>
        <v/>
      </c>
      <c r="X608" s="3">
        <f>IF(U608="","",U608-($V$3*G608+$W$3))</f>
        <v/>
      </c>
      <c r="Y608" s="3">
        <f>IF(X608="","",MAX(-3,MIN(3,(X608-$X3)/$X4)))</f>
        <v/>
      </c>
      <c r="Z608" s="3">
        <f>IF(Y608="","",(Y608-AVERAGE(Y6:Y1198))/(STDEV(Y6:Y1198)+1E-12))</f>
        <v/>
      </c>
    </row>
    <row r="609">
      <c r="A609" t="inlineStr">
        <is>
          <t>BBG000C1HQ43</t>
        </is>
      </c>
      <c r="B609" s="3">
        <f>IF('3a Raw'!C609="","",MAX(-3,MIN(3,('3a Raw'!C609-$B3)/$B4)))</f>
        <v/>
      </c>
      <c r="C609" s="3">
        <f>IF(B609="","",(B609-AVERAGE(B6:B1198))/(STDEV(B6:B1198)+1E-12))</f>
        <v/>
      </c>
      <c r="D609" s="3">
        <f>IF('3a Raw'!D609="","",MAX(-3,MIN(3,('3a Raw'!D609-$D3)/$D4)))</f>
        <v/>
      </c>
      <c r="E609" s="3">
        <f>IF(D609="","",(D609-AVERAGE(D6:D1198))/(STDEV(D6:D1198)+1E-12))</f>
        <v/>
      </c>
      <c r="F609" s="3">
        <f>IF('3a Raw'!E609="","",MAX(-3,MIN(3,('3a Raw'!E609-$F3)/$F4)))</f>
        <v/>
      </c>
      <c r="G609" s="3">
        <f>IF(F609="","",(F609-AVERAGE(F6:F1198))/(STDEV(F6:F1198)+1E-12))</f>
        <v/>
      </c>
      <c r="H609" s="3">
        <f>IF('3a Raw'!F609="","",MAX(-3,MIN(3,('3a Raw'!F609-$H3)/$H4)))</f>
        <v/>
      </c>
      <c r="I609" s="3">
        <f>IF(H609="","",(H609-AVERAGE(H6:H1198))/(STDEV(H6:H1198)+1E-12))</f>
        <v/>
      </c>
      <c r="J609" s="3">
        <f>IF('3a Raw'!G609="","",MAX(-3,MIN(3,('3a Raw'!G609-$J3)/$J4)))</f>
        <v/>
      </c>
      <c r="K609" s="3">
        <f>IF(J609="","",(J609-AVERAGE(J6:J1198))/(STDEV(J6:J1198)+1E-12))</f>
        <v/>
      </c>
      <c r="L609" s="3">
        <f>IF('3a Raw'!H609="","",MAX(-3,MIN(3,('3a Raw'!H609-$L3)/$L4)))</f>
        <v/>
      </c>
      <c r="M609" s="3">
        <f>IF(L609="","",(L609-AVERAGE(L6:L1198))/(STDEV(L6:L1198)+1E-12))</f>
        <v/>
      </c>
      <c r="N609" s="3">
        <f>IF('3a Raw'!I609="","",MAX(-3,MIN(3,('3a Raw'!I609-$N3)/$N4)))</f>
        <v/>
      </c>
      <c r="O609" s="3">
        <f>IF(N609="","",(N609-AVERAGE(N6:N1198))/(STDEV(N6:N1198)+1E-12))</f>
        <v/>
      </c>
      <c r="P609" s="3">
        <f>IF('3a Raw'!J609="","",MAX(-3,MIN(3,('3a Raw'!J609-$P3)/$P4)))</f>
        <v/>
      </c>
      <c r="Q609" s="3">
        <f>IF(P609="","",(P609-AVERAGE(P6:P1198))/(STDEV(P6:P1198)+1E-12))</f>
        <v/>
      </c>
      <c r="R609" s="3">
        <f>IF('3a Raw'!K609="","",MAX(-3,MIN(3,('3a Raw'!K609-$R3)/$R4)))</f>
        <v/>
      </c>
      <c r="S609" s="3">
        <f>IF(R609="","",(R609-AVERAGE(R6:R1198))/(STDEV(R6:R1198)+1E-12))</f>
        <v/>
      </c>
      <c r="T609" s="3">
        <f>IF('3a Raw'!L609="","",MAX(-3,MIN(3,('3a Raw'!L609-$T3)/$T4)))</f>
        <v/>
      </c>
      <c r="U609" s="3">
        <f>IF(T609="","",(T609-AVERAGE(T6:T1198))/(STDEV(T6:T1198)+1E-12))</f>
        <v/>
      </c>
      <c r="X609" s="3">
        <f>IF(U609="","",U609-($V$3*G609+$W$3))</f>
        <v/>
      </c>
      <c r="Y609" s="3">
        <f>IF(X609="","",MAX(-3,MIN(3,(X609-$X3)/$X4)))</f>
        <v/>
      </c>
      <c r="Z609" s="3">
        <f>IF(Y609="","",(Y609-AVERAGE(Y6:Y1198))/(STDEV(Y6:Y1198)+1E-12))</f>
        <v/>
      </c>
    </row>
    <row r="610">
      <c r="A610" t="inlineStr">
        <is>
          <t>BBG01C79X561</t>
        </is>
      </c>
      <c r="B610" s="3">
        <f>IF('3a Raw'!C610="","",MAX(-3,MIN(3,('3a Raw'!C610-$B3)/$B4)))</f>
        <v/>
      </c>
      <c r="C610" s="3">
        <f>IF(B610="","",(B610-AVERAGE(B6:B1198))/(STDEV(B6:B1198)+1E-12))</f>
        <v/>
      </c>
      <c r="D610" s="3">
        <f>IF('3a Raw'!D610="","",MAX(-3,MIN(3,('3a Raw'!D610-$D3)/$D4)))</f>
        <v/>
      </c>
      <c r="E610" s="3">
        <f>IF(D610="","",(D610-AVERAGE(D6:D1198))/(STDEV(D6:D1198)+1E-12))</f>
        <v/>
      </c>
      <c r="F610" s="3">
        <f>IF('3a Raw'!E610="","",MAX(-3,MIN(3,('3a Raw'!E610-$F3)/$F4)))</f>
        <v/>
      </c>
      <c r="G610" s="3">
        <f>IF(F610="","",(F610-AVERAGE(F6:F1198))/(STDEV(F6:F1198)+1E-12))</f>
        <v/>
      </c>
      <c r="H610" s="3">
        <f>IF('3a Raw'!F610="","",MAX(-3,MIN(3,('3a Raw'!F610-$H3)/$H4)))</f>
        <v/>
      </c>
      <c r="I610" s="3">
        <f>IF(H610="","",(H610-AVERAGE(H6:H1198))/(STDEV(H6:H1198)+1E-12))</f>
        <v/>
      </c>
      <c r="J610" s="3">
        <f>IF('3a Raw'!G610="","",MAX(-3,MIN(3,('3a Raw'!G610-$J3)/$J4)))</f>
        <v/>
      </c>
      <c r="K610" s="3">
        <f>IF(J610="","",(J610-AVERAGE(J6:J1198))/(STDEV(J6:J1198)+1E-12))</f>
        <v/>
      </c>
      <c r="L610" s="3">
        <f>IF('3a Raw'!H610="","",MAX(-3,MIN(3,('3a Raw'!H610-$L3)/$L4)))</f>
        <v/>
      </c>
      <c r="M610" s="3">
        <f>IF(L610="","",(L610-AVERAGE(L6:L1198))/(STDEV(L6:L1198)+1E-12))</f>
        <v/>
      </c>
      <c r="N610" s="3">
        <f>IF('3a Raw'!I610="","",MAX(-3,MIN(3,('3a Raw'!I610-$N3)/$N4)))</f>
        <v/>
      </c>
      <c r="O610" s="3">
        <f>IF(N610="","",(N610-AVERAGE(N6:N1198))/(STDEV(N6:N1198)+1E-12))</f>
        <v/>
      </c>
      <c r="P610" s="3">
        <f>IF('3a Raw'!J610="","",MAX(-3,MIN(3,('3a Raw'!J610-$P3)/$P4)))</f>
        <v/>
      </c>
      <c r="Q610" s="3">
        <f>IF(P610="","",(P610-AVERAGE(P6:P1198))/(STDEV(P6:P1198)+1E-12))</f>
        <v/>
      </c>
      <c r="R610" s="3">
        <f>IF('3a Raw'!K610="","",MAX(-3,MIN(3,('3a Raw'!K610-$R3)/$R4)))</f>
        <v/>
      </c>
      <c r="S610" s="3">
        <f>IF(R610="","",(R610-AVERAGE(R6:R1198))/(STDEV(R6:R1198)+1E-12))</f>
        <v/>
      </c>
      <c r="T610" s="3">
        <f>IF('3a Raw'!L610="","",MAX(-3,MIN(3,('3a Raw'!L610-$T3)/$T4)))</f>
        <v/>
      </c>
      <c r="U610" s="3">
        <f>IF(T610="","",(T610-AVERAGE(T6:T1198))/(STDEV(T6:T1198)+1E-12))</f>
        <v/>
      </c>
      <c r="X610" s="3">
        <f>IF(U610="","",U610-($V$3*G610+$W$3))</f>
        <v/>
      </c>
      <c r="Y610" s="3">
        <f>IF(X610="","",MAX(-3,MIN(3,(X610-$X3)/$X4)))</f>
        <v/>
      </c>
      <c r="Z610" s="3">
        <f>IF(Y610="","",(Y610-AVERAGE(Y6:Y1198))/(STDEV(Y6:Y1198)+1E-12))</f>
        <v/>
      </c>
    </row>
    <row r="611">
      <c r="A611" t="inlineStr">
        <is>
          <t>BBG009WR3FL5</t>
        </is>
      </c>
      <c r="B611" s="3">
        <f>IF('3a Raw'!C611="","",MAX(-3,MIN(3,('3a Raw'!C611-$B3)/$B4)))</f>
        <v/>
      </c>
      <c r="C611" s="3">
        <f>IF(B611="","",(B611-AVERAGE(B6:B1198))/(STDEV(B6:B1198)+1E-12))</f>
        <v/>
      </c>
      <c r="D611" s="3">
        <f>IF('3a Raw'!D611="","",MAX(-3,MIN(3,('3a Raw'!D611-$D3)/$D4)))</f>
        <v/>
      </c>
      <c r="E611" s="3">
        <f>IF(D611="","",(D611-AVERAGE(D6:D1198))/(STDEV(D6:D1198)+1E-12))</f>
        <v/>
      </c>
      <c r="F611" s="3">
        <f>IF('3a Raw'!E611="","",MAX(-3,MIN(3,('3a Raw'!E611-$F3)/$F4)))</f>
        <v/>
      </c>
      <c r="G611" s="3">
        <f>IF(F611="","",(F611-AVERAGE(F6:F1198))/(STDEV(F6:F1198)+1E-12))</f>
        <v/>
      </c>
      <c r="H611" s="3">
        <f>IF('3a Raw'!F611="","",MAX(-3,MIN(3,('3a Raw'!F611-$H3)/$H4)))</f>
        <v/>
      </c>
      <c r="I611" s="3">
        <f>IF(H611="","",(H611-AVERAGE(H6:H1198))/(STDEV(H6:H1198)+1E-12))</f>
        <v/>
      </c>
      <c r="J611" s="3">
        <f>IF('3a Raw'!G611="","",MAX(-3,MIN(3,('3a Raw'!G611-$J3)/$J4)))</f>
        <v/>
      </c>
      <c r="K611" s="3">
        <f>IF(J611="","",(J611-AVERAGE(J6:J1198))/(STDEV(J6:J1198)+1E-12))</f>
        <v/>
      </c>
      <c r="L611" s="3">
        <f>IF('3a Raw'!H611="","",MAX(-3,MIN(3,('3a Raw'!H611-$L3)/$L4)))</f>
        <v/>
      </c>
      <c r="M611" s="3">
        <f>IF(L611="","",(L611-AVERAGE(L6:L1198))/(STDEV(L6:L1198)+1E-12))</f>
        <v/>
      </c>
      <c r="N611" s="3">
        <f>IF('3a Raw'!I611="","",MAX(-3,MIN(3,('3a Raw'!I611-$N3)/$N4)))</f>
        <v/>
      </c>
      <c r="O611" s="3">
        <f>IF(N611="","",(N611-AVERAGE(N6:N1198))/(STDEV(N6:N1198)+1E-12))</f>
        <v/>
      </c>
      <c r="P611" s="3">
        <f>IF('3a Raw'!J611="","",MAX(-3,MIN(3,('3a Raw'!J611-$P3)/$P4)))</f>
        <v/>
      </c>
      <c r="Q611" s="3">
        <f>IF(P611="","",(P611-AVERAGE(P6:P1198))/(STDEV(P6:P1198)+1E-12))</f>
        <v/>
      </c>
      <c r="R611" s="3">
        <f>IF('3a Raw'!K611="","",MAX(-3,MIN(3,('3a Raw'!K611-$R3)/$R4)))</f>
        <v/>
      </c>
      <c r="S611" s="3">
        <f>IF(R611="","",(R611-AVERAGE(R6:R1198))/(STDEV(R6:R1198)+1E-12))</f>
        <v/>
      </c>
      <c r="T611" s="3">
        <f>IF('3a Raw'!L611="","",MAX(-3,MIN(3,('3a Raw'!L611-$T3)/$T4)))</f>
        <v/>
      </c>
      <c r="U611" s="3">
        <f>IF(T611="","",(T611-AVERAGE(T6:T1198))/(STDEV(T6:T1198)+1E-12))</f>
        <v/>
      </c>
      <c r="X611" s="3">
        <f>IF(U611="","",U611-($V$3*G611+$W$3))</f>
        <v/>
      </c>
      <c r="Y611" s="3">
        <f>IF(X611="","",MAX(-3,MIN(3,(X611-$X3)/$X4)))</f>
        <v/>
      </c>
      <c r="Z611" s="3">
        <f>IF(Y611="","",(Y611-AVERAGE(Y6:Y1198))/(STDEV(Y6:Y1198)+1E-12))</f>
        <v/>
      </c>
    </row>
    <row r="612">
      <c r="A612" t="inlineStr">
        <is>
          <t>BBG000CTY4J6</t>
        </is>
      </c>
      <c r="B612" s="3">
        <f>IF('3a Raw'!C612="","",MAX(-3,MIN(3,('3a Raw'!C612-$B3)/$B4)))</f>
        <v/>
      </c>
      <c r="C612" s="3">
        <f>IF(B612="","",(B612-AVERAGE(B6:B1198))/(STDEV(B6:B1198)+1E-12))</f>
        <v/>
      </c>
      <c r="D612" s="3">
        <f>IF('3a Raw'!D612="","",MAX(-3,MIN(3,('3a Raw'!D612-$D3)/$D4)))</f>
        <v/>
      </c>
      <c r="E612" s="3">
        <f>IF(D612="","",(D612-AVERAGE(D6:D1198))/(STDEV(D6:D1198)+1E-12))</f>
        <v/>
      </c>
      <c r="F612" s="3">
        <f>IF('3a Raw'!E612="","",MAX(-3,MIN(3,('3a Raw'!E612-$F3)/$F4)))</f>
        <v/>
      </c>
      <c r="G612" s="3">
        <f>IF(F612="","",(F612-AVERAGE(F6:F1198))/(STDEV(F6:F1198)+1E-12))</f>
        <v/>
      </c>
      <c r="H612" s="3">
        <f>IF('3a Raw'!F612="","",MAX(-3,MIN(3,('3a Raw'!F612-$H3)/$H4)))</f>
        <v/>
      </c>
      <c r="I612" s="3">
        <f>IF(H612="","",(H612-AVERAGE(H6:H1198))/(STDEV(H6:H1198)+1E-12))</f>
        <v/>
      </c>
      <c r="J612" s="3">
        <f>IF('3a Raw'!G612="","",MAX(-3,MIN(3,('3a Raw'!G612-$J3)/$J4)))</f>
        <v/>
      </c>
      <c r="K612" s="3">
        <f>IF(J612="","",(J612-AVERAGE(J6:J1198))/(STDEV(J6:J1198)+1E-12))</f>
        <v/>
      </c>
      <c r="L612" s="3">
        <f>IF('3a Raw'!H612="","",MAX(-3,MIN(3,('3a Raw'!H612-$L3)/$L4)))</f>
        <v/>
      </c>
      <c r="M612" s="3">
        <f>IF(L612="","",(L612-AVERAGE(L6:L1198))/(STDEV(L6:L1198)+1E-12))</f>
        <v/>
      </c>
      <c r="N612" s="3">
        <f>IF('3a Raw'!I612="","",MAX(-3,MIN(3,('3a Raw'!I612-$N3)/$N4)))</f>
        <v/>
      </c>
      <c r="O612" s="3">
        <f>IF(N612="","",(N612-AVERAGE(N6:N1198))/(STDEV(N6:N1198)+1E-12))</f>
        <v/>
      </c>
      <c r="P612" s="3">
        <f>IF('3a Raw'!J612="","",MAX(-3,MIN(3,('3a Raw'!J612-$P3)/$P4)))</f>
        <v/>
      </c>
      <c r="Q612" s="3">
        <f>IF(P612="","",(P612-AVERAGE(P6:P1198))/(STDEV(P6:P1198)+1E-12))</f>
        <v/>
      </c>
      <c r="R612" s="3">
        <f>IF('3a Raw'!K612="","",MAX(-3,MIN(3,('3a Raw'!K612-$R3)/$R4)))</f>
        <v/>
      </c>
      <c r="S612" s="3">
        <f>IF(R612="","",(R612-AVERAGE(R6:R1198))/(STDEV(R6:R1198)+1E-12))</f>
        <v/>
      </c>
      <c r="T612" s="3">
        <f>IF('3a Raw'!L612="","",MAX(-3,MIN(3,('3a Raw'!L612-$T3)/$T4)))</f>
        <v/>
      </c>
      <c r="U612" s="3">
        <f>IF(T612="","",(T612-AVERAGE(T6:T1198))/(STDEV(T6:T1198)+1E-12))</f>
        <v/>
      </c>
      <c r="X612" s="3">
        <f>IF(U612="","",U612-($V$3*G612+$W$3))</f>
        <v/>
      </c>
      <c r="Y612" s="3">
        <f>IF(X612="","",MAX(-3,MIN(3,(X612-$X3)/$X4)))</f>
        <v/>
      </c>
      <c r="Z612" s="3">
        <f>IF(Y612="","",(Y612-AVERAGE(Y6:Y1198))/(STDEV(Y6:Y1198)+1E-12))</f>
        <v/>
      </c>
    </row>
    <row r="613">
      <c r="A613" t="inlineStr">
        <is>
          <t>BBG00SDHC8D1</t>
        </is>
      </c>
      <c r="B613" s="3">
        <f>IF('3a Raw'!C613="","",MAX(-3,MIN(3,('3a Raw'!C613-$B3)/$B4)))</f>
        <v/>
      </c>
      <c r="C613" s="3">
        <f>IF(B613="","",(B613-AVERAGE(B6:B1198))/(STDEV(B6:B1198)+1E-12))</f>
        <v/>
      </c>
      <c r="D613" s="3">
        <f>IF('3a Raw'!D613="","",MAX(-3,MIN(3,('3a Raw'!D613-$D3)/$D4)))</f>
        <v/>
      </c>
      <c r="E613" s="3">
        <f>IF(D613="","",(D613-AVERAGE(D6:D1198))/(STDEV(D6:D1198)+1E-12))</f>
        <v/>
      </c>
      <c r="F613" s="3">
        <f>IF('3a Raw'!E613="","",MAX(-3,MIN(3,('3a Raw'!E613-$F3)/$F4)))</f>
        <v/>
      </c>
      <c r="G613" s="3">
        <f>IF(F613="","",(F613-AVERAGE(F6:F1198))/(STDEV(F6:F1198)+1E-12))</f>
        <v/>
      </c>
      <c r="H613" s="3">
        <f>IF('3a Raw'!F613="","",MAX(-3,MIN(3,('3a Raw'!F613-$H3)/$H4)))</f>
        <v/>
      </c>
      <c r="I613" s="3">
        <f>IF(H613="","",(H613-AVERAGE(H6:H1198))/(STDEV(H6:H1198)+1E-12))</f>
        <v/>
      </c>
      <c r="J613" s="3">
        <f>IF('3a Raw'!G613="","",MAX(-3,MIN(3,('3a Raw'!G613-$J3)/$J4)))</f>
        <v/>
      </c>
      <c r="K613" s="3">
        <f>IF(J613="","",(J613-AVERAGE(J6:J1198))/(STDEV(J6:J1198)+1E-12))</f>
        <v/>
      </c>
      <c r="L613" s="3">
        <f>IF('3a Raw'!H613="","",MAX(-3,MIN(3,('3a Raw'!H613-$L3)/$L4)))</f>
        <v/>
      </c>
      <c r="M613" s="3">
        <f>IF(L613="","",(L613-AVERAGE(L6:L1198))/(STDEV(L6:L1198)+1E-12))</f>
        <v/>
      </c>
      <c r="N613" s="3">
        <f>IF('3a Raw'!I613="","",MAX(-3,MIN(3,('3a Raw'!I613-$N3)/$N4)))</f>
        <v/>
      </c>
      <c r="O613" s="3">
        <f>IF(N613="","",(N613-AVERAGE(N6:N1198))/(STDEV(N6:N1198)+1E-12))</f>
        <v/>
      </c>
      <c r="P613" s="3">
        <f>IF('3a Raw'!J613="","",MAX(-3,MIN(3,('3a Raw'!J613-$P3)/$P4)))</f>
        <v/>
      </c>
      <c r="Q613" s="3">
        <f>IF(P613="","",(P613-AVERAGE(P6:P1198))/(STDEV(P6:P1198)+1E-12))</f>
        <v/>
      </c>
      <c r="R613" s="3">
        <f>IF('3a Raw'!K613="","",MAX(-3,MIN(3,('3a Raw'!K613-$R3)/$R4)))</f>
        <v/>
      </c>
      <c r="S613" s="3">
        <f>IF(R613="","",(R613-AVERAGE(R6:R1198))/(STDEV(R6:R1198)+1E-12))</f>
        <v/>
      </c>
      <c r="T613" s="3">
        <f>IF('3a Raw'!L613="","",MAX(-3,MIN(3,('3a Raw'!L613-$T3)/$T4)))</f>
        <v/>
      </c>
      <c r="U613" s="3">
        <f>IF(T613="","",(T613-AVERAGE(T6:T1198))/(STDEV(T6:T1198)+1E-12))</f>
        <v/>
      </c>
      <c r="X613" s="3">
        <f>IF(U613="","",U613-($V$3*G613+$W$3))</f>
        <v/>
      </c>
      <c r="Y613" s="3">
        <f>IF(X613="","",MAX(-3,MIN(3,(X613-$X3)/$X4)))</f>
        <v/>
      </c>
      <c r="Z613" s="3">
        <f>IF(Y613="","",(Y613-AVERAGE(Y6:Y1198))/(STDEV(Y6:Y1198)+1E-12))</f>
        <v/>
      </c>
    </row>
    <row r="614">
      <c r="A614" t="inlineStr">
        <is>
          <t>BBG000C45984</t>
        </is>
      </c>
      <c r="B614" s="3">
        <f>IF('3a Raw'!C614="","",MAX(-3,MIN(3,('3a Raw'!C614-$B3)/$B4)))</f>
        <v/>
      </c>
      <c r="C614" s="3">
        <f>IF(B614="","",(B614-AVERAGE(B6:B1198))/(STDEV(B6:B1198)+1E-12))</f>
        <v/>
      </c>
      <c r="D614" s="3">
        <f>IF('3a Raw'!D614="","",MAX(-3,MIN(3,('3a Raw'!D614-$D3)/$D4)))</f>
        <v/>
      </c>
      <c r="E614" s="3">
        <f>IF(D614="","",(D614-AVERAGE(D6:D1198))/(STDEV(D6:D1198)+1E-12))</f>
        <v/>
      </c>
      <c r="F614" s="3">
        <f>IF('3a Raw'!E614="","",MAX(-3,MIN(3,('3a Raw'!E614-$F3)/$F4)))</f>
        <v/>
      </c>
      <c r="G614" s="3">
        <f>IF(F614="","",(F614-AVERAGE(F6:F1198))/(STDEV(F6:F1198)+1E-12))</f>
        <v/>
      </c>
      <c r="H614" s="3">
        <f>IF('3a Raw'!F614="","",MAX(-3,MIN(3,('3a Raw'!F614-$H3)/$H4)))</f>
        <v/>
      </c>
      <c r="I614" s="3">
        <f>IF(H614="","",(H614-AVERAGE(H6:H1198))/(STDEV(H6:H1198)+1E-12))</f>
        <v/>
      </c>
      <c r="J614" s="3">
        <f>IF('3a Raw'!G614="","",MAX(-3,MIN(3,('3a Raw'!G614-$J3)/$J4)))</f>
        <v/>
      </c>
      <c r="K614" s="3">
        <f>IF(J614="","",(J614-AVERAGE(J6:J1198))/(STDEV(J6:J1198)+1E-12))</f>
        <v/>
      </c>
      <c r="L614" s="3">
        <f>IF('3a Raw'!H614="","",MAX(-3,MIN(3,('3a Raw'!H614-$L3)/$L4)))</f>
        <v/>
      </c>
      <c r="M614" s="3">
        <f>IF(L614="","",(L614-AVERAGE(L6:L1198))/(STDEV(L6:L1198)+1E-12))</f>
        <v/>
      </c>
      <c r="N614" s="3">
        <f>IF('3a Raw'!I614="","",MAX(-3,MIN(3,('3a Raw'!I614-$N3)/$N4)))</f>
        <v/>
      </c>
      <c r="O614" s="3">
        <f>IF(N614="","",(N614-AVERAGE(N6:N1198))/(STDEV(N6:N1198)+1E-12))</f>
        <v/>
      </c>
      <c r="P614" s="3">
        <f>IF('3a Raw'!J614="","",MAX(-3,MIN(3,('3a Raw'!J614-$P3)/$P4)))</f>
        <v/>
      </c>
      <c r="Q614" s="3">
        <f>IF(P614="","",(P614-AVERAGE(P6:P1198))/(STDEV(P6:P1198)+1E-12))</f>
        <v/>
      </c>
      <c r="R614" s="3">
        <f>IF('3a Raw'!K614="","",MAX(-3,MIN(3,('3a Raw'!K614-$R3)/$R4)))</f>
        <v/>
      </c>
      <c r="S614" s="3">
        <f>IF(R614="","",(R614-AVERAGE(R6:R1198))/(STDEV(R6:R1198)+1E-12))</f>
        <v/>
      </c>
      <c r="T614" s="3">
        <f>IF('3a Raw'!L614="","",MAX(-3,MIN(3,('3a Raw'!L614-$T3)/$T4)))</f>
        <v/>
      </c>
      <c r="U614" s="3">
        <f>IF(T614="","",(T614-AVERAGE(T6:T1198))/(STDEV(T6:T1198)+1E-12))</f>
        <v/>
      </c>
      <c r="X614" s="3">
        <f>IF(U614="","",U614-($V$3*G614+$W$3))</f>
        <v/>
      </c>
      <c r="Y614" s="3">
        <f>IF(X614="","",MAX(-3,MIN(3,(X614-$X3)/$X4)))</f>
        <v/>
      </c>
      <c r="Z614" s="3">
        <f>IF(Y614="","",(Y614-AVERAGE(Y6:Y1198))/(STDEV(Y6:Y1198)+1E-12))</f>
        <v/>
      </c>
    </row>
    <row r="615">
      <c r="A615" t="inlineStr">
        <is>
          <t>BBG000K3BC83</t>
        </is>
      </c>
      <c r="B615" s="3">
        <f>IF('3a Raw'!C615="","",MAX(-3,MIN(3,('3a Raw'!C615-$B3)/$B4)))</f>
        <v/>
      </c>
      <c r="C615" s="3">
        <f>IF(B615="","",(B615-AVERAGE(B6:B1198))/(STDEV(B6:B1198)+1E-12))</f>
        <v/>
      </c>
      <c r="D615" s="3">
        <f>IF('3a Raw'!D615="","",MAX(-3,MIN(3,('3a Raw'!D615-$D3)/$D4)))</f>
        <v/>
      </c>
      <c r="E615" s="3">
        <f>IF(D615="","",(D615-AVERAGE(D6:D1198))/(STDEV(D6:D1198)+1E-12))</f>
        <v/>
      </c>
      <c r="F615" s="3">
        <f>IF('3a Raw'!E615="","",MAX(-3,MIN(3,('3a Raw'!E615-$F3)/$F4)))</f>
        <v/>
      </c>
      <c r="G615" s="3">
        <f>IF(F615="","",(F615-AVERAGE(F6:F1198))/(STDEV(F6:F1198)+1E-12))</f>
        <v/>
      </c>
      <c r="H615" s="3">
        <f>IF('3a Raw'!F615="","",MAX(-3,MIN(3,('3a Raw'!F615-$H3)/$H4)))</f>
        <v/>
      </c>
      <c r="I615" s="3">
        <f>IF(H615="","",(H615-AVERAGE(H6:H1198))/(STDEV(H6:H1198)+1E-12))</f>
        <v/>
      </c>
      <c r="J615" s="3">
        <f>IF('3a Raw'!G615="","",MAX(-3,MIN(3,('3a Raw'!G615-$J3)/$J4)))</f>
        <v/>
      </c>
      <c r="K615" s="3">
        <f>IF(J615="","",(J615-AVERAGE(J6:J1198))/(STDEV(J6:J1198)+1E-12))</f>
        <v/>
      </c>
      <c r="L615" s="3">
        <f>IF('3a Raw'!H615="","",MAX(-3,MIN(3,('3a Raw'!H615-$L3)/$L4)))</f>
        <v/>
      </c>
      <c r="M615" s="3">
        <f>IF(L615="","",(L615-AVERAGE(L6:L1198))/(STDEV(L6:L1198)+1E-12))</f>
        <v/>
      </c>
      <c r="N615" s="3">
        <f>IF('3a Raw'!I615="","",MAX(-3,MIN(3,('3a Raw'!I615-$N3)/$N4)))</f>
        <v/>
      </c>
      <c r="O615" s="3">
        <f>IF(N615="","",(N615-AVERAGE(N6:N1198))/(STDEV(N6:N1198)+1E-12))</f>
        <v/>
      </c>
      <c r="P615" s="3">
        <f>IF('3a Raw'!J615="","",MAX(-3,MIN(3,('3a Raw'!J615-$P3)/$P4)))</f>
        <v/>
      </c>
      <c r="Q615" s="3">
        <f>IF(P615="","",(P615-AVERAGE(P6:P1198))/(STDEV(P6:P1198)+1E-12))</f>
        <v/>
      </c>
      <c r="R615" s="3">
        <f>IF('3a Raw'!K615="","",MAX(-3,MIN(3,('3a Raw'!K615-$R3)/$R4)))</f>
        <v/>
      </c>
      <c r="S615" s="3">
        <f>IF(R615="","",(R615-AVERAGE(R6:R1198))/(STDEV(R6:R1198)+1E-12))</f>
        <v/>
      </c>
      <c r="T615" s="3">
        <f>IF('3a Raw'!L615="","",MAX(-3,MIN(3,('3a Raw'!L615-$T3)/$T4)))</f>
        <v/>
      </c>
      <c r="U615" s="3">
        <f>IF(T615="","",(T615-AVERAGE(T6:T1198))/(STDEV(T6:T1198)+1E-12))</f>
        <v/>
      </c>
      <c r="X615" s="3">
        <f>IF(U615="","",U615-($V$3*G615+$W$3))</f>
        <v/>
      </c>
      <c r="Y615" s="3">
        <f>IF(X615="","",MAX(-3,MIN(3,(X615-$X3)/$X4)))</f>
        <v/>
      </c>
      <c r="Z615" s="3">
        <f>IF(Y615="","",(Y615-AVERAGE(Y6:Y1198))/(STDEV(Y6:Y1198)+1E-12))</f>
        <v/>
      </c>
    </row>
    <row r="616">
      <c r="A616" t="inlineStr">
        <is>
          <t>BBG000FGMKY1</t>
        </is>
      </c>
      <c r="B616" s="3">
        <f>IF('3a Raw'!C616="","",MAX(-3,MIN(3,('3a Raw'!C616-$B3)/$B4)))</f>
        <v/>
      </c>
      <c r="C616" s="3">
        <f>IF(B616="","",(B616-AVERAGE(B6:B1198))/(STDEV(B6:B1198)+1E-12))</f>
        <v/>
      </c>
      <c r="D616" s="3">
        <f>IF('3a Raw'!D616="","",MAX(-3,MIN(3,('3a Raw'!D616-$D3)/$D4)))</f>
        <v/>
      </c>
      <c r="E616" s="3">
        <f>IF(D616="","",(D616-AVERAGE(D6:D1198))/(STDEV(D6:D1198)+1E-12))</f>
        <v/>
      </c>
      <c r="F616" s="3">
        <f>IF('3a Raw'!E616="","",MAX(-3,MIN(3,('3a Raw'!E616-$F3)/$F4)))</f>
        <v/>
      </c>
      <c r="G616" s="3">
        <f>IF(F616="","",(F616-AVERAGE(F6:F1198))/(STDEV(F6:F1198)+1E-12))</f>
        <v/>
      </c>
      <c r="H616" s="3">
        <f>IF('3a Raw'!F616="","",MAX(-3,MIN(3,('3a Raw'!F616-$H3)/$H4)))</f>
        <v/>
      </c>
      <c r="I616" s="3">
        <f>IF(H616="","",(H616-AVERAGE(H6:H1198))/(STDEV(H6:H1198)+1E-12))</f>
        <v/>
      </c>
      <c r="J616" s="3">
        <f>IF('3a Raw'!G616="","",MAX(-3,MIN(3,('3a Raw'!G616-$J3)/$J4)))</f>
        <v/>
      </c>
      <c r="K616" s="3">
        <f>IF(J616="","",(J616-AVERAGE(J6:J1198))/(STDEV(J6:J1198)+1E-12))</f>
        <v/>
      </c>
      <c r="L616" s="3">
        <f>IF('3a Raw'!H616="","",MAX(-3,MIN(3,('3a Raw'!H616-$L3)/$L4)))</f>
        <v/>
      </c>
      <c r="M616" s="3">
        <f>IF(L616="","",(L616-AVERAGE(L6:L1198))/(STDEV(L6:L1198)+1E-12))</f>
        <v/>
      </c>
      <c r="N616" s="3">
        <f>IF('3a Raw'!I616="","",MAX(-3,MIN(3,('3a Raw'!I616-$N3)/$N4)))</f>
        <v/>
      </c>
      <c r="O616" s="3">
        <f>IF(N616="","",(N616-AVERAGE(N6:N1198))/(STDEV(N6:N1198)+1E-12))</f>
        <v/>
      </c>
      <c r="P616" s="3">
        <f>IF('3a Raw'!J616="","",MAX(-3,MIN(3,('3a Raw'!J616-$P3)/$P4)))</f>
        <v/>
      </c>
      <c r="Q616" s="3">
        <f>IF(P616="","",(P616-AVERAGE(P6:P1198))/(STDEV(P6:P1198)+1E-12))</f>
        <v/>
      </c>
      <c r="R616" s="3">
        <f>IF('3a Raw'!K616="","",MAX(-3,MIN(3,('3a Raw'!K616-$R3)/$R4)))</f>
        <v/>
      </c>
      <c r="S616" s="3">
        <f>IF(R616="","",(R616-AVERAGE(R6:R1198))/(STDEV(R6:R1198)+1E-12))</f>
        <v/>
      </c>
      <c r="T616" s="3">
        <f>IF('3a Raw'!L616="","",MAX(-3,MIN(3,('3a Raw'!L616-$T3)/$T4)))</f>
        <v/>
      </c>
      <c r="U616" s="3">
        <f>IF(T616="","",(T616-AVERAGE(T6:T1198))/(STDEV(T6:T1198)+1E-12))</f>
        <v/>
      </c>
      <c r="X616" s="3">
        <f>IF(U616="","",U616-($V$3*G616+$W$3))</f>
        <v/>
      </c>
      <c r="Y616" s="3">
        <f>IF(X616="","",MAX(-3,MIN(3,(X616-$X3)/$X4)))</f>
        <v/>
      </c>
      <c r="Z616" s="3">
        <f>IF(Y616="","",(Y616-AVERAGE(Y6:Y1198))/(STDEV(Y6:Y1198)+1E-12))</f>
        <v/>
      </c>
    </row>
    <row r="617">
      <c r="A617" t="inlineStr">
        <is>
          <t>BBG000BT4C39</t>
        </is>
      </c>
      <c r="B617" s="3">
        <f>IF('3a Raw'!C617="","",MAX(-3,MIN(3,('3a Raw'!C617-$B3)/$B4)))</f>
        <v/>
      </c>
      <c r="C617" s="3">
        <f>IF(B617="","",(B617-AVERAGE(B6:B1198))/(STDEV(B6:B1198)+1E-12))</f>
        <v/>
      </c>
      <c r="D617" s="3">
        <f>IF('3a Raw'!D617="","",MAX(-3,MIN(3,('3a Raw'!D617-$D3)/$D4)))</f>
        <v/>
      </c>
      <c r="E617" s="3">
        <f>IF(D617="","",(D617-AVERAGE(D6:D1198))/(STDEV(D6:D1198)+1E-12))</f>
        <v/>
      </c>
      <c r="F617" s="3">
        <f>IF('3a Raw'!E617="","",MAX(-3,MIN(3,('3a Raw'!E617-$F3)/$F4)))</f>
        <v/>
      </c>
      <c r="G617" s="3">
        <f>IF(F617="","",(F617-AVERAGE(F6:F1198))/(STDEV(F6:F1198)+1E-12))</f>
        <v/>
      </c>
      <c r="H617" s="3">
        <f>IF('3a Raw'!F617="","",MAX(-3,MIN(3,('3a Raw'!F617-$H3)/$H4)))</f>
        <v/>
      </c>
      <c r="I617" s="3">
        <f>IF(H617="","",(H617-AVERAGE(H6:H1198))/(STDEV(H6:H1198)+1E-12))</f>
        <v/>
      </c>
      <c r="J617" s="3">
        <f>IF('3a Raw'!G617="","",MAX(-3,MIN(3,('3a Raw'!G617-$J3)/$J4)))</f>
        <v/>
      </c>
      <c r="K617" s="3">
        <f>IF(J617="","",(J617-AVERAGE(J6:J1198))/(STDEV(J6:J1198)+1E-12))</f>
        <v/>
      </c>
      <c r="L617" s="3">
        <f>IF('3a Raw'!H617="","",MAX(-3,MIN(3,('3a Raw'!H617-$L3)/$L4)))</f>
        <v/>
      </c>
      <c r="M617" s="3">
        <f>IF(L617="","",(L617-AVERAGE(L6:L1198))/(STDEV(L6:L1198)+1E-12))</f>
        <v/>
      </c>
      <c r="N617" s="3">
        <f>IF('3a Raw'!I617="","",MAX(-3,MIN(3,('3a Raw'!I617-$N3)/$N4)))</f>
        <v/>
      </c>
      <c r="O617" s="3">
        <f>IF(N617="","",(N617-AVERAGE(N6:N1198))/(STDEV(N6:N1198)+1E-12))</f>
        <v/>
      </c>
      <c r="P617" s="3">
        <f>IF('3a Raw'!J617="","",MAX(-3,MIN(3,('3a Raw'!J617-$P3)/$P4)))</f>
        <v/>
      </c>
      <c r="Q617" s="3">
        <f>IF(P617="","",(P617-AVERAGE(P6:P1198))/(STDEV(P6:P1198)+1E-12))</f>
        <v/>
      </c>
      <c r="R617" s="3">
        <f>IF('3a Raw'!K617="","",MAX(-3,MIN(3,('3a Raw'!K617-$R3)/$R4)))</f>
        <v/>
      </c>
      <c r="S617" s="3">
        <f>IF(R617="","",(R617-AVERAGE(R6:R1198))/(STDEV(R6:R1198)+1E-12))</f>
        <v/>
      </c>
      <c r="T617" s="3">
        <f>IF('3a Raw'!L617="","",MAX(-3,MIN(3,('3a Raw'!L617-$T3)/$T4)))</f>
        <v/>
      </c>
      <c r="U617" s="3">
        <f>IF(T617="","",(T617-AVERAGE(T6:T1198))/(STDEV(T6:T1198)+1E-12))</f>
        <v/>
      </c>
      <c r="X617" s="3">
        <f>IF(U617="","",U617-($V$3*G617+$W$3))</f>
        <v/>
      </c>
      <c r="Y617" s="3">
        <f>IF(X617="","",MAX(-3,MIN(3,(X617-$X3)/$X4)))</f>
        <v/>
      </c>
      <c r="Z617" s="3">
        <f>IF(Y617="","",(Y617-AVERAGE(Y6:Y1198))/(STDEV(Y6:Y1198)+1E-12))</f>
        <v/>
      </c>
    </row>
    <row r="618">
      <c r="A618" t="inlineStr">
        <is>
          <t>BBG006GNSZW5</t>
        </is>
      </c>
      <c r="B618" s="3">
        <f>IF('3a Raw'!C618="","",MAX(-3,MIN(3,('3a Raw'!C618-$B3)/$B4)))</f>
        <v/>
      </c>
      <c r="C618" s="3">
        <f>IF(B618="","",(B618-AVERAGE(B6:B1198))/(STDEV(B6:B1198)+1E-12))</f>
        <v/>
      </c>
      <c r="D618" s="3">
        <f>IF('3a Raw'!D618="","",MAX(-3,MIN(3,('3a Raw'!D618-$D3)/$D4)))</f>
        <v/>
      </c>
      <c r="E618" s="3">
        <f>IF(D618="","",(D618-AVERAGE(D6:D1198))/(STDEV(D6:D1198)+1E-12))</f>
        <v/>
      </c>
      <c r="F618" s="3">
        <f>IF('3a Raw'!E618="","",MAX(-3,MIN(3,('3a Raw'!E618-$F3)/$F4)))</f>
        <v/>
      </c>
      <c r="G618" s="3">
        <f>IF(F618="","",(F618-AVERAGE(F6:F1198))/(STDEV(F6:F1198)+1E-12))</f>
        <v/>
      </c>
      <c r="H618" s="3">
        <f>IF('3a Raw'!F618="","",MAX(-3,MIN(3,('3a Raw'!F618-$H3)/$H4)))</f>
        <v/>
      </c>
      <c r="I618" s="3">
        <f>IF(H618="","",(H618-AVERAGE(H6:H1198))/(STDEV(H6:H1198)+1E-12))</f>
        <v/>
      </c>
      <c r="J618" s="3">
        <f>IF('3a Raw'!G618="","",MAX(-3,MIN(3,('3a Raw'!G618-$J3)/$J4)))</f>
        <v/>
      </c>
      <c r="K618" s="3">
        <f>IF(J618="","",(J618-AVERAGE(J6:J1198))/(STDEV(J6:J1198)+1E-12))</f>
        <v/>
      </c>
      <c r="L618" s="3">
        <f>IF('3a Raw'!H618="","",MAX(-3,MIN(3,('3a Raw'!H618-$L3)/$L4)))</f>
        <v/>
      </c>
      <c r="M618" s="3">
        <f>IF(L618="","",(L618-AVERAGE(L6:L1198))/(STDEV(L6:L1198)+1E-12))</f>
        <v/>
      </c>
      <c r="N618" s="3">
        <f>IF('3a Raw'!I618="","",MAX(-3,MIN(3,('3a Raw'!I618-$N3)/$N4)))</f>
        <v/>
      </c>
      <c r="O618" s="3">
        <f>IF(N618="","",(N618-AVERAGE(N6:N1198))/(STDEV(N6:N1198)+1E-12))</f>
        <v/>
      </c>
      <c r="P618" s="3">
        <f>IF('3a Raw'!J618="","",MAX(-3,MIN(3,('3a Raw'!J618-$P3)/$P4)))</f>
        <v/>
      </c>
      <c r="Q618" s="3">
        <f>IF(P618="","",(P618-AVERAGE(P6:P1198))/(STDEV(P6:P1198)+1E-12))</f>
        <v/>
      </c>
      <c r="R618" s="3">
        <f>IF('3a Raw'!K618="","",MAX(-3,MIN(3,('3a Raw'!K618-$R3)/$R4)))</f>
        <v/>
      </c>
      <c r="S618" s="3">
        <f>IF(R618="","",(R618-AVERAGE(R6:R1198))/(STDEV(R6:R1198)+1E-12))</f>
        <v/>
      </c>
      <c r="T618" s="3">
        <f>IF('3a Raw'!L618="","",MAX(-3,MIN(3,('3a Raw'!L618-$T3)/$T4)))</f>
        <v/>
      </c>
      <c r="U618" s="3">
        <f>IF(T618="","",(T618-AVERAGE(T6:T1198))/(STDEV(T6:T1198)+1E-12))</f>
        <v/>
      </c>
      <c r="X618" s="3">
        <f>IF(U618="","",U618-($V$3*G618+$W$3))</f>
        <v/>
      </c>
      <c r="Y618" s="3">
        <f>IF(X618="","",MAX(-3,MIN(3,(X618-$X3)/$X4)))</f>
        <v/>
      </c>
      <c r="Z618" s="3">
        <f>IF(Y618="","",(Y618-AVERAGE(Y6:Y1198))/(STDEV(Y6:Y1198)+1E-12))</f>
        <v/>
      </c>
    </row>
    <row r="619">
      <c r="A619" t="inlineStr">
        <is>
          <t>BBG00W7F99V5</t>
        </is>
      </c>
      <c r="B619" s="3">
        <f>IF('3a Raw'!C619="","",MAX(-3,MIN(3,('3a Raw'!C619-$B3)/$B4)))</f>
        <v/>
      </c>
      <c r="C619" s="3">
        <f>IF(B619="","",(B619-AVERAGE(B6:B1198))/(STDEV(B6:B1198)+1E-12))</f>
        <v/>
      </c>
      <c r="D619" s="3">
        <f>IF('3a Raw'!D619="","",MAX(-3,MIN(3,('3a Raw'!D619-$D3)/$D4)))</f>
        <v/>
      </c>
      <c r="E619" s="3">
        <f>IF(D619="","",(D619-AVERAGE(D6:D1198))/(STDEV(D6:D1198)+1E-12))</f>
        <v/>
      </c>
      <c r="F619" s="3">
        <f>IF('3a Raw'!E619="","",MAX(-3,MIN(3,('3a Raw'!E619-$F3)/$F4)))</f>
        <v/>
      </c>
      <c r="G619" s="3">
        <f>IF(F619="","",(F619-AVERAGE(F6:F1198))/(STDEV(F6:F1198)+1E-12))</f>
        <v/>
      </c>
      <c r="H619" s="3">
        <f>IF('3a Raw'!F619="","",MAX(-3,MIN(3,('3a Raw'!F619-$H3)/$H4)))</f>
        <v/>
      </c>
      <c r="I619" s="3">
        <f>IF(H619="","",(H619-AVERAGE(H6:H1198))/(STDEV(H6:H1198)+1E-12))</f>
        <v/>
      </c>
      <c r="J619" s="3">
        <f>IF('3a Raw'!G619="","",MAX(-3,MIN(3,('3a Raw'!G619-$J3)/$J4)))</f>
        <v/>
      </c>
      <c r="K619" s="3">
        <f>IF(J619="","",(J619-AVERAGE(J6:J1198))/(STDEV(J6:J1198)+1E-12))</f>
        <v/>
      </c>
      <c r="L619" s="3">
        <f>IF('3a Raw'!H619="","",MAX(-3,MIN(3,('3a Raw'!H619-$L3)/$L4)))</f>
        <v/>
      </c>
      <c r="M619" s="3">
        <f>IF(L619="","",(L619-AVERAGE(L6:L1198))/(STDEV(L6:L1198)+1E-12))</f>
        <v/>
      </c>
      <c r="N619" s="3">
        <f>IF('3a Raw'!I619="","",MAX(-3,MIN(3,('3a Raw'!I619-$N3)/$N4)))</f>
        <v/>
      </c>
      <c r="O619" s="3">
        <f>IF(N619="","",(N619-AVERAGE(N6:N1198))/(STDEV(N6:N1198)+1E-12))</f>
        <v/>
      </c>
      <c r="P619" s="3">
        <f>IF('3a Raw'!J619="","",MAX(-3,MIN(3,('3a Raw'!J619-$P3)/$P4)))</f>
        <v/>
      </c>
      <c r="Q619" s="3">
        <f>IF(P619="","",(P619-AVERAGE(P6:P1198))/(STDEV(P6:P1198)+1E-12))</f>
        <v/>
      </c>
      <c r="R619" s="3">
        <f>IF('3a Raw'!K619="","",MAX(-3,MIN(3,('3a Raw'!K619-$R3)/$R4)))</f>
        <v/>
      </c>
      <c r="S619" s="3">
        <f>IF(R619="","",(R619-AVERAGE(R6:R1198))/(STDEV(R6:R1198)+1E-12))</f>
        <v/>
      </c>
      <c r="T619" s="3">
        <f>IF('3a Raw'!L619="","",MAX(-3,MIN(3,('3a Raw'!L619-$T3)/$T4)))</f>
        <v/>
      </c>
      <c r="U619" s="3">
        <f>IF(T619="","",(T619-AVERAGE(T6:T1198))/(STDEV(T6:T1198)+1E-12))</f>
        <v/>
      </c>
      <c r="X619" s="3">
        <f>IF(U619="","",U619-($V$3*G619+$W$3))</f>
        <v/>
      </c>
      <c r="Y619" s="3">
        <f>IF(X619="","",MAX(-3,MIN(3,(X619-$X3)/$X4)))</f>
        <v/>
      </c>
      <c r="Z619" s="3">
        <f>IF(Y619="","",(Y619-AVERAGE(Y6:Y1198))/(STDEV(Y6:Y1198)+1E-12))</f>
        <v/>
      </c>
    </row>
    <row r="620">
      <c r="A620" t="inlineStr">
        <is>
          <t>BBG000DNLMB0</t>
        </is>
      </c>
      <c r="B620" s="3">
        <f>IF('3a Raw'!C620="","",MAX(-3,MIN(3,('3a Raw'!C620-$B3)/$B4)))</f>
        <v/>
      </c>
      <c r="C620" s="3">
        <f>IF(B620="","",(B620-AVERAGE(B6:B1198))/(STDEV(B6:B1198)+1E-12))</f>
        <v/>
      </c>
      <c r="D620" s="3">
        <f>IF('3a Raw'!D620="","",MAX(-3,MIN(3,('3a Raw'!D620-$D3)/$D4)))</f>
        <v/>
      </c>
      <c r="E620" s="3">
        <f>IF(D620="","",(D620-AVERAGE(D6:D1198))/(STDEV(D6:D1198)+1E-12))</f>
        <v/>
      </c>
      <c r="F620" s="3">
        <f>IF('3a Raw'!E620="","",MAX(-3,MIN(3,('3a Raw'!E620-$F3)/$F4)))</f>
        <v/>
      </c>
      <c r="G620" s="3">
        <f>IF(F620="","",(F620-AVERAGE(F6:F1198))/(STDEV(F6:F1198)+1E-12))</f>
        <v/>
      </c>
      <c r="H620" s="3">
        <f>IF('3a Raw'!F620="","",MAX(-3,MIN(3,('3a Raw'!F620-$H3)/$H4)))</f>
        <v/>
      </c>
      <c r="I620" s="3">
        <f>IF(H620="","",(H620-AVERAGE(H6:H1198))/(STDEV(H6:H1198)+1E-12))</f>
        <v/>
      </c>
      <c r="J620" s="3">
        <f>IF('3a Raw'!G620="","",MAX(-3,MIN(3,('3a Raw'!G620-$J3)/$J4)))</f>
        <v/>
      </c>
      <c r="K620" s="3">
        <f>IF(J620="","",(J620-AVERAGE(J6:J1198))/(STDEV(J6:J1198)+1E-12))</f>
        <v/>
      </c>
      <c r="L620" s="3">
        <f>IF('3a Raw'!H620="","",MAX(-3,MIN(3,('3a Raw'!H620-$L3)/$L4)))</f>
        <v/>
      </c>
      <c r="M620" s="3">
        <f>IF(L620="","",(L620-AVERAGE(L6:L1198))/(STDEV(L6:L1198)+1E-12))</f>
        <v/>
      </c>
      <c r="N620" s="3">
        <f>IF('3a Raw'!I620="","",MAX(-3,MIN(3,('3a Raw'!I620-$N3)/$N4)))</f>
        <v/>
      </c>
      <c r="O620" s="3">
        <f>IF(N620="","",(N620-AVERAGE(N6:N1198))/(STDEV(N6:N1198)+1E-12))</f>
        <v/>
      </c>
      <c r="P620" s="3">
        <f>IF('3a Raw'!J620="","",MAX(-3,MIN(3,('3a Raw'!J620-$P3)/$P4)))</f>
        <v/>
      </c>
      <c r="Q620" s="3">
        <f>IF(P620="","",(P620-AVERAGE(P6:P1198))/(STDEV(P6:P1198)+1E-12))</f>
        <v/>
      </c>
      <c r="R620" s="3">
        <f>IF('3a Raw'!K620="","",MAX(-3,MIN(3,('3a Raw'!K620-$R3)/$R4)))</f>
        <v/>
      </c>
      <c r="S620" s="3">
        <f>IF(R620="","",(R620-AVERAGE(R6:R1198))/(STDEV(R6:R1198)+1E-12))</f>
        <v/>
      </c>
      <c r="T620" s="3">
        <f>IF('3a Raw'!L620="","",MAX(-3,MIN(3,('3a Raw'!L620-$T3)/$T4)))</f>
        <v/>
      </c>
      <c r="U620" s="3">
        <f>IF(T620="","",(T620-AVERAGE(T6:T1198))/(STDEV(T6:T1198)+1E-12))</f>
        <v/>
      </c>
      <c r="X620" s="3">
        <f>IF(U620="","",U620-($V$3*G620+$W$3))</f>
        <v/>
      </c>
      <c r="Y620" s="3">
        <f>IF(X620="","",MAX(-3,MIN(3,(X620-$X3)/$X4)))</f>
        <v/>
      </c>
      <c r="Z620" s="3">
        <f>IF(Y620="","",(Y620-AVERAGE(Y6:Y1198))/(STDEV(Y6:Y1198)+1E-12))</f>
        <v/>
      </c>
    </row>
    <row r="621">
      <c r="A621" t="inlineStr">
        <is>
          <t>BBG000C23PB0</t>
        </is>
      </c>
      <c r="B621" s="3">
        <f>IF('3a Raw'!C621="","",MAX(-3,MIN(3,('3a Raw'!C621-$B3)/$B4)))</f>
        <v/>
      </c>
      <c r="C621" s="3">
        <f>IF(B621="","",(B621-AVERAGE(B6:B1198))/(STDEV(B6:B1198)+1E-12))</f>
        <v/>
      </c>
      <c r="D621" s="3">
        <f>IF('3a Raw'!D621="","",MAX(-3,MIN(3,('3a Raw'!D621-$D3)/$D4)))</f>
        <v/>
      </c>
      <c r="E621" s="3">
        <f>IF(D621="","",(D621-AVERAGE(D6:D1198))/(STDEV(D6:D1198)+1E-12))</f>
        <v/>
      </c>
      <c r="F621" s="3">
        <f>IF('3a Raw'!E621="","",MAX(-3,MIN(3,('3a Raw'!E621-$F3)/$F4)))</f>
        <v/>
      </c>
      <c r="G621" s="3">
        <f>IF(F621="","",(F621-AVERAGE(F6:F1198))/(STDEV(F6:F1198)+1E-12))</f>
        <v/>
      </c>
      <c r="H621" s="3">
        <f>IF('3a Raw'!F621="","",MAX(-3,MIN(3,('3a Raw'!F621-$H3)/$H4)))</f>
        <v/>
      </c>
      <c r="I621" s="3">
        <f>IF(H621="","",(H621-AVERAGE(H6:H1198))/(STDEV(H6:H1198)+1E-12))</f>
        <v/>
      </c>
      <c r="J621" s="3">
        <f>IF('3a Raw'!G621="","",MAX(-3,MIN(3,('3a Raw'!G621-$J3)/$J4)))</f>
        <v/>
      </c>
      <c r="K621" s="3">
        <f>IF(J621="","",(J621-AVERAGE(J6:J1198))/(STDEV(J6:J1198)+1E-12))</f>
        <v/>
      </c>
      <c r="L621" s="3">
        <f>IF('3a Raw'!H621="","",MAX(-3,MIN(3,('3a Raw'!H621-$L3)/$L4)))</f>
        <v/>
      </c>
      <c r="M621" s="3">
        <f>IF(L621="","",(L621-AVERAGE(L6:L1198))/(STDEV(L6:L1198)+1E-12))</f>
        <v/>
      </c>
      <c r="N621" s="3">
        <f>IF('3a Raw'!I621="","",MAX(-3,MIN(3,('3a Raw'!I621-$N3)/$N4)))</f>
        <v/>
      </c>
      <c r="O621" s="3">
        <f>IF(N621="","",(N621-AVERAGE(N6:N1198))/(STDEV(N6:N1198)+1E-12))</f>
        <v/>
      </c>
      <c r="P621" s="3">
        <f>IF('3a Raw'!J621="","",MAX(-3,MIN(3,('3a Raw'!J621-$P3)/$P4)))</f>
        <v/>
      </c>
      <c r="Q621" s="3">
        <f>IF(P621="","",(P621-AVERAGE(P6:P1198))/(STDEV(P6:P1198)+1E-12))</f>
        <v/>
      </c>
      <c r="R621" s="3">
        <f>IF('3a Raw'!K621="","",MAX(-3,MIN(3,('3a Raw'!K621-$R3)/$R4)))</f>
        <v/>
      </c>
      <c r="S621" s="3">
        <f>IF(R621="","",(R621-AVERAGE(R6:R1198))/(STDEV(R6:R1198)+1E-12))</f>
        <v/>
      </c>
      <c r="T621" s="3">
        <f>IF('3a Raw'!L621="","",MAX(-3,MIN(3,('3a Raw'!L621-$T3)/$T4)))</f>
        <v/>
      </c>
      <c r="U621" s="3">
        <f>IF(T621="","",(T621-AVERAGE(T6:T1198))/(STDEV(T6:T1198)+1E-12))</f>
        <v/>
      </c>
      <c r="X621" s="3">
        <f>IF(U621="","",U621-($V$3*G621+$W$3))</f>
        <v/>
      </c>
      <c r="Y621" s="3">
        <f>IF(X621="","",MAX(-3,MIN(3,(X621-$X3)/$X4)))</f>
        <v/>
      </c>
      <c r="Z621" s="3">
        <f>IF(Y621="","",(Y621-AVERAGE(Y6:Y1198))/(STDEV(Y6:Y1198)+1E-12))</f>
        <v/>
      </c>
    </row>
    <row r="622">
      <c r="A622" t="inlineStr">
        <is>
          <t>BBG00TTGH5W4</t>
        </is>
      </c>
      <c r="B622" s="3">
        <f>IF('3a Raw'!C622="","",MAX(-3,MIN(3,('3a Raw'!C622-$B3)/$B4)))</f>
        <v/>
      </c>
      <c r="C622" s="3">
        <f>IF(B622="","",(B622-AVERAGE(B6:B1198))/(STDEV(B6:B1198)+1E-12))</f>
        <v/>
      </c>
      <c r="D622" s="3">
        <f>IF('3a Raw'!D622="","",MAX(-3,MIN(3,('3a Raw'!D622-$D3)/$D4)))</f>
        <v/>
      </c>
      <c r="E622" s="3">
        <f>IF(D622="","",(D622-AVERAGE(D6:D1198))/(STDEV(D6:D1198)+1E-12))</f>
        <v/>
      </c>
      <c r="F622" s="3">
        <f>IF('3a Raw'!E622="","",MAX(-3,MIN(3,('3a Raw'!E622-$F3)/$F4)))</f>
        <v/>
      </c>
      <c r="G622" s="3">
        <f>IF(F622="","",(F622-AVERAGE(F6:F1198))/(STDEV(F6:F1198)+1E-12))</f>
        <v/>
      </c>
      <c r="H622" s="3">
        <f>IF('3a Raw'!F622="","",MAX(-3,MIN(3,('3a Raw'!F622-$H3)/$H4)))</f>
        <v/>
      </c>
      <c r="I622" s="3">
        <f>IF(H622="","",(H622-AVERAGE(H6:H1198))/(STDEV(H6:H1198)+1E-12))</f>
        <v/>
      </c>
      <c r="J622" s="3">
        <f>IF('3a Raw'!G622="","",MAX(-3,MIN(3,('3a Raw'!G622-$J3)/$J4)))</f>
        <v/>
      </c>
      <c r="K622" s="3">
        <f>IF(J622="","",(J622-AVERAGE(J6:J1198))/(STDEV(J6:J1198)+1E-12))</f>
        <v/>
      </c>
      <c r="L622" s="3">
        <f>IF('3a Raw'!H622="","",MAX(-3,MIN(3,('3a Raw'!H622-$L3)/$L4)))</f>
        <v/>
      </c>
      <c r="M622" s="3">
        <f>IF(L622="","",(L622-AVERAGE(L6:L1198))/(STDEV(L6:L1198)+1E-12))</f>
        <v/>
      </c>
      <c r="N622" s="3">
        <f>IF('3a Raw'!I622="","",MAX(-3,MIN(3,('3a Raw'!I622-$N3)/$N4)))</f>
        <v/>
      </c>
      <c r="O622" s="3">
        <f>IF(N622="","",(N622-AVERAGE(N6:N1198))/(STDEV(N6:N1198)+1E-12))</f>
        <v/>
      </c>
      <c r="P622" s="3">
        <f>IF('3a Raw'!J622="","",MAX(-3,MIN(3,('3a Raw'!J622-$P3)/$P4)))</f>
        <v/>
      </c>
      <c r="Q622" s="3">
        <f>IF(P622="","",(P622-AVERAGE(P6:P1198))/(STDEV(P6:P1198)+1E-12))</f>
        <v/>
      </c>
      <c r="R622" s="3">
        <f>IF('3a Raw'!K622="","",MAX(-3,MIN(3,('3a Raw'!K622-$R3)/$R4)))</f>
        <v/>
      </c>
      <c r="S622" s="3">
        <f>IF(R622="","",(R622-AVERAGE(R6:R1198))/(STDEV(R6:R1198)+1E-12))</f>
        <v/>
      </c>
      <c r="T622" s="3">
        <f>IF('3a Raw'!L622="","",MAX(-3,MIN(3,('3a Raw'!L622-$T3)/$T4)))</f>
        <v/>
      </c>
      <c r="U622" s="3">
        <f>IF(T622="","",(T622-AVERAGE(T6:T1198))/(STDEV(T6:T1198)+1E-12))</f>
        <v/>
      </c>
      <c r="X622" s="3">
        <f>IF(U622="","",U622-($V$3*G622+$W$3))</f>
        <v/>
      </c>
      <c r="Y622" s="3">
        <f>IF(X622="","",MAX(-3,MIN(3,(X622-$X3)/$X4)))</f>
        <v/>
      </c>
      <c r="Z622" s="3">
        <f>IF(Y622="","",(Y622-AVERAGE(Y6:Y1198))/(STDEV(Y6:Y1198)+1E-12))</f>
        <v/>
      </c>
    </row>
    <row r="623">
      <c r="A623" t="inlineStr">
        <is>
          <t>BBG000BN5HF7</t>
        </is>
      </c>
      <c r="B623" s="3">
        <f>IF('3a Raw'!C623="","",MAX(-3,MIN(3,('3a Raw'!C623-$B3)/$B4)))</f>
        <v/>
      </c>
      <c r="C623" s="3">
        <f>IF(B623="","",(B623-AVERAGE(B6:B1198))/(STDEV(B6:B1198)+1E-12))</f>
        <v/>
      </c>
      <c r="D623" s="3">
        <f>IF('3a Raw'!D623="","",MAX(-3,MIN(3,('3a Raw'!D623-$D3)/$D4)))</f>
        <v/>
      </c>
      <c r="E623" s="3">
        <f>IF(D623="","",(D623-AVERAGE(D6:D1198))/(STDEV(D6:D1198)+1E-12))</f>
        <v/>
      </c>
      <c r="F623" s="3">
        <f>IF('3a Raw'!E623="","",MAX(-3,MIN(3,('3a Raw'!E623-$F3)/$F4)))</f>
        <v/>
      </c>
      <c r="G623" s="3">
        <f>IF(F623="","",(F623-AVERAGE(F6:F1198))/(STDEV(F6:F1198)+1E-12))</f>
        <v/>
      </c>
      <c r="H623" s="3">
        <f>IF('3a Raw'!F623="","",MAX(-3,MIN(3,('3a Raw'!F623-$H3)/$H4)))</f>
        <v/>
      </c>
      <c r="I623" s="3">
        <f>IF(H623="","",(H623-AVERAGE(H6:H1198))/(STDEV(H6:H1198)+1E-12))</f>
        <v/>
      </c>
      <c r="J623" s="3">
        <f>IF('3a Raw'!G623="","",MAX(-3,MIN(3,('3a Raw'!G623-$J3)/$J4)))</f>
        <v/>
      </c>
      <c r="K623" s="3">
        <f>IF(J623="","",(J623-AVERAGE(J6:J1198))/(STDEV(J6:J1198)+1E-12))</f>
        <v/>
      </c>
      <c r="L623" s="3">
        <f>IF('3a Raw'!H623="","",MAX(-3,MIN(3,('3a Raw'!H623-$L3)/$L4)))</f>
        <v/>
      </c>
      <c r="M623" s="3">
        <f>IF(L623="","",(L623-AVERAGE(L6:L1198))/(STDEV(L6:L1198)+1E-12))</f>
        <v/>
      </c>
      <c r="N623" s="3">
        <f>IF('3a Raw'!I623="","",MAX(-3,MIN(3,('3a Raw'!I623-$N3)/$N4)))</f>
        <v/>
      </c>
      <c r="O623" s="3">
        <f>IF(N623="","",(N623-AVERAGE(N6:N1198))/(STDEV(N6:N1198)+1E-12))</f>
        <v/>
      </c>
      <c r="P623" s="3">
        <f>IF('3a Raw'!J623="","",MAX(-3,MIN(3,('3a Raw'!J623-$P3)/$P4)))</f>
        <v/>
      </c>
      <c r="Q623" s="3">
        <f>IF(P623="","",(P623-AVERAGE(P6:P1198))/(STDEV(P6:P1198)+1E-12))</f>
        <v/>
      </c>
      <c r="R623" s="3">
        <f>IF('3a Raw'!K623="","",MAX(-3,MIN(3,('3a Raw'!K623-$R3)/$R4)))</f>
        <v/>
      </c>
      <c r="S623" s="3">
        <f>IF(R623="","",(R623-AVERAGE(R6:R1198))/(STDEV(R6:R1198)+1E-12))</f>
        <v/>
      </c>
      <c r="T623" s="3">
        <f>IF('3a Raw'!L623="","",MAX(-3,MIN(3,('3a Raw'!L623-$T3)/$T4)))</f>
        <v/>
      </c>
      <c r="U623" s="3">
        <f>IF(T623="","",(T623-AVERAGE(T6:T1198))/(STDEV(T6:T1198)+1E-12))</f>
        <v/>
      </c>
      <c r="X623" s="3">
        <f>IF(U623="","",U623-($V$3*G623+$W$3))</f>
        <v/>
      </c>
      <c r="Y623" s="3">
        <f>IF(X623="","",MAX(-3,MIN(3,(X623-$X3)/$X4)))</f>
        <v/>
      </c>
      <c r="Z623" s="3">
        <f>IF(Y623="","",(Y623-AVERAGE(Y6:Y1198))/(STDEV(Y6:Y1198)+1E-12))</f>
        <v/>
      </c>
    </row>
    <row r="624">
      <c r="A624" t="inlineStr">
        <is>
          <t>BBG000BQ2JM1</t>
        </is>
      </c>
      <c r="B624" s="3">
        <f>IF('3a Raw'!C624="","",MAX(-3,MIN(3,('3a Raw'!C624-$B3)/$B4)))</f>
        <v/>
      </c>
      <c r="C624" s="3">
        <f>IF(B624="","",(B624-AVERAGE(B6:B1198))/(STDEV(B6:B1198)+1E-12))</f>
        <v/>
      </c>
      <c r="D624" s="3">
        <f>IF('3a Raw'!D624="","",MAX(-3,MIN(3,('3a Raw'!D624-$D3)/$D4)))</f>
        <v/>
      </c>
      <c r="E624" s="3">
        <f>IF(D624="","",(D624-AVERAGE(D6:D1198))/(STDEV(D6:D1198)+1E-12))</f>
        <v/>
      </c>
      <c r="F624" s="3">
        <f>IF('3a Raw'!E624="","",MAX(-3,MIN(3,('3a Raw'!E624-$F3)/$F4)))</f>
        <v/>
      </c>
      <c r="G624" s="3">
        <f>IF(F624="","",(F624-AVERAGE(F6:F1198))/(STDEV(F6:F1198)+1E-12))</f>
        <v/>
      </c>
      <c r="H624" s="3">
        <f>IF('3a Raw'!F624="","",MAX(-3,MIN(3,('3a Raw'!F624-$H3)/$H4)))</f>
        <v/>
      </c>
      <c r="I624" s="3">
        <f>IF(H624="","",(H624-AVERAGE(H6:H1198))/(STDEV(H6:H1198)+1E-12))</f>
        <v/>
      </c>
      <c r="J624" s="3">
        <f>IF('3a Raw'!G624="","",MAX(-3,MIN(3,('3a Raw'!G624-$J3)/$J4)))</f>
        <v/>
      </c>
      <c r="K624" s="3">
        <f>IF(J624="","",(J624-AVERAGE(J6:J1198))/(STDEV(J6:J1198)+1E-12))</f>
        <v/>
      </c>
      <c r="L624" s="3">
        <f>IF('3a Raw'!H624="","",MAX(-3,MIN(3,('3a Raw'!H624-$L3)/$L4)))</f>
        <v/>
      </c>
      <c r="M624" s="3">
        <f>IF(L624="","",(L624-AVERAGE(L6:L1198))/(STDEV(L6:L1198)+1E-12))</f>
        <v/>
      </c>
      <c r="N624" s="3">
        <f>IF('3a Raw'!I624="","",MAX(-3,MIN(3,('3a Raw'!I624-$N3)/$N4)))</f>
        <v/>
      </c>
      <c r="O624" s="3">
        <f>IF(N624="","",(N624-AVERAGE(N6:N1198))/(STDEV(N6:N1198)+1E-12))</f>
        <v/>
      </c>
      <c r="P624" s="3">
        <f>IF('3a Raw'!J624="","",MAX(-3,MIN(3,('3a Raw'!J624-$P3)/$P4)))</f>
        <v/>
      </c>
      <c r="Q624" s="3">
        <f>IF(P624="","",(P624-AVERAGE(P6:P1198))/(STDEV(P6:P1198)+1E-12))</f>
        <v/>
      </c>
      <c r="R624" s="3">
        <f>IF('3a Raw'!K624="","",MAX(-3,MIN(3,('3a Raw'!K624-$R3)/$R4)))</f>
        <v/>
      </c>
      <c r="S624" s="3">
        <f>IF(R624="","",(R624-AVERAGE(R6:R1198))/(STDEV(R6:R1198)+1E-12))</f>
        <v/>
      </c>
      <c r="T624" s="3">
        <f>IF('3a Raw'!L624="","",MAX(-3,MIN(3,('3a Raw'!L624-$T3)/$T4)))</f>
        <v/>
      </c>
      <c r="U624" s="3">
        <f>IF(T624="","",(T624-AVERAGE(T6:T1198))/(STDEV(T6:T1198)+1E-12))</f>
        <v/>
      </c>
      <c r="X624" s="3">
        <f>IF(U624="","",U624-($V$3*G624+$W$3))</f>
        <v/>
      </c>
      <c r="Y624" s="3">
        <f>IF(X624="","",MAX(-3,MIN(3,(X624-$X3)/$X4)))</f>
        <v/>
      </c>
      <c r="Z624" s="3">
        <f>IF(Y624="","",(Y624-AVERAGE(Y6:Y1198))/(STDEV(Y6:Y1198)+1E-12))</f>
        <v/>
      </c>
    </row>
    <row r="625">
      <c r="A625" t="inlineStr">
        <is>
          <t>BBG01WRYRPZ1</t>
        </is>
      </c>
      <c r="B625" s="3">
        <f>IF('3a Raw'!C625="","",MAX(-3,MIN(3,('3a Raw'!C625-$B3)/$B4)))</f>
        <v/>
      </c>
      <c r="C625" s="3">
        <f>IF(B625="","",(B625-AVERAGE(B6:B1198))/(STDEV(B6:B1198)+1E-12))</f>
        <v/>
      </c>
      <c r="D625" s="3">
        <f>IF('3a Raw'!D625="","",MAX(-3,MIN(3,('3a Raw'!D625-$D3)/$D4)))</f>
        <v/>
      </c>
      <c r="E625" s="3">
        <f>IF(D625="","",(D625-AVERAGE(D6:D1198))/(STDEV(D6:D1198)+1E-12))</f>
        <v/>
      </c>
      <c r="F625" s="3">
        <f>IF('3a Raw'!E625="","",MAX(-3,MIN(3,('3a Raw'!E625-$F3)/$F4)))</f>
        <v/>
      </c>
      <c r="G625" s="3">
        <f>IF(F625="","",(F625-AVERAGE(F6:F1198))/(STDEV(F6:F1198)+1E-12))</f>
        <v/>
      </c>
      <c r="H625" s="3">
        <f>IF('3a Raw'!F625="","",MAX(-3,MIN(3,('3a Raw'!F625-$H3)/$H4)))</f>
        <v/>
      </c>
      <c r="I625" s="3">
        <f>IF(H625="","",(H625-AVERAGE(H6:H1198))/(STDEV(H6:H1198)+1E-12))</f>
        <v/>
      </c>
      <c r="J625" s="3">
        <f>IF('3a Raw'!G625="","",MAX(-3,MIN(3,('3a Raw'!G625-$J3)/$J4)))</f>
        <v/>
      </c>
      <c r="K625" s="3">
        <f>IF(J625="","",(J625-AVERAGE(J6:J1198))/(STDEV(J6:J1198)+1E-12))</f>
        <v/>
      </c>
      <c r="L625" s="3">
        <f>IF('3a Raw'!H625="","",MAX(-3,MIN(3,('3a Raw'!H625-$L3)/$L4)))</f>
        <v/>
      </c>
      <c r="M625" s="3">
        <f>IF(L625="","",(L625-AVERAGE(L6:L1198))/(STDEV(L6:L1198)+1E-12))</f>
        <v/>
      </c>
      <c r="N625" s="3">
        <f>IF('3a Raw'!I625="","",MAX(-3,MIN(3,('3a Raw'!I625-$N3)/$N4)))</f>
        <v/>
      </c>
      <c r="O625" s="3">
        <f>IF(N625="","",(N625-AVERAGE(N6:N1198))/(STDEV(N6:N1198)+1E-12))</f>
        <v/>
      </c>
      <c r="P625" s="3">
        <f>IF('3a Raw'!J625="","",MAX(-3,MIN(3,('3a Raw'!J625-$P3)/$P4)))</f>
        <v/>
      </c>
      <c r="Q625" s="3">
        <f>IF(P625="","",(P625-AVERAGE(P6:P1198))/(STDEV(P6:P1198)+1E-12))</f>
        <v/>
      </c>
      <c r="R625" s="3">
        <f>IF('3a Raw'!K625="","",MAX(-3,MIN(3,('3a Raw'!K625-$R3)/$R4)))</f>
        <v/>
      </c>
      <c r="S625" s="3">
        <f>IF(R625="","",(R625-AVERAGE(R6:R1198))/(STDEV(R6:R1198)+1E-12))</f>
        <v/>
      </c>
      <c r="T625" s="3">
        <f>IF('3a Raw'!L625="","",MAX(-3,MIN(3,('3a Raw'!L625-$T3)/$T4)))</f>
        <v/>
      </c>
      <c r="U625" s="3">
        <f>IF(T625="","",(T625-AVERAGE(T6:T1198))/(STDEV(T6:T1198)+1E-12))</f>
        <v/>
      </c>
      <c r="X625" s="3">
        <f>IF(U625="","",U625-($V$3*G625+$W$3))</f>
        <v/>
      </c>
      <c r="Y625" s="3">
        <f>IF(X625="","",MAX(-3,MIN(3,(X625-$X3)/$X4)))</f>
        <v/>
      </c>
      <c r="Z625" s="3">
        <f>IF(Y625="","",(Y625-AVERAGE(Y6:Y1198))/(STDEV(Y6:Y1198)+1E-12))</f>
        <v/>
      </c>
    </row>
    <row r="626">
      <c r="A626" t="inlineStr">
        <is>
          <t>lh</t>
        </is>
      </c>
      <c r="B626" s="3">
        <f>IF('3a Raw'!C626="","",MAX(-3,MIN(3,('3a Raw'!C626-$B3)/$B4)))</f>
        <v/>
      </c>
      <c r="C626" s="3">
        <f>IF(B626="","",(B626-AVERAGE(B6:B1198))/(STDEV(B6:B1198)+1E-12))</f>
        <v/>
      </c>
      <c r="D626" s="3">
        <f>IF('3a Raw'!D626="","",MAX(-3,MIN(3,('3a Raw'!D626-$D3)/$D4)))</f>
        <v/>
      </c>
      <c r="E626" s="3">
        <f>IF(D626="","",(D626-AVERAGE(D6:D1198))/(STDEV(D6:D1198)+1E-12))</f>
        <v/>
      </c>
      <c r="F626" s="3">
        <f>IF('3a Raw'!E626="","",MAX(-3,MIN(3,('3a Raw'!E626-$F3)/$F4)))</f>
        <v/>
      </c>
      <c r="G626" s="3">
        <f>IF(F626="","",(F626-AVERAGE(F6:F1198))/(STDEV(F6:F1198)+1E-12))</f>
        <v/>
      </c>
      <c r="H626" s="3">
        <f>IF('3a Raw'!F626="","",MAX(-3,MIN(3,('3a Raw'!F626-$H3)/$H4)))</f>
        <v/>
      </c>
      <c r="I626" s="3">
        <f>IF(H626="","",(H626-AVERAGE(H6:H1198))/(STDEV(H6:H1198)+1E-12))</f>
        <v/>
      </c>
      <c r="J626" s="3">
        <f>IF('3a Raw'!G626="","",MAX(-3,MIN(3,('3a Raw'!G626-$J3)/$J4)))</f>
        <v/>
      </c>
      <c r="K626" s="3">
        <f>IF(J626="","",(J626-AVERAGE(J6:J1198))/(STDEV(J6:J1198)+1E-12))</f>
        <v/>
      </c>
      <c r="L626" s="3">
        <f>IF('3a Raw'!H626="","",MAX(-3,MIN(3,('3a Raw'!H626-$L3)/$L4)))</f>
        <v/>
      </c>
      <c r="M626" s="3">
        <f>IF(L626="","",(L626-AVERAGE(L6:L1198))/(STDEV(L6:L1198)+1E-12))</f>
        <v/>
      </c>
      <c r="N626" s="3">
        <f>IF('3a Raw'!I626="","",MAX(-3,MIN(3,('3a Raw'!I626-$N3)/$N4)))</f>
        <v/>
      </c>
      <c r="O626" s="3">
        <f>IF(N626="","",(N626-AVERAGE(N6:N1198))/(STDEV(N6:N1198)+1E-12))</f>
        <v/>
      </c>
      <c r="P626" s="3">
        <f>IF('3a Raw'!J626="","",MAX(-3,MIN(3,('3a Raw'!J626-$P3)/$P4)))</f>
        <v/>
      </c>
      <c r="Q626" s="3">
        <f>IF(P626="","",(P626-AVERAGE(P6:P1198))/(STDEV(P6:P1198)+1E-12))</f>
        <v/>
      </c>
      <c r="R626" s="3">
        <f>IF('3a Raw'!K626="","",MAX(-3,MIN(3,('3a Raw'!K626-$R3)/$R4)))</f>
        <v/>
      </c>
      <c r="S626" s="3">
        <f>IF(R626="","",(R626-AVERAGE(R6:R1198))/(STDEV(R6:R1198)+1E-12))</f>
        <v/>
      </c>
      <c r="T626" s="3">
        <f>IF('3a Raw'!L626="","",MAX(-3,MIN(3,('3a Raw'!L626-$T3)/$T4)))</f>
        <v/>
      </c>
      <c r="U626" s="3">
        <f>IF(T626="","",(T626-AVERAGE(T6:T1198))/(STDEV(T6:T1198)+1E-12))</f>
        <v/>
      </c>
      <c r="X626" s="3">
        <f>IF(U626="","",U626-($V$3*G626+$W$3))</f>
        <v/>
      </c>
      <c r="Y626" s="3">
        <f>IF(X626="","",MAX(-3,MIN(3,(X626-$X3)/$X4)))</f>
        <v/>
      </c>
      <c r="Z626" s="3">
        <f>IF(Y626="","",(Y626-AVERAGE(Y6:Y1198))/(STDEV(Y6:Y1198)+1E-12))</f>
        <v/>
      </c>
    </row>
    <row r="627">
      <c r="A627" t="inlineStr">
        <is>
          <t>lhx</t>
        </is>
      </c>
      <c r="B627" s="3">
        <f>IF('3a Raw'!C627="","",MAX(-3,MIN(3,('3a Raw'!C627-$B3)/$B4)))</f>
        <v/>
      </c>
      <c r="C627" s="3">
        <f>IF(B627="","",(B627-AVERAGE(B6:B1198))/(STDEV(B6:B1198)+1E-12))</f>
        <v/>
      </c>
      <c r="D627" s="3">
        <f>IF('3a Raw'!D627="","",MAX(-3,MIN(3,('3a Raw'!D627-$D3)/$D4)))</f>
        <v/>
      </c>
      <c r="E627" s="3">
        <f>IF(D627="","",(D627-AVERAGE(D6:D1198))/(STDEV(D6:D1198)+1E-12))</f>
        <v/>
      </c>
      <c r="F627" s="3">
        <f>IF('3a Raw'!E627="","",MAX(-3,MIN(3,('3a Raw'!E627-$F3)/$F4)))</f>
        <v/>
      </c>
      <c r="G627" s="3">
        <f>IF(F627="","",(F627-AVERAGE(F6:F1198))/(STDEV(F6:F1198)+1E-12))</f>
        <v/>
      </c>
      <c r="H627" s="3">
        <f>IF('3a Raw'!F627="","",MAX(-3,MIN(3,('3a Raw'!F627-$H3)/$H4)))</f>
        <v/>
      </c>
      <c r="I627" s="3">
        <f>IF(H627="","",(H627-AVERAGE(H6:H1198))/(STDEV(H6:H1198)+1E-12))</f>
        <v/>
      </c>
      <c r="J627" s="3">
        <f>IF('3a Raw'!G627="","",MAX(-3,MIN(3,('3a Raw'!G627-$J3)/$J4)))</f>
        <v/>
      </c>
      <c r="K627" s="3">
        <f>IF(J627="","",(J627-AVERAGE(J6:J1198))/(STDEV(J6:J1198)+1E-12))</f>
        <v/>
      </c>
      <c r="L627" s="3">
        <f>IF('3a Raw'!H627="","",MAX(-3,MIN(3,('3a Raw'!H627-$L3)/$L4)))</f>
        <v/>
      </c>
      <c r="M627" s="3">
        <f>IF(L627="","",(L627-AVERAGE(L6:L1198))/(STDEV(L6:L1198)+1E-12))</f>
        <v/>
      </c>
      <c r="N627" s="3">
        <f>IF('3a Raw'!I627="","",MAX(-3,MIN(3,('3a Raw'!I627-$N3)/$N4)))</f>
        <v/>
      </c>
      <c r="O627" s="3">
        <f>IF(N627="","",(N627-AVERAGE(N6:N1198))/(STDEV(N6:N1198)+1E-12))</f>
        <v/>
      </c>
      <c r="P627" s="3">
        <f>IF('3a Raw'!J627="","",MAX(-3,MIN(3,('3a Raw'!J627-$P3)/$P4)))</f>
        <v/>
      </c>
      <c r="Q627" s="3">
        <f>IF(P627="","",(P627-AVERAGE(P6:P1198))/(STDEV(P6:P1198)+1E-12))</f>
        <v/>
      </c>
      <c r="R627" s="3">
        <f>IF('3a Raw'!K627="","",MAX(-3,MIN(3,('3a Raw'!K627-$R3)/$R4)))</f>
        <v/>
      </c>
      <c r="S627" s="3">
        <f>IF(R627="","",(R627-AVERAGE(R6:R1198))/(STDEV(R6:R1198)+1E-12))</f>
        <v/>
      </c>
      <c r="T627" s="3">
        <f>IF('3a Raw'!L627="","",MAX(-3,MIN(3,('3a Raw'!L627-$T3)/$T4)))</f>
        <v/>
      </c>
      <c r="U627" s="3">
        <f>IF(T627="","",(T627-AVERAGE(T6:T1198))/(STDEV(T6:T1198)+1E-12))</f>
        <v/>
      </c>
      <c r="X627" s="3">
        <f>IF(U627="","",U627-($V$3*G627+$W$3))</f>
        <v/>
      </c>
      <c r="Y627" s="3">
        <f>IF(X627="","",MAX(-3,MIN(3,(X627-$X3)/$X4)))</f>
        <v/>
      </c>
      <c r="Z627" s="3">
        <f>IF(Y627="","",(Y627-AVERAGE(Y6:Y1198))/(STDEV(Y6:Y1198)+1E-12))</f>
        <v/>
      </c>
    </row>
    <row r="628">
      <c r="A628" t="inlineStr">
        <is>
          <t>BBG000BB5B84</t>
        </is>
      </c>
      <c r="B628" s="3">
        <f>IF('3a Raw'!C628="","",MAX(-3,MIN(3,('3a Raw'!C628-$B3)/$B4)))</f>
        <v/>
      </c>
      <c r="C628" s="3">
        <f>IF(B628="","",(B628-AVERAGE(B6:B1198))/(STDEV(B6:B1198)+1E-12))</f>
        <v/>
      </c>
      <c r="D628" s="3">
        <f>IF('3a Raw'!D628="","",MAX(-3,MIN(3,('3a Raw'!D628-$D3)/$D4)))</f>
        <v/>
      </c>
      <c r="E628" s="3">
        <f>IF(D628="","",(D628-AVERAGE(D6:D1198))/(STDEV(D6:D1198)+1E-12))</f>
        <v/>
      </c>
      <c r="F628" s="3">
        <f>IF('3a Raw'!E628="","",MAX(-3,MIN(3,('3a Raw'!E628-$F3)/$F4)))</f>
        <v/>
      </c>
      <c r="G628" s="3">
        <f>IF(F628="","",(F628-AVERAGE(F6:F1198))/(STDEV(F6:F1198)+1E-12))</f>
        <v/>
      </c>
      <c r="H628" s="3">
        <f>IF('3a Raw'!F628="","",MAX(-3,MIN(3,('3a Raw'!F628-$H3)/$H4)))</f>
        <v/>
      </c>
      <c r="I628" s="3">
        <f>IF(H628="","",(H628-AVERAGE(H6:H1198))/(STDEV(H6:H1198)+1E-12))</f>
        <v/>
      </c>
      <c r="J628" s="3">
        <f>IF('3a Raw'!G628="","",MAX(-3,MIN(3,('3a Raw'!G628-$J3)/$J4)))</f>
        <v/>
      </c>
      <c r="K628" s="3">
        <f>IF(J628="","",(J628-AVERAGE(J6:J1198))/(STDEV(J6:J1198)+1E-12))</f>
        <v/>
      </c>
      <c r="L628" s="3">
        <f>IF('3a Raw'!H628="","",MAX(-3,MIN(3,('3a Raw'!H628-$L3)/$L4)))</f>
        <v/>
      </c>
      <c r="M628" s="3">
        <f>IF(L628="","",(L628-AVERAGE(L6:L1198))/(STDEV(L6:L1198)+1E-12))</f>
        <v/>
      </c>
      <c r="N628" s="3">
        <f>IF('3a Raw'!I628="","",MAX(-3,MIN(3,('3a Raw'!I628-$N3)/$N4)))</f>
        <v/>
      </c>
      <c r="O628" s="3">
        <f>IF(N628="","",(N628-AVERAGE(N6:N1198))/(STDEV(N6:N1198)+1E-12))</f>
        <v/>
      </c>
      <c r="P628" s="3">
        <f>IF('3a Raw'!J628="","",MAX(-3,MIN(3,('3a Raw'!J628-$P3)/$P4)))</f>
        <v/>
      </c>
      <c r="Q628" s="3">
        <f>IF(P628="","",(P628-AVERAGE(P6:P1198))/(STDEV(P6:P1198)+1E-12))</f>
        <v/>
      </c>
      <c r="R628" s="3">
        <f>IF('3a Raw'!K628="","",MAX(-3,MIN(3,('3a Raw'!K628-$R3)/$R4)))</f>
        <v/>
      </c>
      <c r="S628" s="3">
        <f>IF(R628="","",(R628-AVERAGE(R6:R1198))/(STDEV(R6:R1198)+1E-12))</f>
        <v/>
      </c>
      <c r="T628" s="3">
        <f>IF('3a Raw'!L628="","",MAX(-3,MIN(3,('3a Raw'!L628-$T3)/$T4)))</f>
        <v/>
      </c>
      <c r="U628" s="3">
        <f>IF(T628="","",(T628-AVERAGE(T6:T1198))/(STDEV(T6:T1198)+1E-12))</f>
        <v/>
      </c>
      <c r="X628" s="3">
        <f>IF(U628="","",U628-($V$3*G628+$W$3))</f>
        <v/>
      </c>
      <c r="Y628" s="3">
        <f>IF(X628="","",MAX(-3,MIN(3,(X628-$X3)/$X4)))</f>
        <v/>
      </c>
      <c r="Z628" s="3">
        <f>IF(Y628="","",(Y628-AVERAGE(Y6:Y1198))/(STDEV(Y6:Y1198)+1E-12))</f>
        <v/>
      </c>
    </row>
    <row r="629">
      <c r="A629" t="inlineStr">
        <is>
          <t>lin</t>
        </is>
      </c>
      <c r="B629" s="3">
        <f>IF('3a Raw'!C629="","",MAX(-3,MIN(3,('3a Raw'!C629-$B3)/$B4)))</f>
        <v/>
      </c>
      <c r="C629" s="3">
        <f>IF(B629="","",(B629-AVERAGE(B6:B1198))/(STDEV(B6:B1198)+1E-12))</f>
        <v/>
      </c>
      <c r="D629" s="3">
        <f>IF('3a Raw'!D629="","",MAX(-3,MIN(3,('3a Raw'!D629-$D3)/$D4)))</f>
        <v/>
      </c>
      <c r="E629" s="3">
        <f>IF(D629="","",(D629-AVERAGE(D6:D1198))/(STDEV(D6:D1198)+1E-12))</f>
        <v/>
      </c>
      <c r="F629" s="3">
        <f>IF('3a Raw'!E629="","",MAX(-3,MIN(3,('3a Raw'!E629-$F3)/$F4)))</f>
        <v/>
      </c>
      <c r="G629" s="3">
        <f>IF(F629="","",(F629-AVERAGE(F6:F1198))/(STDEV(F6:F1198)+1E-12))</f>
        <v/>
      </c>
      <c r="H629" s="3">
        <f>IF('3a Raw'!F629="","",MAX(-3,MIN(3,('3a Raw'!F629-$H3)/$H4)))</f>
        <v/>
      </c>
      <c r="I629" s="3">
        <f>IF(H629="","",(H629-AVERAGE(H6:H1198))/(STDEV(H6:H1198)+1E-12))</f>
        <v/>
      </c>
      <c r="J629" s="3">
        <f>IF('3a Raw'!G629="","",MAX(-3,MIN(3,('3a Raw'!G629-$J3)/$J4)))</f>
        <v/>
      </c>
      <c r="K629" s="3">
        <f>IF(J629="","",(J629-AVERAGE(J6:J1198))/(STDEV(J6:J1198)+1E-12))</f>
        <v/>
      </c>
      <c r="L629" s="3">
        <f>IF('3a Raw'!H629="","",MAX(-3,MIN(3,('3a Raw'!H629-$L3)/$L4)))</f>
        <v/>
      </c>
      <c r="M629" s="3">
        <f>IF(L629="","",(L629-AVERAGE(L6:L1198))/(STDEV(L6:L1198)+1E-12))</f>
        <v/>
      </c>
      <c r="N629" s="3">
        <f>IF('3a Raw'!I629="","",MAX(-3,MIN(3,('3a Raw'!I629-$N3)/$N4)))</f>
        <v/>
      </c>
      <c r="O629" s="3">
        <f>IF(N629="","",(N629-AVERAGE(N6:N1198))/(STDEV(N6:N1198)+1E-12))</f>
        <v/>
      </c>
      <c r="P629" s="3">
        <f>IF('3a Raw'!J629="","",MAX(-3,MIN(3,('3a Raw'!J629-$P3)/$P4)))</f>
        <v/>
      </c>
      <c r="Q629" s="3">
        <f>IF(P629="","",(P629-AVERAGE(P6:P1198))/(STDEV(P6:P1198)+1E-12))</f>
        <v/>
      </c>
      <c r="R629" s="3">
        <f>IF('3a Raw'!K629="","",MAX(-3,MIN(3,('3a Raw'!K629-$R3)/$R4)))</f>
        <v/>
      </c>
      <c r="S629" s="3">
        <f>IF(R629="","",(R629-AVERAGE(R6:R1198))/(STDEV(R6:R1198)+1E-12))</f>
        <v/>
      </c>
      <c r="T629" s="3">
        <f>IF('3a Raw'!L629="","",MAX(-3,MIN(3,('3a Raw'!L629-$T3)/$T4)))</f>
        <v/>
      </c>
      <c r="U629" s="3">
        <f>IF(T629="","",(T629-AVERAGE(T6:T1198))/(STDEV(T6:T1198)+1E-12))</f>
        <v/>
      </c>
      <c r="X629" s="3">
        <f>IF(U629="","",U629-($V$3*G629+$W$3))</f>
        <v/>
      </c>
      <c r="Y629" s="3">
        <f>IF(X629="","",MAX(-3,MIN(3,(X629-$X3)/$X4)))</f>
        <v/>
      </c>
      <c r="Z629" s="3">
        <f>IF(Y629="","",(Y629-AVERAGE(Y6:Y1198))/(STDEV(Y6:Y1198)+1E-12))</f>
        <v/>
      </c>
    </row>
    <row r="630">
      <c r="A630" t="inlineStr">
        <is>
          <t>BBG000GM1PH8</t>
        </is>
      </c>
      <c r="B630" s="3">
        <f>IF('3a Raw'!C630="","",MAX(-3,MIN(3,('3a Raw'!C630-$B3)/$B4)))</f>
        <v/>
      </c>
      <c r="C630" s="3">
        <f>IF(B630="","",(B630-AVERAGE(B6:B1198))/(STDEV(B6:B1198)+1E-12))</f>
        <v/>
      </c>
      <c r="D630" s="3">
        <f>IF('3a Raw'!D630="","",MAX(-3,MIN(3,('3a Raw'!D630-$D3)/$D4)))</f>
        <v/>
      </c>
      <c r="E630" s="3">
        <f>IF(D630="","",(D630-AVERAGE(D6:D1198))/(STDEV(D6:D1198)+1E-12))</f>
        <v/>
      </c>
      <c r="F630" s="3">
        <f>IF('3a Raw'!E630="","",MAX(-3,MIN(3,('3a Raw'!E630-$F3)/$F4)))</f>
        <v/>
      </c>
      <c r="G630" s="3">
        <f>IF(F630="","",(F630-AVERAGE(F6:F1198))/(STDEV(F6:F1198)+1E-12))</f>
        <v/>
      </c>
      <c r="H630" s="3">
        <f>IF('3a Raw'!F630="","",MAX(-3,MIN(3,('3a Raw'!F630-$H3)/$H4)))</f>
        <v/>
      </c>
      <c r="I630" s="3">
        <f>IF(H630="","",(H630-AVERAGE(H6:H1198))/(STDEV(H6:H1198)+1E-12))</f>
        <v/>
      </c>
      <c r="J630" s="3">
        <f>IF('3a Raw'!G630="","",MAX(-3,MIN(3,('3a Raw'!G630-$J3)/$J4)))</f>
        <v/>
      </c>
      <c r="K630" s="3">
        <f>IF(J630="","",(J630-AVERAGE(J6:J1198))/(STDEV(J6:J1198)+1E-12))</f>
        <v/>
      </c>
      <c r="L630" s="3">
        <f>IF('3a Raw'!H630="","",MAX(-3,MIN(3,('3a Raw'!H630-$L3)/$L4)))</f>
        <v/>
      </c>
      <c r="M630" s="3">
        <f>IF(L630="","",(L630-AVERAGE(L6:L1198))/(STDEV(L6:L1198)+1E-12))</f>
        <v/>
      </c>
      <c r="N630" s="3">
        <f>IF('3a Raw'!I630="","",MAX(-3,MIN(3,('3a Raw'!I630-$N3)/$N4)))</f>
        <v/>
      </c>
      <c r="O630" s="3">
        <f>IF(N630="","",(N630-AVERAGE(N6:N1198))/(STDEV(N6:N1198)+1E-12))</f>
        <v/>
      </c>
      <c r="P630" s="3">
        <f>IF('3a Raw'!J630="","",MAX(-3,MIN(3,('3a Raw'!J630-$P3)/$P4)))</f>
        <v/>
      </c>
      <c r="Q630" s="3">
        <f>IF(P630="","",(P630-AVERAGE(P6:P1198))/(STDEV(P6:P1198)+1E-12))</f>
        <v/>
      </c>
      <c r="R630" s="3">
        <f>IF('3a Raw'!K630="","",MAX(-3,MIN(3,('3a Raw'!K630-$R3)/$R4)))</f>
        <v/>
      </c>
      <c r="S630" s="3">
        <f>IF(R630="","",(R630-AVERAGE(R6:R1198))/(STDEV(R6:R1198)+1E-12))</f>
        <v/>
      </c>
      <c r="T630" s="3">
        <f>IF('3a Raw'!L630="","",MAX(-3,MIN(3,('3a Raw'!L630-$T3)/$T4)))</f>
        <v/>
      </c>
      <c r="U630" s="3">
        <f>IF(T630="","",(T630-AVERAGE(T6:T1198))/(STDEV(T6:T1198)+1E-12))</f>
        <v/>
      </c>
      <c r="X630" s="3">
        <f>IF(U630="","",U630-($V$3*G630+$W$3))</f>
        <v/>
      </c>
      <c r="Y630" s="3">
        <f>IF(X630="","",MAX(-3,MIN(3,(X630-$X3)/$X4)))</f>
        <v/>
      </c>
      <c r="Z630" s="3">
        <f>IF(Y630="","",(Y630-AVERAGE(Y6:Y1198))/(STDEV(Y6:Y1198)+1E-12))</f>
        <v/>
      </c>
    </row>
    <row r="631">
      <c r="A631" t="inlineStr">
        <is>
          <t>BBG01NJDR0W4</t>
        </is>
      </c>
      <c r="B631" s="3">
        <f>IF('3a Raw'!C631="","",MAX(-3,MIN(3,('3a Raw'!C631-$B3)/$B4)))</f>
        <v/>
      </c>
      <c r="C631" s="3">
        <f>IF(B631="","",(B631-AVERAGE(B6:B1198))/(STDEV(B6:B1198)+1E-12))</f>
        <v/>
      </c>
      <c r="D631" s="3">
        <f>IF('3a Raw'!D631="","",MAX(-3,MIN(3,('3a Raw'!D631-$D3)/$D4)))</f>
        <v/>
      </c>
      <c r="E631" s="3">
        <f>IF(D631="","",(D631-AVERAGE(D6:D1198))/(STDEV(D6:D1198)+1E-12))</f>
        <v/>
      </c>
      <c r="F631" s="3">
        <f>IF('3a Raw'!E631="","",MAX(-3,MIN(3,('3a Raw'!E631-$F3)/$F4)))</f>
        <v/>
      </c>
      <c r="G631" s="3">
        <f>IF(F631="","",(F631-AVERAGE(F6:F1198))/(STDEV(F6:F1198)+1E-12))</f>
        <v/>
      </c>
      <c r="H631" s="3">
        <f>IF('3a Raw'!F631="","",MAX(-3,MIN(3,('3a Raw'!F631-$H3)/$H4)))</f>
        <v/>
      </c>
      <c r="I631" s="3">
        <f>IF(H631="","",(H631-AVERAGE(H6:H1198))/(STDEV(H6:H1198)+1E-12))</f>
        <v/>
      </c>
      <c r="J631" s="3">
        <f>IF('3a Raw'!G631="","",MAX(-3,MIN(3,('3a Raw'!G631-$J3)/$J4)))</f>
        <v/>
      </c>
      <c r="K631" s="3">
        <f>IF(J631="","",(J631-AVERAGE(J6:J1198))/(STDEV(J6:J1198)+1E-12))</f>
        <v/>
      </c>
      <c r="L631" s="3">
        <f>IF('3a Raw'!H631="","",MAX(-3,MIN(3,('3a Raw'!H631-$L3)/$L4)))</f>
        <v/>
      </c>
      <c r="M631" s="3">
        <f>IF(L631="","",(L631-AVERAGE(L6:L1198))/(STDEV(L6:L1198)+1E-12))</f>
        <v/>
      </c>
      <c r="N631" s="3">
        <f>IF('3a Raw'!I631="","",MAX(-3,MIN(3,('3a Raw'!I631-$N3)/$N4)))</f>
        <v/>
      </c>
      <c r="O631" s="3">
        <f>IF(N631="","",(N631-AVERAGE(N6:N1198))/(STDEV(N6:N1198)+1E-12))</f>
        <v/>
      </c>
      <c r="P631" s="3">
        <f>IF('3a Raw'!J631="","",MAX(-3,MIN(3,('3a Raw'!J631-$P3)/$P4)))</f>
        <v/>
      </c>
      <c r="Q631" s="3">
        <f>IF(P631="","",(P631-AVERAGE(P6:P1198))/(STDEV(P6:P1198)+1E-12))</f>
        <v/>
      </c>
      <c r="R631" s="3">
        <f>IF('3a Raw'!K631="","",MAX(-3,MIN(3,('3a Raw'!K631-$R3)/$R4)))</f>
        <v/>
      </c>
      <c r="S631" s="3">
        <f>IF(R631="","",(R631-AVERAGE(R6:R1198))/(STDEV(R6:R1198)+1E-12))</f>
        <v/>
      </c>
      <c r="T631" s="3">
        <f>IF('3a Raw'!L631="","",MAX(-3,MIN(3,('3a Raw'!L631-$T3)/$T4)))</f>
        <v/>
      </c>
      <c r="U631" s="3">
        <f>IF(T631="","",(T631-AVERAGE(T6:T1198))/(STDEV(T6:T1198)+1E-12))</f>
        <v/>
      </c>
      <c r="X631" s="3">
        <f>IF(U631="","",U631-($V$3*G631+$W$3))</f>
        <v/>
      </c>
      <c r="Y631" s="3">
        <f>IF(X631="","",MAX(-3,MIN(3,(X631-$X3)/$X4)))</f>
        <v/>
      </c>
      <c r="Z631" s="3">
        <f>IF(Y631="","",(Y631-AVERAGE(Y6:Y1198))/(STDEV(Y6:Y1198)+1E-12))</f>
        <v/>
      </c>
    </row>
    <row r="632">
      <c r="A632" t="inlineStr">
        <is>
          <t>BBG01TT3G7W9</t>
        </is>
      </c>
      <c r="B632" s="3">
        <f>IF('3a Raw'!C632="","",MAX(-3,MIN(3,('3a Raw'!C632-$B3)/$B4)))</f>
        <v/>
      </c>
      <c r="C632" s="3">
        <f>IF(B632="","",(B632-AVERAGE(B6:B1198))/(STDEV(B6:B1198)+1E-12))</f>
        <v/>
      </c>
      <c r="D632" s="3">
        <f>IF('3a Raw'!D632="","",MAX(-3,MIN(3,('3a Raw'!D632-$D3)/$D4)))</f>
        <v/>
      </c>
      <c r="E632" s="3">
        <f>IF(D632="","",(D632-AVERAGE(D6:D1198))/(STDEV(D6:D1198)+1E-12))</f>
        <v/>
      </c>
      <c r="F632" s="3">
        <f>IF('3a Raw'!E632="","",MAX(-3,MIN(3,('3a Raw'!E632-$F3)/$F4)))</f>
        <v/>
      </c>
      <c r="G632" s="3">
        <f>IF(F632="","",(F632-AVERAGE(F6:F1198))/(STDEV(F6:F1198)+1E-12))</f>
        <v/>
      </c>
      <c r="H632" s="3">
        <f>IF('3a Raw'!F632="","",MAX(-3,MIN(3,('3a Raw'!F632-$H3)/$H4)))</f>
        <v/>
      </c>
      <c r="I632" s="3">
        <f>IF(H632="","",(H632-AVERAGE(H6:H1198))/(STDEV(H6:H1198)+1E-12))</f>
        <v/>
      </c>
      <c r="J632" s="3">
        <f>IF('3a Raw'!G632="","",MAX(-3,MIN(3,('3a Raw'!G632-$J3)/$J4)))</f>
        <v/>
      </c>
      <c r="K632" s="3">
        <f>IF(J632="","",(J632-AVERAGE(J6:J1198))/(STDEV(J6:J1198)+1E-12))</f>
        <v/>
      </c>
      <c r="L632" s="3">
        <f>IF('3a Raw'!H632="","",MAX(-3,MIN(3,('3a Raw'!H632-$L3)/$L4)))</f>
        <v/>
      </c>
      <c r="M632" s="3">
        <f>IF(L632="","",(L632-AVERAGE(L6:L1198))/(STDEV(L6:L1198)+1E-12))</f>
        <v/>
      </c>
      <c r="N632" s="3">
        <f>IF('3a Raw'!I632="","",MAX(-3,MIN(3,('3a Raw'!I632-$N3)/$N4)))</f>
        <v/>
      </c>
      <c r="O632" s="3">
        <f>IF(N632="","",(N632-AVERAGE(N6:N1198))/(STDEV(N6:N1198)+1E-12))</f>
        <v/>
      </c>
      <c r="P632" s="3">
        <f>IF('3a Raw'!J632="","",MAX(-3,MIN(3,('3a Raw'!J632-$P3)/$P4)))</f>
        <v/>
      </c>
      <c r="Q632" s="3">
        <f>IF(P632="","",(P632-AVERAGE(P6:P1198))/(STDEV(P6:P1198)+1E-12))</f>
        <v/>
      </c>
      <c r="R632" s="3">
        <f>IF('3a Raw'!K632="","",MAX(-3,MIN(3,('3a Raw'!K632-$R3)/$R4)))</f>
        <v/>
      </c>
      <c r="S632" s="3">
        <f>IF(R632="","",(R632-AVERAGE(R6:R1198))/(STDEV(R6:R1198)+1E-12))</f>
        <v/>
      </c>
      <c r="T632" s="3">
        <f>IF('3a Raw'!L632="","",MAX(-3,MIN(3,('3a Raw'!L632-$T3)/$T4)))</f>
        <v/>
      </c>
      <c r="U632" s="3">
        <f>IF(T632="","",(T632-AVERAGE(T6:T1198))/(STDEV(T6:T1198)+1E-12))</f>
        <v/>
      </c>
      <c r="X632" s="3">
        <f>IF(U632="","",U632-($V$3*G632+$W$3))</f>
        <v/>
      </c>
      <c r="Y632" s="3">
        <f>IF(X632="","",MAX(-3,MIN(3,(X632-$X3)/$X4)))</f>
        <v/>
      </c>
      <c r="Z632" s="3">
        <f>IF(Y632="","",(Y632-AVERAGE(Y6:Y1198))/(STDEV(Y6:Y1198)+1E-12))</f>
        <v/>
      </c>
    </row>
    <row r="633">
      <c r="A633" t="inlineStr">
        <is>
          <t>BBG0073F9RT7</t>
        </is>
      </c>
      <c r="B633" s="3">
        <f>IF('3a Raw'!C633="","",MAX(-3,MIN(3,('3a Raw'!C633-$B3)/$B4)))</f>
        <v/>
      </c>
      <c r="C633" s="3">
        <f>IF(B633="","",(B633-AVERAGE(B6:B1198))/(STDEV(B6:B1198)+1E-12))</f>
        <v/>
      </c>
      <c r="D633" s="3">
        <f>IF('3a Raw'!D633="","",MAX(-3,MIN(3,('3a Raw'!D633-$D3)/$D4)))</f>
        <v/>
      </c>
      <c r="E633" s="3">
        <f>IF(D633="","",(D633-AVERAGE(D6:D1198))/(STDEV(D6:D1198)+1E-12))</f>
        <v/>
      </c>
      <c r="F633" s="3">
        <f>IF('3a Raw'!E633="","",MAX(-3,MIN(3,('3a Raw'!E633-$F3)/$F4)))</f>
        <v/>
      </c>
      <c r="G633" s="3">
        <f>IF(F633="","",(F633-AVERAGE(F6:F1198))/(STDEV(F6:F1198)+1E-12))</f>
        <v/>
      </c>
      <c r="H633" s="3">
        <f>IF('3a Raw'!F633="","",MAX(-3,MIN(3,('3a Raw'!F633-$H3)/$H4)))</f>
        <v/>
      </c>
      <c r="I633" s="3">
        <f>IF(H633="","",(H633-AVERAGE(H6:H1198))/(STDEV(H6:H1198)+1E-12))</f>
        <v/>
      </c>
      <c r="J633" s="3">
        <f>IF('3a Raw'!G633="","",MAX(-3,MIN(3,('3a Raw'!G633-$J3)/$J4)))</f>
        <v/>
      </c>
      <c r="K633" s="3">
        <f>IF(J633="","",(J633-AVERAGE(J6:J1198))/(STDEV(J6:J1198)+1E-12))</f>
        <v/>
      </c>
      <c r="L633" s="3">
        <f>IF('3a Raw'!H633="","",MAX(-3,MIN(3,('3a Raw'!H633-$L3)/$L4)))</f>
        <v/>
      </c>
      <c r="M633" s="3">
        <f>IF(L633="","",(L633-AVERAGE(L6:L1198))/(STDEV(L6:L1198)+1E-12))</f>
        <v/>
      </c>
      <c r="N633" s="3">
        <f>IF('3a Raw'!I633="","",MAX(-3,MIN(3,('3a Raw'!I633-$N3)/$N4)))</f>
        <v/>
      </c>
      <c r="O633" s="3">
        <f>IF(N633="","",(N633-AVERAGE(N6:N1198))/(STDEV(N6:N1198)+1E-12))</f>
        <v/>
      </c>
      <c r="P633" s="3">
        <f>IF('3a Raw'!J633="","",MAX(-3,MIN(3,('3a Raw'!J633-$P3)/$P4)))</f>
        <v/>
      </c>
      <c r="Q633" s="3">
        <f>IF(P633="","",(P633-AVERAGE(P6:P1198))/(STDEV(P6:P1198)+1E-12))</f>
        <v/>
      </c>
      <c r="R633" s="3">
        <f>IF('3a Raw'!K633="","",MAX(-3,MIN(3,('3a Raw'!K633-$R3)/$R4)))</f>
        <v/>
      </c>
      <c r="S633" s="3">
        <f>IF(R633="","",(R633-AVERAGE(R6:R1198))/(STDEV(R6:R1198)+1E-12))</f>
        <v/>
      </c>
      <c r="T633" s="3">
        <f>IF('3a Raw'!L633="","",MAX(-3,MIN(3,('3a Raw'!L633-$T3)/$T4)))</f>
        <v/>
      </c>
      <c r="U633" s="3">
        <f>IF(T633="","",(T633-AVERAGE(T6:T1198))/(STDEV(T6:T1198)+1E-12))</f>
        <v/>
      </c>
      <c r="X633" s="3">
        <f>IF(U633="","",U633-($V$3*G633+$W$3))</f>
        <v/>
      </c>
      <c r="Y633" s="3">
        <f>IF(X633="","",MAX(-3,MIN(3,(X633-$X3)/$X4)))</f>
        <v/>
      </c>
      <c r="Z633" s="3">
        <f>IF(Y633="","",(Y633-AVERAGE(Y6:Y1198))/(STDEV(Y6:Y1198)+1E-12))</f>
        <v/>
      </c>
    </row>
    <row r="634">
      <c r="A634" t="inlineStr">
        <is>
          <t>BBG000BNBDC2</t>
        </is>
      </c>
      <c r="B634" s="3">
        <f>IF('3a Raw'!C634="","",MAX(-3,MIN(3,('3a Raw'!C634-$B3)/$B4)))</f>
        <v/>
      </c>
      <c r="C634" s="3">
        <f>IF(B634="","",(B634-AVERAGE(B6:B1198))/(STDEV(B6:B1198)+1E-12))</f>
        <v/>
      </c>
      <c r="D634" s="3">
        <f>IF('3a Raw'!D634="","",MAX(-3,MIN(3,('3a Raw'!D634-$D3)/$D4)))</f>
        <v/>
      </c>
      <c r="E634" s="3">
        <f>IF(D634="","",(D634-AVERAGE(D6:D1198))/(STDEV(D6:D1198)+1E-12))</f>
        <v/>
      </c>
      <c r="F634" s="3">
        <f>IF('3a Raw'!E634="","",MAX(-3,MIN(3,('3a Raw'!E634-$F3)/$F4)))</f>
        <v/>
      </c>
      <c r="G634" s="3">
        <f>IF(F634="","",(F634-AVERAGE(F6:F1198))/(STDEV(F6:F1198)+1E-12))</f>
        <v/>
      </c>
      <c r="H634" s="3">
        <f>IF('3a Raw'!F634="","",MAX(-3,MIN(3,('3a Raw'!F634-$H3)/$H4)))</f>
        <v/>
      </c>
      <c r="I634" s="3">
        <f>IF(H634="","",(H634-AVERAGE(H6:H1198))/(STDEV(H6:H1198)+1E-12))</f>
        <v/>
      </c>
      <c r="J634" s="3">
        <f>IF('3a Raw'!G634="","",MAX(-3,MIN(3,('3a Raw'!G634-$J3)/$J4)))</f>
        <v/>
      </c>
      <c r="K634" s="3">
        <f>IF(J634="","",(J634-AVERAGE(J6:J1198))/(STDEV(J6:J1198)+1E-12))</f>
        <v/>
      </c>
      <c r="L634" s="3">
        <f>IF('3a Raw'!H634="","",MAX(-3,MIN(3,('3a Raw'!H634-$L3)/$L4)))</f>
        <v/>
      </c>
      <c r="M634" s="3">
        <f>IF(L634="","",(L634-AVERAGE(L6:L1198))/(STDEV(L6:L1198)+1E-12))</f>
        <v/>
      </c>
      <c r="N634" s="3">
        <f>IF('3a Raw'!I634="","",MAX(-3,MIN(3,('3a Raw'!I634-$N3)/$N4)))</f>
        <v/>
      </c>
      <c r="O634" s="3">
        <f>IF(N634="","",(N634-AVERAGE(N6:N1198))/(STDEV(N6:N1198)+1E-12))</f>
        <v/>
      </c>
      <c r="P634" s="3">
        <f>IF('3a Raw'!J634="","",MAX(-3,MIN(3,('3a Raw'!J634-$P3)/$P4)))</f>
        <v/>
      </c>
      <c r="Q634" s="3">
        <f>IF(P634="","",(P634-AVERAGE(P6:P1198))/(STDEV(P6:P1198)+1E-12))</f>
        <v/>
      </c>
      <c r="R634" s="3">
        <f>IF('3a Raw'!K634="","",MAX(-3,MIN(3,('3a Raw'!K634-$R3)/$R4)))</f>
        <v/>
      </c>
      <c r="S634" s="3">
        <f>IF(R634="","",(R634-AVERAGE(R6:R1198))/(STDEV(R6:R1198)+1E-12))</f>
        <v/>
      </c>
      <c r="T634" s="3">
        <f>IF('3a Raw'!L634="","",MAX(-3,MIN(3,('3a Raw'!L634-$T3)/$T4)))</f>
        <v/>
      </c>
      <c r="U634" s="3">
        <f>IF(T634="","",(T634-AVERAGE(T6:T1198))/(STDEV(T6:T1198)+1E-12))</f>
        <v/>
      </c>
      <c r="X634" s="3">
        <f>IF(U634="","",U634-($V$3*G634+$W$3))</f>
        <v/>
      </c>
      <c r="Y634" s="3">
        <f>IF(X634="","",MAX(-3,MIN(3,(X634-$X3)/$X4)))</f>
        <v/>
      </c>
      <c r="Z634" s="3">
        <f>IF(Y634="","",(Y634-AVERAGE(Y6:Y1198))/(STDEV(Y6:Y1198)+1E-12))</f>
        <v/>
      </c>
    </row>
    <row r="635">
      <c r="A635" t="inlineStr">
        <is>
          <t>lmt</t>
        </is>
      </c>
      <c r="B635" s="3">
        <f>IF('3a Raw'!C635="","",MAX(-3,MIN(3,('3a Raw'!C635-$B3)/$B4)))</f>
        <v/>
      </c>
      <c r="C635" s="3">
        <f>IF(B635="","",(B635-AVERAGE(B6:B1198))/(STDEV(B6:B1198)+1E-12))</f>
        <v/>
      </c>
      <c r="D635" s="3">
        <f>IF('3a Raw'!D635="","",MAX(-3,MIN(3,('3a Raw'!D635-$D3)/$D4)))</f>
        <v/>
      </c>
      <c r="E635" s="3">
        <f>IF(D635="","",(D635-AVERAGE(D6:D1198))/(STDEV(D6:D1198)+1E-12))</f>
        <v/>
      </c>
      <c r="F635" s="3">
        <f>IF('3a Raw'!E635="","",MAX(-3,MIN(3,('3a Raw'!E635-$F3)/$F4)))</f>
        <v/>
      </c>
      <c r="G635" s="3">
        <f>IF(F635="","",(F635-AVERAGE(F6:F1198))/(STDEV(F6:F1198)+1E-12))</f>
        <v/>
      </c>
      <c r="H635" s="3">
        <f>IF('3a Raw'!F635="","",MAX(-3,MIN(3,('3a Raw'!F635-$H3)/$H4)))</f>
        <v/>
      </c>
      <c r="I635" s="3">
        <f>IF(H635="","",(H635-AVERAGE(H6:H1198))/(STDEV(H6:H1198)+1E-12))</f>
        <v/>
      </c>
      <c r="J635" s="3">
        <f>IF('3a Raw'!G635="","",MAX(-3,MIN(3,('3a Raw'!G635-$J3)/$J4)))</f>
        <v/>
      </c>
      <c r="K635" s="3">
        <f>IF(J635="","",(J635-AVERAGE(J6:J1198))/(STDEV(J6:J1198)+1E-12))</f>
        <v/>
      </c>
      <c r="L635" s="3">
        <f>IF('3a Raw'!H635="","",MAX(-3,MIN(3,('3a Raw'!H635-$L3)/$L4)))</f>
        <v/>
      </c>
      <c r="M635" s="3">
        <f>IF(L635="","",(L635-AVERAGE(L6:L1198))/(STDEV(L6:L1198)+1E-12))</f>
        <v/>
      </c>
      <c r="N635" s="3">
        <f>IF('3a Raw'!I635="","",MAX(-3,MIN(3,('3a Raw'!I635-$N3)/$N4)))</f>
        <v/>
      </c>
      <c r="O635" s="3">
        <f>IF(N635="","",(N635-AVERAGE(N6:N1198))/(STDEV(N6:N1198)+1E-12))</f>
        <v/>
      </c>
      <c r="P635" s="3">
        <f>IF('3a Raw'!J635="","",MAX(-3,MIN(3,('3a Raw'!J635-$P3)/$P4)))</f>
        <v/>
      </c>
      <c r="Q635" s="3">
        <f>IF(P635="","",(P635-AVERAGE(P6:P1198))/(STDEV(P6:P1198)+1E-12))</f>
        <v/>
      </c>
      <c r="R635" s="3">
        <f>IF('3a Raw'!K635="","",MAX(-3,MIN(3,('3a Raw'!K635-$R3)/$R4)))</f>
        <v/>
      </c>
      <c r="S635" s="3">
        <f>IF(R635="","",(R635-AVERAGE(R6:R1198))/(STDEV(R6:R1198)+1E-12))</f>
        <v/>
      </c>
      <c r="T635" s="3">
        <f>IF('3a Raw'!L635="","",MAX(-3,MIN(3,('3a Raw'!L635-$T3)/$T4)))</f>
        <v/>
      </c>
      <c r="U635" s="3">
        <f>IF(T635="","",(T635-AVERAGE(T6:T1198))/(STDEV(T6:T1198)+1E-12))</f>
        <v/>
      </c>
      <c r="X635" s="3">
        <f>IF(U635="","",U635-($V$3*G635+$W$3))</f>
        <v/>
      </c>
      <c r="Y635" s="3">
        <f>IF(X635="","",MAX(-3,MIN(3,(X635-$X3)/$X4)))</f>
        <v/>
      </c>
      <c r="Z635" s="3">
        <f>IF(Y635="","",(Y635-AVERAGE(Y6:Y1198))/(STDEV(Y6:Y1198)+1E-12))</f>
        <v/>
      </c>
    </row>
    <row r="636">
      <c r="A636" t="inlineStr">
        <is>
          <t>BBG000BNC3Y9</t>
        </is>
      </c>
      <c r="B636" s="3">
        <f>IF('3a Raw'!C636="","",MAX(-3,MIN(3,('3a Raw'!C636-$B3)/$B4)))</f>
        <v/>
      </c>
      <c r="C636" s="3">
        <f>IF(B636="","",(B636-AVERAGE(B6:B1198))/(STDEV(B6:B1198)+1E-12))</f>
        <v/>
      </c>
      <c r="D636" s="3">
        <f>IF('3a Raw'!D636="","",MAX(-3,MIN(3,('3a Raw'!D636-$D3)/$D4)))</f>
        <v/>
      </c>
      <c r="E636" s="3">
        <f>IF(D636="","",(D636-AVERAGE(D6:D1198))/(STDEV(D6:D1198)+1E-12))</f>
        <v/>
      </c>
      <c r="F636" s="3">
        <f>IF('3a Raw'!E636="","",MAX(-3,MIN(3,('3a Raw'!E636-$F3)/$F4)))</f>
        <v/>
      </c>
      <c r="G636" s="3">
        <f>IF(F636="","",(F636-AVERAGE(F6:F1198))/(STDEV(F6:F1198)+1E-12))</f>
        <v/>
      </c>
      <c r="H636" s="3">
        <f>IF('3a Raw'!F636="","",MAX(-3,MIN(3,('3a Raw'!F636-$H3)/$H4)))</f>
        <v/>
      </c>
      <c r="I636" s="3">
        <f>IF(H636="","",(H636-AVERAGE(H6:H1198))/(STDEV(H6:H1198)+1E-12))</f>
        <v/>
      </c>
      <c r="J636" s="3">
        <f>IF('3a Raw'!G636="","",MAX(-3,MIN(3,('3a Raw'!G636-$J3)/$J4)))</f>
        <v/>
      </c>
      <c r="K636" s="3">
        <f>IF(J636="","",(J636-AVERAGE(J6:J1198))/(STDEV(J6:J1198)+1E-12))</f>
        <v/>
      </c>
      <c r="L636" s="3">
        <f>IF('3a Raw'!H636="","",MAX(-3,MIN(3,('3a Raw'!H636-$L3)/$L4)))</f>
        <v/>
      </c>
      <c r="M636" s="3">
        <f>IF(L636="","",(L636-AVERAGE(L6:L1198))/(STDEV(L6:L1198)+1E-12))</f>
        <v/>
      </c>
      <c r="N636" s="3">
        <f>IF('3a Raw'!I636="","",MAX(-3,MIN(3,('3a Raw'!I636-$N3)/$N4)))</f>
        <v/>
      </c>
      <c r="O636" s="3">
        <f>IF(N636="","",(N636-AVERAGE(N6:N1198))/(STDEV(N6:N1198)+1E-12))</f>
        <v/>
      </c>
      <c r="P636" s="3">
        <f>IF('3a Raw'!J636="","",MAX(-3,MIN(3,('3a Raw'!J636-$P3)/$P4)))</f>
        <v/>
      </c>
      <c r="Q636" s="3">
        <f>IF(P636="","",(P636-AVERAGE(P6:P1198))/(STDEV(P6:P1198)+1E-12))</f>
        <v/>
      </c>
      <c r="R636" s="3">
        <f>IF('3a Raw'!K636="","",MAX(-3,MIN(3,('3a Raw'!K636-$R3)/$R4)))</f>
        <v/>
      </c>
      <c r="S636" s="3">
        <f>IF(R636="","",(R636-AVERAGE(R6:R1198))/(STDEV(R6:R1198)+1E-12))</f>
        <v/>
      </c>
      <c r="T636" s="3">
        <f>IF('3a Raw'!L636="","",MAX(-3,MIN(3,('3a Raw'!L636-$T3)/$T4)))</f>
        <v/>
      </c>
      <c r="U636" s="3">
        <f>IF(T636="","",(T636-AVERAGE(T6:T1198))/(STDEV(T6:T1198)+1E-12))</f>
        <v/>
      </c>
      <c r="X636" s="3">
        <f>IF(U636="","",U636-($V$3*G636+$W$3))</f>
        <v/>
      </c>
      <c r="Y636" s="3">
        <f>IF(X636="","",MAX(-3,MIN(3,(X636-$X3)/$X4)))</f>
        <v/>
      </c>
      <c r="Z636" s="3">
        <f>IF(Y636="","",(Y636-AVERAGE(Y6:Y1198))/(STDEV(Y6:Y1198)+1E-12))</f>
        <v/>
      </c>
    </row>
    <row r="637">
      <c r="A637" t="inlineStr">
        <is>
          <t>BBG000C3HSR0</t>
        </is>
      </c>
      <c r="B637" s="3">
        <f>IF('3a Raw'!C637="","",MAX(-3,MIN(3,('3a Raw'!C637-$B3)/$B4)))</f>
        <v/>
      </c>
      <c r="C637" s="3">
        <f>IF(B637="","",(B637-AVERAGE(B6:B1198))/(STDEV(B6:B1198)+1E-12))</f>
        <v/>
      </c>
      <c r="D637" s="3">
        <f>IF('3a Raw'!D637="","",MAX(-3,MIN(3,('3a Raw'!D637-$D3)/$D4)))</f>
        <v/>
      </c>
      <c r="E637" s="3">
        <f>IF(D637="","",(D637-AVERAGE(D6:D1198))/(STDEV(D6:D1198)+1E-12))</f>
        <v/>
      </c>
      <c r="F637" s="3">
        <f>IF('3a Raw'!E637="","",MAX(-3,MIN(3,('3a Raw'!E637-$F3)/$F4)))</f>
        <v/>
      </c>
      <c r="G637" s="3">
        <f>IF(F637="","",(F637-AVERAGE(F6:F1198))/(STDEV(F6:F1198)+1E-12))</f>
        <v/>
      </c>
      <c r="H637" s="3">
        <f>IF('3a Raw'!F637="","",MAX(-3,MIN(3,('3a Raw'!F637-$H3)/$H4)))</f>
        <v/>
      </c>
      <c r="I637" s="3">
        <f>IF(H637="","",(H637-AVERAGE(H6:H1198))/(STDEV(H6:H1198)+1E-12))</f>
        <v/>
      </c>
      <c r="J637" s="3">
        <f>IF('3a Raw'!G637="","",MAX(-3,MIN(3,('3a Raw'!G637-$J3)/$J4)))</f>
        <v/>
      </c>
      <c r="K637" s="3">
        <f>IF(J637="","",(J637-AVERAGE(J6:J1198))/(STDEV(J6:J1198)+1E-12))</f>
        <v/>
      </c>
      <c r="L637" s="3">
        <f>IF('3a Raw'!H637="","",MAX(-3,MIN(3,('3a Raw'!H637-$L3)/$L4)))</f>
        <v/>
      </c>
      <c r="M637" s="3">
        <f>IF(L637="","",(L637-AVERAGE(L6:L1198))/(STDEV(L6:L1198)+1E-12))</f>
        <v/>
      </c>
      <c r="N637" s="3">
        <f>IF('3a Raw'!I637="","",MAX(-3,MIN(3,('3a Raw'!I637-$N3)/$N4)))</f>
        <v/>
      </c>
      <c r="O637" s="3">
        <f>IF(N637="","",(N637-AVERAGE(N6:N1198))/(STDEV(N6:N1198)+1E-12))</f>
        <v/>
      </c>
      <c r="P637" s="3">
        <f>IF('3a Raw'!J637="","",MAX(-3,MIN(3,('3a Raw'!J637-$P3)/$P4)))</f>
        <v/>
      </c>
      <c r="Q637" s="3">
        <f>IF(P637="","",(P637-AVERAGE(P6:P1198))/(STDEV(P6:P1198)+1E-12))</f>
        <v/>
      </c>
      <c r="R637" s="3">
        <f>IF('3a Raw'!K637="","",MAX(-3,MIN(3,('3a Raw'!K637-$R3)/$R4)))</f>
        <v/>
      </c>
      <c r="S637" s="3">
        <f>IF(R637="","",(R637-AVERAGE(R6:R1198))/(STDEV(R6:R1198)+1E-12))</f>
        <v/>
      </c>
      <c r="T637" s="3">
        <f>IF('3a Raw'!L637="","",MAX(-3,MIN(3,('3a Raw'!L637-$T3)/$T4)))</f>
        <v/>
      </c>
      <c r="U637" s="3">
        <f>IF(T637="","",(T637-AVERAGE(T6:T1198))/(STDEV(T6:T1198)+1E-12))</f>
        <v/>
      </c>
      <c r="X637" s="3">
        <f>IF(U637="","",U637-($V$3*G637+$W$3))</f>
        <v/>
      </c>
      <c r="Y637" s="3">
        <f>IF(X637="","",MAX(-3,MIN(3,(X637-$X3)/$X4)))</f>
        <v/>
      </c>
      <c r="Z637" s="3">
        <f>IF(Y637="","",(Y637-AVERAGE(Y6:Y1198))/(STDEV(Y6:Y1198)+1E-12))</f>
        <v/>
      </c>
    </row>
    <row r="638">
      <c r="A638" t="inlineStr">
        <is>
          <t>BBG000DW4Q75</t>
        </is>
      </c>
      <c r="B638" s="3">
        <f>IF('3a Raw'!C638="","",MAX(-3,MIN(3,('3a Raw'!C638-$B3)/$B4)))</f>
        <v/>
      </c>
      <c r="C638" s="3">
        <f>IF(B638="","",(B638-AVERAGE(B6:B1198))/(STDEV(B6:B1198)+1E-12))</f>
        <v/>
      </c>
      <c r="D638" s="3">
        <f>IF('3a Raw'!D638="","",MAX(-3,MIN(3,('3a Raw'!D638-$D3)/$D4)))</f>
        <v/>
      </c>
      <c r="E638" s="3">
        <f>IF(D638="","",(D638-AVERAGE(D6:D1198))/(STDEV(D6:D1198)+1E-12))</f>
        <v/>
      </c>
      <c r="F638" s="3">
        <f>IF('3a Raw'!E638="","",MAX(-3,MIN(3,('3a Raw'!E638-$F3)/$F4)))</f>
        <v/>
      </c>
      <c r="G638" s="3">
        <f>IF(F638="","",(F638-AVERAGE(F6:F1198))/(STDEV(F6:F1198)+1E-12))</f>
        <v/>
      </c>
      <c r="H638" s="3">
        <f>IF('3a Raw'!F638="","",MAX(-3,MIN(3,('3a Raw'!F638-$H3)/$H4)))</f>
        <v/>
      </c>
      <c r="I638" s="3">
        <f>IF(H638="","",(H638-AVERAGE(H6:H1198))/(STDEV(H6:H1198)+1E-12))</f>
        <v/>
      </c>
      <c r="J638" s="3">
        <f>IF('3a Raw'!G638="","",MAX(-3,MIN(3,('3a Raw'!G638-$J3)/$J4)))</f>
        <v/>
      </c>
      <c r="K638" s="3">
        <f>IF(J638="","",(J638-AVERAGE(J6:J1198))/(STDEV(J6:J1198)+1E-12))</f>
        <v/>
      </c>
      <c r="L638" s="3">
        <f>IF('3a Raw'!H638="","",MAX(-3,MIN(3,('3a Raw'!H638-$L3)/$L4)))</f>
        <v/>
      </c>
      <c r="M638" s="3">
        <f>IF(L638="","",(L638-AVERAGE(L6:L1198))/(STDEV(L6:L1198)+1E-12))</f>
        <v/>
      </c>
      <c r="N638" s="3">
        <f>IF('3a Raw'!I638="","",MAX(-3,MIN(3,('3a Raw'!I638-$N3)/$N4)))</f>
        <v/>
      </c>
      <c r="O638" s="3">
        <f>IF(N638="","",(N638-AVERAGE(N6:N1198))/(STDEV(N6:N1198)+1E-12))</f>
        <v/>
      </c>
      <c r="P638" s="3">
        <f>IF('3a Raw'!J638="","",MAX(-3,MIN(3,('3a Raw'!J638-$P3)/$P4)))</f>
        <v/>
      </c>
      <c r="Q638" s="3">
        <f>IF(P638="","",(P638-AVERAGE(P6:P1198))/(STDEV(P6:P1198)+1E-12))</f>
        <v/>
      </c>
      <c r="R638" s="3">
        <f>IF('3a Raw'!K638="","",MAX(-3,MIN(3,('3a Raw'!K638-$R3)/$R4)))</f>
        <v/>
      </c>
      <c r="S638" s="3">
        <f>IF(R638="","",(R638-AVERAGE(R6:R1198))/(STDEV(R6:R1198)+1E-12))</f>
        <v/>
      </c>
      <c r="T638" s="3">
        <f>IF('3a Raw'!L638="","",MAX(-3,MIN(3,('3a Raw'!L638-$T3)/$T4)))</f>
        <v/>
      </c>
      <c r="U638" s="3">
        <f>IF(T638="","",(T638-AVERAGE(T6:T1198))/(STDEV(T6:T1198)+1E-12))</f>
        <v/>
      </c>
      <c r="X638" s="3">
        <f>IF(U638="","",U638-($V$3*G638+$W$3))</f>
        <v/>
      </c>
      <c r="Y638" s="3">
        <f>IF(X638="","",MAX(-3,MIN(3,(X638-$X3)/$X4)))</f>
        <v/>
      </c>
      <c r="Z638" s="3">
        <f>IF(Y638="","",(Y638-AVERAGE(Y6:Y1198))/(STDEV(Y6:Y1198)+1E-12))</f>
        <v/>
      </c>
    </row>
    <row r="639">
      <c r="A639" t="inlineStr">
        <is>
          <t>BBG00JR5MM31</t>
        </is>
      </c>
      <c r="B639" s="3">
        <f>IF('3a Raw'!C639="","",MAX(-3,MIN(3,('3a Raw'!C639-$B3)/$B4)))</f>
        <v/>
      </c>
      <c r="C639" s="3">
        <f>IF(B639="","",(B639-AVERAGE(B6:B1198))/(STDEV(B6:B1198)+1E-12))</f>
        <v/>
      </c>
      <c r="D639" s="3">
        <f>IF('3a Raw'!D639="","",MAX(-3,MIN(3,('3a Raw'!D639-$D3)/$D4)))</f>
        <v/>
      </c>
      <c r="E639" s="3">
        <f>IF(D639="","",(D639-AVERAGE(D6:D1198))/(STDEV(D6:D1198)+1E-12))</f>
        <v/>
      </c>
      <c r="F639" s="3">
        <f>IF('3a Raw'!E639="","",MAX(-3,MIN(3,('3a Raw'!E639-$F3)/$F4)))</f>
        <v/>
      </c>
      <c r="G639" s="3">
        <f>IF(F639="","",(F639-AVERAGE(F6:F1198))/(STDEV(F6:F1198)+1E-12))</f>
        <v/>
      </c>
      <c r="H639" s="3">
        <f>IF('3a Raw'!F639="","",MAX(-3,MIN(3,('3a Raw'!F639-$H3)/$H4)))</f>
        <v/>
      </c>
      <c r="I639" s="3">
        <f>IF(H639="","",(H639-AVERAGE(H6:H1198))/(STDEV(H6:H1198)+1E-12))</f>
        <v/>
      </c>
      <c r="J639" s="3">
        <f>IF('3a Raw'!G639="","",MAX(-3,MIN(3,('3a Raw'!G639-$J3)/$J4)))</f>
        <v/>
      </c>
      <c r="K639" s="3">
        <f>IF(J639="","",(J639-AVERAGE(J6:J1198))/(STDEV(J6:J1198)+1E-12))</f>
        <v/>
      </c>
      <c r="L639" s="3">
        <f>IF('3a Raw'!H639="","",MAX(-3,MIN(3,('3a Raw'!H639-$L3)/$L4)))</f>
        <v/>
      </c>
      <c r="M639" s="3">
        <f>IF(L639="","",(L639-AVERAGE(L6:L1198))/(STDEV(L6:L1198)+1E-12))</f>
        <v/>
      </c>
      <c r="N639" s="3">
        <f>IF('3a Raw'!I639="","",MAX(-3,MIN(3,('3a Raw'!I639-$N3)/$N4)))</f>
        <v/>
      </c>
      <c r="O639" s="3">
        <f>IF(N639="","",(N639-AVERAGE(N6:N1198))/(STDEV(N6:N1198)+1E-12))</f>
        <v/>
      </c>
      <c r="P639" s="3">
        <f>IF('3a Raw'!J639="","",MAX(-3,MIN(3,('3a Raw'!J639-$P3)/$P4)))</f>
        <v/>
      </c>
      <c r="Q639" s="3">
        <f>IF(P639="","",(P639-AVERAGE(P6:P1198))/(STDEV(P6:P1198)+1E-12))</f>
        <v/>
      </c>
      <c r="R639" s="3">
        <f>IF('3a Raw'!K639="","",MAX(-3,MIN(3,('3a Raw'!K639-$R3)/$R4)))</f>
        <v/>
      </c>
      <c r="S639" s="3">
        <f>IF(R639="","",(R639-AVERAGE(R6:R1198))/(STDEV(R6:R1198)+1E-12))</f>
        <v/>
      </c>
      <c r="T639" s="3">
        <f>IF('3a Raw'!L639="","",MAX(-3,MIN(3,('3a Raw'!L639-$T3)/$T4)))</f>
        <v/>
      </c>
      <c r="U639" s="3">
        <f>IF(T639="","",(T639-AVERAGE(T6:T1198))/(STDEV(T6:T1198)+1E-12))</f>
        <v/>
      </c>
      <c r="X639" s="3">
        <f>IF(U639="","",U639-($V$3*G639+$W$3))</f>
        <v/>
      </c>
      <c r="Y639" s="3">
        <f>IF(X639="","",MAX(-3,MIN(3,(X639-$X3)/$X4)))</f>
        <v/>
      </c>
      <c r="Z639" s="3">
        <f>IF(Y639="","",(Y639-AVERAGE(Y6:Y1198))/(STDEV(Y6:Y1198)+1E-12))</f>
        <v/>
      </c>
    </row>
    <row r="640">
      <c r="A640" t="inlineStr">
        <is>
          <t>BBG01M86F4Y6</t>
        </is>
      </c>
      <c r="B640" s="3">
        <f>IF('3a Raw'!C640="","",MAX(-3,MIN(3,('3a Raw'!C640-$B3)/$B4)))</f>
        <v/>
      </c>
      <c r="C640" s="3">
        <f>IF(B640="","",(B640-AVERAGE(B6:B1198))/(STDEV(B6:B1198)+1E-12))</f>
        <v/>
      </c>
      <c r="D640" s="3">
        <f>IF('3a Raw'!D640="","",MAX(-3,MIN(3,('3a Raw'!D640-$D3)/$D4)))</f>
        <v/>
      </c>
      <c r="E640" s="3">
        <f>IF(D640="","",(D640-AVERAGE(D6:D1198))/(STDEV(D6:D1198)+1E-12))</f>
        <v/>
      </c>
      <c r="F640" s="3">
        <f>IF('3a Raw'!E640="","",MAX(-3,MIN(3,('3a Raw'!E640-$F3)/$F4)))</f>
        <v/>
      </c>
      <c r="G640" s="3">
        <f>IF(F640="","",(F640-AVERAGE(F6:F1198))/(STDEV(F6:F1198)+1E-12))</f>
        <v/>
      </c>
      <c r="H640" s="3">
        <f>IF('3a Raw'!F640="","",MAX(-3,MIN(3,('3a Raw'!F640-$H3)/$H4)))</f>
        <v/>
      </c>
      <c r="I640" s="3">
        <f>IF(H640="","",(H640-AVERAGE(H6:H1198))/(STDEV(H6:H1198)+1E-12))</f>
        <v/>
      </c>
      <c r="J640" s="3">
        <f>IF('3a Raw'!G640="","",MAX(-3,MIN(3,('3a Raw'!G640-$J3)/$J4)))</f>
        <v/>
      </c>
      <c r="K640" s="3">
        <f>IF(J640="","",(J640-AVERAGE(J6:J1198))/(STDEV(J6:J1198)+1E-12))</f>
        <v/>
      </c>
      <c r="L640" s="3">
        <f>IF('3a Raw'!H640="","",MAX(-3,MIN(3,('3a Raw'!H640-$L3)/$L4)))</f>
        <v/>
      </c>
      <c r="M640" s="3">
        <f>IF(L640="","",(L640-AVERAGE(L6:L1198))/(STDEV(L6:L1198)+1E-12))</f>
        <v/>
      </c>
      <c r="N640" s="3">
        <f>IF('3a Raw'!I640="","",MAX(-3,MIN(3,('3a Raw'!I640-$N3)/$N4)))</f>
        <v/>
      </c>
      <c r="O640" s="3">
        <f>IF(N640="","",(N640-AVERAGE(N6:N1198))/(STDEV(N6:N1198)+1E-12))</f>
        <v/>
      </c>
      <c r="P640" s="3">
        <f>IF('3a Raw'!J640="","",MAX(-3,MIN(3,('3a Raw'!J640-$P3)/$P4)))</f>
        <v/>
      </c>
      <c r="Q640" s="3">
        <f>IF(P640="","",(P640-AVERAGE(P6:P1198))/(STDEV(P6:P1198)+1E-12))</f>
        <v/>
      </c>
      <c r="R640" s="3">
        <f>IF('3a Raw'!K640="","",MAX(-3,MIN(3,('3a Raw'!K640-$R3)/$R4)))</f>
        <v/>
      </c>
      <c r="S640" s="3">
        <f>IF(R640="","",(R640-AVERAGE(R6:R1198))/(STDEV(R6:R1198)+1E-12))</f>
        <v/>
      </c>
      <c r="T640" s="3">
        <f>IF('3a Raw'!L640="","",MAX(-3,MIN(3,('3a Raw'!L640-$T3)/$T4)))</f>
        <v/>
      </c>
      <c r="U640" s="3">
        <f>IF(T640="","",(T640-AVERAGE(T6:T1198))/(STDEV(T6:T1198)+1E-12))</f>
        <v/>
      </c>
      <c r="X640" s="3">
        <f>IF(U640="","",U640-($V$3*G640+$W$3))</f>
        <v/>
      </c>
      <c r="Y640" s="3">
        <f>IF(X640="","",MAX(-3,MIN(3,(X640-$X3)/$X4)))</f>
        <v/>
      </c>
      <c r="Z640" s="3">
        <f>IF(Y640="","",(Y640-AVERAGE(Y6:Y1198))/(STDEV(Y6:Y1198)+1E-12))</f>
        <v/>
      </c>
    </row>
    <row r="641">
      <c r="A641" t="inlineStr">
        <is>
          <t>BBG00ZYWXNJ7</t>
        </is>
      </c>
      <c r="B641" s="3">
        <f>IF('3a Raw'!C641="","",MAX(-3,MIN(3,('3a Raw'!C641-$B3)/$B4)))</f>
        <v/>
      </c>
      <c r="C641" s="3">
        <f>IF(B641="","",(B641-AVERAGE(B6:B1198))/(STDEV(B6:B1198)+1E-12))</f>
        <v/>
      </c>
      <c r="D641" s="3">
        <f>IF('3a Raw'!D641="","",MAX(-3,MIN(3,('3a Raw'!D641-$D3)/$D4)))</f>
        <v/>
      </c>
      <c r="E641" s="3">
        <f>IF(D641="","",(D641-AVERAGE(D6:D1198))/(STDEV(D6:D1198)+1E-12))</f>
        <v/>
      </c>
      <c r="F641" s="3">
        <f>IF('3a Raw'!E641="","",MAX(-3,MIN(3,('3a Raw'!E641-$F3)/$F4)))</f>
        <v/>
      </c>
      <c r="G641" s="3">
        <f>IF(F641="","",(F641-AVERAGE(F6:F1198))/(STDEV(F6:F1198)+1E-12))</f>
        <v/>
      </c>
      <c r="H641" s="3">
        <f>IF('3a Raw'!F641="","",MAX(-3,MIN(3,('3a Raw'!F641-$H3)/$H4)))</f>
        <v/>
      </c>
      <c r="I641" s="3">
        <f>IF(H641="","",(H641-AVERAGE(H6:H1198))/(STDEV(H6:H1198)+1E-12))</f>
        <v/>
      </c>
      <c r="J641" s="3">
        <f>IF('3a Raw'!G641="","",MAX(-3,MIN(3,('3a Raw'!G641-$J3)/$J4)))</f>
        <v/>
      </c>
      <c r="K641" s="3">
        <f>IF(J641="","",(J641-AVERAGE(J6:J1198))/(STDEV(J6:J1198)+1E-12))</f>
        <v/>
      </c>
      <c r="L641" s="3">
        <f>IF('3a Raw'!H641="","",MAX(-3,MIN(3,('3a Raw'!H641-$L3)/$L4)))</f>
        <v/>
      </c>
      <c r="M641" s="3">
        <f>IF(L641="","",(L641-AVERAGE(L6:L1198))/(STDEV(L6:L1198)+1E-12))</f>
        <v/>
      </c>
      <c r="N641" s="3">
        <f>IF('3a Raw'!I641="","",MAX(-3,MIN(3,('3a Raw'!I641-$N3)/$N4)))</f>
        <v/>
      </c>
      <c r="O641" s="3">
        <f>IF(N641="","",(N641-AVERAGE(N6:N1198))/(STDEV(N6:N1198)+1E-12))</f>
        <v/>
      </c>
      <c r="P641" s="3">
        <f>IF('3a Raw'!J641="","",MAX(-3,MIN(3,('3a Raw'!J641-$P3)/$P4)))</f>
        <v/>
      </c>
      <c r="Q641" s="3">
        <f>IF(P641="","",(P641-AVERAGE(P6:P1198))/(STDEV(P6:P1198)+1E-12))</f>
        <v/>
      </c>
      <c r="R641" s="3">
        <f>IF('3a Raw'!K641="","",MAX(-3,MIN(3,('3a Raw'!K641-$R3)/$R4)))</f>
        <v/>
      </c>
      <c r="S641" s="3">
        <f>IF(R641="","",(R641-AVERAGE(R6:R1198))/(STDEV(R6:R1198)+1E-12))</f>
        <v/>
      </c>
      <c r="T641" s="3">
        <f>IF('3a Raw'!L641="","",MAX(-3,MIN(3,('3a Raw'!L641-$T3)/$T4)))</f>
        <v/>
      </c>
      <c r="U641" s="3">
        <f>IF(T641="","",(T641-AVERAGE(T6:T1198))/(STDEV(T6:T1198)+1E-12))</f>
        <v/>
      </c>
      <c r="X641" s="3">
        <f>IF(U641="","",U641-($V$3*G641+$W$3))</f>
        <v/>
      </c>
      <c r="Y641" s="3">
        <f>IF(X641="","",MAX(-3,MIN(3,(X641-$X3)/$X4)))</f>
        <v/>
      </c>
      <c r="Z641" s="3">
        <f>IF(Y641="","",(Y641-AVERAGE(Y6:Y1198))/(STDEV(Y6:Y1198)+1E-12))</f>
        <v/>
      </c>
    </row>
    <row r="642">
      <c r="A642" t="inlineStr">
        <is>
          <t>BBG000BNDN65</t>
        </is>
      </c>
      <c r="B642" s="3">
        <f>IF('3a Raw'!C642="","",MAX(-3,MIN(3,('3a Raw'!C642-$B3)/$B4)))</f>
        <v/>
      </c>
      <c r="C642" s="3">
        <f>IF(B642="","",(B642-AVERAGE(B6:B1198))/(STDEV(B6:B1198)+1E-12))</f>
        <v/>
      </c>
      <c r="D642" s="3">
        <f>IF('3a Raw'!D642="","",MAX(-3,MIN(3,('3a Raw'!D642-$D3)/$D4)))</f>
        <v/>
      </c>
      <c r="E642" s="3">
        <f>IF(D642="","",(D642-AVERAGE(D6:D1198))/(STDEV(D6:D1198)+1E-12))</f>
        <v/>
      </c>
      <c r="F642" s="3">
        <f>IF('3a Raw'!E642="","",MAX(-3,MIN(3,('3a Raw'!E642-$F3)/$F4)))</f>
        <v/>
      </c>
      <c r="G642" s="3">
        <f>IF(F642="","",(F642-AVERAGE(F6:F1198))/(STDEV(F6:F1198)+1E-12))</f>
        <v/>
      </c>
      <c r="H642" s="3">
        <f>IF('3a Raw'!F642="","",MAX(-3,MIN(3,('3a Raw'!F642-$H3)/$H4)))</f>
        <v/>
      </c>
      <c r="I642" s="3">
        <f>IF(H642="","",(H642-AVERAGE(H6:H1198))/(STDEV(H6:H1198)+1E-12))</f>
        <v/>
      </c>
      <c r="J642" s="3">
        <f>IF('3a Raw'!G642="","",MAX(-3,MIN(3,('3a Raw'!G642-$J3)/$J4)))</f>
        <v/>
      </c>
      <c r="K642" s="3">
        <f>IF(J642="","",(J642-AVERAGE(J6:J1198))/(STDEV(J6:J1198)+1E-12))</f>
        <v/>
      </c>
      <c r="L642" s="3">
        <f>IF('3a Raw'!H642="","",MAX(-3,MIN(3,('3a Raw'!H642-$L3)/$L4)))</f>
        <v/>
      </c>
      <c r="M642" s="3">
        <f>IF(L642="","",(L642-AVERAGE(L6:L1198))/(STDEV(L6:L1198)+1E-12))</f>
        <v/>
      </c>
      <c r="N642" s="3">
        <f>IF('3a Raw'!I642="","",MAX(-3,MIN(3,('3a Raw'!I642-$N3)/$N4)))</f>
        <v/>
      </c>
      <c r="O642" s="3">
        <f>IF(N642="","",(N642-AVERAGE(N6:N1198))/(STDEV(N6:N1198)+1E-12))</f>
        <v/>
      </c>
      <c r="P642" s="3">
        <f>IF('3a Raw'!J642="","",MAX(-3,MIN(3,('3a Raw'!J642-$P3)/$P4)))</f>
        <v/>
      </c>
      <c r="Q642" s="3">
        <f>IF(P642="","",(P642-AVERAGE(P6:P1198))/(STDEV(P6:P1198)+1E-12))</f>
        <v/>
      </c>
      <c r="R642" s="3">
        <f>IF('3a Raw'!K642="","",MAX(-3,MIN(3,('3a Raw'!K642-$R3)/$R4)))</f>
        <v/>
      </c>
      <c r="S642" s="3">
        <f>IF(R642="","",(R642-AVERAGE(R6:R1198))/(STDEV(R6:R1198)+1E-12))</f>
        <v/>
      </c>
      <c r="T642" s="3">
        <f>IF('3a Raw'!L642="","",MAX(-3,MIN(3,('3a Raw'!L642-$T3)/$T4)))</f>
        <v/>
      </c>
      <c r="U642" s="3">
        <f>IF(T642="","",(T642-AVERAGE(T6:T1198))/(STDEV(T6:T1198)+1E-12))</f>
        <v/>
      </c>
      <c r="X642" s="3">
        <f>IF(U642="","",U642-($V$3*G642+$W$3))</f>
        <v/>
      </c>
      <c r="Y642" s="3">
        <f>IF(X642="","",MAX(-3,MIN(3,(X642-$X3)/$X4)))</f>
        <v/>
      </c>
      <c r="Z642" s="3">
        <f>IF(Y642="","",(Y642-AVERAGE(Y6:Y1198))/(STDEV(Y6:Y1198)+1E-12))</f>
        <v/>
      </c>
    </row>
    <row r="643">
      <c r="A643" t="inlineStr">
        <is>
          <t>BBG000P2TYL8</t>
        </is>
      </c>
      <c r="B643" s="3">
        <f>IF('3a Raw'!C643="","",MAX(-3,MIN(3,('3a Raw'!C643-$B3)/$B4)))</f>
        <v/>
      </c>
      <c r="C643" s="3">
        <f>IF(B643="","",(B643-AVERAGE(B6:B1198))/(STDEV(B6:B1198)+1E-12))</f>
        <v/>
      </c>
      <c r="D643" s="3">
        <f>IF('3a Raw'!D643="","",MAX(-3,MIN(3,('3a Raw'!D643-$D3)/$D4)))</f>
        <v/>
      </c>
      <c r="E643" s="3">
        <f>IF(D643="","",(D643-AVERAGE(D6:D1198))/(STDEV(D6:D1198)+1E-12))</f>
        <v/>
      </c>
      <c r="F643" s="3">
        <f>IF('3a Raw'!E643="","",MAX(-3,MIN(3,('3a Raw'!E643-$F3)/$F4)))</f>
        <v/>
      </c>
      <c r="G643" s="3">
        <f>IF(F643="","",(F643-AVERAGE(F6:F1198))/(STDEV(F6:F1198)+1E-12))</f>
        <v/>
      </c>
      <c r="H643" s="3">
        <f>IF('3a Raw'!F643="","",MAX(-3,MIN(3,('3a Raw'!F643-$H3)/$H4)))</f>
        <v/>
      </c>
      <c r="I643" s="3">
        <f>IF(H643="","",(H643-AVERAGE(H6:H1198))/(STDEV(H6:H1198)+1E-12))</f>
        <v/>
      </c>
      <c r="J643" s="3">
        <f>IF('3a Raw'!G643="","",MAX(-3,MIN(3,('3a Raw'!G643-$J3)/$J4)))</f>
        <v/>
      </c>
      <c r="K643" s="3">
        <f>IF(J643="","",(J643-AVERAGE(J6:J1198))/(STDEV(J6:J1198)+1E-12))</f>
        <v/>
      </c>
      <c r="L643" s="3">
        <f>IF('3a Raw'!H643="","",MAX(-3,MIN(3,('3a Raw'!H643-$L3)/$L4)))</f>
        <v/>
      </c>
      <c r="M643" s="3">
        <f>IF(L643="","",(L643-AVERAGE(L6:L1198))/(STDEV(L6:L1198)+1E-12))</f>
        <v/>
      </c>
      <c r="N643" s="3">
        <f>IF('3a Raw'!I643="","",MAX(-3,MIN(3,('3a Raw'!I643-$N3)/$N4)))</f>
        <v/>
      </c>
      <c r="O643" s="3">
        <f>IF(N643="","",(N643-AVERAGE(N6:N1198))/(STDEV(N6:N1198)+1E-12))</f>
        <v/>
      </c>
      <c r="P643" s="3">
        <f>IF('3a Raw'!J643="","",MAX(-3,MIN(3,('3a Raw'!J643-$P3)/$P4)))</f>
        <v/>
      </c>
      <c r="Q643" s="3">
        <f>IF(P643="","",(P643-AVERAGE(P6:P1198))/(STDEV(P6:P1198)+1E-12))</f>
        <v/>
      </c>
      <c r="R643" s="3">
        <f>IF('3a Raw'!K643="","",MAX(-3,MIN(3,('3a Raw'!K643-$R3)/$R4)))</f>
        <v/>
      </c>
      <c r="S643" s="3">
        <f>IF(R643="","",(R643-AVERAGE(R6:R1198))/(STDEV(R6:R1198)+1E-12))</f>
        <v/>
      </c>
      <c r="T643" s="3">
        <f>IF('3a Raw'!L643="","",MAX(-3,MIN(3,('3a Raw'!L643-$T3)/$T4)))</f>
        <v/>
      </c>
      <c r="U643" s="3">
        <f>IF(T643="","",(T643-AVERAGE(T6:T1198))/(STDEV(T6:T1198)+1E-12))</f>
        <v/>
      </c>
      <c r="X643" s="3">
        <f>IF(U643="","",U643-($V$3*G643+$W$3))</f>
        <v/>
      </c>
      <c r="Y643" s="3">
        <f>IF(X643="","",MAX(-3,MIN(3,(X643-$X3)/$X4)))</f>
        <v/>
      </c>
      <c r="Z643" s="3">
        <f>IF(Y643="","",(Y643-AVERAGE(Y6:Y1198))/(STDEV(Y6:Y1198)+1E-12))</f>
        <v/>
      </c>
    </row>
    <row r="644">
      <c r="A644" t="inlineStr">
        <is>
          <t>BBG00VDHLSQ6</t>
        </is>
      </c>
      <c r="B644" s="3">
        <f>IF('3a Raw'!C644="","",MAX(-3,MIN(3,('3a Raw'!C644-$B3)/$B4)))</f>
        <v/>
      </c>
      <c r="C644" s="3">
        <f>IF(B644="","",(B644-AVERAGE(B6:B1198))/(STDEV(B6:B1198)+1E-12))</f>
        <v/>
      </c>
      <c r="D644" s="3">
        <f>IF('3a Raw'!D644="","",MAX(-3,MIN(3,('3a Raw'!D644-$D3)/$D4)))</f>
        <v/>
      </c>
      <c r="E644" s="3">
        <f>IF(D644="","",(D644-AVERAGE(D6:D1198))/(STDEV(D6:D1198)+1E-12))</f>
        <v/>
      </c>
      <c r="F644" s="3">
        <f>IF('3a Raw'!E644="","",MAX(-3,MIN(3,('3a Raw'!E644-$F3)/$F4)))</f>
        <v/>
      </c>
      <c r="G644" s="3">
        <f>IF(F644="","",(F644-AVERAGE(F6:F1198))/(STDEV(F6:F1198)+1E-12))</f>
        <v/>
      </c>
      <c r="H644" s="3">
        <f>IF('3a Raw'!F644="","",MAX(-3,MIN(3,('3a Raw'!F644-$H3)/$H4)))</f>
        <v/>
      </c>
      <c r="I644" s="3">
        <f>IF(H644="","",(H644-AVERAGE(H6:H1198))/(STDEV(H6:H1198)+1E-12))</f>
        <v/>
      </c>
      <c r="J644" s="3">
        <f>IF('3a Raw'!G644="","",MAX(-3,MIN(3,('3a Raw'!G644-$J3)/$J4)))</f>
        <v/>
      </c>
      <c r="K644" s="3">
        <f>IF(J644="","",(J644-AVERAGE(J6:J1198))/(STDEV(J6:J1198)+1E-12))</f>
        <v/>
      </c>
      <c r="L644" s="3">
        <f>IF('3a Raw'!H644="","",MAX(-3,MIN(3,('3a Raw'!H644-$L3)/$L4)))</f>
        <v/>
      </c>
      <c r="M644" s="3">
        <f>IF(L644="","",(L644-AVERAGE(L6:L1198))/(STDEV(L6:L1198)+1E-12))</f>
        <v/>
      </c>
      <c r="N644" s="3">
        <f>IF('3a Raw'!I644="","",MAX(-3,MIN(3,('3a Raw'!I644-$N3)/$N4)))</f>
        <v/>
      </c>
      <c r="O644" s="3">
        <f>IF(N644="","",(N644-AVERAGE(N6:N1198))/(STDEV(N6:N1198)+1E-12))</f>
        <v/>
      </c>
      <c r="P644" s="3">
        <f>IF('3a Raw'!J644="","",MAX(-3,MIN(3,('3a Raw'!J644-$P3)/$P4)))</f>
        <v/>
      </c>
      <c r="Q644" s="3">
        <f>IF(P644="","",(P644-AVERAGE(P6:P1198))/(STDEV(P6:P1198)+1E-12))</f>
        <v/>
      </c>
      <c r="R644" s="3">
        <f>IF('3a Raw'!K644="","",MAX(-3,MIN(3,('3a Raw'!K644-$R3)/$R4)))</f>
        <v/>
      </c>
      <c r="S644" s="3">
        <f>IF(R644="","",(R644-AVERAGE(R6:R1198))/(STDEV(R6:R1198)+1E-12))</f>
        <v/>
      </c>
      <c r="T644" s="3">
        <f>IF('3a Raw'!L644="","",MAX(-3,MIN(3,('3a Raw'!L644-$T3)/$T4)))</f>
        <v/>
      </c>
      <c r="U644" s="3">
        <f>IF(T644="","",(T644-AVERAGE(T6:T1198))/(STDEV(T6:T1198)+1E-12))</f>
        <v/>
      </c>
      <c r="X644" s="3">
        <f>IF(U644="","",U644-($V$3*G644+$W$3))</f>
        <v/>
      </c>
      <c r="Y644" s="3">
        <f>IF(X644="","",MAX(-3,MIN(3,(X644-$X3)/$X4)))</f>
        <v/>
      </c>
      <c r="Z644" s="3">
        <f>IF(Y644="","",(Y644-AVERAGE(Y6:Y1198))/(STDEV(Y6:Y1198)+1E-12))</f>
        <v/>
      </c>
    </row>
    <row r="645">
      <c r="A645" t="inlineStr">
        <is>
          <t>lrcx</t>
        </is>
      </c>
      <c r="B645" s="3">
        <f>IF('3a Raw'!C645="","",MAX(-3,MIN(3,('3a Raw'!C645-$B3)/$B4)))</f>
        <v/>
      </c>
      <c r="C645" s="3">
        <f>IF(B645="","",(B645-AVERAGE(B6:B1198))/(STDEV(B6:B1198)+1E-12))</f>
        <v/>
      </c>
      <c r="D645" s="3">
        <f>IF('3a Raw'!D645="","",MAX(-3,MIN(3,('3a Raw'!D645-$D3)/$D4)))</f>
        <v/>
      </c>
      <c r="E645" s="3">
        <f>IF(D645="","",(D645-AVERAGE(D6:D1198))/(STDEV(D6:D1198)+1E-12))</f>
        <v/>
      </c>
      <c r="F645" s="3">
        <f>IF('3a Raw'!E645="","",MAX(-3,MIN(3,('3a Raw'!E645-$F3)/$F4)))</f>
        <v/>
      </c>
      <c r="G645" s="3">
        <f>IF(F645="","",(F645-AVERAGE(F6:F1198))/(STDEV(F6:F1198)+1E-12))</f>
        <v/>
      </c>
      <c r="H645" s="3">
        <f>IF('3a Raw'!F645="","",MAX(-3,MIN(3,('3a Raw'!F645-$H3)/$H4)))</f>
        <v/>
      </c>
      <c r="I645" s="3">
        <f>IF(H645="","",(H645-AVERAGE(H6:H1198))/(STDEV(H6:H1198)+1E-12))</f>
        <v/>
      </c>
      <c r="J645" s="3">
        <f>IF('3a Raw'!G645="","",MAX(-3,MIN(3,('3a Raw'!G645-$J3)/$J4)))</f>
        <v/>
      </c>
      <c r="K645" s="3">
        <f>IF(J645="","",(J645-AVERAGE(J6:J1198))/(STDEV(J6:J1198)+1E-12))</f>
        <v/>
      </c>
      <c r="L645" s="3">
        <f>IF('3a Raw'!H645="","",MAX(-3,MIN(3,('3a Raw'!H645-$L3)/$L4)))</f>
        <v/>
      </c>
      <c r="M645" s="3">
        <f>IF(L645="","",(L645-AVERAGE(L6:L1198))/(STDEV(L6:L1198)+1E-12))</f>
        <v/>
      </c>
      <c r="N645" s="3">
        <f>IF('3a Raw'!I645="","",MAX(-3,MIN(3,('3a Raw'!I645-$N3)/$N4)))</f>
        <v/>
      </c>
      <c r="O645" s="3">
        <f>IF(N645="","",(N645-AVERAGE(N6:N1198))/(STDEV(N6:N1198)+1E-12))</f>
        <v/>
      </c>
      <c r="P645" s="3">
        <f>IF('3a Raw'!J645="","",MAX(-3,MIN(3,('3a Raw'!J645-$P3)/$P4)))</f>
        <v/>
      </c>
      <c r="Q645" s="3">
        <f>IF(P645="","",(P645-AVERAGE(P6:P1198))/(STDEV(P6:P1198)+1E-12))</f>
        <v/>
      </c>
      <c r="R645" s="3">
        <f>IF('3a Raw'!K645="","",MAX(-3,MIN(3,('3a Raw'!K645-$R3)/$R4)))</f>
        <v/>
      </c>
      <c r="S645" s="3">
        <f>IF(R645="","",(R645-AVERAGE(R6:R1198))/(STDEV(R6:R1198)+1E-12))</f>
        <v/>
      </c>
      <c r="T645" s="3">
        <f>IF('3a Raw'!L645="","",MAX(-3,MIN(3,('3a Raw'!L645-$T3)/$T4)))</f>
        <v/>
      </c>
      <c r="U645" s="3">
        <f>IF(T645="","",(T645-AVERAGE(T6:T1198))/(STDEV(T6:T1198)+1E-12))</f>
        <v/>
      </c>
      <c r="X645" s="3">
        <f>IF(U645="","",U645-($V$3*G645+$W$3))</f>
        <v/>
      </c>
      <c r="Y645" s="3">
        <f>IF(X645="","",MAX(-3,MIN(3,(X645-$X3)/$X4)))</f>
        <v/>
      </c>
      <c r="Z645" s="3">
        <f>IF(Y645="","",(Y645-AVERAGE(Y6:Y1198))/(STDEV(Y6:Y1198)+1E-12))</f>
        <v/>
      </c>
    </row>
    <row r="646">
      <c r="A646" t="inlineStr">
        <is>
          <t>BBG000C2D1C1</t>
        </is>
      </c>
      <c r="B646" s="3">
        <f>IF('3a Raw'!C646="","",MAX(-3,MIN(3,('3a Raw'!C646-$B3)/$B4)))</f>
        <v/>
      </c>
      <c r="C646" s="3">
        <f>IF(B646="","",(B646-AVERAGE(B6:B1198))/(STDEV(B6:B1198)+1E-12))</f>
        <v/>
      </c>
      <c r="D646" s="3">
        <f>IF('3a Raw'!D646="","",MAX(-3,MIN(3,('3a Raw'!D646-$D3)/$D4)))</f>
        <v/>
      </c>
      <c r="E646" s="3">
        <f>IF(D646="","",(D646-AVERAGE(D6:D1198))/(STDEV(D6:D1198)+1E-12))</f>
        <v/>
      </c>
      <c r="F646" s="3">
        <f>IF('3a Raw'!E646="","",MAX(-3,MIN(3,('3a Raw'!E646-$F3)/$F4)))</f>
        <v/>
      </c>
      <c r="G646" s="3">
        <f>IF(F646="","",(F646-AVERAGE(F6:F1198))/(STDEV(F6:F1198)+1E-12))</f>
        <v/>
      </c>
      <c r="H646" s="3">
        <f>IF('3a Raw'!F646="","",MAX(-3,MIN(3,('3a Raw'!F646-$H3)/$H4)))</f>
        <v/>
      </c>
      <c r="I646" s="3">
        <f>IF(H646="","",(H646-AVERAGE(H6:H1198))/(STDEV(H6:H1198)+1E-12))</f>
        <v/>
      </c>
      <c r="J646" s="3">
        <f>IF('3a Raw'!G646="","",MAX(-3,MIN(3,('3a Raw'!G646-$J3)/$J4)))</f>
        <v/>
      </c>
      <c r="K646" s="3">
        <f>IF(J646="","",(J646-AVERAGE(J6:J1198))/(STDEV(J6:J1198)+1E-12))</f>
        <v/>
      </c>
      <c r="L646" s="3">
        <f>IF('3a Raw'!H646="","",MAX(-3,MIN(3,('3a Raw'!H646-$L3)/$L4)))</f>
        <v/>
      </c>
      <c r="M646" s="3">
        <f>IF(L646="","",(L646-AVERAGE(L6:L1198))/(STDEV(L6:L1198)+1E-12))</f>
        <v/>
      </c>
      <c r="N646" s="3">
        <f>IF('3a Raw'!I646="","",MAX(-3,MIN(3,('3a Raw'!I646-$N3)/$N4)))</f>
        <v/>
      </c>
      <c r="O646" s="3">
        <f>IF(N646="","",(N646-AVERAGE(N6:N1198))/(STDEV(N6:N1198)+1E-12))</f>
        <v/>
      </c>
      <c r="P646" s="3">
        <f>IF('3a Raw'!J646="","",MAX(-3,MIN(3,('3a Raw'!J646-$P3)/$P4)))</f>
        <v/>
      </c>
      <c r="Q646" s="3">
        <f>IF(P646="","",(P646-AVERAGE(P6:P1198))/(STDEV(P6:P1198)+1E-12))</f>
        <v/>
      </c>
      <c r="R646" s="3">
        <f>IF('3a Raw'!K646="","",MAX(-3,MIN(3,('3a Raw'!K646-$R3)/$R4)))</f>
        <v/>
      </c>
      <c r="S646" s="3">
        <f>IF(R646="","",(R646-AVERAGE(R6:R1198))/(STDEV(R6:R1198)+1E-12))</f>
        <v/>
      </c>
      <c r="T646" s="3">
        <f>IF('3a Raw'!L646="","",MAX(-3,MIN(3,('3a Raw'!L646-$T3)/$T4)))</f>
        <v/>
      </c>
      <c r="U646" s="3">
        <f>IF(T646="","",(T646-AVERAGE(T6:T1198))/(STDEV(T6:T1198)+1E-12))</f>
        <v/>
      </c>
      <c r="X646" s="3">
        <f>IF(U646="","",U646-($V$3*G646+$W$3))</f>
        <v/>
      </c>
      <c r="Y646" s="3">
        <f>IF(X646="","",MAX(-3,MIN(3,(X646-$X3)/$X4)))</f>
        <v/>
      </c>
      <c r="Z646" s="3">
        <f>IF(Y646="","",(Y646-AVERAGE(Y6:Y1198))/(STDEV(Y6:Y1198)+1E-12))</f>
        <v/>
      </c>
    </row>
    <row r="647">
      <c r="A647" t="inlineStr">
        <is>
          <t>BBG000BB2KN0</t>
        </is>
      </c>
      <c r="B647" s="3">
        <f>IF('3a Raw'!C647="","",MAX(-3,MIN(3,('3a Raw'!C647-$B3)/$B4)))</f>
        <v/>
      </c>
      <c r="C647" s="3">
        <f>IF(B647="","",(B647-AVERAGE(B6:B1198))/(STDEV(B6:B1198)+1E-12))</f>
        <v/>
      </c>
      <c r="D647" s="3">
        <f>IF('3a Raw'!D647="","",MAX(-3,MIN(3,('3a Raw'!D647-$D3)/$D4)))</f>
        <v/>
      </c>
      <c r="E647" s="3">
        <f>IF(D647="","",(D647-AVERAGE(D6:D1198))/(STDEV(D6:D1198)+1E-12))</f>
        <v/>
      </c>
      <c r="F647" s="3">
        <f>IF('3a Raw'!E647="","",MAX(-3,MIN(3,('3a Raw'!E647-$F3)/$F4)))</f>
        <v/>
      </c>
      <c r="G647" s="3">
        <f>IF(F647="","",(F647-AVERAGE(F6:F1198))/(STDEV(F6:F1198)+1E-12))</f>
        <v/>
      </c>
      <c r="H647" s="3">
        <f>IF('3a Raw'!F647="","",MAX(-3,MIN(3,('3a Raw'!F647-$H3)/$H4)))</f>
        <v/>
      </c>
      <c r="I647" s="3">
        <f>IF(H647="","",(H647-AVERAGE(H6:H1198))/(STDEV(H6:H1198)+1E-12))</f>
        <v/>
      </c>
      <c r="J647" s="3">
        <f>IF('3a Raw'!G647="","",MAX(-3,MIN(3,('3a Raw'!G647-$J3)/$J4)))</f>
        <v/>
      </c>
      <c r="K647" s="3">
        <f>IF(J647="","",(J647-AVERAGE(J6:J1198))/(STDEV(J6:J1198)+1E-12))</f>
        <v/>
      </c>
      <c r="L647" s="3">
        <f>IF('3a Raw'!H647="","",MAX(-3,MIN(3,('3a Raw'!H647-$L3)/$L4)))</f>
        <v/>
      </c>
      <c r="M647" s="3">
        <f>IF(L647="","",(L647-AVERAGE(L6:L1198))/(STDEV(L6:L1198)+1E-12))</f>
        <v/>
      </c>
      <c r="N647" s="3">
        <f>IF('3a Raw'!I647="","",MAX(-3,MIN(3,('3a Raw'!I647-$N3)/$N4)))</f>
        <v/>
      </c>
      <c r="O647" s="3">
        <f>IF(N647="","",(N647-AVERAGE(N6:N1198))/(STDEV(N6:N1198)+1E-12))</f>
        <v/>
      </c>
      <c r="P647" s="3">
        <f>IF('3a Raw'!J647="","",MAX(-3,MIN(3,('3a Raw'!J647-$P3)/$P4)))</f>
        <v/>
      </c>
      <c r="Q647" s="3">
        <f>IF(P647="","",(P647-AVERAGE(P6:P1198))/(STDEV(P6:P1198)+1E-12))</f>
        <v/>
      </c>
      <c r="R647" s="3">
        <f>IF('3a Raw'!K647="","",MAX(-3,MIN(3,('3a Raw'!K647-$R3)/$R4)))</f>
        <v/>
      </c>
      <c r="S647" s="3">
        <f>IF(R647="","",(R647-AVERAGE(R6:R1198))/(STDEV(R6:R1198)+1E-12))</f>
        <v/>
      </c>
      <c r="T647" s="3">
        <f>IF('3a Raw'!L647="","",MAX(-3,MIN(3,('3a Raw'!L647-$T3)/$T4)))</f>
        <v/>
      </c>
      <c r="U647" s="3">
        <f>IF(T647="","",(T647-AVERAGE(T6:T1198))/(STDEV(T6:T1198)+1E-12))</f>
        <v/>
      </c>
      <c r="X647" s="3">
        <f>IF(U647="","",U647-($V$3*G647+$W$3))</f>
        <v/>
      </c>
      <c r="Y647" s="3">
        <f>IF(X647="","",MAX(-3,MIN(3,(X647-$X3)/$X4)))</f>
        <v/>
      </c>
      <c r="Z647" s="3">
        <f>IF(Y647="","",(Y647-AVERAGE(Y6:Y1198))/(STDEV(Y6:Y1198)+1E-12))</f>
        <v/>
      </c>
    </row>
    <row r="648">
      <c r="A648" t="inlineStr">
        <is>
          <t>BBG00Z6BJ689</t>
        </is>
      </c>
      <c r="B648" s="3">
        <f>IF('3a Raw'!C648="","",MAX(-3,MIN(3,('3a Raw'!C648-$B3)/$B4)))</f>
        <v/>
      </c>
      <c r="C648" s="3">
        <f>IF(B648="","",(B648-AVERAGE(B6:B1198))/(STDEV(B6:B1198)+1E-12))</f>
        <v/>
      </c>
      <c r="D648" s="3">
        <f>IF('3a Raw'!D648="","",MAX(-3,MIN(3,('3a Raw'!D648-$D3)/$D4)))</f>
        <v/>
      </c>
      <c r="E648" s="3">
        <f>IF(D648="","",(D648-AVERAGE(D6:D1198))/(STDEV(D6:D1198)+1E-12))</f>
        <v/>
      </c>
      <c r="F648" s="3">
        <f>IF('3a Raw'!E648="","",MAX(-3,MIN(3,('3a Raw'!E648-$F3)/$F4)))</f>
        <v/>
      </c>
      <c r="G648" s="3">
        <f>IF(F648="","",(F648-AVERAGE(F6:F1198))/(STDEV(F6:F1198)+1E-12))</f>
        <v/>
      </c>
      <c r="H648" s="3">
        <f>IF('3a Raw'!F648="","",MAX(-3,MIN(3,('3a Raw'!F648-$H3)/$H4)))</f>
        <v/>
      </c>
      <c r="I648" s="3">
        <f>IF(H648="","",(H648-AVERAGE(H6:H1198))/(STDEV(H6:H1198)+1E-12))</f>
        <v/>
      </c>
      <c r="J648" s="3">
        <f>IF('3a Raw'!G648="","",MAX(-3,MIN(3,('3a Raw'!G648-$J3)/$J4)))</f>
        <v/>
      </c>
      <c r="K648" s="3">
        <f>IF(J648="","",(J648-AVERAGE(J6:J1198))/(STDEV(J6:J1198)+1E-12))</f>
        <v/>
      </c>
      <c r="L648" s="3">
        <f>IF('3a Raw'!H648="","",MAX(-3,MIN(3,('3a Raw'!H648-$L3)/$L4)))</f>
        <v/>
      </c>
      <c r="M648" s="3">
        <f>IF(L648="","",(L648-AVERAGE(L6:L1198))/(STDEV(L6:L1198)+1E-12))</f>
        <v/>
      </c>
      <c r="N648" s="3">
        <f>IF('3a Raw'!I648="","",MAX(-3,MIN(3,('3a Raw'!I648-$N3)/$N4)))</f>
        <v/>
      </c>
      <c r="O648" s="3">
        <f>IF(N648="","",(N648-AVERAGE(N6:N1198))/(STDEV(N6:N1198)+1E-12))</f>
        <v/>
      </c>
      <c r="P648" s="3">
        <f>IF('3a Raw'!J648="","",MAX(-3,MIN(3,('3a Raw'!J648-$P3)/$P4)))</f>
        <v/>
      </c>
      <c r="Q648" s="3">
        <f>IF(P648="","",(P648-AVERAGE(P6:P1198))/(STDEV(P6:P1198)+1E-12))</f>
        <v/>
      </c>
      <c r="R648" s="3">
        <f>IF('3a Raw'!K648="","",MAX(-3,MIN(3,('3a Raw'!K648-$R3)/$R4)))</f>
        <v/>
      </c>
      <c r="S648" s="3">
        <f>IF(R648="","",(R648-AVERAGE(R6:R1198))/(STDEV(R6:R1198)+1E-12))</f>
        <v/>
      </c>
      <c r="T648" s="3">
        <f>IF('3a Raw'!L648="","",MAX(-3,MIN(3,('3a Raw'!L648-$T3)/$T4)))</f>
        <v/>
      </c>
      <c r="U648" s="3">
        <f>IF(T648="","",(T648-AVERAGE(T6:T1198))/(STDEV(T6:T1198)+1E-12))</f>
        <v/>
      </c>
      <c r="X648" s="3">
        <f>IF(U648="","",U648-($V$3*G648+$W$3))</f>
        <v/>
      </c>
      <c r="Y648" s="3">
        <f>IF(X648="","",MAX(-3,MIN(3,(X648-$X3)/$X4)))</f>
        <v/>
      </c>
      <c r="Z648" s="3">
        <f>IF(Y648="","",(Y648-AVERAGE(Y6:Y1198))/(STDEV(Y6:Y1198)+1E-12))</f>
        <v/>
      </c>
    </row>
    <row r="649">
      <c r="A649" t="inlineStr">
        <is>
          <t>BBG000R8ZVD1</t>
        </is>
      </c>
      <c r="B649" s="3">
        <f>IF('3a Raw'!C649="","",MAX(-3,MIN(3,('3a Raw'!C649-$B3)/$B4)))</f>
        <v/>
      </c>
      <c r="C649" s="3">
        <f>IF(B649="","",(B649-AVERAGE(B6:B1198))/(STDEV(B6:B1198)+1E-12))</f>
        <v/>
      </c>
      <c r="D649" s="3">
        <f>IF('3a Raw'!D649="","",MAX(-3,MIN(3,('3a Raw'!D649-$D3)/$D4)))</f>
        <v/>
      </c>
      <c r="E649" s="3">
        <f>IF(D649="","",(D649-AVERAGE(D6:D1198))/(STDEV(D6:D1198)+1E-12))</f>
        <v/>
      </c>
      <c r="F649" s="3">
        <f>IF('3a Raw'!E649="","",MAX(-3,MIN(3,('3a Raw'!E649-$F3)/$F4)))</f>
        <v/>
      </c>
      <c r="G649" s="3">
        <f>IF(F649="","",(F649-AVERAGE(F6:F1198))/(STDEV(F6:F1198)+1E-12))</f>
        <v/>
      </c>
      <c r="H649" s="3">
        <f>IF('3a Raw'!F649="","",MAX(-3,MIN(3,('3a Raw'!F649-$H3)/$H4)))</f>
        <v/>
      </c>
      <c r="I649" s="3">
        <f>IF(H649="","",(H649-AVERAGE(H6:H1198))/(STDEV(H6:H1198)+1E-12))</f>
        <v/>
      </c>
      <c r="J649" s="3">
        <f>IF('3a Raw'!G649="","",MAX(-3,MIN(3,('3a Raw'!G649-$J3)/$J4)))</f>
        <v/>
      </c>
      <c r="K649" s="3">
        <f>IF(J649="","",(J649-AVERAGE(J6:J1198))/(STDEV(J6:J1198)+1E-12))</f>
        <v/>
      </c>
      <c r="L649" s="3">
        <f>IF('3a Raw'!H649="","",MAX(-3,MIN(3,('3a Raw'!H649-$L3)/$L4)))</f>
        <v/>
      </c>
      <c r="M649" s="3">
        <f>IF(L649="","",(L649-AVERAGE(L6:L1198))/(STDEV(L6:L1198)+1E-12))</f>
        <v/>
      </c>
      <c r="N649" s="3">
        <f>IF('3a Raw'!I649="","",MAX(-3,MIN(3,('3a Raw'!I649-$N3)/$N4)))</f>
        <v/>
      </c>
      <c r="O649" s="3">
        <f>IF(N649="","",(N649-AVERAGE(N6:N1198))/(STDEV(N6:N1198)+1E-12))</f>
        <v/>
      </c>
      <c r="P649" s="3">
        <f>IF('3a Raw'!J649="","",MAX(-3,MIN(3,('3a Raw'!J649-$P3)/$P4)))</f>
        <v/>
      </c>
      <c r="Q649" s="3">
        <f>IF(P649="","",(P649-AVERAGE(P6:P1198))/(STDEV(P6:P1198)+1E-12))</f>
        <v/>
      </c>
      <c r="R649" s="3">
        <f>IF('3a Raw'!K649="","",MAX(-3,MIN(3,('3a Raw'!K649-$R3)/$R4)))</f>
        <v/>
      </c>
      <c r="S649" s="3">
        <f>IF(R649="","",(R649-AVERAGE(R6:R1198))/(STDEV(R6:R1198)+1E-12))</f>
        <v/>
      </c>
      <c r="T649" s="3">
        <f>IF('3a Raw'!L649="","",MAX(-3,MIN(3,('3a Raw'!L649-$T3)/$T4)))</f>
        <v/>
      </c>
      <c r="U649" s="3">
        <f>IF(T649="","",(T649-AVERAGE(T6:T1198))/(STDEV(T6:T1198)+1E-12))</f>
        <v/>
      </c>
      <c r="X649" s="3">
        <f>IF(U649="","",U649-($V$3*G649+$W$3))</f>
        <v/>
      </c>
      <c r="Y649" s="3">
        <f>IF(X649="","",MAX(-3,MIN(3,(X649-$X3)/$X4)))</f>
        <v/>
      </c>
      <c r="Z649" s="3">
        <f>IF(Y649="","",(Y649-AVERAGE(Y6:Y1198))/(STDEV(Y6:Y1198)+1E-12))</f>
        <v/>
      </c>
    </row>
    <row r="650">
      <c r="A650" t="inlineStr">
        <is>
          <t>BBG000BNJHS8</t>
        </is>
      </c>
      <c r="B650" s="3">
        <f>IF('3a Raw'!C650="","",MAX(-3,MIN(3,('3a Raw'!C650-$B3)/$B4)))</f>
        <v/>
      </c>
      <c r="C650" s="3">
        <f>IF(B650="","",(B650-AVERAGE(B6:B1198))/(STDEV(B6:B1198)+1E-12))</f>
        <v/>
      </c>
      <c r="D650" s="3">
        <f>IF('3a Raw'!D650="","",MAX(-3,MIN(3,('3a Raw'!D650-$D3)/$D4)))</f>
        <v/>
      </c>
      <c r="E650" s="3">
        <f>IF(D650="","",(D650-AVERAGE(D6:D1198))/(STDEV(D6:D1198)+1E-12))</f>
        <v/>
      </c>
      <c r="F650" s="3">
        <f>IF('3a Raw'!E650="","",MAX(-3,MIN(3,('3a Raw'!E650-$F3)/$F4)))</f>
        <v/>
      </c>
      <c r="G650" s="3">
        <f>IF(F650="","",(F650-AVERAGE(F6:F1198))/(STDEV(F6:F1198)+1E-12))</f>
        <v/>
      </c>
      <c r="H650" s="3">
        <f>IF('3a Raw'!F650="","",MAX(-3,MIN(3,('3a Raw'!F650-$H3)/$H4)))</f>
        <v/>
      </c>
      <c r="I650" s="3">
        <f>IF(H650="","",(H650-AVERAGE(H6:H1198))/(STDEV(H6:H1198)+1E-12))</f>
        <v/>
      </c>
      <c r="J650" s="3">
        <f>IF('3a Raw'!G650="","",MAX(-3,MIN(3,('3a Raw'!G650-$J3)/$J4)))</f>
        <v/>
      </c>
      <c r="K650" s="3">
        <f>IF(J650="","",(J650-AVERAGE(J6:J1198))/(STDEV(J6:J1198)+1E-12))</f>
        <v/>
      </c>
      <c r="L650" s="3">
        <f>IF('3a Raw'!H650="","",MAX(-3,MIN(3,('3a Raw'!H650-$L3)/$L4)))</f>
        <v/>
      </c>
      <c r="M650" s="3">
        <f>IF(L650="","",(L650-AVERAGE(L6:L1198))/(STDEV(L6:L1198)+1E-12))</f>
        <v/>
      </c>
      <c r="N650" s="3">
        <f>IF('3a Raw'!I650="","",MAX(-3,MIN(3,('3a Raw'!I650-$N3)/$N4)))</f>
        <v/>
      </c>
      <c r="O650" s="3">
        <f>IF(N650="","",(N650-AVERAGE(N6:N1198))/(STDEV(N6:N1198)+1E-12))</f>
        <v/>
      </c>
      <c r="P650" s="3">
        <f>IF('3a Raw'!J650="","",MAX(-3,MIN(3,('3a Raw'!J650-$P3)/$P4)))</f>
        <v/>
      </c>
      <c r="Q650" s="3">
        <f>IF(P650="","",(P650-AVERAGE(P6:P1198))/(STDEV(P6:P1198)+1E-12))</f>
        <v/>
      </c>
      <c r="R650" s="3">
        <f>IF('3a Raw'!K650="","",MAX(-3,MIN(3,('3a Raw'!K650-$R3)/$R4)))</f>
        <v/>
      </c>
      <c r="S650" s="3">
        <f>IF(R650="","",(R650-AVERAGE(R6:R1198))/(STDEV(R6:R1198)+1E-12))</f>
        <v/>
      </c>
      <c r="T650" s="3">
        <f>IF('3a Raw'!L650="","",MAX(-3,MIN(3,('3a Raw'!L650-$T3)/$T4)))</f>
        <v/>
      </c>
      <c r="U650" s="3">
        <f>IF(T650="","",(T650-AVERAGE(T6:T1198))/(STDEV(T6:T1198)+1E-12))</f>
        <v/>
      </c>
      <c r="X650" s="3">
        <f>IF(U650="","",U650-($V$3*G650+$W$3))</f>
        <v/>
      </c>
      <c r="Y650" s="3">
        <f>IF(X650="","",MAX(-3,MIN(3,(X650-$X3)/$X4)))</f>
        <v/>
      </c>
      <c r="Z650" s="3">
        <f>IF(Y650="","",(Y650-AVERAGE(Y6:Y1198))/(STDEV(Y6:Y1198)+1E-12))</f>
        <v/>
      </c>
    </row>
    <row r="651">
      <c r="A651" t="inlineStr">
        <is>
          <t>BBG000JWD753</t>
        </is>
      </c>
      <c r="B651" s="3">
        <f>IF('3a Raw'!C651="","",MAX(-3,MIN(3,('3a Raw'!C651-$B3)/$B4)))</f>
        <v/>
      </c>
      <c r="C651" s="3">
        <f>IF(B651="","",(B651-AVERAGE(B6:B1198))/(STDEV(B6:B1198)+1E-12))</f>
        <v/>
      </c>
      <c r="D651" s="3">
        <f>IF('3a Raw'!D651="","",MAX(-3,MIN(3,('3a Raw'!D651-$D3)/$D4)))</f>
        <v/>
      </c>
      <c r="E651" s="3">
        <f>IF(D651="","",(D651-AVERAGE(D6:D1198))/(STDEV(D6:D1198)+1E-12))</f>
        <v/>
      </c>
      <c r="F651" s="3">
        <f>IF('3a Raw'!E651="","",MAX(-3,MIN(3,('3a Raw'!E651-$F3)/$F4)))</f>
        <v/>
      </c>
      <c r="G651" s="3">
        <f>IF(F651="","",(F651-AVERAGE(F6:F1198))/(STDEV(F6:F1198)+1E-12))</f>
        <v/>
      </c>
      <c r="H651" s="3">
        <f>IF('3a Raw'!F651="","",MAX(-3,MIN(3,('3a Raw'!F651-$H3)/$H4)))</f>
        <v/>
      </c>
      <c r="I651" s="3">
        <f>IF(H651="","",(H651-AVERAGE(H6:H1198))/(STDEV(H6:H1198)+1E-12))</f>
        <v/>
      </c>
      <c r="J651" s="3">
        <f>IF('3a Raw'!G651="","",MAX(-3,MIN(3,('3a Raw'!G651-$J3)/$J4)))</f>
        <v/>
      </c>
      <c r="K651" s="3">
        <f>IF(J651="","",(J651-AVERAGE(J6:J1198))/(STDEV(J6:J1198)+1E-12))</f>
        <v/>
      </c>
      <c r="L651" s="3">
        <f>IF('3a Raw'!H651="","",MAX(-3,MIN(3,('3a Raw'!H651-$L3)/$L4)))</f>
        <v/>
      </c>
      <c r="M651" s="3">
        <f>IF(L651="","",(L651-AVERAGE(L6:L1198))/(STDEV(L6:L1198)+1E-12))</f>
        <v/>
      </c>
      <c r="N651" s="3">
        <f>IF('3a Raw'!I651="","",MAX(-3,MIN(3,('3a Raw'!I651-$N3)/$N4)))</f>
        <v/>
      </c>
      <c r="O651" s="3">
        <f>IF(N651="","",(N651-AVERAGE(N6:N1198))/(STDEV(N6:N1198)+1E-12))</f>
        <v/>
      </c>
      <c r="P651" s="3">
        <f>IF('3a Raw'!J651="","",MAX(-3,MIN(3,('3a Raw'!J651-$P3)/$P4)))</f>
        <v/>
      </c>
      <c r="Q651" s="3">
        <f>IF(P651="","",(P651-AVERAGE(P6:P1198))/(STDEV(P6:P1198)+1E-12))</f>
        <v/>
      </c>
      <c r="R651" s="3">
        <f>IF('3a Raw'!K651="","",MAX(-3,MIN(3,('3a Raw'!K651-$R3)/$R4)))</f>
        <v/>
      </c>
      <c r="S651" s="3">
        <f>IF(R651="","",(R651-AVERAGE(R6:R1198))/(STDEV(R6:R1198)+1E-12))</f>
        <v/>
      </c>
      <c r="T651" s="3">
        <f>IF('3a Raw'!L651="","",MAX(-3,MIN(3,('3a Raw'!L651-$T3)/$T4)))</f>
        <v/>
      </c>
      <c r="U651" s="3">
        <f>IF(T651="","",(T651-AVERAGE(T6:T1198))/(STDEV(T6:T1198)+1E-12))</f>
        <v/>
      </c>
      <c r="X651" s="3">
        <f>IF(U651="","",U651-($V$3*G651+$W$3))</f>
        <v/>
      </c>
      <c r="Y651" s="3">
        <f>IF(X651="","",MAX(-3,MIN(3,(X651-$X3)/$X4)))</f>
        <v/>
      </c>
      <c r="Z651" s="3">
        <f>IF(Y651="","",(Y651-AVERAGE(Y6:Y1198))/(STDEV(Y6:Y1198)+1E-12))</f>
        <v/>
      </c>
    </row>
    <row r="652">
      <c r="A652" t="inlineStr">
        <is>
          <t>BBG003CVMLQ2</t>
        </is>
      </c>
      <c r="B652" s="3">
        <f>IF('3a Raw'!C652="","",MAX(-3,MIN(3,('3a Raw'!C652-$B3)/$B4)))</f>
        <v/>
      </c>
      <c r="C652" s="3">
        <f>IF(B652="","",(B652-AVERAGE(B6:B1198))/(STDEV(B6:B1198)+1E-12))</f>
        <v/>
      </c>
      <c r="D652" s="3">
        <f>IF('3a Raw'!D652="","",MAX(-3,MIN(3,('3a Raw'!D652-$D3)/$D4)))</f>
        <v/>
      </c>
      <c r="E652" s="3">
        <f>IF(D652="","",(D652-AVERAGE(D6:D1198))/(STDEV(D6:D1198)+1E-12))</f>
        <v/>
      </c>
      <c r="F652" s="3">
        <f>IF('3a Raw'!E652="","",MAX(-3,MIN(3,('3a Raw'!E652-$F3)/$F4)))</f>
        <v/>
      </c>
      <c r="G652" s="3">
        <f>IF(F652="","",(F652-AVERAGE(F6:F1198))/(STDEV(F6:F1198)+1E-12))</f>
        <v/>
      </c>
      <c r="H652" s="3">
        <f>IF('3a Raw'!F652="","",MAX(-3,MIN(3,('3a Raw'!F652-$H3)/$H4)))</f>
        <v/>
      </c>
      <c r="I652" s="3">
        <f>IF(H652="","",(H652-AVERAGE(H6:H1198))/(STDEV(H6:H1198)+1E-12))</f>
        <v/>
      </c>
      <c r="J652" s="3">
        <f>IF('3a Raw'!G652="","",MAX(-3,MIN(3,('3a Raw'!G652-$J3)/$J4)))</f>
        <v/>
      </c>
      <c r="K652" s="3">
        <f>IF(J652="","",(J652-AVERAGE(J6:J1198))/(STDEV(J6:J1198)+1E-12))</f>
        <v/>
      </c>
      <c r="L652" s="3">
        <f>IF('3a Raw'!H652="","",MAX(-3,MIN(3,('3a Raw'!H652-$L3)/$L4)))</f>
        <v/>
      </c>
      <c r="M652" s="3">
        <f>IF(L652="","",(L652-AVERAGE(L6:L1198))/(STDEV(L6:L1198)+1E-12))</f>
        <v/>
      </c>
      <c r="N652" s="3">
        <f>IF('3a Raw'!I652="","",MAX(-3,MIN(3,('3a Raw'!I652-$N3)/$N4)))</f>
        <v/>
      </c>
      <c r="O652" s="3">
        <f>IF(N652="","",(N652-AVERAGE(N6:N1198))/(STDEV(N6:N1198)+1E-12))</f>
        <v/>
      </c>
      <c r="P652" s="3">
        <f>IF('3a Raw'!J652="","",MAX(-3,MIN(3,('3a Raw'!J652-$P3)/$P4)))</f>
        <v/>
      </c>
      <c r="Q652" s="3">
        <f>IF(P652="","",(P652-AVERAGE(P6:P1198))/(STDEV(P6:P1198)+1E-12))</f>
        <v/>
      </c>
      <c r="R652" s="3">
        <f>IF('3a Raw'!K652="","",MAX(-3,MIN(3,('3a Raw'!K652-$R3)/$R4)))</f>
        <v/>
      </c>
      <c r="S652" s="3">
        <f>IF(R652="","",(R652-AVERAGE(R6:R1198))/(STDEV(R6:R1198)+1E-12))</f>
        <v/>
      </c>
      <c r="T652" s="3">
        <f>IF('3a Raw'!L652="","",MAX(-3,MIN(3,('3a Raw'!L652-$T3)/$T4)))</f>
        <v/>
      </c>
      <c r="U652" s="3">
        <f>IF(T652="","",(T652-AVERAGE(T6:T1198))/(STDEV(T6:T1198)+1E-12))</f>
        <v/>
      </c>
      <c r="X652" s="3">
        <f>IF(U652="","",U652-($V$3*G652+$W$3))</f>
        <v/>
      </c>
      <c r="Y652" s="3">
        <f>IF(X652="","",MAX(-3,MIN(3,(X652-$X3)/$X4)))</f>
        <v/>
      </c>
      <c r="Z652" s="3">
        <f>IF(Y652="","",(Y652-AVERAGE(Y6:Y1198))/(STDEV(Y6:Y1198)+1E-12))</f>
        <v/>
      </c>
    </row>
    <row r="653">
      <c r="A653" t="inlineStr">
        <is>
          <t>lyb</t>
        </is>
      </c>
      <c r="B653" s="3">
        <f>IF('3a Raw'!C653="","",MAX(-3,MIN(3,('3a Raw'!C653-$B3)/$B4)))</f>
        <v/>
      </c>
      <c r="C653" s="3">
        <f>IF(B653="","",(B653-AVERAGE(B6:B1198))/(STDEV(B6:B1198)+1E-12))</f>
        <v/>
      </c>
      <c r="D653" s="3">
        <f>IF('3a Raw'!D653="","",MAX(-3,MIN(3,('3a Raw'!D653-$D3)/$D4)))</f>
        <v/>
      </c>
      <c r="E653" s="3">
        <f>IF(D653="","",(D653-AVERAGE(D6:D1198))/(STDEV(D6:D1198)+1E-12))</f>
        <v/>
      </c>
      <c r="F653" s="3">
        <f>IF('3a Raw'!E653="","",MAX(-3,MIN(3,('3a Raw'!E653-$F3)/$F4)))</f>
        <v/>
      </c>
      <c r="G653" s="3">
        <f>IF(F653="","",(F653-AVERAGE(F6:F1198))/(STDEV(F6:F1198)+1E-12))</f>
        <v/>
      </c>
      <c r="H653" s="3">
        <f>IF('3a Raw'!F653="","",MAX(-3,MIN(3,('3a Raw'!F653-$H3)/$H4)))</f>
        <v/>
      </c>
      <c r="I653" s="3">
        <f>IF(H653="","",(H653-AVERAGE(H6:H1198))/(STDEV(H6:H1198)+1E-12))</f>
        <v/>
      </c>
      <c r="J653" s="3">
        <f>IF('3a Raw'!G653="","",MAX(-3,MIN(3,('3a Raw'!G653-$J3)/$J4)))</f>
        <v/>
      </c>
      <c r="K653" s="3">
        <f>IF(J653="","",(J653-AVERAGE(J6:J1198))/(STDEV(J6:J1198)+1E-12))</f>
        <v/>
      </c>
      <c r="L653" s="3">
        <f>IF('3a Raw'!H653="","",MAX(-3,MIN(3,('3a Raw'!H653-$L3)/$L4)))</f>
        <v/>
      </c>
      <c r="M653" s="3">
        <f>IF(L653="","",(L653-AVERAGE(L6:L1198))/(STDEV(L6:L1198)+1E-12))</f>
        <v/>
      </c>
      <c r="N653" s="3">
        <f>IF('3a Raw'!I653="","",MAX(-3,MIN(3,('3a Raw'!I653-$N3)/$N4)))</f>
        <v/>
      </c>
      <c r="O653" s="3">
        <f>IF(N653="","",(N653-AVERAGE(N6:N1198))/(STDEV(N6:N1198)+1E-12))</f>
        <v/>
      </c>
      <c r="P653" s="3">
        <f>IF('3a Raw'!J653="","",MAX(-3,MIN(3,('3a Raw'!J653-$P3)/$P4)))</f>
        <v/>
      </c>
      <c r="Q653" s="3">
        <f>IF(P653="","",(P653-AVERAGE(P6:P1198))/(STDEV(P6:P1198)+1E-12))</f>
        <v/>
      </c>
      <c r="R653" s="3">
        <f>IF('3a Raw'!K653="","",MAX(-3,MIN(3,('3a Raw'!K653-$R3)/$R4)))</f>
        <v/>
      </c>
      <c r="S653" s="3">
        <f>IF(R653="","",(R653-AVERAGE(R6:R1198))/(STDEV(R6:R1198)+1E-12))</f>
        <v/>
      </c>
      <c r="T653" s="3">
        <f>IF('3a Raw'!L653="","",MAX(-3,MIN(3,('3a Raw'!L653-$T3)/$T4)))</f>
        <v/>
      </c>
      <c r="U653" s="3">
        <f>IF(T653="","",(T653-AVERAGE(T6:T1198))/(STDEV(T6:T1198)+1E-12))</f>
        <v/>
      </c>
      <c r="X653" s="3">
        <f>IF(U653="","",U653-($V$3*G653+$W$3))</f>
        <v/>
      </c>
      <c r="Y653" s="3">
        <f>IF(X653="","",MAX(-3,MIN(3,(X653-$X3)/$X4)))</f>
        <v/>
      </c>
      <c r="Z653" s="3">
        <f>IF(Y653="","",(Y653-AVERAGE(Y6:Y1198))/(STDEV(Y6:Y1198)+1E-12))</f>
        <v/>
      </c>
    </row>
    <row r="654">
      <c r="A654" t="inlineStr">
        <is>
          <t>BBG004M9ZHX5</t>
        </is>
      </c>
      <c r="B654" s="3">
        <f>IF('3a Raw'!C654="","",MAX(-3,MIN(3,('3a Raw'!C654-$B3)/$B4)))</f>
        <v/>
      </c>
      <c r="C654" s="3">
        <f>IF(B654="","",(B654-AVERAGE(B6:B1198))/(STDEV(B6:B1198)+1E-12))</f>
        <v/>
      </c>
      <c r="D654" s="3">
        <f>IF('3a Raw'!D654="","",MAX(-3,MIN(3,('3a Raw'!D654-$D3)/$D4)))</f>
        <v/>
      </c>
      <c r="E654" s="3">
        <f>IF(D654="","",(D654-AVERAGE(D6:D1198))/(STDEV(D6:D1198)+1E-12))</f>
        <v/>
      </c>
      <c r="F654" s="3">
        <f>IF('3a Raw'!E654="","",MAX(-3,MIN(3,('3a Raw'!E654-$F3)/$F4)))</f>
        <v/>
      </c>
      <c r="G654" s="3">
        <f>IF(F654="","",(F654-AVERAGE(F6:F1198))/(STDEV(F6:F1198)+1E-12))</f>
        <v/>
      </c>
      <c r="H654" s="3">
        <f>IF('3a Raw'!F654="","",MAX(-3,MIN(3,('3a Raw'!F654-$H3)/$H4)))</f>
        <v/>
      </c>
      <c r="I654" s="3">
        <f>IF(H654="","",(H654-AVERAGE(H6:H1198))/(STDEV(H6:H1198)+1E-12))</f>
        <v/>
      </c>
      <c r="J654" s="3">
        <f>IF('3a Raw'!G654="","",MAX(-3,MIN(3,('3a Raw'!G654-$J3)/$J4)))</f>
        <v/>
      </c>
      <c r="K654" s="3">
        <f>IF(J654="","",(J654-AVERAGE(J6:J1198))/(STDEV(J6:J1198)+1E-12))</f>
        <v/>
      </c>
      <c r="L654" s="3">
        <f>IF('3a Raw'!H654="","",MAX(-3,MIN(3,('3a Raw'!H654-$L3)/$L4)))</f>
        <v/>
      </c>
      <c r="M654" s="3">
        <f>IF(L654="","",(L654-AVERAGE(L6:L1198))/(STDEV(L6:L1198)+1E-12))</f>
        <v/>
      </c>
      <c r="N654" s="3">
        <f>IF('3a Raw'!I654="","",MAX(-3,MIN(3,('3a Raw'!I654-$N3)/$N4)))</f>
        <v/>
      </c>
      <c r="O654" s="3">
        <f>IF(N654="","",(N654-AVERAGE(N6:N1198))/(STDEV(N6:N1198)+1E-12))</f>
        <v/>
      </c>
      <c r="P654" s="3">
        <f>IF('3a Raw'!J654="","",MAX(-3,MIN(3,('3a Raw'!J654-$P3)/$P4)))</f>
        <v/>
      </c>
      <c r="Q654" s="3">
        <f>IF(P654="","",(P654-AVERAGE(P6:P1198))/(STDEV(P6:P1198)+1E-12))</f>
        <v/>
      </c>
      <c r="R654" s="3">
        <f>IF('3a Raw'!K654="","",MAX(-3,MIN(3,('3a Raw'!K654-$R3)/$R4)))</f>
        <v/>
      </c>
      <c r="S654" s="3">
        <f>IF(R654="","",(R654-AVERAGE(R6:R1198))/(STDEV(R6:R1198)+1E-12))</f>
        <v/>
      </c>
      <c r="T654" s="3">
        <f>IF('3a Raw'!L654="","",MAX(-3,MIN(3,('3a Raw'!L654-$T3)/$T4)))</f>
        <v/>
      </c>
      <c r="U654" s="3">
        <f>IF(T654="","",(T654-AVERAGE(T6:T1198))/(STDEV(T6:T1198)+1E-12))</f>
        <v/>
      </c>
      <c r="X654" s="3">
        <f>IF(U654="","",U654-($V$3*G654+$W$3))</f>
        <v/>
      </c>
      <c r="Y654" s="3">
        <f>IF(X654="","",MAX(-3,MIN(3,(X654-$X3)/$X4)))</f>
        <v/>
      </c>
      <c r="Z654" s="3">
        <f>IF(Y654="","",(Y654-AVERAGE(Y6:Y1198))/(STDEV(Y6:Y1198)+1E-12))</f>
        <v/>
      </c>
    </row>
    <row r="655">
      <c r="A655" t="inlineStr">
        <is>
          <t>BBG000FQ7YR4</t>
        </is>
      </c>
      <c r="B655" s="3">
        <f>IF('3a Raw'!C655="","",MAX(-3,MIN(3,('3a Raw'!C655-$B3)/$B4)))</f>
        <v/>
      </c>
      <c r="C655" s="3">
        <f>IF(B655="","",(B655-AVERAGE(B6:B1198))/(STDEV(B6:B1198)+1E-12))</f>
        <v/>
      </c>
      <c r="D655" s="3">
        <f>IF('3a Raw'!D655="","",MAX(-3,MIN(3,('3a Raw'!D655-$D3)/$D4)))</f>
        <v/>
      </c>
      <c r="E655" s="3">
        <f>IF(D655="","",(D655-AVERAGE(D6:D1198))/(STDEV(D6:D1198)+1E-12))</f>
        <v/>
      </c>
      <c r="F655" s="3">
        <f>IF('3a Raw'!E655="","",MAX(-3,MIN(3,('3a Raw'!E655-$F3)/$F4)))</f>
        <v/>
      </c>
      <c r="G655" s="3">
        <f>IF(F655="","",(F655-AVERAGE(F6:F1198))/(STDEV(F6:F1198)+1E-12))</f>
        <v/>
      </c>
      <c r="H655" s="3">
        <f>IF('3a Raw'!F655="","",MAX(-3,MIN(3,('3a Raw'!F655-$H3)/$H4)))</f>
        <v/>
      </c>
      <c r="I655" s="3">
        <f>IF(H655="","",(H655-AVERAGE(H6:H1198))/(STDEV(H6:H1198)+1E-12))</f>
        <v/>
      </c>
      <c r="J655" s="3">
        <f>IF('3a Raw'!G655="","",MAX(-3,MIN(3,('3a Raw'!G655-$J3)/$J4)))</f>
        <v/>
      </c>
      <c r="K655" s="3">
        <f>IF(J655="","",(J655-AVERAGE(J6:J1198))/(STDEV(J6:J1198)+1E-12))</f>
        <v/>
      </c>
      <c r="L655" s="3">
        <f>IF('3a Raw'!H655="","",MAX(-3,MIN(3,('3a Raw'!H655-$L3)/$L4)))</f>
        <v/>
      </c>
      <c r="M655" s="3">
        <f>IF(L655="","",(L655-AVERAGE(L6:L1198))/(STDEV(L6:L1198)+1E-12))</f>
        <v/>
      </c>
      <c r="N655" s="3">
        <f>IF('3a Raw'!I655="","",MAX(-3,MIN(3,('3a Raw'!I655-$N3)/$N4)))</f>
        <v/>
      </c>
      <c r="O655" s="3">
        <f>IF(N655="","",(N655-AVERAGE(N6:N1198))/(STDEV(N6:N1198)+1E-12))</f>
        <v/>
      </c>
      <c r="P655" s="3">
        <f>IF('3a Raw'!J655="","",MAX(-3,MIN(3,('3a Raw'!J655-$P3)/$P4)))</f>
        <v/>
      </c>
      <c r="Q655" s="3">
        <f>IF(P655="","",(P655-AVERAGE(P6:P1198))/(STDEV(P6:P1198)+1E-12))</f>
        <v/>
      </c>
      <c r="R655" s="3">
        <f>IF('3a Raw'!K655="","",MAX(-3,MIN(3,('3a Raw'!K655-$R3)/$R4)))</f>
        <v/>
      </c>
      <c r="S655" s="3">
        <f>IF(R655="","",(R655-AVERAGE(R6:R1198))/(STDEV(R6:R1198)+1E-12))</f>
        <v/>
      </c>
      <c r="T655" s="3">
        <f>IF('3a Raw'!L655="","",MAX(-3,MIN(3,('3a Raw'!L655-$T3)/$T4)))</f>
        <v/>
      </c>
      <c r="U655" s="3">
        <f>IF(T655="","",(T655-AVERAGE(T6:T1198))/(STDEV(T6:T1198)+1E-12))</f>
        <v/>
      </c>
      <c r="X655" s="3">
        <f>IF(U655="","",U655-($V$3*G655+$W$3))</f>
        <v/>
      </c>
      <c r="Y655" s="3">
        <f>IF(X655="","",MAX(-3,MIN(3,(X655-$X3)/$X4)))</f>
        <v/>
      </c>
      <c r="Z655" s="3">
        <f>IF(Y655="","",(Y655-AVERAGE(Y6:Y1198))/(STDEV(Y6:Y1198)+1E-12))</f>
        <v/>
      </c>
    </row>
    <row r="656">
      <c r="A656" t="inlineStr">
        <is>
          <t>BBG000C46HM9</t>
        </is>
      </c>
      <c r="B656" s="3">
        <f>IF('3a Raw'!C656="","",MAX(-3,MIN(3,('3a Raw'!C656-$B3)/$B4)))</f>
        <v/>
      </c>
      <c r="C656" s="3">
        <f>IF(B656="","",(B656-AVERAGE(B6:B1198))/(STDEV(B6:B1198)+1E-12))</f>
        <v/>
      </c>
      <c r="D656" s="3">
        <f>IF('3a Raw'!D656="","",MAX(-3,MIN(3,('3a Raw'!D656-$D3)/$D4)))</f>
        <v/>
      </c>
      <c r="E656" s="3">
        <f>IF(D656="","",(D656-AVERAGE(D6:D1198))/(STDEV(D6:D1198)+1E-12))</f>
        <v/>
      </c>
      <c r="F656" s="3">
        <f>IF('3a Raw'!E656="","",MAX(-3,MIN(3,('3a Raw'!E656-$F3)/$F4)))</f>
        <v/>
      </c>
      <c r="G656" s="3">
        <f>IF(F656="","",(F656-AVERAGE(F6:F1198))/(STDEV(F6:F1198)+1E-12))</f>
        <v/>
      </c>
      <c r="H656" s="3">
        <f>IF('3a Raw'!F656="","",MAX(-3,MIN(3,('3a Raw'!F656-$H3)/$H4)))</f>
        <v/>
      </c>
      <c r="I656" s="3">
        <f>IF(H656="","",(H656-AVERAGE(H6:H1198))/(STDEV(H6:H1198)+1E-12))</f>
        <v/>
      </c>
      <c r="J656" s="3">
        <f>IF('3a Raw'!G656="","",MAX(-3,MIN(3,('3a Raw'!G656-$J3)/$J4)))</f>
        <v/>
      </c>
      <c r="K656" s="3">
        <f>IF(J656="","",(J656-AVERAGE(J6:J1198))/(STDEV(J6:J1198)+1E-12))</f>
        <v/>
      </c>
      <c r="L656" s="3">
        <f>IF('3a Raw'!H656="","",MAX(-3,MIN(3,('3a Raw'!H656-$L3)/$L4)))</f>
        <v/>
      </c>
      <c r="M656" s="3">
        <f>IF(L656="","",(L656-AVERAGE(L6:L1198))/(STDEV(L6:L1198)+1E-12))</f>
        <v/>
      </c>
      <c r="N656" s="3">
        <f>IF('3a Raw'!I656="","",MAX(-3,MIN(3,('3a Raw'!I656-$N3)/$N4)))</f>
        <v/>
      </c>
      <c r="O656" s="3">
        <f>IF(N656="","",(N656-AVERAGE(N6:N1198))/(STDEV(N6:N1198)+1E-12))</f>
        <v/>
      </c>
      <c r="P656" s="3">
        <f>IF('3a Raw'!J656="","",MAX(-3,MIN(3,('3a Raw'!J656-$P3)/$P4)))</f>
        <v/>
      </c>
      <c r="Q656" s="3">
        <f>IF(P656="","",(P656-AVERAGE(P6:P1198))/(STDEV(P6:P1198)+1E-12))</f>
        <v/>
      </c>
      <c r="R656" s="3">
        <f>IF('3a Raw'!K656="","",MAX(-3,MIN(3,('3a Raw'!K656-$R3)/$R4)))</f>
        <v/>
      </c>
      <c r="S656" s="3">
        <f>IF(R656="","",(R656-AVERAGE(R6:R1198))/(STDEV(R6:R1198)+1E-12))</f>
        <v/>
      </c>
      <c r="T656" s="3">
        <f>IF('3a Raw'!L656="","",MAX(-3,MIN(3,('3a Raw'!L656-$T3)/$T4)))</f>
        <v/>
      </c>
      <c r="U656" s="3">
        <f>IF(T656="","",(T656-AVERAGE(T6:T1198))/(STDEV(T6:T1198)+1E-12))</f>
        <v/>
      </c>
      <c r="X656" s="3">
        <f>IF(U656="","",U656-($V$3*G656+$W$3))</f>
        <v/>
      </c>
      <c r="Y656" s="3">
        <f>IF(X656="","",MAX(-3,MIN(3,(X656-$X3)/$X4)))</f>
        <v/>
      </c>
      <c r="Z656" s="3">
        <f>IF(Y656="","",(Y656-AVERAGE(Y6:Y1198))/(STDEV(Y6:Y1198)+1E-12))</f>
        <v/>
      </c>
    </row>
    <row r="657">
      <c r="A657" t="inlineStr">
        <is>
          <t>BBG000F1ZSQ2</t>
        </is>
      </c>
      <c r="B657" s="3">
        <f>IF('3a Raw'!C657="","",MAX(-3,MIN(3,('3a Raw'!C657-$B3)/$B4)))</f>
        <v/>
      </c>
      <c r="C657" s="3">
        <f>IF(B657="","",(B657-AVERAGE(B6:B1198))/(STDEV(B6:B1198)+1E-12))</f>
        <v/>
      </c>
      <c r="D657" s="3">
        <f>IF('3a Raw'!D657="","",MAX(-3,MIN(3,('3a Raw'!D657-$D3)/$D4)))</f>
        <v/>
      </c>
      <c r="E657" s="3">
        <f>IF(D657="","",(D657-AVERAGE(D6:D1198))/(STDEV(D6:D1198)+1E-12))</f>
        <v/>
      </c>
      <c r="F657" s="3">
        <f>IF('3a Raw'!E657="","",MAX(-3,MIN(3,('3a Raw'!E657-$F3)/$F4)))</f>
        <v/>
      </c>
      <c r="G657" s="3">
        <f>IF(F657="","",(F657-AVERAGE(F6:F1198))/(STDEV(F6:F1198)+1E-12))</f>
        <v/>
      </c>
      <c r="H657" s="3">
        <f>IF('3a Raw'!F657="","",MAX(-3,MIN(3,('3a Raw'!F657-$H3)/$H4)))</f>
        <v/>
      </c>
      <c r="I657" s="3">
        <f>IF(H657="","",(H657-AVERAGE(H6:H1198))/(STDEV(H6:H1198)+1E-12))</f>
        <v/>
      </c>
      <c r="J657" s="3">
        <f>IF('3a Raw'!G657="","",MAX(-3,MIN(3,('3a Raw'!G657-$J3)/$J4)))</f>
        <v/>
      </c>
      <c r="K657" s="3">
        <f>IF(J657="","",(J657-AVERAGE(J6:J1198))/(STDEV(J6:J1198)+1E-12))</f>
        <v/>
      </c>
      <c r="L657" s="3">
        <f>IF('3a Raw'!H657="","",MAX(-3,MIN(3,('3a Raw'!H657-$L3)/$L4)))</f>
        <v/>
      </c>
      <c r="M657" s="3">
        <f>IF(L657="","",(L657-AVERAGE(L6:L1198))/(STDEV(L6:L1198)+1E-12))</f>
        <v/>
      </c>
      <c r="N657" s="3">
        <f>IF('3a Raw'!I657="","",MAX(-3,MIN(3,('3a Raw'!I657-$N3)/$N4)))</f>
        <v/>
      </c>
      <c r="O657" s="3">
        <f>IF(N657="","",(N657-AVERAGE(N6:N1198))/(STDEV(N6:N1198)+1E-12))</f>
        <v/>
      </c>
      <c r="P657" s="3">
        <f>IF('3a Raw'!J657="","",MAX(-3,MIN(3,('3a Raw'!J657-$P3)/$P4)))</f>
        <v/>
      </c>
      <c r="Q657" s="3">
        <f>IF(P657="","",(P657-AVERAGE(P6:P1198))/(STDEV(P6:P1198)+1E-12))</f>
        <v/>
      </c>
      <c r="R657" s="3">
        <f>IF('3a Raw'!K657="","",MAX(-3,MIN(3,('3a Raw'!K657-$R3)/$R4)))</f>
        <v/>
      </c>
      <c r="S657" s="3">
        <f>IF(R657="","",(R657-AVERAGE(R6:R1198))/(STDEV(R6:R1198)+1E-12))</f>
        <v/>
      </c>
      <c r="T657" s="3">
        <f>IF('3a Raw'!L657="","",MAX(-3,MIN(3,('3a Raw'!L657-$T3)/$T4)))</f>
        <v/>
      </c>
      <c r="U657" s="3">
        <f>IF(T657="","",(T657-AVERAGE(T6:T1198))/(STDEV(T6:T1198)+1E-12))</f>
        <v/>
      </c>
      <c r="X657" s="3">
        <f>IF(U657="","",U657-($V$3*G657+$W$3))</f>
        <v/>
      </c>
      <c r="Y657" s="3">
        <f>IF(X657="","",MAX(-3,MIN(3,(X657-$X3)/$X4)))</f>
        <v/>
      </c>
      <c r="Z657" s="3">
        <f>IF(Y657="","",(Y657-AVERAGE(Y6:Y1198))/(STDEV(Y6:Y1198)+1E-12))</f>
        <v/>
      </c>
    </row>
    <row r="658">
      <c r="A658" t="inlineStr">
        <is>
          <t>BBG000BLMY92</t>
        </is>
      </c>
      <c r="B658" s="3">
        <f>IF('3a Raw'!C658="","",MAX(-3,MIN(3,('3a Raw'!C658-$B3)/$B4)))</f>
        <v/>
      </c>
      <c r="C658" s="3">
        <f>IF(B658="","",(B658-AVERAGE(B6:B1198))/(STDEV(B6:B1198)+1E-12))</f>
        <v/>
      </c>
      <c r="D658" s="3">
        <f>IF('3a Raw'!D658="","",MAX(-3,MIN(3,('3a Raw'!D658-$D3)/$D4)))</f>
        <v/>
      </c>
      <c r="E658" s="3">
        <f>IF(D658="","",(D658-AVERAGE(D6:D1198))/(STDEV(D6:D1198)+1E-12))</f>
        <v/>
      </c>
      <c r="F658" s="3">
        <f>IF('3a Raw'!E658="","",MAX(-3,MIN(3,('3a Raw'!E658-$F3)/$F4)))</f>
        <v/>
      </c>
      <c r="G658" s="3">
        <f>IF(F658="","",(F658-AVERAGE(F6:F1198))/(STDEV(F6:F1198)+1E-12))</f>
        <v/>
      </c>
      <c r="H658" s="3">
        <f>IF('3a Raw'!F658="","",MAX(-3,MIN(3,('3a Raw'!F658-$H3)/$H4)))</f>
        <v/>
      </c>
      <c r="I658" s="3">
        <f>IF(H658="","",(H658-AVERAGE(H6:H1198))/(STDEV(H6:H1198)+1E-12))</f>
        <v/>
      </c>
      <c r="J658" s="3">
        <f>IF('3a Raw'!G658="","",MAX(-3,MIN(3,('3a Raw'!G658-$J3)/$J4)))</f>
        <v/>
      </c>
      <c r="K658" s="3">
        <f>IF(J658="","",(J658-AVERAGE(J6:J1198))/(STDEV(J6:J1198)+1E-12))</f>
        <v/>
      </c>
      <c r="L658" s="3">
        <f>IF('3a Raw'!H658="","",MAX(-3,MIN(3,('3a Raw'!H658-$L3)/$L4)))</f>
        <v/>
      </c>
      <c r="M658" s="3">
        <f>IF(L658="","",(L658-AVERAGE(L6:L1198))/(STDEV(L6:L1198)+1E-12))</f>
        <v/>
      </c>
      <c r="N658" s="3">
        <f>IF('3a Raw'!I658="","",MAX(-3,MIN(3,('3a Raw'!I658-$N3)/$N4)))</f>
        <v/>
      </c>
      <c r="O658" s="3">
        <f>IF(N658="","",(N658-AVERAGE(N6:N1198))/(STDEV(N6:N1198)+1E-12))</f>
        <v/>
      </c>
      <c r="P658" s="3">
        <f>IF('3a Raw'!J658="","",MAX(-3,MIN(3,('3a Raw'!J658-$P3)/$P4)))</f>
        <v/>
      </c>
      <c r="Q658" s="3">
        <f>IF(P658="","",(P658-AVERAGE(P6:P1198))/(STDEV(P6:P1198)+1E-12))</f>
        <v/>
      </c>
      <c r="R658" s="3">
        <f>IF('3a Raw'!K658="","",MAX(-3,MIN(3,('3a Raw'!K658-$R3)/$R4)))</f>
        <v/>
      </c>
      <c r="S658" s="3">
        <f>IF(R658="","",(R658-AVERAGE(R6:R1198))/(STDEV(R6:R1198)+1E-12))</f>
        <v/>
      </c>
      <c r="T658" s="3">
        <f>IF('3a Raw'!L658="","",MAX(-3,MIN(3,('3a Raw'!L658-$T3)/$T4)))</f>
        <v/>
      </c>
      <c r="U658" s="3">
        <f>IF(T658="","",(T658-AVERAGE(T6:T1198))/(STDEV(T6:T1198)+1E-12))</f>
        <v/>
      </c>
      <c r="X658" s="3">
        <f>IF(U658="","",U658-($V$3*G658+$W$3))</f>
        <v/>
      </c>
      <c r="Y658" s="3">
        <f>IF(X658="","",MAX(-3,MIN(3,(X658-$X3)/$X4)))</f>
        <v/>
      </c>
      <c r="Z658" s="3">
        <f>IF(Y658="","",(Y658-AVERAGE(Y6:Y1198))/(STDEV(Y6:Y1198)+1E-12))</f>
        <v/>
      </c>
    </row>
    <row r="659">
      <c r="A659" t="inlineStr">
        <is>
          <t>BBG000BKFNX9</t>
        </is>
      </c>
      <c r="B659" s="3">
        <f>IF('3a Raw'!C659="","",MAX(-3,MIN(3,('3a Raw'!C659-$B3)/$B4)))</f>
        <v/>
      </c>
      <c r="C659" s="3">
        <f>IF(B659="","",(B659-AVERAGE(B6:B1198))/(STDEV(B6:B1198)+1E-12))</f>
        <v/>
      </c>
      <c r="D659" s="3">
        <f>IF('3a Raw'!D659="","",MAX(-3,MIN(3,('3a Raw'!D659-$D3)/$D4)))</f>
        <v/>
      </c>
      <c r="E659" s="3">
        <f>IF(D659="","",(D659-AVERAGE(D6:D1198))/(STDEV(D6:D1198)+1E-12))</f>
        <v/>
      </c>
      <c r="F659" s="3">
        <f>IF('3a Raw'!E659="","",MAX(-3,MIN(3,('3a Raw'!E659-$F3)/$F4)))</f>
        <v/>
      </c>
      <c r="G659" s="3">
        <f>IF(F659="","",(F659-AVERAGE(F6:F1198))/(STDEV(F6:F1198)+1E-12))</f>
        <v/>
      </c>
      <c r="H659" s="3">
        <f>IF('3a Raw'!F659="","",MAX(-3,MIN(3,('3a Raw'!F659-$H3)/$H4)))</f>
        <v/>
      </c>
      <c r="I659" s="3">
        <f>IF(H659="","",(H659-AVERAGE(H6:H1198))/(STDEV(H6:H1198)+1E-12))</f>
        <v/>
      </c>
      <c r="J659" s="3">
        <f>IF('3a Raw'!G659="","",MAX(-3,MIN(3,('3a Raw'!G659-$J3)/$J4)))</f>
        <v/>
      </c>
      <c r="K659" s="3">
        <f>IF(J659="","",(J659-AVERAGE(J6:J1198))/(STDEV(J6:J1198)+1E-12))</f>
        <v/>
      </c>
      <c r="L659" s="3">
        <f>IF('3a Raw'!H659="","",MAX(-3,MIN(3,('3a Raw'!H659-$L3)/$L4)))</f>
        <v/>
      </c>
      <c r="M659" s="3">
        <f>IF(L659="","",(L659-AVERAGE(L6:L1198))/(STDEV(L6:L1198)+1E-12))</f>
        <v/>
      </c>
      <c r="N659" s="3">
        <f>IF('3a Raw'!I659="","",MAX(-3,MIN(3,('3a Raw'!I659-$N3)/$N4)))</f>
        <v/>
      </c>
      <c r="O659" s="3">
        <f>IF(N659="","",(N659-AVERAGE(N6:N1198))/(STDEV(N6:N1198)+1E-12))</f>
        <v/>
      </c>
      <c r="P659" s="3">
        <f>IF('3a Raw'!J659="","",MAX(-3,MIN(3,('3a Raw'!J659-$P3)/$P4)))</f>
        <v/>
      </c>
      <c r="Q659" s="3">
        <f>IF(P659="","",(P659-AVERAGE(P6:P1198))/(STDEV(P6:P1198)+1E-12))</f>
        <v/>
      </c>
      <c r="R659" s="3">
        <f>IF('3a Raw'!K659="","",MAX(-3,MIN(3,('3a Raw'!K659-$R3)/$R4)))</f>
        <v/>
      </c>
      <c r="S659" s="3">
        <f>IF(R659="","",(R659-AVERAGE(R6:R1198))/(STDEV(R6:R1198)+1E-12))</f>
        <v/>
      </c>
      <c r="T659" s="3">
        <f>IF('3a Raw'!L659="","",MAX(-3,MIN(3,('3a Raw'!L659-$T3)/$T4)))</f>
        <v/>
      </c>
      <c r="U659" s="3">
        <f>IF(T659="","",(T659-AVERAGE(T6:T1198))/(STDEV(T6:T1198)+1E-12))</f>
        <v/>
      </c>
      <c r="X659" s="3">
        <f>IF(U659="","",U659-($V$3*G659+$W$3))</f>
        <v/>
      </c>
      <c r="Y659" s="3">
        <f>IF(X659="","",MAX(-3,MIN(3,(X659-$X3)/$X4)))</f>
        <v/>
      </c>
      <c r="Z659" s="3">
        <f>IF(Y659="","",(Y659-AVERAGE(Y6:Y1198))/(STDEV(Y6:Y1198)+1E-12))</f>
        <v/>
      </c>
    </row>
    <row r="660">
      <c r="A660" t="inlineStr">
        <is>
          <t>BBG000BXT422</t>
        </is>
      </c>
      <c r="B660" s="3">
        <f>IF('3a Raw'!C660="","",MAX(-3,MIN(3,('3a Raw'!C660-$B3)/$B4)))</f>
        <v/>
      </c>
      <c r="C660" s="3">
        <f>IF(B660="","",(B660-AVERAGE(B6:B1198))/(STDEV(B6:B1198)+1E-12))</f>
        <v/>
      </c>
      <c r="D660" s="3">
        <f>IF('3a Raw'!D660="","",MAX(-3,MIN(3,('3a Raw'!D660-$D3)/$D4)))</f>
        <v/>
      </c>
      <c r="E660" s="3">
        <f>IF(D660="","",(D660-AVERAGE(D6:D1198))/(STDEV(D6:D1198)+1E-12))</f>
        <v/>
      </c>
      <c r="F660" s="3">
        <f>IF('3a Raw'!E660="","",MAX(-3,MIN(3,('3a Raw'!E660-$F3)/$F4)))</f>
        <v/>
      </c>
      <c r="G660" s="3">
        <f>IF(F660="","",(F660-AVERAGE(F6:F1198))/(STDEV(F6:F1198)+1E-12))</f>
        <v/>
      </c>
      <c r="H660" s="3">
        <f>IF('3a Raw'!F660="","",MAX(-3,MIN(3,('3a Raw'!F660-$H3)/$H4)))</f>
        <v/>
      </c>
      <c r="I660" s="3">
        <f>IF(H660="","",(H660-AVERAGE(H6:H1198))/(STDEV(H6:H1198)+1E-12))</f>
        <v/>
      </c>
      <c r="J660" s="3">
        <f>IF('3a Raw'!G660="","",MAX(-3,MIN(3,('3a Raw'!G660-$J3)/$J4)))</f>
        <v/>
      </c>
      <c r="K660" s="3">
        <f>IF(J660="","",(J660-AVERAGE(J6:J1198))/(STDEV(J6:J1198)+1E-12))</f>
        <v/>
      </c>
      <c r="L660" s="3">
        <f>IF('3a Raw'!H660="","",MAX(-3,MIN(3,('3a Raw'!H660-$L3)/$L4)))</f>
        <v/>
      </c>
      <c r="M660" s="3">
        <f>IF(L660="","",(L660-AVERAGE(L6:L1198))/(STDEV(L6:L1198)+1E-12))</f>
        <v/>
      </c>
      <c r="N660" s="3">
        <f>IF('3a Raw'!I660="","",MAX(-3,MIN(3,('3a Raw'!I660-$N3)/$N4)))</f>
        <v/>
      </c>
      <c r="O660" s="3">
        <f>IF(N660="","",(N660-AVERAGE(N6:N1198))/(STDEV(N6:N1198)+1E-12))</f>
        <v/>
      </c>
      <c r="P660" s="3">
        <f>IF('3a Raw'!J660="","",MAX(-3,MIN(3,('3a Raw'!J660-$P3)/$P4)))</f>
        <v/>
      </c>
      <c r="Q660" s="3">
        <f>IF(P660="","",(P660-AVERAGE(P6:P1198))/(STDEV(P6:P1198)+1E-12))</f>
        <v/>
      </c>
      <c r="R660" s="3">
        <f>IF('3a Raw'!K660="","",MAX(-3,MIN(3,('3a Raw'!K660-$R3)/$R4)))</f>
        <v/>
      </c>
      <c r="S660" s="3">
        <f>IF(R660="","",(R660-AVERAGE(R6:R1198))/(STDEV(R6:R1198)+1E-12))</f>
        <v/>
      </c>
      <c r="T660" s="3">
        <f>IF('3a Raw'!L660="","",MAX(-3,MIN(3,('3a Raw'!L660-$T3)/$T4)))</f>
        <v/>
      </c>
      <c r="U660" s="3">
        <f>IF(T660="","",(T660-AVERAGE(T6:T1198))/(STDEV(T6:T1198)+1E-12))</f>
        <v/>
      </c>
      <c r="X660" s="3">
        <f>IF(U660="","",U660-($V$3*G660+$W$3))</f>
        <v/>
      </c>
      <c r="Y660" s="3">
        <f>IF(X660="","",MAX(-3,MIN(3,(X660-$X3)/$X4)))</f>
        <v/>
      </c>
      <c r="Z660" s="3">
        <f>IF(Y660="","",(Y660-AVERAGE(Y6:Y1198))/(STDEV(Y6:Y1198)+1E-12))</f>
        <v/>
      </c>
    </row>
    <row r="661">
      <c r="A661" t="inlineStr">
        <is>
          <t>BBG000BFV758</t>
        </is>
      </c>
      <c r="B661" s="3">
        <f>IF('3a Raw'!C661="","",MAX(-3,MIN(3,('3a Raw'!C661-$B3)/$B4)))</f>
        <v/>
      </c>
      <c r="C661" s="3">
        <f>IF(B661="","",(B661-AVERAGE(B6:B1198))/(STDEV(B6:B1198)+1E-12))</f>
        <v/>
      </c>
      <c r="D661" s="3">
        <f>IF('3a Raw'!D661="","",MAX(-3,MIN(3,('3a Raw'!D661-$D3)/$D4)))</f>
        <v/>
      </c>
      <c r="E661" s="3">
        <f>IF(D661="","",(D661-AVERAGE(D6:D1198))/(STDEV(D6:D1198)+1E-12))</f>
        <v/>
      </c>
      <c r="F661" s="3">
        <f>IF('3a Raw'!E661="","",MAX(-3,MIN(3,('3a Raw'!E661-$F3)/$F4)))</f>
        <v/>
      </c>
      <c r="G661" s="3">
        <f>IF(F661="","",(F661-AVERAGE(F6:F1198))/(STDEV(F6:F1198)+1E-12))</f>
        <v/>
      </c>
      <c r="H661" s="3">
        <f>IF('3a Raw'!F661="","",MAX(-3,MIN(3,('3a Raw'!F661-$H3)/$H4)))</f>
        <v/>
      </c>
      <c r="I661" s="3">
        <f>IF(H661="","",(H661-AVERAGE(H6:H1198))/(STDEV(H6:H1198)+1E-12))</f>
        <v/>
      </c>
      <c r="J661" s="3">
        <f>IF('3a Raw'!G661="","",MAX(-3,MIN(3,('3a Raw'!G661-$J3)/$J4)))</f>
        <v/>
      </c>
      <c r="K661" s="3">
        <f>IF(J661="","",(J661-AVERAGE(J6:J1198))/(STDEV(J6:J1198)+1E-12))</f>
        <v/>
      </c>
      <c r="L661" s="3">
        <f>IF('3a Raw'!H661="","",MAX(-3,MIN(3,('3a Raw'!H661-$L3)/$L4)))</f>
        <v/>
      </c>
      <c r="M661" s="3">
        <f>IF(L661="","",(L661-AVERAGE(L6:L1198))/(STDEV(L6:L1198)+1E-12))</f>
        <v/>
      </c>
      <c r="N661" s="3">
        <f>IF('3a Raw'!I661="","",MAX(-3,MIN(3,('3a Raw'!I661-$N3)/$N4)))</f>
        <v/>
      </c>
      <c r="O661" s="3">
        <f>IF(N661="","",(N661-AVERAGE(N6:N1198))/(STDEV(N6:N1198)+1E-12))</f>
        <v/>
      </c>
      <c r="P661" s="3">
        <f>IF('3a Raw'!J661="","",MAX(-3,MIN(3,('3a Raw'!J661-$P3)/$P4)))</f>
        <v/>
      </c>
      <c r="Q661" s="3">
        <f>IF(P661="","",(P661-AVERAGE(P6:P1198))/(STDEV(P6:P1198)+1E-12))</f>
        <v/>
      </c>
      <c r="R661" s="3">
        <f>IF('3a Raw'!K661="","",MAX(-3,MIN(3,('3a Raw'!K661-$R3)/$R4)))</f>
        <v/>
      </c>
      <c r="S661" s="3">
        <f>IF(R661="","",(R661-AVERAGE(R6:R1198))/(STDEV(R6:R1198)+1E-12))</f>
        <v/>
      </c>
      <c r="T661" s="3">
        <f>IF('3a Raw'!L661="","",MAX(-3,MIN(3,('3a Raw'!L661-$T3)/$T4)))</f>
        <v/>
      </c>
      <c r="U661" s="3">
        <f>IF(T661="","",(T661-AVERAGE(T6:T1198))/(STDEV(T6:T1198)+1E-12))</f>
        <v/>
      </c>
      <c r="X661" s="3">
        <f>IF(U661="","",U661-($V$3*G661+$W$3))</f>
        <v/>
      </c>
      <c r="Y661" s="3">
        <f>IF(X661="","",MAX(-3,MIN(3,(X661-$X3)/$X4)))</f>
        <v/>
      </c>
      <c r="Z661" s="3">
        <f>IF(Y661="","",(Y661-AVERAGE(Y6:Y1198))/(STDEV(Y6:Y1198)+1E-12))</f>
        <v/>
      </c>
    </row>
    <row r="662">
      <c r="A662" t="inlineStr">
        <is>
          <t>BBG000BGD7W6</t>
        </is>
      </c>
      <c r="B662" s="3">
        <f>IF('3a Raw'!C662="","",MAX(-3,MIN(3,('3a Raw'!C662-$B3)/$B4)))</f>
        <v/>
      </c>
      <c r="C662" s="3">
        <f>IF(B662="","",(B662-AVERAGE(B6:B1198))/(STDEV(B6:B1198)+1E-12))</f>
        <v/>
      </c>
      <c r="D662" s="3">
        <f>IF('3a Raw'!D662="","",MAX(-3,MIN(3,('3a Raw'!D662-$D3)/$D4)))</f>
        <v/>
      </c>
      <c r="E662" s="3">
        <f>IF(D662="","",(D662-AVERAGE(D6:D1198))/(STDEV(D6:D1198)+1E-12))</f>
        <v/>
      </c>
      <c r="F662" s="3">
        <f>IF('3a Raw'!E662="","",MAX(-3,MIN(3,('3a Raw'!E662-$F3)/$F4)))</f>
        <v/>
      </c>
      <c r="G662" s="3">
        <f>IF(F662="","",(F662-AVERAGE(F6:F1198))/(STDEV(F6:F1198)+1E-12))</f>
        <v/>
      </c>
      <c r="H662" s="3">
        <f>IF('3a Raw'!F662="","",MAX(-3,MIN(3,('3a Raw'!F662-$H3)/$H4)))</f>
        <v/>
      </c>
      <c r="I662" s="3">
        <f>IF(H662="","",(H662-AVERAGE(H6:H1198))/(STDEV(H6:H1198)+1E-12))</f>
        <v/>
      </c>
      <c r="J662" s="3">
        <f>IF('3a Raw'!G662="","",MAX(-3,MIN(3,('3a Raw'!G662-$J3)/$J4)))</f>
        <v/>
      </c>
      <c r="K662" s="3">
        <f>IF(J662="","",(J662-AVERAGE(J6:J1198))/(STDEV(J6:J1198)+1E-12))</f>
        <v/>
      </c>
      <c r="L662" s="3">
        <f>IF('3a Raw'!H662="","",MAX(-3,MIN(3,('3a Raw'!H662-$L3)/$L4)))</f>
        <v/>
      </c>
      <c r="M662" s="3">
        <f>IF(L662="","",(L662-AVERAGE(L6:L1198))/(STDEV(L6:L1198)+1E-12))</f>
        <v/>
      </c>
      <c r="N662" s="3">
        <f>IF('3a Raw'!I662="","",MAX(-3,MIN(3,('3a Raw'!I662-$N3)/$N4)))</f>
        <v/>
      </c>
      <c r="O662" s="3">
        <f>IF(N662="","",(N662-AVERAGE(N6:N1198))/(STDEV(N6:N1198)+1E-12))</f>
        <v/>
      </c>
      <c r="P662" s="3">
        <f>IF('3a Raw'!J662="","",MAX(-3,MIN(3,('3a Raw'!J662-$P3)/$P4)))</f>
        <v/>
      </c>
      <c r="Q662" s="3">
        <f>IF(P662="","",(P662-AVERAGE(P6:P1198))/(STDEV(P6:P1198)+1E-12))</f>
        <v/>
      </c>
      <c r="R662" s="3">
        <f>IF('3a Raw'!K662="","",MAX(-3,MIN(3,('3a Raw'!K662-$R3)/$R4)))</f>
        <v/>
      </c>
      <c r="S662" s="3">
        <f>IF(R662="","",(R662-AVERAGE(R6:R1198))/(STDEV(R6:R1198)+1E-12))</f>
        <v/>
      </c>
      <c r="T662" s="3">
        <f>IF('3a Raw'!L662="","",MAX(-3,MIN(3,('3a Raw'!L662-$T3)/$T4)))</f>
        <v/>
      </c>
      <c r="U662" s="3">
        <f>IF(T662="","",(T662-AVERAGE(T6:T1198))/(STDEV(T6:T1198)+1E-12))</f>
        <v/>
      </c>
      <c r="X662" s="3">
        <f>IF(U662="","",U662-($V$3*G662+$W$3))</f>
        <v/>
      </c>
      <c r="Y662" s="3">
        <f>IF(X662="","",MAX(-3,MIN(3,(X662-$X3)/$X4)))</f>
        <v/>
      </c>
      <c r="Z662" s="3">
        <f>IF(Y662="","",(Y662-AVERAGE(Y6:Y1198))/(STDEV(Y6:Y1198)+1E-12))</f>
        <v/>
      </c>
    </row>
    <row r="663">
      <c r="A663" t="inlineStr">
        <is>
          <t>mas</t>
        </is>
      </c>
      <c r="B663" s="3">
        <f>IF('3a Raw'!C663="","",MAX(-3,MIN(3,('3a Raw'!C663-$B3)/$B4)))</f>
        <v/>
      </c>
      <c r="C663" s="3">
        <f>IF(B663="","",(B663-AVERAGE(B6:B1198))/(STDEV(B6:B1198)+1E-12))</f>
        <v/>
      </c>
      <c r="D663" s="3">
        <f>IF('3a Raw'!D663="","",MAX(-3,MIN(3,('3a Raw'!D663-$D3)/$D4)))</f>
        <v/>
      </c>
      <c r="E663" s="3">
        <f>IF(D663="","",(D663-AVERAGE(D6:D1198))/(STDEV(D6:D1198)+1E-12))</f>
        <v/>
      </c>
      <c r="F663" s="3">
        <f>IF('3a Raw'!E663="","",MAX(-3,MIN(3,('3a Raw'!E663-$F3)/$F4)))</f>
        <v/>
      </c>
      <c r="G663" s="3">
        <f>IF(F663="","",(F663-AVERAGE(F6:F1198))/(STDEV(F6:F1198)+1E-12))</f>
        <v/>
      </c>
      <c r="H663" s="3">
        <f>IF('3a Raw'!F663="","",MAX(-3,MIN(3,('3a Raw'!F663-$H3)/$H4)))</f>
        <v/>
      </c>
      <c r="I663" s="3">
        <f>IF(H663="","",(H663-AVERAGE(H6:H1198))/(STDEV(H6:H1198)+1E-12))</f>
        <v/>
      </c>
      <c r="J663" s="3">
        <f>IF('3a Raw'!G663="","",MAX(-3,MIN(3,('3a Raw'!G663-$J3)/$J4)))</f>
        <v/>
      </c>
      <c r="K663" s="3">
        <f>IF(J663="","",(J663-AVERAGE(J6:J1198))/(STDEV(J6:J1198)+1E-12))</f>
        <v/>
      </c>
      <c r="L663" s="3">
        <f>IF('3a Raw'!H663="","",MAX(-3,MIN(3,('3a Raw'!H663-$L3)/$L4)))</f>
        <v/>
      </c>
      <c r="M663" s="3">
        <f>IF(L663="","",(L663-AVERAGE(L6:L1198))/(STDEV(L6:L1198)+1E-12))</f>
        <v/>
      </c>
      <c r="N663" s="3">
        <f>IF('3a Raw'!I663="","",MAX(-3,MIN(3,('3a Raw'!I663-$N3)/$N4)))</f>
        <v/>
      </c>
      <c r="O663" s="3">
        <f>IF(N663="","",(N663-AVERAGE(N6:N1198))/(STDEV(N6:N1198)+1E-12))</f>
        <v/>
      </c>
      <c r="P663" s="3">
        <f>IF('3a Raw'!J663="","",MAX(-3,MIN(3,('3a Raw'!J663-$P3)/$P4)))</f>
        <v/>
      </c>
      <c r="Q663" s="3">
        <f>IF(P663="","",(P663-AVERAGE(P6:P1198))/(STDEV(P6:P1198)+1E-12))</f>
        <v/>
      </c>
      <c r="R663" s="3">
        <f>IF('3a Raw'!K663="","",MAX(-3,MIN(3,('3a Raw'!K663-$R3)/$R4)))</f>
        <v/>
      </c>
      <c r="S663" s="3">
        <f>IF(R663="","",(R663-AVERAGE(R6:R1198))/(STDEV(R6:R1198)+1E-12))</f>
        <v/>
      </c>
      <c r="T663" s="3">
        <f>IF('3a Raw'!L663="","",MAX(-3,MIN(3,('3a Raw'!L663-$T3)/$T4)))</f>
        <v/>
      </c>
      <c r="U663" s="3">
        <f>IF(T663="","",(T663-AVERAGE(T6:T1198))/(STDEV(T6:T1198)+1E-12))</f>
        <v/>
      </c>
      <c r="X663" s="3">
        <f>IF(U663="","",U663-($V$3*G663+$W$3))</f>
        <v/>
      </c>
      <c r="Y663" s="3">
        <f>IF(X663="","",MAX(-3,MIN(3,(X663-$X3)/$X4)))</f>
        <v/>
      </c>
      <c r="Z663" s="3">
        <f>IF(Y663="","",(Y663-AVERAGE(Y6:Y1198))/(STDEV(Y6:Y1198)+1E-12))</f>
        <v/>
      </c>
    </row>
    <row r="664">
      <c r="A664" t="inlineStr">
        <is>
          <t>BBG000BNNYW1</t>
        </is>
      </c>
      <c r="B664" s="3">
        <f>IF('3a Raw'!C664="","",MAX(-3,MIN(3,('3a Raw'!C664-$B3)/$B4)))</f>
        <v/>
      </c>
      <c r="C664" s="3">
        <f>IF(B664="","",(B664-AVERAGE(B6:B1198))/(STDEV(B6:B1198)+1E-12))</f>
        <v/>
      </c>
      <c r="D664" s="3">
        <f>IF('3a Raw'!D664="","",MAX(-3,MIN(3,('3a Raw'!D664-$D3)/$D4)))</f>
        <v/>
      </c>
      <c r="E664" s="3">
        <f>IF(D664="","",(D664-AVERAGE(D6:D1198))/(STDEV(D6:D1198)+1E-12))</f>
        <v/>
      </c>
      <c r="F664" s="3">
        <f>IF('3a Raw'!E664="","",MAX(-3,MIN(3,('3a Raw'!E664-$F3)/$F4)))</f>
        <v/>
      </c>
      <c r="G664" s="3">
        <f>IF(F664="","",(F664-AVERAGE(F6:F1198))/(STDEV(F6:F1198)+1E-12))</f>
        <v/>
      </c>
      <c r="H664" s="3">
        <f>IF('3a Raw'!F664="","",MAX(-3,MIN(3,('3a Raw'!F664-$H3)/$H4)))</f>
        <v/>
      </c>
      <c r="I664" s="3">
        <f>IF(H664="","",(H664-AVERAGE(H6:H1198))/(STDEV(H6:H1198)+1E-12))</f>
        <v/>
      </c>
      <c r="J664" s="3">
        <f>IF('3a Raw'!G664="","",MAX(-3,MIN(3,('3a Raw'!G664-$J3)/$J4)))</f>
        <v/>
      </c>
      <c r="K664" s="3">
        <f>IF(J664="","",(J664-AVERAGE(J6:J1198))/(STDEV(J6:J1198)+1E-12))</f>
        <v/>
      </c>
      <c r="L664" s="3">
        <f>IF('3a Raw'!H664="","",MAX(-3,MIN(3,('3a Raw'!H664-$L3)/$L4)))</f>
        <v/>
      </c>
      <c r="M664" s="3">
        <f>IF(L664="","",(L664-AVERAGE(L6:L1198))/(STDEV(L6:L1198)+1E-12))</f>
        <v/>
      </c>
      <c r="N664" s="3">
        <f>IF('3a Raw'!I664="","",MAX(-3,MIN(3,('3a Raw'!I664-$N3)/$N4)))</f>
        <v/>
      </c>
      <c r="O664" s="3">
        <f>IF(N664="","",(N664-AVERAGE(N6:N1198))/(STDEV(N6:N1198)+1E-12))</f>
        <v/>
      </c>
      <c r="P664" s="3">
        <f>IF('3a Raw'!J664="","",MAX(-3,MIN(3,('3a Raw'!J664-$P3)/$P4)))</f>
        <v/>
      </c>
      <c r="Q664" s="3">
        <f>IF(P664="","",(P664-AVERAGE(P6:P1198))/(STDEV(P6:P1198)+1E-12))</f>
        <v/>
      </c>
      <c r="R664" s="3">
        <f>IF('3a Raw'!K664="","",MAX(-3,MIN(3,('3a Raw'!K664-$R3)/$R4)))</f>
        <v/>
      </c>
      <c r="S664" s="3">
        <f>IF(R664="","",(R664-AVERAGE(R6:R1198))/(STDEV(R6:R1198)+1E-12))</f>
        <v/>
      </c>
      <c r="T664" s="3">
        <f>IF('3a Raw'!L664="","",MAX(-3,MIN(3,('3a Raw'!L664-$T3)/$T4)))</f>
        <v/>
      </c>
      <c r="U664" s="3">
        <f>IF(T664="","",(T664-AVERAGE(T6:T1198))/(STDEV(T6:T1198)+1E-12))</f>
        <v/>
      </c>
      <c r="X664" s="3">
        <f>IF(U664="","",U664-($V$3*G664+$W$3))</f>
        <v/>
      </c>
      <c r="Y664" s="3">
        <f>IF(X664="","",MAX(-3,MIN(3,(X664-$X3)/$X4)))</f>
        <v/>
      </c>
      <c r="Z664" s="3">
        <f>IF(Y664="","",(Y664-AVERAGE(Y6:Y1198))/(STDEV(Y6:Y1198)+1E-12))</f>
        <v/>
      </c>
    </row>
    <row r="665">
      <c r="A665" t="inlineStr">
        <is>
          <t>BBG000BNQN34</t>
        </is>
      </c>
      <c r="B665" s="3">
        <f>IF('3a Raw'!C665="","",MAX(-3,MIN(3,('3a Raw'!C665-$B3)/$B4)))</f>
        <v/>
      </c>
      <c r="C665" s="3">
        <f>IF(B665="","",(B665-AVERAGE(B6:B1198))/(STDEV(B6:B1198)+1E-12))</f>
        <v/>
      </c>
      <c r="D665" s="3">
        <f>IF('3a Raw'!D665="","",MAX(-3,MIN(3,('3a Raw'!D665-$D3)/$D4)))</f>
        <v/>
      </c>
      <c r="E665" s="3">
        <f>IF(D665="","",(D665-AVERAGE(D6:D1198))/(STDEV(D6:D1198)+1E-12))</f>
        <v/>
      </c>
      <c r="F665" s="3">
        <f>IF('3a Raw'!E665="","",MAX(-3,MIN(3,('3a Raw'!E665-$F3)/$F4)))</f>
        <v/>
      </c>
      <c r="G665" s="3">
        <f>IF(F665="","",(F665-AVERAGE(F6:F1198))/(STDEV(F6:F1198)+1E-12))</f>
        <v/>
      </c>
      <c r="H665" s="3">
        <f>IF('3a Raw'!F665="","",MAX(-3,MIN(3,('3a Raw'!F665-$H3)/$H4)))</f>
        <v/>
      </c>
      <c r="I665" s="3">
        <f>IF(H665="","",(H665-AVERAGE(H6:H1198))/(STDEV(H6:H1198)+1E-12))</f>
        <v/>
      </c>
      <c r="J665" s="3">
        <f>IF('3a Raw'!G665="","",MAX(-3,MIN(3,('3a Raw'!G665-$J3)/$J4)))</f>
        <v/>
      </c>
      <c r="K665" s="3">
        <f>IF(J665="","",(J665-AVERAGE(J6:J1198))/(STDEV(J6:J1198)+1E-12))</f>
        <v/>
      </c>
      <c r="L665" s="3">
        <f>IF('3a Raw'!H665="","",MAX(-3,MIN(3,('3a Raw'!H665-$L3)/$L4)))</f>
        <v/>
      </c>
      <c r="M665" s="3">
        <f>IF(L665="","",(L665-AVERAGE(L6:L1198))/(STDEV(L6:L1198)+1E-12))</f>
        <v/>
      </c>
      <c r="N665" s="3">
        <f>IF('3a Raw'!I665="","",MAX(-3,MIN(3,('3a Raw'!I665-$N3)/$N4)))</f>
        <v/>
      </c>
      <c r="O665" s="3">
        <f>IF(N665="","",(N665-AVERAGE(N6:N1198))/(STDEV(N6:N1198)+1E-12))</f>
        <v/>
      </c>
      <c r="P665" s="3">
        <f>IF('3a Raw'!J665="","",MAX(-3,MIN(3,('3a Raw'!J665-$P3)/$P4)))</f>
        <v/>
      </c>
      <c r="Q665" s="3">
        <f>IF(P665="","",(P665-AVERAGE(P6:P1198))/(STDEV(P6:P1198)+1E-12))</f>
        <v/>
      </c>
      <c r="R665" s="3">
        <f>IF('3a Raw'!K665="","",MAX(-3,MIN(3,('3a Raw'!K665-$R3)/$R4)))</f>
        <v/>
      </c>
      <c r="S665" s="3">
        <f>IF(R665="","",(R665-AVERAGE(R6:R1198))/(STDEV(R6:R1198)+1E-12))</f>
        <v/>
      </c>
      <c r="T665" s="3">
        <f>IF('3a Raw'!L665="","",MAX(-3,MIN(3,('3a Raw'!L665-$T3)/$T4)))</f>
        <v/>
      </c>
      <c r="U665" s="3">
        <f>IF(T665="","",(T665-AVERAGE(T6:T1198))/(STDEV(T6:T1198)+1E-12))</f>
        <v/>
      </c>
      <c r="X665" s="3">
        <f>IF(U665="","",U665-($V$3*G665+$W$3))</f>
        <v/>
      </c>
      <c r="Y665" s="3">
        <f>IF(X665="","",MAX(-3,MIN(3,(X665-$X3)/$X4)))</f>
        <v/>
      </c>
      <c r="Z665" s="3">
        <f>IF(Y665="","",(Y665-AVERAGE(Y6:Y1198))/(STDEV(Y6:Y1198)+1E-12))</f>
        <v/>
      </c>
    </row>
    <row r="666">
      <c r="A666" t="inlineStr">
        <is>
          <t>BBG019X46Z37</t>
        </is>
      </c>
      <c r="B666" s="3">
        <f>IF('3a Raw'!C666="","",MAX(-3,MIN(3,('3a Raw'!C666-$B3)/$B4)))</f>
        <v/>
      </c>
      <c r="C666" s="3">
        <f>IF(B666="","",(B666-AVERAGE(B6:B1198))/(STDEV(B6:B1198)+1E-12))</f>
        <v/>
      </c>
      <c r="D666" s="3">
        <f>IF('3a Raw'!D666="","",MAX(-3,MIN(3,('3a Raw'!D666-$D3)/$D4)))</f>
        <v/>
      </c>
      <c r="E666" s="3">
        <f>IF(D666="","",(D666-AVERAGE(D6:D1198))/(STDEV(D6:D1198)+1E-12))</f>
        <v/>
      </c>
      <c r="F666" s="3">
        <f>IF('3a Raw'!E666="","",MAX(-3,MIN(3,('3a Raw'!E666-$F3)/$F4)))</f>
        <v/>
      </c>
      <c r="G666" s="3">
        <f>IF(F666="","",(F666-AVERAGE(F6:F1198))/(STDEV(F6:F1198)+1E-12))</f>
        <v/>
      </c>
      <c r="H666" s="3">
        <f>IF('3a Raw'!F666="","",MAX(-3,MIN(3,('3a Raw'!F666-$H3)/$H4)))</f>
        <v/>
      </c>
      <c r="I666" s="3">
        <f>IF(H666="","",(H666-AVERAGE(H6:H1198))/(STDEV(H6:H1198)+1E-12))</f>
        <v/>
      </c>
      <c r="J666" s="3">
        <f>IF('3a Raw'!G666="","",MAX(-3,MIN(3,('3a Raw'!G666-$J3)/$J4)))</f>
        <v/>
      </c>
      <c r="K666" s="3">
        <f>IF(J666="","",(J666-AVERAGE(J6:J1198))/(STDEV(J6:J1198)+1E-12))</f>
        <v/>
      </c>
      <c r="L666" s="3">
        <f>IF('3a Raw'!H666="","",MAX(-3,MIN(3,('3a Raw'!H666-$L3)/$L4)))</f>
        <v/>
      </c>
      <c r="M666" s="3">
        <f>IF(L666="","",(L666-AVERAGE(L6:L1198))/(STDEV(L6:L1198)+1E-12))</f>
        <v/>
      </c>
      <c r="N666" s="3">
        <f>IF('3a Raw'!I666="","",MAX(-3,MIN(3,('3a Raw'!I666-$N3)/$N4)))</f>
        <v/>
      </c>
      <c r="O666" s="3">
        <f>IF(N666="","",(N666-AVERAGE(N6:N1198))/(STDEV(N6:N1198)+1E-12))</f>
        <v/>
      </c>
      <c r="P666" s="3">
        <f>IF('3a Raw'!J666="","",MAX(-3,MIN(3,('3a Raw'!J666-$P3)/$P4)))</f>
        <v/>
      </c>
      <c r="Q666" s="3">
        <f>IF(P666="","",(P666-AVERAGE(P6:P1198))/(STDEV(P6:P1198)+1E-12))</f>
        <v/>
      </c>
      <c r="R666" s="3">
        <f>IF('3a Raw'!K666="","",MAX(-3,MIN(3,('3a Raw'!K666-$R3)/$R4)))</f>
        <v/>
      </c>
      <c r="S666" s="3">
        <f>IF(R666="","",(R666-AVERAGE(R6:R1198))/(STDEV(R6:R1198)+1E-12))</f>
        <v/>
      </c>
      <c r="T666" s="3">
        <f>IF('3a Raw'!L666="","",MAX(-3,MIN(3,('3a Raw'!L666-$T3)/$T4)))</f>
        <v/>
      </c>
      <c r="U666" s="3">
        <f>IF(T666="","",(T666-AVERAGE(T6:T1198))/(STDEV(T6:T1198)+1E-12))</f>
        <v/>
      </c>
      <c r="X666" s="3">
        <f>IF(U666="","",U666-($V$3*G666+$W$3))</f>
        <v/>
      </c>
      <c r="Y666" s="3">
        <f>IF(X666="","",MAX(-3,MIN(3,(X666-$X3)/$X4)))</f>
        <v/>
      </c>
      <c r="Z666" s="3">
        <f>IF(Y666="","",(Y666-AVERAGE(Y6:Y1198))/(STDEV(Y6:Y1198)+1E-12))</f>
        <v/>
      </c>
    </row>
    <row r="667">
      <c r="A667" t="inlineStr">
        <is>
          <t>BBG00W7W53M5</t>
        </is>
      </c>
      <c r="B667" s="3">
        <f>IF('3a Raw'!C667="","",MAX(-3,MIN(3,('3a Raw'!C667-$B3)/$B4)))</f>
        <v/>
      </c>
      <c r="C667" s="3">
        <f>IF(B667="","",(B667-AVERAGE(B6:B1198))/(STDEV(B6:B1198)+1E-12))</f>
        <v/>
      </c>
      <c r="D667" s="3">
        <f>IF('3a Raw'!D667="","",MAX(-3,MIN(3,('3a Raw'!D667-$D3)/$D4)))</f>
        <v/>
      </c>
      <c r="E667" s="3">
        <f>IF(D667="","",(D667-AVERAGE(D6:D1198))/(STDEV(D6:D1198)+1E-12))</f>
        <v/>
      </c>
      <c r="F667" s="3">
        <f>IF('3a Raw'!E667="","",MAX(-3,MIN(3,('3a Raw'!E667-$F3)/$F4)))</f>
        <v/>
      </c>
      <c r="G667" s="3">
        <f>IF(F667="","",(F667-AVERAGE(F6:F1198))/(STDEV(F6:F1198)+1E-12))</f>
        <v/>
      </c>
      <c r="H667" s="3">
        <f>IF('3a Raw'!F667="","",MAX(-3,MIN(3,('3a Raw'!F667-$H3)/$H4)))</f>
        <v/>
      </c>
      <c r="I667" s="3">
        <f>IF(H667="","",(H667-AVERAGE(H6:H1198))/(STDEV(H6:H1198)+1E-12))</f>
        <v/>
      </c>
      <c r="J667" s="3">
        <f>IF('3a Raw'!G667="","",MAX(-3,MIN(3,('3a Raw'!G667-$J3)/$J4)))</f>
        <v/>
      </c>
      <c r="K667" s="3">
        <f>IF(J667="","",(J667-AVERAGE(J6:J1198))/(STDEV(J6:J1198)+1E-12))</f>
        <v/>
      </c>
      <c r="L667" s="3">
        <f>IF('3a Raw'!H667="","",MAX(-3,MIN(3,('3a Raw'!H667-$L3)/$L4)))</f>
        <v/>
      </c>
      <c r="M667" s="3">
        <f>IF(L667="","",(L667-AVERAGE(L6:L1198))/(STDEV(L6:L1198)+1E-12))</f>
        <v/>
      </c>
      <c r="N667" s="3">
        <f>IF('3a Raw'!I667="","",MAX(-3,MIN(3,('3a Raw'!I667-$N3)/$N4)))</f>
        <v/>
      </c>
      <c r="O667" s="3">
        <f>IF(N667="","",(N667-AVERAGE(N6:N1198))/(STDEV(N6:N1198)+1E-12))</f>
        <v/>
      </c>
      <c r="P667" s="3">
        <f>IF('3a Raw'!J667="","",MAX(-3,MIN(3,('3a Raw'!J667-$P3)/$P4)))</f>
        <v/>
      </c>
      <c r="Q667" s="3">
        <f>IF(P667="","",(P667-AVERAGE(P6:P1198))/(STDEV(P6:P1198)+1E-12))</f>
        <v/>
      </c>
      <c r="R667" s="3">
        <f>IF('3a Raw'!K667="","",MAX(-3,MIN(3,('3a Raw'!K667-$R3)/$R4)))</f>
        <v/>
      </c>
      <c r="S667" s="3">
        <f>IF(R667="","",(R667-AVERAGE(R6:R1198))/(STDEV(R6:R1198)+1E-12))</f>
        <v/>
      </c>
      <c r="T667" s="3">
        <f>IF('3a Raw'!L667="","",MAX(-3,MIN(3,('3a Raw'!L667-$T3)/$T4)))</f>
        <v/>
      </c>
      <c r="U667" s="3">
        <f>IF(T667="","",(T667-AVERAGE(T6:T1198))/(STDEV(T6:T1198)+1E-12))</f>
        <v/>
      </c>
      <c r="X667" s="3">
        <f>IF(U667="","",U667-($V$3*G667+$W$3))</f>
        <v/>
      </c>
      <c r="Y667" s="3">
        <f>IF(X667="","",MAX(-3,MIN(3,(X667-$X3)/$X4)))</f>
        <v/>
      </c>
      <c r="Z667" s="3">
        <f>IF(Y667="","",(Y667-AVERAGE(Y6:Y1198))/(STDEV(Y6:Y1198)+1E-12))</f>
        <v/>
      </c>
    </row>
    <row r="668">
      <c r="A668" t="inlineStr">
        <is>
          <t>BBG001KHD495</t>
        </is>
      </c>
      <c r="B668" s="3">
        <f>IF('3a Raw'!C668="","",MAX(-3,MIN(3,('3a Raw'!C668-$B3)/$B4)))</f>
        <v/>
      </c>
      <c r="C668" s="3">
        <f>IF(B668="","",(B668-AVERAGE(B6:B1198))/(STDEV(B6:B1198)+1E-12))</f>
        <v/>
      </c>
      <c r="D668" s="3">
        <f>IF('3a Raw'!D668="","",MAX(-3,MIN(3,('3a Raw'!D668-$D3)/$D4)))</f>
        <v/>
      </c>
      <c r="E668" s="3">
        <f>IF(D668="","",(D668-AVERAGE(D6:D1198))/(STDEV(D6:D1198)+1E-12))</f>
        <v/>
      </c>
      <c r="F668" s="3">
        <f>IF('3a Raw'!E668="","",MAX(-3,MIN(3,('3a Raw'!E668-$F3)/$F4)))</f>
        <v/>
      </c>
      <c r="G668" s="3">
        <f>IF(F668="","",(F668-AVERAGE(F6:F1198))/(STDEV(F6:F1198)+1E-12))</f>
        <v/>
      </c>
      <c r="H668" s="3">
        <f>IF('3a Raw'!F668="","",MAX(-3,MIN(3,('3a Raw'!F668-$H3)/$H4)))</f>
        <v/>
      </c>
      <c r="I668" s="3">
        <f>IF(H668="","",(H668-AVERAGE(H6:H1198))/(STDEV(H6:H1198)+1E-12))</f>
        <v/>
      </c>
      <c r="J668" s="3">
        <f>IF('3a Raw'!G668="","",MAX(-3,MIN(3,('3a Raw'!G668-$J3)/$J4)))</f>
        <v/>
      </c>
      <c r="K668" s="3">
        <f>IF(J668="","",(J668-AVERAGE(J6:J1198))/(STDEV(J6:J1198)+1E-12))</f>
        <v/>
      </c>
      <c r="L668" s="3">
        <f>IF('3a Raw'!H668="","",MAX(-3,MIN(3,('3a Raw'!H668-$L3)/$L4)))</f>
        <v/>
      </c>
      <c r="M668" s="3">
        <f>IF(L668="","",(L668-AVERAGE(L6:L1198))/(STDEV(L6:L1198)+1E-12))</f>
        <v/>
      </c>
      <c r="N668" s="3">
        <f>IF('3a Raw'!I668="","",MAX(-3,MIN(3,('3a Raw'!I668-$N3)/$N4)))</f>
        <v/>
      </c>
      <c r="O668" s="3">
        <f>IF(N668="","",(N668-AVERAGE(N6:N1198))/(STDEV(N6:N1198)+1E-12))</f>
        <v/>
      </c>
      <c r="P668" s="3">
        <f>IF('3a Raw'!J668="","",MAX(-3,MIN(3,('3a Raw'!J668-$P3)/$P4)))</f>
        <v/>
      </c>
      <c r="Q668" s="3">
        <f>IF(P668="","",(P668-AVERAGE(P6:P1198))/(STDEV(P6:P1198)+1E-12))</f>
        <v/>
      </c>
      <c r="R668" s="3">
        <f>IF('3a Raw'!K668="","",MAX(-3,MIN(3,('3a Raw'!K668-$R3)/$R4)))</f>
        <v/>
      </c>
      <c r="S668" s="3">
        <f>IF(R668="","",(R668-AVERAGE(R6:R1198))/(STDEV(R6:R1198)+1E-12))</f>
        <v/>
      </c>
      <c r="T668" s="3">
        <f>IF('3a Raw'!L668="","",MAX(-3,MIN(3,('3a Raw'!L668-$T3)/$T4)))</f>
        <v/>
      </c>
      <c r="U668" s="3">
        <f>IF(T668="","",(T668-AVERAGE(T6:T1198))/(STDEV(T6:T1198)+1E-12))</f>
        <v/>
      </c>
      <c r="X668" s="3">
        <f>IF(U668="","",U668-($V$3*G668+$W$3))</f>
        <v/>
      </c>
      <c r="Y668" s="3">
        <f>IF(X668="","",MAX(-3,MIN(3,(X668-$X3)/$X4)))</f>
        <v/>
      </c>
      <c r="Z668" s="3">
        <f>IF(Y668="","",(Y668-AVERAGE(Y6:Y1198))/(STDEV(Y6:Y1198)+1E-12))</f>
        <v/>
      </c>
    </row>
    <row r="669">
      <c r="A669" t="inlineStr">
        <is>
          <t>BBG000BNSZP1</t>
        </is>
      </c>
      <c r="B669" s="3">
        <f>IF('3a Raw'!C669="","",MAX(-3,MIN(3,('3a Raw'!C669-$B3)/$B4)))</f>
        <v/>
      </c>
      <c r="C669" s="3">
        <f>IF(B669="","",(B669-AVERAGE(B6:B1198))/(STDEV(B6:B1198)+1E-12))</f>
        <v/>
      </c>
      <c r="D669" s="3">
        <f>IF('3a Raw'!D669="","",MAX(-3,MIN(3,('3a Raw'!D669-$D3)/$D4)))</f>
        <v/>
      </c>
      <c r="E669" s="3">
        <f>IF(D669="","",(D669-AVERAGE(D6:D1198))/(STDEV(D6:D1198)+1E-12))</f>
        <v/>
      </c>
      <c r="F669" s="3">
        <f>IF('3a Raw'!E669="","",MAX(-3,MIN(3,('3a Raw'!E669-$F3)/$F4)))</f>
        <v/>
      </c>
      <c r="G669" s="3">
        <f>IF(F669="","",(F669-AVERAGE(F6:F1198))/(STDEV(F6:F1198)+1E-12))</f>
        <v/>
      </c>
      <c r="H669" s="3">
        <f>IF('3a Raw'!F669="","",MAX(-3,MIN(3,('3a Raw'!F669-$H3)/$H4)))</f>
        <v/>
      </c>
      <c r="I669" s="3">
        <f>IF(H669="","",(H669-AVERAGE(H6:H1198))/(STDEV(H6:H1198)+1E-12))</f>
        <v/>
      </c>
      <c r="J669" s="3">
        <f>IF('3a Raw'!G669="","",MAX(-3,MIN(3,('3a Raw'!G669-$J3)/$J4)))</f>
        <v/>
      </c>
      <c r="K669" s="3">
        <f>IF(J669="","",(J669-AVERAGE(J6:J1198))/(STDEV(J6:J1198)+1E-12))</f>
        <v/>
      </c>
      <c r="L669" s="3">
        <f>IF('3a Raw'!H669="","",MAX(-3,MIN(3,('3a Raw'!H669-$L3)/$L4)))</f>
        <v/>
      </c>
      <c r="M669" s="3">
        <f>IF(L669="","",(L669-AVERAGE(L6:L1198))/(STDEV(L6:L1198)+1E-12))</f>
        <v/>
      </c>
      <c r="N669" s="3">
        <f>IF('3a Raw'!I669="","",MAX(-3,MIN(3,('3a Raw'!I669-$N3)/$N4)))</f>
        <v/>
      </c>
      <c r="O669" s="3">
        <f>IF(N669="","",(N669-AVERAGE(N6:N1198))/(STDEV(N6:N1198)+1E-12))</f>
        <v/>
      </c>
      <c r="P669" s="3">
        <f>IF('3a Raw'!J669="","",MAX(-3,MIN(3,('3a Raw'!J669-$P3)/$P4)))</f>
        <v/>
      </c>
      <c r="Q669" s="3">
        <f>IF(P669="","",(P669-AVERAGE(P6:P1198))/(STDEV(P6:P1198)+1E-12))</f>
        <v/>
      </c>
      <c r="R669" s="3">
        <f>IF('3a Raw'!K669="","",MAX(-3,MIN(3,('3a Raw'!K669-$R3)/$R4)))</f>
        <v/>
      </c>
      <c r="S669" s="3">
        <f>IF(R669="","",(R669-AVERAGE(R6:R1198))/(STDEV(R6:R1198)+1E-12))</f>
        <v/>
      </c>
      <c r="T669" s="3">
        <f>IF('3a Raw'!L669="","",MAX(-3,MIN(3,('3a Raw'!L669-$T3)/$T4)))</f>
        <v/>
      </c>
      <c r="U669" s="3">
        <f>IF(T669="","",(T669-AVERAGE(T6:T1198))/(STDEV(T6:T1198)+1E-12))</f>
        <v/>
      </c>
      <c r="X669" s="3">
        <f>IF(U669="","",U669-($V$3*G669+$W$3))</f>
        <v/>
      </c>
      <c r="Y669" s="3">
        <f>IF(X669="","",MAX(-3,MIN(3,(X669-$X3)/$X4)))</f>
        <v/>
      </c>
      <c r="Z669" s="3">
        <f>IF(Y669="","",(Y669-AVERAGE(Y6:Y1198))/(STDEV(Y6:Y1198)+1E-12))</f>
        <v/>
      </c>
    </row>
    <row r="670">
      <c r="A670" t="inlineStr">
        <is>
          <t>BBG000BHCP19</t>
        </is>
      </c>
      <c r="B670" s="3">
        <f>IF('3a Raw'!C670="","",MAX(-3,MIN(3,('3a Raw'!C670-$B3)/$B4)))</f>
        <v/>
      </c>
      <c r="C670" s="3">
        <f>IF(B670="","",(B670-AVERAGE(B6:B1198))/(STDEV(B6:B1198)+1E-12))</f>
        <v/>
      </c>
      <c r="D670" s="3">
        <f>IF('3a Raw'!D670="","",MAX(-3,MIN(3,('3a Raw'!D670-$D3)/$D4)))</f>
        <v/>
      </c>
      <c r="E670" s="3">
        <f>IF(D670="","",(D670-AVERAGE(D6:D1198))/(STDEV(D6:D1198)+1E-12))</f>
        <v/>
      </c>
      <c r="F670" s="3">
        <f>IF('3a Raw'!E670="","",MAX(-3,MIN(3,('3a Raw'!E670-$F3)/$F4)))</f>
        <v/>
      </c>
      <c r="G670" s="3">
        <f>IF(F670="","",(F670-AVERAGE(F6:F1198))/(STDEV(F6:F1198)+1E-12))</f>
        <v/>
      </c>
      <c r="H670" s="3">
        <f>IF('3a Raw'!F670="","",MAX(-3,MIN(3,('3a Raw'!F670-$H3)/$H4)))</f>
        <v/>
      </c>
      <c r="I670" s="3">
        <f>IF(H670="","",(H670-AVERAGE(H6:H1198))/(STDEV(H6:H1198)+1E-12))</f>
        <v/>
      </c>
      <c r="J670" s="3">
        <f>IF('3a Raw'!G670="","",MAX(-3,MIN(3,('3a Raw'!G670-$J3)/$J4)))</f>
        <v/>
      </c>
      <c r="K670" s="3">
        <f>IF(J670="","",(J670-AVERAGE(J6:J1198))/(STDEV(J6:J1198)+1E-12))</f>
        <v/>
      </c>
      <c r="L670" s="3">
        <f>IF('3a Raw'!H670="","",MAX(-3,MIN(3,('3a Raw'!H670-$L3)/$L4)))</f>
        <v/>
      </c>
      <c r="M670" s="3">
        <f>IF(L670="","",(L670-AVERAGE(L6:L1198))/(STDEV(L6:L1198)+1E-12))</f>
        <v/>
      </c>
      <c r="N670" s="3">
        <f>IF('3a Raw'!I670="","",MAX(-3,MIN(3,('3a Raw'!I670-$N3)/$N4)))</f>
        <v/>
      </c>
      <c r="O670" s="3">
        <f>IF(N670="","",(N670-AVERAGE(N6:N1198))/(STDEV(N6:N1198)+1E-12))</f>
        <v/>
      </c>
      <c r="P670" s="3">
        <f>IF('3a Raw'!J670="","",MAX(-3,MIN(3,('3a Raw'!J670-$P3)/$P4)))</f>
        <v/>
      </c>
      <c r="Q670" s="3">
        <f>IF(P670="","",(P670-AVERAGE(P6:P1198))/(STDEV(P6:P1198)+1E-12))</f>
        <v/>
      </c>
      <c r="R670" s="3">
        <f>IF('3a Raw'!K670="","",MAX(-3,MIN(3,('3a Raw'!K670-$R3)/$R4)))</f>
        <v/>
      </c>
      <c r="S670" s="3">
        <f>IF(R670="","",(R670-AVERAGE(R6:R1198))/(STDEV(R6:R1198)+1E-12))</f>
        <v/>
      </c>
      <c r="T670" s="3">
        <f>IF('3a Raw'!L670="","",MAX(-3,MIN(3,('3a Raw'!L670-$T3)/$T4)))</f>
        <v/>
      </c>
      <c r="U670" s="3">
        <f>IF(T670="","",(T670-AVERAGE(T6:T1198))/(STDEV(T6:T1198)+1E-12))</f>
        <v/>
      </c>
      <c r="X670" s="3">
        <f>IF(U670="","",U670-($V$3*G670+$W$3))</f>
        <v/>
      </c>
      <c r="Y670" s="3">
        <f>IF(X670="","",MAX(-3,MIN(3,(X670-$X3)/$X4)))</f>
        <v/>
      </c>
      <c r="Z670" s="3">
        <f>IF(Y670="","",(Y670-AVERAGE(Y6:Y1198))/(STDEV(Y6:Y1198)+1E-12))</f>
        <v/>
      </c>
    </row>
    <row r="671">
      <c r="A671" t="inlineStr">
        <is>
          <t>BBG000DYGNW7</t>
        </is>
      </c>
      <c r="B671" s="3">
        <f>IF('3a Raw'!C671="","",MAX(-3,MIN(3,('3a Raw'!C671-$B3)/$B4)))</f>
        <v/>
      </c>
      <c r="C671" s="3">
        <f>IF(B671="","",(B671-AVERAGE(B6:B1198))/(STDEV(B6:B1198)+1E-12))</f>
        <v/>
      </c>
      <c r="D671" s="3">
        <f>IF('3a Raw'!D671="","",MAX(-3,MIN(3,('3a Raw'!D671-$D3)/$D4)))</f>
        <v/>
      </c>
      <c r="E671" s="3">
        <f>IF(D671="","",(D671-AVERAGE(D6:D1198))/(STDEV(D6:D1198)+1E-12))</f>
        <v/>
      </c>
      <c r="F671" s="3">
        <f>IF('3a Raw'!E671="","",MAX(-3,MIN(3,('3a Raw'!E671-$F3)/$F4)))</f>
        <v/>
      </c>
      <c r="G671" s="3">
        <f>IF(F671="","",(F671-AVERAGE(F6:F1198))/(STDEV(F6:F1198)+1E-12))</f>
        <v/>
      </c>
      <c r="H671" s="3">
        <f>IF('3a Raw'!F671="","",MAX(-3,MIN(3,('3a Raw'!F671-$H3)/$H4)))</f>
        <v/>
      </c>
      <c r="I671" s="3">
        <f>IF(H671="","",(H671-AVERAGE(H6:H1198))/(STDEV(H6:H1198)+1E-12))</f>
        <v/>
      </c>
      <c r="J671" s="3">
        <f>IF('3a Raw'!G671="","",MAX(-3,MIN(3,('3a Raw'!G671-$J3)/$J4)))</f>
        <v/>
      </c>
      <c r="K671" s="3">
        <f>IF(J671="","",(J671-AVERAGE(J6:J1198))/(STDEV(J6:J1198)+1E-12))</f>
        <v/>
      </c>
      <c r="L671" s="3">
        <f>IF('3a Raw'!H671="","",MAX(-3,MIN(3,('3a Raw'!H671-$L3)/$L4)))</f>
        <v/>
      </c>
      <c r="M671" s="3">
        <f>IF(L671="","",(L671-AVERAGE(L6:L1198))/(STDEV(L6:L1198)+1E-12))</f>
        <v/>
      </c>
      <c r="N671" s="3">
        <f>IF('3a Raw'!I671="","",MAX(-3,MIN(3,('3a Raw'!I671-$N3)/$N4)))</f>
        <v/>
      </c>
      <c r="O671" s="3">
        <f>IF(N671="","",(N671-AVERAGE(N6:N1198))/(STDEV(N6:N1198)+1E-12))</f>
        <v/>
      </c>
      <c r="P671" s="3">
        <f>IF('3a Raw'!J671="","",MAX(-3,MIN(3,('3a Raw'!J671-$P3)/$P4)))</f>
        <v/>
      </c>
      <c r="Q671" s="3">
        <f>IF(P671="","",(P671-AVERAGE(P6:P1198))/(STDEV(P6:P1198)+1E-12))</f>
        <v/>
      </c>
      <c r="R671" s="3">
        <f>IF('3a Raw'!K671="","",MAX(-3,MIN(3,('3a Raw'!K671-$R3)/$R4)))</f>
        <v/>
      </c>
      <c r="S671" s="3">
        <f>IF(R671="","",(R671-AVERAGE(R6:R1198))/(STDEV(R6:R1198)+1E-12))</f>
        <v/>
      </c>
      <c r="T671" s="3">
        <f>IF('3a Raw'!L671="","",MAX(-3,MIN(3,('3a Raw'!L671-$T3)/$T4)))</f>
        <v/>
      </c>
      <c r="U671" s="3">
        <f>IF(T671="","",(T671-AVERAGE(T6:T1198))/(STDEV(T6:T1198)+1E-12))</f>
        <v/>
      </c>
      <c r="X671" s="3">
        <f>IF(U671="","",U671-($V$3*G671+$W$3))</f>
        <v/>
      </c>
      <c r="Y671" s="3">
        <f>IF(X671="","",MAX(-3,MIN(3,(X671-$X3)/$X4)))</f>
        <v/>
      </c>
      <c r="Z671" s="3">
        <f>IF(Y671="","",(Y671-AVERAGE(Y6:Y1198))/(STDEV(Y6:Y1198)+1E-12))</f>
        <v/>
      </c>
    </row>
    <row r="672">
      <c r="A672" t="inlineStr">
        <is>
          <t>mco</t>
        </is>
      </c>
      <c r="B672" s="3">
        <f>IF('3a Raw'!C672="","",MAX(-3,MIN(3,('3a Raw'!C672-$B3)/$B4)))</f>
        <v/>
      </c>
      <c r="C672" s="3">
        <f>IF(B672="","",(B672-AVERAGE(B6:B1198))/(STDEV(B6:B1198)+1E-12))</f>
        <v/>
      </c>
      <c r="D672" s="3">
        <f>IF('3a Raw'!D672="","",MAX(-3,MIN(3,('3a Raw'!D672-$D3)/$D4)))</f>
        <v/>
      </c>
      <c r="E672" s="3">
        <f>IF(D672="","",(D672-AVERAGE(D6:D1198))/(STDEV(D6:D1198)+1E-12))</f>
        <v/>
      </c>
      <c r="F672" s="3">
        <f>IF('3a Raw'!E672="","",MAX(-3,MIN(3,('3a Raw'!E672-$F3)/$F4)))</f>
        <v/>
      </c>
      <c r="G672" s="3">
        <f>IF(F672="","",(F672-AVERAGE(F6:F1198))/(STDEV(F6:F1198)+1E-12))</f>
        <v/>
      </c>
      <c r="H672" s="3">
        <f>IF('3a Raw'!F672="","",MAX(-3,MIN(3,('3a Raw'!F672-$H3)/$H4)))</f>
        <v/>
      </c>
      <c r="I672" s="3">
        <f>IF(H672="","",(H672-AVERAGE(H6:H1198))/(STDEV(H6:H1198)+1E-12))</f>
        <v/>
      </c>
      <c r="J672" s="3">
        <f>IF('3a Raw'!G672="","",MAX(-3,MIN(3,('3a Raw'!G672-$J3)/$J4)))</f>
        <v/>
      </c>
      <c r="K672" s="3">
        <f>IF(J672="","",(J672-AVERAGE(J6:J1198))/(STDEV(J6:J1198)+1E-12))</f>
        <v/>
      </c>
      <c r="L672" s="3">
        <f>IF('3a Raw'!H672="","",MAX(-3,MIN(3,('3a Raw'!H672-$L3)/$L4)))</f>
        <v/>
      </c>
      <c r="M672" s="3">
        <f>IF(L672="","",(L672-AVERAGE(L6:L1198))/(STDEV(L6:L1198)+1E-12))</f>
        <v/>
      </c>
      <c r="N672" s="3">
        <f>IF('3a Raw'!I672="","",MAX(-3,MIN(3,('3a Raw'!I672-$N3)/$N4)))</f>
        <v/>
      </c>
      <c r="O672" s="3">
        <f>IF(N672="","",(N672-AVERAGE(N6:N1198))/(STDEV(N6:N1198)+1E-12))</f>
        <v/>
      </c>
      <c r="P672" s="3">
        <f>IF('3a Raw'!J672="","",MAX(-3,MIN(3,('3a Raw'!J672-$P3)/$P4)))</f>
        <v/>
      </c>
      <c r="Q672" s="3">
        <f>IF(P672="","",(P672-AVERAGE(P6:P1198))/(STDEV(P6:P1198)+1E-12))</f>
        <v/>
      </c>
      <c r="R672" s="3">
        <f>IF('3a Raw'!K672="","",MAX(-3,MIN(3,('3a Raw'!K672-$R3)/$R4)))</f>
        <v/>
      </c>
      <c r="S672" s="3">
        <f>IF(R672="","",(R672-AVERAGE(R6:R1198))/(STDEV(R6:R1198)+1E-12))</f>
        <v/>
      </c>
      <c r="T672" s="3">
        <f>IF('3a Raw'!L672="","",MAX(-3,MIN(3,('3a Raw'!L672-$T3)/$T4)))</f>
        <v/>
      </c>
      <c r="U672" s="3">
        <f>IF(T672="","",(T672-AVERAGE(T6:T1198))/(STDEV(T6:T1198)+1E-12))</f>
        <v/>
      </c>
      <c r="X672" s="3">
        <f>IF(U672="","",U672-($V$3*G672+$W$3))</f>
        <v/>
      </c>
      <c r="Y672" s="3">
        <f>IF(X672="","",MAX(-3,MIN(3,(X672-$X3)/$X4)))</f>
        <v/>
      </c>
      <c r="Z672" s="3">
        <f>IF(Y672="","",(Y672-AVERAGE(Y6:Y1198))/(STDEV(Y6:Y1198)+1E-12))</f>
        <v/>
      </c>
    </row>
    <row r="673">
      <c r="A673" t="inlineStr">
        <is>
          <t>BBG000D6HL06</t>
        </is>
      </c>
      <c r="B673" s="3">
        <f>IF('3a Raw'!C673="","",MAX(-3,MIN(3,('3a Raw'!C673-$B3)/$B4)))</f>
        <v/>
      </c>
      <c r="C673" s="3">
        <f>IF(B673="","",(B673-AVERAGE(B6:B1198))/(STDEV(B6:B1198)+1E-12))</f>
        <v/>
      </c>
      <c r="D673" s="3">
        <f>IF('3a Raw'!D673="","",MAX(-3,MIN(3,('3a Raw'!D673-$D3)/$D4)))</f>
        <v/>
      </c>
      <c r="E673" s="3">
        <f>IF(D673="","",(D673-AVERAGE(D6:D1198))/(STDEV(D6:D1198)+1E-12))</f>
        <v/>
      </c>
      <c r="F673" s="3">
        <f>IF('3a Raw'!E673="","",MAX(-3,MIN(3,('3a Raw'!E673-$F3)/$F4)))</f>
        <v/>
      </c>
      <c r="G673" s="3">
        <f>IF(F673="","",(F673-AVERAGE(F6:F1198))/(STDEV(F6:F1198)+1E-12))</f>
        <v/>
      </c>
      <c r="H673" s="3">
        <f>IF('3a Raw'!F673="","",MAX(-3,MIN(3,('3a Raw'!F673-$H3)/$H4)))</f>
        <v/>
      </c>
      <c r="I673" s="3">
        <f>IF(H673="","",(H673-AVERAGE(H6:H1198))/(STDEV(H6:H1198)+1E-12))</f>
        <v/>
      </c>
      <c r="J673" s="3">
        <f>IF('3a Raw'!G673="","",MAX(-3,MIN(3,('3a Raw'!G673-$J3)/$J4)))</f>
        <v/>
      </c>
      <c r="K673" s="3">
        <f>IF(J673="","",(J673-AVERAGE(J6:J1198))/(STDEV(J6:J1198)+1E-12))</f>
        <v/>
      </c>
      <c r="L673" s="3">
        <f>IF('3a Raw'!H673="","",MAX(-3,MIN(3,('3a Raw'!H673-$L3)/$L4)))</f>
        <v/>
      </c>
      <c r="M673" s="3">
        <f>IF(L673="","",(L673-AVERAGE(L6:L1198))/(STDEV(L6:L1198)+1E-12))</f>
        <v/>
      </c>
      <c r="N673" s="3">
        <f>IF('3a Raw'!I673="","",MAX(-3,MIN(3,('3a Raw'!I673-$N3)/$N4)))</f>
        <v/>
      </c>
      <c r="O673" s="3">
        <f>IF(N673="","",(N673-AVERAGE(N6:N1198))/(STDEV(N6:N1198)+1E-12))</f>
        <v/>
      </c>
      <c r="P673" s="3">
        <f>IF('3a Raw'!J673="","",MAX(-3,MIN(3,('3a Raw'!J673-$P3)/$P4)))</f>
        <v/>
      </c>
      <c r="Q673" s="3">
        <f>IF(P673="","",(P673-AVERAGE(P6:P1198))/(STDEV(P6:P1198)+1E-12))</f>
        <v/>
      </c>
      <c r="R673" s="3">
        <f>IF('3a Raw'!K673="","",MAX(-3,MIN(3,('3a Raw'!K673-$R3)/$R4)))</f>
        <v/>
      </c>
      <c r="S673" s="3">
        <f>IF(R673="","",(R673-AVERAGE(R6:R1198))/(STDEV(R6:R1198)+1E-12))</f>
        <v/>
      </c>
      <c r="T673" s="3">
        <f>IF('3a Raw'!L673="","",MAX(-3,MIN(3,('3a Raw'!L673-$T3)/$T4)))</f>
        <v/>
      </c>
      <c r="U673" s="3">
        <f>IF(T673="","",(T673-AVERAGE(T6:T1198))/(STDEV(T6:T1198)+1E-12))</f>
        <v/>
      </c>
      <c r="X673" s="3">
        <f>IF(U673="","",U673-($V$3*G673+$W$3))</f>
        <v/>
      </c>
      <c r="Y673" s="3">
        <f>IF(X673="","",MAX(-3,MIN(3,(X673-$X3)/$X4)))</f>
        <v/>
      </c>
      <c r="Z673" s="3">
        <f>IF(Y673="","",(Y673-AVERAGE(Y6:Y1198))/(STDEV(Y6:Y1198)+1E-12))</f>
        <v/>
      </c>
    </row>
    <row r="674">
      <c r="A674" t="inlineStr">
        <is>
          <t>BBG0022FDRY8</t>
        </is>
      </c>
      <c r="B674" s="3">
        <f>IF('3a Raw'!C674="","",MAX(-3,MIN(3,('3a Raw'!C674-$B3)/$B4)))</f>
        <v/>
      </c>
      <c r="C674" s="3">
        <f>IF(B674="","",(B674-AVERAGE(B6:B1198))/(STDEV(B6:B1198)+1E-12))</f>
        <v/>
      </c>
      <c r="D674" s="3">
        <f>IF('3a Raw'!D674="","",MAX(-3,MIN(3,('3a Raw'!D674-$D3)/$D4)))</f>
        <v/>
      </c>
      <c r="E674" s="3">
        <f>IF(D674="","",(D674-AVERAGE(D6:D1198))/(STDEV(D6:D1198)+1E-12))</f>
        <v/>
      </c>
      <c r="F674" s="3">
        <f>IF('3a Raw'!E674="","",MAX(-3,MIN(3,('3a Raw'!E674-$F3)/$F4)))</f>
        <v/>
      </c>
      <c r="G674" s="3">
        <f>IF(F674="","",(F674-AVERAGE(F6:F1198))/(STDEV(F6:F1198)+1E-12))</f>
        <v/>
      </c>
      <c r="H674" s="3">
        <f>IF('3a Raw'!F674="","",MAX(-3,MIN(3,('3a Raw'!F674-$H3)/$H4)))</f>
        <v/>
      </c>
      <c r="I674" s="3">
        <f>IF(H674="","",(H674-AVERAGE(H6:H1198))/(STDEV(H6:H1198)+1E-12))</f>
        <v/>
      </c>
      <c r="J674" s="3">
        <f>IF('3a Raw'!G674="","",MAX(-3,MIN(3,('3a Raw'!G674-$J3)/$J4)))</f>
        <v/>
      </c>
      <c r="K674" s="3">
        <f>IF(J674="","",(J674-AVERAGE(J6:J1198))/(STDEV(J6:J1198)+1E-12))</f>
        <v/>
      </c>
      <c r="L674" s="3">
        <f>IF('3a Raw'!H674="","",MAX(-3,MIN(3,('3a Raw'!H674-$L3)/$L4)))</f>
        <v/>
      </c>
      <c r="M674" s="3">
        <f>IF(L674="","",(L674-AVERAGE(L6:L1198))/(STDEV(L6:L1198)+1E-12))</f>
        <v/>
      </c>
      <c r="N674" s="3">
        <f>IF('3a Raw'!I674="","",MAX(-3,MIN(3,('3a Raw'!I674-$N3)/$N4)))</f>
        <v/>
      </c>
      <c r="O674" s="3">
        <f>IF(N674="","",(N674-AVERAGE(N6:N1198))/(STDEV(N6:N1198)+1E-12))</f>
        <v/>
      </c>
      <c r="P674" s="3">
        <f>IF('3a Raw'!J674="","",MAX(-3,MIN(3,('3a Raw'!J674-$P3)/$P4)))</f>
        <v/>
      </c>
      <c r="Q674" s="3">
        <f>IF(P674="","",(P674-AVERAGE(P6:P1198))/(STDEV(P6:P1198)+1E-12))</f>
        <v/>
      </c>
      <c r="R674" s="3">
        <f>IF('3a Raw'!K674="","",MAX(-3,MIN(3,('3a Raw'!K674-$R3)/$R4)))</f>
        <v/>
      </c>
      <c r="S674" s="3">
        <f>IF(R674="","",(R674-AVERAGE(R6:R1198))/(STDEV(R6:R1198)+1E-12))</f>
        <v/>
      </c>
      <c r="T674" s="3">
        <f>IF('3a Raw'!L674="","",MAX(-3,MIN(3,('3a Raw'!L674-$T3)/$T4)))</f>
        <v/>
      </c>
      <c r="U674" s="3">
        <f>IF(T674="","",(T674-AVERAGE(T6:T1198))/(STDEV(T6:T1198)+1E-12))</f>
        <v/>
      </c>
      <c r="X674" s="3">
        <f>IF(U674="","",U674-($V$3*G674+$W$3))</f>
        <v/>
      </c>
      <c r="Y674" s="3">
        <f>IF(X674="","",MAX(-3,MIN(3,(X674-$X3)/$X4)))</f>
        <v/>
      </c>
      <c r="Z674" s="3">
        <f>IF(Y674="","",(Y674-AVERAGE(Y6:Y1198))/(STDEV(Y6:Y1198)+1E-12))</f>
        <v/>
      </c>
    </row>
    <row r="675">
      <c r="A675" t="inlineStr">
        <is>
          <t>BBG000QS6NV8</t>
        </is>
      </c>
      <c r="B675" s="3">
        <f>IF('3a Raw'!C675="","",MAX(-3,MIN(3,('3a Raw'!C675-$B3)/$B4)))</f>
        <v/>
      </c>
      <c r="C675" s="3">
        <f>IF(B675="","",(B675-AVERAGE(B6:B1198))/(STDEV(B6:B1198)+1E-12))</f>
        <v/>
      </c>
      <c r="D675" s="3">
        <f>IF('3a Raw'!D675="","",MAX(-3,MIN(3,('3a Raw'!D675-$D3)/$D4)))</f>
        <v/>
      </c>
      <c r="E675" s="3">
        <f>IF(D675="","",(D675-AVERAGE(D6:D1198))/(STDEV(D6:D1198)+1E-12))</f>
        <v/>
      </c>
      <c r="F675" s="3">
        <f>IF('3a Raw'!E675="","",MAX(-3,MIN(3,('3a Raw'!E675-$F3)/$F4)))</f>
        <v/>
      </c>
      <c r="G675" s="3">
        <f>IF(F675="","",(F675-AVERAGE(F6:F1198))/(STDEV(F6:F1198)+1E-12))</f>
        <v/>
      </c>
      <c r="H675" s="3">
        <f>IF('3a Raw'!F675="","",MAX(-3,MIN(3,('3a Raw'!F675-$H3)/$H4)))</f>
        <v/>
      </c>
      <c r="I675" s="3">
        <f>IF(H675="","",(H675-AVERAGE(H6:H1198))/(STDEV(H6:H1198)+1E-12))</f>
        <v/>
      </c>
      <c r="J675" s="3">
        <f>IF('3a Raw'!G675="","",MAX(-3,MIN(3,('3a Raw'!G675-$J3)/$J4)))</f>
        <v/>
      </c>
      <c r="K675" s="3">
        <f>IF(J675="","",(J675-AVERAGE(J6:J1198))/(STDEV(J6:J1198)+1E-12))</f>
        <v/>
      </c>
      <c r="L675" s="3">
        <f>IF('3a Raw'!H675="","",MAX(-3,MIN(3,('3a Raw'!H675-$L3)/$L4)))</f>
        <v/>
      </c>
      <c r="M675" s="3">
        <f>IF(L675="","",(L675-AVERAGE(L6:L1198))/(STDEV(L6:L1198)+1E-12))</f>
        <v/>
      </c>
      <c r="N675" s="3">
        <f>IF('3a Raw'!I675="","",MAX(-3,MIN(3,('3a Raw'!I675-$N3)/$N4)))</f>
        <v/>
      </c>
      <c r="O675" s="3">
        <f>IF(N675="","",(N675-AVERAGE(N6:N1198))/(STDEV(N6:N1198)+1E-12))</f>
        <v/>
      </c>
      <c r="P675" s="3">
        <f>IF('3a Raw'!J675="","",MAX(-3,MIN(3,('3a Raw'!J675-$P3)/$P4)))</f>
        <v/>
      </c>
      <c r="Q675" s="3">
        <f>IF(P675="","",(P675-AVERAGE(P6:P1198))/(STDEV(P6:P1198)+1E-12))</f>
        <v/>
      </c>
      <c r="R675" s="3">
        <f>IF('3a Raw'!K675="","",MAX(-3,MIN(3,('3a Raw'!K675-$R3)/$R4)))</f>
        <v/>
      </c>
      <c r="S675" s="3">
        <f>IF(R675="","",(R675-AVERAGE(R6:R1198))/(STDEV(R6:R1198)+1E-12))</f>
        <v/>
      </c>
      <c r="T675" s="3">
        <f>IF('3a Raw'!L675="","",MAX(-3,MIN(3,('3a Raw'!L675-$T3)/$T4)))</f>
        <v/>
      </c>
      <c r="U675" s="3">
        <f>IF(T675="","",(T675-AVERAGE(T6:T1198))/(STDEV(T6:T1198)+1E-12))</f>
        <v/>
      </c>
      <c r="X675" s="3">
        <f>IF(U675="","",U675-($V$3*G675+$W$3))</f>
        <v/>
      </c>
      <c r="Y675" s="3">
        <f>IF(X675="","",MAX(-3,MIN(3,(X675-$X3)/$X4)))</f>
        <v/>
      </c>
      <c r="Z675" s="3">
        <f>IF(Y675="","",(Y675-AVERAGE(Y6:Y1198))/(STDEV(Y6:Y1198)+1E-12))</f>
        <v/>
      </c>
    </row>
    <row r="676">
      <c r="A676" t="inlineStr">
        <is>
          <t>BBG01Y6778L4</t>
        </is>
      </c>
      <c r="B676" s="3">
        <f>IF('3a Raw'!C676="","",MAX(-3,MIN(3,('3a Raw'!C676-$B3)/$B4)))</f>
        <v/>
      </c>
      <c r="C676" s="3">
        <f>IF(B676="","",(B676-AVERAGE(B6:B1198))/(STDEV(B6:B1198)+1E-12))</f>
        <v/>
      </c>
      <c r="D676" s="3">
        <f>IF('3a Raw'!D676="","",MAX(-3,MIN(3,('3a Raw'!D676-$D3)/$D4)))</f>
        <v/>
      </c>
      <c r="E676" s="3">
        <f>IF(D676="","",(D676-AVERAGE(D6:D1198))/(STDEV(D6:D1198)+1E-12))</f>
        <v/>
      </c>
      <c r="F676" s="3">
        <f>IF('3a Raw'!E676="","",MAX(-3,MIN(3,('3a Raw'!E676-$F3)/$F4)))</f>
        <v/>
      </c>
      <c r="G676" s="3">
        <f>IF(F676="","",(F676-AVERAGE(F6:F1198))/(STDEV(F6:F1198)+1E-12))</f>
        <v/>
      </c>
      <c r="H676" s="3">
        <f>IF('3a Raw'!F676="","",MAX(-3,MIN(3,('3a Raw'!F676-$H3)/$H4)))</f>
        <v/>
      </c>
      <c r="I676" s="3">
        <f>IF(H676="","",(H676-AVERAGE(H6:H1198))/(STDEV(H6:H1198)+1E-12))</f>
        <v/>
      </c>
      <c r="J676" s="3">
        <f>IF('3a Raw'!G676="","",MAX(-3,MIN(3,('3a Raw'!G676-$J3)/$J4)))</f>
        <v/>
      </c>
      <c r="K676" s="3">
        <f>IF(J676="","",(J676-AVERAGE(J6:J1198))/(STDEV(J6:J1198)+1E-12))</f>
        <v/>
      </c>
      <c r="L676" s="3">
        <f>IF('3a Raw'!H676="","",MAX(-3,MIN(3,('3a Raw'!H676-$L3)/$L4)))</f>
        <v/>
      </c>
      <c r="M676" s="3">
        <f>IF(L676="","",(L676-AVERAGE(L6:L1198))/(STDEV(L6:L1198)+1E-12))</f>
        <v/>
      </c>
      <c r="N676" s="3">
        <f>IF('3a Raw'!I676="","",MAX(-3,MIN(3,('3a Raw'!I676-$N3)/$N4)))</f>
        <v/>
      </c>
      <c r="O676" s="3">
        <f>IF(N676="","",(N676-AVERAGE(N6:N1198))/(STDEV(N6:N1198)+1E-12))</f>
        <v/>
      </c>
      <c r="P676" s="3">
        <f>IF('3a Raw'!J676="","",MAX(-3,MIN(3,('3a Raw'!J676-$P3)/$P4)))</f>
        <v/>
      </c>
      <c r="Q676" s="3">
        <f>IF(P676="","",(P676-AVERAGE(P6:P1198))/(STDEV(P6:P1198)+1E-12))</f>
        <v/>
      </c>
      <c r="R676" s="3">
        <f>IF('3a Raw'!K676="","",MAX(-3,MIN(3,('3a Raw'!K676-$R3)/$R4)))</f>
        <v/>
      </c>
      <c r="S676" s="3">
        <f>IF(R676="","",(R676-AVERAGE(R6:R1198))/(STDEV(R6:R1198)+1E-12))</f>
        <v/>
      </c>
      <c r="T676" s="3">
        <f>IF('3a Raw'!L676="","",MAX(-3,MIN(3,('3a Raw'!L676-$T3)/$T4)))</f>
        <v/>
      </c>
      <c r="U676" s="3">
        <f>IF(T676="","",(T676-AVERAGE(T6:T1198))/(STDEV(T6:T1198)+1E-12))</f>
        <v/>
      </c>
      <c r="X676" s="3">
        <f>IF(U676="","",U676-($V$3*G676+$W$3))</f>
        <v/>
      </c>
      <c r="Y676" s="3">
        <f>IF(X676="","",MAX(-3,MIN(3,(X676-$X3)/$X4)))</f>
        <v/>
      </c>
      <c r="Z676" s="3">
        <f>IF(Y676="","",(Y676-AVERAGE(Y6:Y1198))/(STDEV(Y6:Y1198)+1E-12))</f>
        <v/>
      </c>
    </row>
    <row r="677">
      <c r="A677" t="inlineStr">
        <is>
          <t>BBG000D4LWF6</t>
        </is>
      </c>
      <c r="B677" s="3">
        <f>IF('3a Raw'!C677="","",MAX(-3,MIN(3,('3a Raw'!C677-$B3)/$B4)))</f>
        <v/>
      </c>
      <c r="C677" s="3">
        <f>IF(B677="","",(B677-AVERAGE(B6:B1198))/(STDEV(B6:B1198)+1E-12))</f>
        <v/>
      </c>
      <c r="D677" s="3">
        <f>IF('3a Raw'!D677="","",MAX(-3,MIN(3,('3a Raw'!D677-$D3)/$D4)))</f>
        <v/>
      </c>
      <c r="E677" s="3">
        <f>IF(D677="","",(D677-AVERAGE(D6:D1198))/(STDEV(D6:D1198)+1E-12))</f>
        <v/>
      </c>
      <c r="F677" s="3">
        <f>IF('3a Raw'!E677="","",MAX(-3,MIN(3,('3a Raw'!E677-$F3)/$F4)))</f>
        <v/>
      </c>
      <c r="G677" s="3">
        <f>IF(F677="","",(F677-AVERAGE(F6:F1198))/(STDEV(F6:F1198)+1E-12))</f>
        <v/>
      </c>
      <c r="H677" s="3">
        <f>IF('3a Raw'!F677="","",MAX(-3,MIN(3,('3a Raw'!F677-$H3)/$H4)))</f>
        <v/>
      </c>
      <c r="I677" s="3">
        <f>IF(H677="","",(H677-AVERAGE(H6:H1198))/(STDEV(H6:H1198)+1E-12))</f>
        <v/>
      </c>
      <c r="J677" s="3">
        <f>IF('3a Raw'!G677="","",MAX(-3,MIN(3,('3a Raw'!G677-$J3)/$J4)))</f>
        <v/>
      </c>
      <c r="K677" s="3">
        <f>IF(J677="","",(J677-AVERAGE(J6:J1198))/(STDEV(J6:J1198)+1E-12))</f>
        <v/>
      </c>
      <c r="L677" s="3">
        <f>IF('3a Raw'!H677="","",MAX(-3,MIN(3,('3a Raw'!H677-$L3)/$L4)))</f>
        <v/>
      </c>
      <c r="M677" s="3">
        <f>IF(L677="","",(L677-AVERAGE(L6:L1198))/(STDEV(L6:L1198)+1E-12))</f>
        <v/>
      </c>
      <c r="N677" s="3">
        <f>IF('3a Raw'!I677="","",MAX(-3,MIN(3,('3a Raw'!I677-$N3)/$N4)))</f>
        <v/>
      </c>
      <c r="O677" s="3">
        <f>IF(N677="","",(N677-AVERAGE(N6:N1198))/(STDEV(N6:N1198)+1E-12))</f>
        <v/>
      </c>
      <c r="P677" s="3">
        <f>IF('3a Raw'!J677="","",MAX(-3,MIN(3,('3a Raw'!J677-$P3)/$P4)))</f>
        <v/>
      </c>
      <c r="Q677" s="3">
        <f>IF(P677="","",(P677-AVERAGE(P6:P1198))/(STDEV(P6:P1198)+1E-12))</f>
        <v/>
      </c>
      <c r="R677" s="3">
        <f>IF('3a Raw'!K677="","",MAX(-3,MIN(3,('3a Raw'!K677-$R3)/$R4)))</f>
        <v/>
      </c>
      <c r="S677" s="3">
        <f>IF(R677="","",(R677-AVERAGE(R6:R1198))/(STDEV(R6:R1198)+1E-12))</f>
        <v/>
      </c>
      <c r="T677" s="3">
        <f>IF('3a Raw'!L677="","",MAX(-3,MIN(3,('3a Raw'!L677-$T3)/$T4)))</f>
        <v/>
      </c>
      <c r="U677" s="3">
        <f>IF(T677="","",(T677-AVERAGE(T6:T1198))/(STDEV(T6:T1198)+1E-12))</f>
        <v/>
      </c>
      <c r="X677" s="3">
        <f>IF(U677="","",U677-($V$3*G677+$W$3))</f>
        <v/>
      </c>
      <c r="Y677" s="3">
        <f>IF(X677="","",MAX(-3,MIN(3,(X677-$X3)/$X4)))</f>
        <v/>
      </c>
      <c r="Z677" s="3">
        <f>IF(Y677="","",(Y677-AVERAGE(Y6:Y1198))/(STDEV(Y6:Y1198)+1E-12))</f>
        <v/>
      </c>
    </row>
    <row r="678">
      <c r="A678" t="inlineStr">
        <is>
          <t>mdt</t>
        </is>
      </c>
      <c r="B678" s="3">
        <f>IF('3a Raw'!C678="","",MAX(-3,MIN(3,('3a Raw'!C678-$B3)/$B4)))</f>
        <v/>
      </c>
      <c r="C678" s="3">
        <f>IF(B678="","",(B678-AVERAGE(B6:B1198))/(STDEV(B6:B1198)+1E-12))</f>
        <v/>
      </c>
      <c r="D678" s="3">
        <f>IF('3a Raw'!D678="","",MAX(-3,MIN(3,('3a Raw'!D678-$D3)/$D4)))</f>
        <v/>
      </c>
      <c r="E678" s="3">
        <f>IF(D678="","",(D678-AVERAGE(D6:D1198))/(STDEV(D6:D1198)+1E-12))</f>
        <v/>
      </c>
      <c r="F678" s="3">
        <f>IF('3a Raw'!E678="","",MAX(-3,MIN(3,('3a Raw'!E678-$F3)/$F4)))</f>
        <v/>
      </c>
      <c r="G678" s="3">
        <f>IF(F678="","",(F678-AVERAGE(F6:F1198))/(STDEV(F6:F1198)+1E-12))</f>
        <v/>
      </c>
      <c r="H678" s="3">
        <f>IF('3a Raw'!F678="","",MAX(-3,MIN(3,('3a Raw'!F678-$H3)/$H4)))</f>
        <v/>
      </c>
      <c r="I678" s="3">
        <f>IF(H678="","",(H678-AVERAGE(H6:H1198))/(STDEV(H6:H1198)+1E-12))</f>
        <v/>
      </c>
      <c r="J678" s="3">
        <f>IF('3a Raw'!G678="","",MAX(-3,MIN(3,('3a Raw'!G678-$J3)/$J4)))</f>
        <v/>
      </c>
      <c r="K678" s="3">
        <f>IF(J678="","",(J678-AVERAGE(J6:J1198))/(STDEV(J6:J1198)+1E-12))</f>
        <v/>
      </c>
      <c r="L678" s="3">
        <f>IF('3a Raw'!H678="","",MAX(-3,MIN(3,('3a Raw'!H678-$L3)/$L4)))</f>
        <v/>
      </c>
      <c r="M678" s="3">
        <f>IF(L678="","",(L678-AVERAGE(L6:L1198))/(STDEV(L6:L1198)+1E-12))</f>
        <v/>
      </c>
      <c r="N678" s="3">
        <f>IF('3a Raw'!I678="","",MAX(-3,MIN(3,('3a Raw'!I678-$N3)/$N4)))</f>
        <v/>
      </c>
      <c r="O678" s="3">
        <f>IF(N678="","",(N678-AVERAGE(N6:N1198))/(STDEV(N6:N1198)+1E-12))</f>
        <v/>
      </c>
      <c r="P678" s="3">
        <f>IF('3a Raw'!J678="","",MAX(-3,MIN(3,('3a Raw'!J678-$P3)/$P4)))</f>
        <v/>
      </c>
      <c r="Q678" s="3">
        <f>IF(P678="","",(P678-AVERAGE(P6:P1198))/(STDEV(P6:P1198)+1E-12))</f>
        <v/>
      </c>
      <c r="R678" s="3">
        <f>IF('3a Raw'!K678="","",MAX(-3,MIN(3,('3a Raw'!K678-$R3)/$R4)))</f>
        <v/>
      </c>
      <c r="S678" s="3">
        <f>IF(R678="","",(R678-AVERAGE(R6:R1198))/(STDEV(R6:R1198)+1E-12))</f>
        <v/>
      </c>
      <c r="T678" s="3">
        <f>IF('3a Raw'!L678="","",MAX(-3,MIN(3,('3a Raw'!L678-$T3)/$T4)))</f>
        <v/>
      </c>
      <c r="U678" s="3">
        <f>IF(T678="","",(T678-AVERAGE(T6:T1198))/(STDEV(T6:T1198)+1E-12))</f>
        <v/>
      </c>
      <c r="X678" s="3">
        <f>IF(U678="","",U678-($V$3*G678+$W$3))</f>
        <v/>
      </c>
      <c r="Y678" s="3">
        <f>IF(X678="","",MAX(-3,MIN(3,(X678-$X3)/$X4)))</f>
        <v/>
      </c>
      <c r="Z678" s="3">
        <f>IF(Y678="","",(Y678-AVERAGE(Y6:Y1198))/(STDEV(Y6:Y1198)+1E-12))</f>
        <v/>
      </c>
    </row>
    <row r="679">
      <c r="A679" t="inlineStr">
        <is>
          <t>BBG000GQPB11</t>
        </is>
      </c>
      <c r="B679" s="3">
        <f>IF('3a Raw'!C679="","",MAX(-3,MIN(3,('3a Raw'!C679-$B3)/$B4)))</f>
        <v/>
      </c>
      <c r="C679" s="3">
        <f>IF(B679="","",(B679-AVERAGE(B6:B1198))/(STDEV(B6:B1198)+1E-12))</f>
        <v/>
      </c>
      <c r="D679" s="3">
        <f>IF('3a Raw'!D679="","",MAX(-3,MIN(3,('3a Raw'!D679-$D3)/$D4)))</f>
        <v/>
      </c>
      <c r="E679" s="3">
        <f>IF(D679="","",(D679-AVERAGE(D6:D1198))/(STDEV(D6:D1198)+1E-12))</f>
        <v/>
      </c>
      <c r="F679" s="3">
        <f>IF('3a Raw'!E679="","",MAX(-3,MIN(3,('3a Raw'!E679-$F3)/$F4)))</f>
        <v/>
      </c>
      <c r="G679" s="3">
        <f>IF(F679="","",(F679-AVERAGE(F6:F1198))/(STDEV(F6:F1198)+1E-12))</f>
        <v/>
      </c>
      <c r="H679" s="3">
        <f>IF('3a Raw'!F679="","",MAX(-3,MIN(3,('3a Raw'!F679-$H3)/$H4)))</f>
        <v/>
      </c>
      <c r="I679" s="3">
        <f>IF(H679="","",(H679-AVERAGE(H6:H1198))/(STDEV(H6:H1198)+1E-12))</f>
        <v/>
      </c>
      <c r="J679" s="3">
        <f>IF('3a Raw'!G679="","",MAX(-3,MIN(3,('3a Raw'!G679-$J3)/$J4)))</f>
        <v/>
      </c>
      <c r="K679" s="3">
        <f>IF(J679="","",(J679-AVERAGE(J6:J1198))/(STDEV(J6:J1198)+1E-12))</f>
        <v/>
      </c>
      <c r="L679" s="3">
        <f>IF('3a Raw'!H679="","",MAX(-3,MIN(3,('3a Raw'!H679-$L3)/$L4)))</f>
        <v/>
      </c>
      <c r="M679" s="3">
        <f>IF(L679="","",(L679-AVERAGE(L6:L1198))/(STDEV(L6:L1198)+1E-12))</f>
        <v/>
      </c>
      <c r="N679" s="3">
        <f>IF('3a Raw'!I679="","",MAX(-3,MIN(3,('3a Raw'!I679-$N3)/$N4)))</f>
        <v/>
      </c>
      <c r="O679" s="3">
        <f>IF(N679="","",(N679-AVERAGE(N6:N1198))/(STDEV(N6:N1198)+1E-12))</f>
        <v/>
      </c>
      <c r="P679" s="3">
        <f>IF('3a Raw'!J679="","",MAX(-3,MIN(3,('3a Raw'!J679-$P3)/$P4)))</f>
        <v/>
      </c>
      <c r="Q679" s="3">
        <f>IF(P679="","",(P679-AVERAGE(P6:P1198))/(STDEV(P6:P1198)+1E-12))</f>
        <v/>
      </c>
      <c r="R679" s="3">
        <f>IF('3a Raw'!K679="","",MAX(-3,MIN(3,('3a Raw'!K679-$R3)/$R4)))</f>
        <v/>
      </c>
      <c r="S679" s="3">
        <f>IF(R679="","",(R679-AVERAGE(R6:R1198))/(STDEV(R6:R1198)+1E-12))</f>
        <v/>
      </c>
      <c r="T679" s="3">
        <f>IF('3a Raw'!L679="","",MAX(-3,MIN(3,('3a Raw'!L679-$T3)/$T4)))</f>
        <v/>
      </c>
      <c r="U679" s="3">
        <f>IF(T679="","",(T679-AVERAGE(T6:T1198))/(STDEV(T6:T1198)+1E-12))</f>
        <v/>
      </c>
      <c r="X679" s="3">
        <f>IF(U679="","",U679-($V$3*G679+$W$3))</f>
        <v/>
      </c>
      <c r="Y679" s="3">
        <f>IF(X679="","",MAX(-3,MIN(3,(X679-$X3)/$X4)))</f>
        <v/>
      </c>
      <c r="Z679" s="3">
        <f>IF(Y679="","",(Y679-AVERAGE(Y6:Y1198))/(STDEV(Y6:Y1198)+1E-12))</f>
        <v/>
      </c>
    </row>
    <row r="680">
      <c r="A680" t="inlineStr">
        <is>
          <t>BBG000C16MS8</t>
        </is>
      </c>
      <c r="B680" s="3">
        <f>IF('3a Raw'!C680="","",MAX(-3,MIN(3,('3a Raw'!C680-$B3)/$B4)))</f>
        <v/>
      </c>
      <c r="C680" s="3">
        <f>IF(B680="","",(B680-AVERAGE(B6:B1198))/(STDEV(B6:B1198)+1E-12))</f>
        <v/>
      </c>
      <c r="D680" s="3">
        <f>IF('3a Raw'!D680="","",MAX(-3,MIN(3,('3a Raw'!D680-$D3)/$D4)))</f>
        <v/>
      </c>
      <c r="E680" s="3">
        <f>IF(D680="","",(D680-AVERAGE(D6:D1198))/(STDEV(D6:D1198)+1E-12))</f>
        <v/>
      </c>
      <c r="F680" s="3">
        <f>IF('3a Raw'!E680="","",MAX(-3,MIN(3,('3a Raw'!E680-$F3)/$F4)))</f>
        <v/>
      </c>
      <c r="G680" s="3">
        <f>IF(F680="","",(F680-AVERAGE(F6:F1198))/(STDEV(F6:F1198)+1E-12))</f>
        <v/>
      </c>
      <c r="H680" s="3">
        <f>IF('3a Raw'!F680="","",MAX(-3,MIN(3,('3a Raw'!F680-$H3)/$H4)))</f>
        <v/>
      </c>
      <c r="I680" s="3">
        <f>IF(H680="","",(H680-AVERAGE(H6:H1198))/(STDEV(H6:H1198)+1E-12))</f>
        <v/>
      </c>
      <c r="J680" s="3">
        <f>IF('3a Raw'!G680="","",MAX(-3,MIN(3,('3a Raw'!G680-$J3)/$J4)))</f>
        <v/>
      </c>
      <c r="K680" s="3">
        <f>IF(J680="","",(J680-AVERAGE(J6:J1198))/(STDEV(J6:J1198)+1E-12))</f>
        <v/>
      </c>
      <c r="L680" s="3">
        <f>IF('3a Raw'!H680="","",MAX(-3,MIN(3,('3a Raw'!H680-$L3)/$L4)))</f>
        <v/>
      </c>
      <c r="M680" s="3">
        <f>IF(L680="","",(L680-AVERAGE(L6:L1198))/(STDEV(L6:L1198)+1E-12))</f>
        <v/>
      </c>
      <c r="N680" s="3">
        <f>IF('3a Raw'!I680="","",MAX(-3,MIN(3,('3a Raw'!I680-$N3)/$N4)))</f>
        <v/>
      </c>
      <c r="O680" s="3">
        <f>IF(N680="","",(N680-AVERAGE(N6:N1198))/(STDEV(N6:N1198)+1E-12))</f>
        <v/>
      </c>
      <c r="P680" s="3">
        <f>IF('3a Raw'!J680="","",MAX(-3,MIN(3,('3a Raw'!J680-$P3)/$P4)))</f>
        <v/>
      </c>
      <c r="Q680" s="3">
        <f>IF(P680="","",(P680-AVERAGE(P6:P1198))/(STDEV(P6:P1198)+1E-12))</f>
        <v/>
      </c>
      <c r="R680" s="3">
        <f>IF('3a Raw'!K680="","",MAX(-3,MIN(3,('3a Raw'!K680-$R3)/$R4)))</f>
        <v/>
      </c>
      <c r="S680" s="3">
        <f>IF(R680="","",(R680-AVERAGE(R6:R1198))/(STDEV(R6:R1198)+1E-12))</f>
        <v/>
      </c>
      <c r="T680" s="3">
        <f>IF('3a Raw'!L680="","",MAX(-3,MIN(3,('3a Raw'!L680-$T3)/$T4)))</f>
        <v/>
      </c>
      <c r="U680" s="3">
        <f>IF(T680="","",(T680-AVERAGE(T6:T1198))/(STDEV(T6:T1198)+1E-12))</f>
        <v/>
      </c>
      <c r="X680" s="3">
        <f>IF(U680="","",U680-($V$3*G680+$W$3))</f>
        <v/>
      </c>
      <c r="Y680" s="3">
        <f>IF(X680="","",MAX(-3,MIN(3,(X680-$X3)/$X4)))</f>
        <v/>
      </c>
      <c r="Z680" s="3">
        <f>IF(Y680="","",(Y680-AVERAGE(Y6:Y1198))/(STDEV(Y6:Y1198)+1E-12))</f>
        <v/>
      </c>
    </row>
    <row r="681">
      <c r="A681" t="inlineStr">
        <is>
          <t>BBG000BB6KF5</t>
        </is>
      </c>
      <c r="B681" s="3">
        <f>IF('3a Raw'!C681="","",MAX(-3,MIN(3,('3a Raw'!C681-$B3)/$B4)))</f>
        <v/>
      </c>
      <c r="C681" s="3">
        <f>IF(B681="","",(B681-AVERAGE(B6:B1198))/(STDEV(B6:B1198)+1E-12))</f>
        <v/>
      </c>
      <c r="D681" s="3">
        <f>IF('3a Raw'!D681="","",MAX(-3,MIN(3,('3a Raw'!D681-$D3)/$D4)))</f>
        <v/>
      </c>
      <c r="E681" s="3">
        <f>IF(D681="","",(D681-AVERAGE(D6:D1198))/(STDEV(D6:D1198)+1E-12))</f>
        <v/>
      </c>
      <c r="F681" s="3">
        <f>IF('3a Raw'!E681="","",MAX(-3,MIN(3,('3a Raw'!E681-$F3)/$F4)))</f>
        <v/>
      </c>
      <c r="G681" s="3">
        <f>IF(F681="","",(F681-AVERAGE(F6:F1198))/(STDEV(F6:F1198)+1E-12))</f>
        <v/>
      </c>
      <c r="H681" s="3">
        <f>IF('3a Raw'!F681="","",MAX(-3,MIN(3,('3a Raw'!F681-$H3)/$H4)))</f>
        <v/>
      </c>
      <c r="I681" s="3">
        <f>IF(H681="","",(H681-AVERAGE(H6:H1198))/(STDEV(H6:H1198)+1E-12))</f>
        <v/>
      </c>
      <c r="J681" s="3">
        <f>IF('3a Raw'!G681="","",MAX(-3,MIN(3,('3a Raw'!G681-$J3)/$J4)))</f>
        <v/>
      </c>
      <c r="K681" s="3">
        <f>IF(J681="","",(J681-AVERAGE(J6:J1198))/(STDEV(J6:J1198)+1E-12))</f>
        <v/>
      </c>
      <c r="L681" s="3">
        <f>IF('3a Raw'!H681="","",MAX(-3,MIN(3,('3a Raw'!H681-$L3)/$L4)))</f>
        <v/>
      </c>
      <c r="M681" s="3">
        <f>IF(L681="","",(L681-AVERAGE(L6:L1198))/(STDEV(L6:L1198)+1E-12))</f>
        <v/>
      </c>
      <c r="N681" s="3">
        <f>IF('3a Raw'!I681="","",MAX(-3,MIN(3,('3a Raw'!I681-$N3)/$N4)))</f>
        <v/>
      </c>
      <c r="O681" s="3">
        <f>IF(N681="","",(N681-AVERAGE(N6:N1198))/(STDEV(N6:N1198)+1E-12))</f>
        <v/>
      </c>
      <c r="P681" s="3">
        <f>IF('3a Raw'!J681="","",MAX(-3,MIN(3,('3a Raw'!J681-$P3)/$P4)))</f>
        <v/>
      </c>
      <c r="Q681" s="3">
        <f>IF(P681="","",(P681-AVERAGE(P6:P1198))/(STDEV(P6:P1198)+1E-12))</f>
        <v/>
      </c>
      <c r="R681" s="3">
        <f>IF('3a Raw'!K681="","",MAX(-3,MIN(3,('3a Raw'!K681-$R3)/$R4)))</f>
        <v/>
      </c>
      <c r="S681" s="3">
        <f>IF(R681="","",(R681-AVERAGE(R6:R1198))/(STDEV(R6:R1198)+1E-12))</f>
        <v/>
      </c>
      <c r="T681" s="3">
        <f>IF('3a Raw'!L681="","",MAX(-3,MIN(3,('3a Raw'!L681-$T3)/$T4)))</f>
        <v/>
      </c>
      <c r="U681" s="3">
        <f>IF(T681="","",(T681-AVERAGE(T6:T1198))/(STDEV(T6:T1198)+1E-12))</f>
        <v/>
      </c>
      <c r="X681" s="3">
        <f>IF(U681="","",U681-($V$3*G681+$W$3))</f>
        <v/>
      </c>
      <c r="Y681" s="3">
        <f>IF(X681="","",MAX(-3,MIN(3,(X681-$X3)/$X4)))</f>
        <v/>
      </c>
      <c r="Z681" s="3">
        <f>IF(Y681="","",(Y681-AVERAGE(Y6:Y1198))/(STDEV(Y6:Y1198)+1E-12))</f>
        <v/>
      </c>
    </row>
    <row r="682">
      <c r="A682" t="inlineStr">
        <is>
          <t>BBG000MM2P62</t>
        </is>
      </c>
      <c r="B682" s="3">
        <f>IF('3a Raw'!C682="","",MAX(-3,MIN(3,('3a Raw'!C682-$B3)/$B4)))</f>
        <v/>
      </c>
      <c r="C682" s="3">
        <f>IF(B682="","",(B682-AVERAGE(B6:B1198))/(STDEV(B6:B1198)+1E-12))</f>
        <v/>
      </c>
      <c r="D682" s="3">
        <f>IF('3a Raw'!D682="","",MAX(-3,MIN(3,('3a Raw'!D682-$D3)/$D4)))</f>
        <v/>
      </c>
      <c r="E682" s="3">
        <f>IF(D682="","",(D682-AVERAGE(D6:D1198))/(STDEV(D6:D1198)+1E-12))</f>
        <v/>
      </c>
      <c r="F682" s="3">
        <f>IF('3a Raw'!E682="","",MAX(-3,MIN(3,('3a Raw'!E682-$F3)/$F4)))</f>
        <v/>
      </c>
      <c r="G682" s="3">
        <f>IF(F682="","",(F682-AVERAGE(F6:F1198))/(STDEV(F6:F1198)+1E-12))</f>
        <v/>
      </c>
      <c r="H682" s="3">
        <f>IF('3a Raw'!F682="","",MAX(-3,MIN(3,('3a Raw'!F682-$H3)/$H4)))</f>
        <v/>
      </c>
      <c r="I682" s="3">
        <f>IF(H682="","",(H682-AVERAGE(H6:H1198))/(STDEV(H6:H1198)+1E-12))</f>
        <v/>
      </c>
      <c r="J682" s="3">
        <f>IF('3a Raw'!G682="","",MAX(-3,MIN(3,('3a Raw'!G682-$J3)/$J4)))</f>
        <v/>
      </c>
      <c r="K682" s="3">
        <f>IF(J682="","",(J682-AVERAGE(J6:J1198))/(STDEV(J6:J1198)+1E-12))</f>
        <v/>
      </c>
      <c r="L682" s="3">
        <f>IF('3a Raw'!H682="","",MAX(-3,MIN(3,('3a Raw'!H682-$L3)/$L4)))</f>
        <v/>
      </c>
      <c r="M682" s="3">
        <f>IF(L682="","",(L682-AVERAGE(L6:L1198))/(STDEV(L6:L1198)+1E-12))</f>
        <v/>
      </c>
      <c r="N682" s="3">
        <f>IF('3a Raw'!I682="","",MAX(-3,MIN(3,('3a Raw'!I682-$N3)/$N4)))</f>
        <v/>
      </c>
      <c r="O682" s="3">
        <f>IF(N682="","",(N682-AVERAGE(N6:N1198))/(STDEV(N6:N1198)+1E-12))</f>
        <v/>
      </c>
      <c r="P682" s="3">
        <f>IF('3a Raw'!J682="","",MAX(-3,MIN(3,('3a Raw'!J682-$P3)/$P4)))</f>
        <v/>
      </c>
      <c r="Q682" s="3">
        <f>IF(P682="","",(P682-AVERAGE(P6:P1198))/(STDEV(P6:P1198)+1E-12))</f>
        <v/>
      </c>
      <c r="R682" s="3">
        <f>IF('3a Raw'!K682="","",MAX(-3,MIN(3,('3a Raw'!K682-$R3)/$R4)))</f>
        <v/>
      </c>
      <c r="S682" s="3">
        <f>IF(R682="","",(R682-AVERAGE(R6:R1198))/(STDEV(R6:R1198)+1E-12))</f>
        <v/>
      </c>
      <c r="T682" s="3">
        <f>IF('3a Raw'!L682="","",MAX(-3,MIN(3,('3a Raw'!L682-$T3)/$T4)))</f>
        <v/>
      </c>
      <c r="U682" s="3">
        <f>IF(T682="","",(T682-AVERAGE(T6:T1198))/(STDEV(T6:T1198)+1E-12))</f>
        <v/>
      </c>
      <c r="X682" s="3">
        <f>IF(U682="","",U682-($V$3*G682+$W$3))</f>
        <v/>
      </c>
      <c r="Y682" s="3">
        <f>IF(X682="","",MAX(-3,MIN(3,(X682-$X3)/$X4)))</f>
        <v/>
      </c>
      <c r="Z682" s="3">
        <f>IF(Y682="","",(Y682-AVERAGE(Y6:Y1198))/(STDEV(Y6:Y1198)+1E-12))</f>
        <v/>
      </c>
    </row>
    <row r="683">
      <c r="A683" t="inlineStr">
        <is>
          <t>BBG000C0Q0K4</t>
        </is>
      </c>
      <c r="B683" s="3">
        <f>IF('3a Raw'!C683="","",MAX(-3,MIN(3,('3a Raw'!C683-$B3)/$B4)))</f>
        <v/>
      </c>
      <c r="C683" s="3">
        <f>IF(B683="","",(B683-AVERAGE(B6:B1198))/(STDEV(B6:B1198)+1E-12))</f>
        <v/>
      </c>
      <c r="D683" s="3">
        <f>IF('3a Raw'!D683="","",MAX(-3,MIN(3,('3a Raw'!D683-$D3)/$D4)))</f>
        <v/>
      </c>
      <c r="E683" s="3">
        <f>IF(D683="","",(D683-AVERAGE(D6:D1198))/(STDEV(D6:D1198)+1E-12))</f>
        <v/>
      </c>
      <c r="F683" s="3">
        <f>IF('3a Raw'!E683="","",MAX(-3,MIN(3,('3a Raw'!E683-$F3)/$F4)))</f>
        <v/>
      </c>
      <c r="G683" s="3">
        <f>IF(F683="","",(F683-AVERAGE(F6:F1198))/(STDEV(F6:F1198)+1E-12))</f>
        <v/>
      </c>
      <c r="H683" s="3">
        <f>IF('3a Raw'!F683="","",MAX(-3,MIN(3,('3a Raw'!F683-$H3)/$H4)))</f>
        <v/>
      </c>
      <c r="I683" s="3">
        <f>IF(H683="","",(H683-AVERAGE(H6:H1198))/(STDEV(H6:H1198)+1E-12))</f>
        <v/>
      </c>
      <c r="J683" s="3">
        <f>IF('3a Raw'!G683="","",MAX(-3,MIN(3,('3a Raw'!G683-$J3)/$J4)))</f>
        <v/>
      </c>
      <c r="K683" s="3">
        <f>IF(J683="","",(J683-AVERAGE(J6:J1198))/(STDEV(J6:J1198)+1E-12))</f>
        <v/>
      </c>
      <c r="L683" s="3">
        <f>IF('3a Raw'!H683="","",MAX(-3,MIN(3,('3a Raw'!H683-$L3)/$L4)))</f>
        <v/>
      </c>
      <c r="M683" s="3">
        <f>IF(L683="","",(L683-AVERAGE(L6:L1198))/(STDEV(L6:L1198)+1E-12))</f>
        <v/>
      </c>
      <c r="N683" s="3">
        <f>IF('3a Raw'!I683="","",MAX(-3,MIN(3,('3a Raw'!I683-$N3)/$N4)))</f>
        <v/>
      </c>
      <c r="O683" s="3">
        <f>IF(N683="","",(N683-AVERAGE(N6:N1198))/(STDEV(N6:N1198)+1E-12))</f>
        <v/>
      </c>
      <c r="P683" s="3">
        <f>IF('3a Raw'!J683="","",MAX(-3,MIN(3,('3a Raw'!J683-$P3)/$P4)))</f>
        <v/>
      </c>
      <c r="Q683" s="3">
        <f>IF(P683="","",(P683-AVERAGE(P6:P1198))/(STDEV(P6:P1198)+1E-12))</f>
        <v/>
      </c>
      <c r="R683" s="3">
        <f>IF('3a Raw'!K683="","",MAX(-3,MIN(3,('3a Raw'!K683-$R3)/$R4)))</f>
        <v/>
      </c>
      <c r="S683" s="3">
        <f>IF(R683="","",(R683-AVERAGE(R6:R1198))/(STDEV(R6:R1198)+1E-12))</f>
        <v/>
      </c>
      <c r="T683" s="3">
        <f>IF('3a Raw'!L683="","",MAX(-3,MIN(3,('3a Raw'!L683-$T3)/$T4)))</f>
        <v/>
      </c>
      <c r="U683" s="3">
        <f>IF(T683="","",(T683-AVERAGE(T6:T1198))/(STDEV(T6:T1198)+1E-12))</f>
        <v/>
      </c>
      <c r="X683" s="3">
        <f>IF(U683="","",U683-($V$3*G683+$W$3))</f>
        <v/>
      </c>
      <c r="Y683" s="3">
        <f>IF(X683="","",MAX(-3,MIN(3,(X683-$X3)/$X4)))</f>
        <v/>
      </c>
      <c r="Z683" s="3">
        <f>IF(Y683="","",(Y683-AVERAGE(Y6:Y1198))/(STDEV(Y6:Y1198)+1E-12))</f>
        <v/>
      </c>
    </row>
    <row r="684">
      <c r="A684" t="inlineStr">
        <is>
          <t>BBG000CBNX94</t>
        </is>
      </c>
      <c r="B684" s="3">
        <f>IF('3a Raw'!C684="","",MAX(-3,MIN(3,('3a Raw'!C684-$B3)/$B4)))</f>
        <v/>
      </c>
      <c r="C684" s="3">
        <f>IF(B684="","",(B684-AVERAGE(B6:B1198))/(STDEV(B6:B1198)+1E-12))</f>
        <v/>
      </c>
      <c r="D684" s="3">
        <f>IF('3a Raw'!D684="","",MAX(-3,MIN(3,('3a Raw'!D684-$D3)/$D4)))</f>
        <v/>
      </c>
      <c r="E684" s="3">
        <f>IF(D684="","",(D684-AVERAGE(D6:D1198))/(STDEV(D6:D1198)+1E-12))</f>
        <v/>
      </c>
      <c r="F684" s="3">
        <f>IF('3a Raw'!E684="","",MAX(-3,MIN(3,('3a Raw'!E684-$F3)/$F4)))</f>
        <v/>
      </c>
      <c r="G684" s="3">
        <f>IF(F684="","",(F684-AVERAGE(F6:F1198))/(STDEV(F6:F1198)+1E-12))</f>
        <v/>
      </c>
      <c r="H684" s="3">
        <f>IF('3a Raw'!F684="","",MAX(-3,MIN(3,('3a Raw'!F684-$H3)/$H4)))</f>
        <v/>
      </c>
      <c r="I684" s="3">
        <f>IF(H684="","",(H684-AVERAGE(H6:H1198))/(STDEV(H6:H1198)+1E-12))</f>
        <v/>
      </c>
      <c r="J684" s="3">
        <f>IF('3a Raw'!G684="","",MAX(-3,MIN(3,('3a Raw'!G684-$J3)/$J4)))</f>
        <v/>
      </c>
      <c r="K684" s="3">
        <f>IF(J684="","",(J684-AVERAGE(J6:J1198))/(STDEV(J6:J1198)+1E-12))</f>
        <v/>
      </c>
      <c r="L684" s="3">
        <f>IF('3a Raw'!H684="","",MAX(-3,MIN(3,('3a Raw'!H684-$L3)/$L4)))</f>
        <v/>
      </c>
      <c r="M684" s="3">
        <f>IF(L684="","",(L684-AVERAGE(L6:L1198))/(STDEV(L6:L1198)+1E-12))</f>
        <v/>
      </c>
      <c r="N684" s="3">
        <f>IF('3a Raw'!I684="","",MAX(-3,MIN(3,('3a Raw'!I684-$N3)/$N4)))</f>
        <v/>
      </c>
      <c r="O684" s="3">
        <f>IF(N684="","",(N684-AVERAGE(N6:N1198))/(STDEV(N6:N1198)+1E-12))</f>
        <v/>
      </c>
      <c r="P684" s="3">
        <f>IF('3a Raw'!J684="","",MAX(-3,MIN(3,('3a Raw'!J684-$P3)/$P4)))</f>
        <v/>
      </c>
      <c r="Q684" s="3">
        <f>IF(P684="","",(P684-AVERAGE(P6:P1198))/(STDEV(P6:P1198)+1E-12))</f>
        <v/>
      </c>
      <c r="R684" s="3">
        <f>IF('3a Raw'!K684="","",MAX(-3,MIN(3,('3a Raw'!K684-$R3)/$R4)))</f>
        <v/>
      </c>
      <c r="S684" s="3">
        <f>IF(R684="","",(R684-AVERAGE(R6:R1198))/(STDEV(R6:R1198)+1E-12))</f>
        <v/>
      </c>
      <c r="T684" s="3">
        <f>IF('3a Raw'!L684="","",MAX(-3,MIN(3,('3a Raw'!L684-$T3)/$T4)))</f>
        <v/>
      </c>
      <c r="U684" s="3">
        <f>IF(T684="","",(T684-AVERAGE(T6:T1198))/(STDEV(T6:T1198)+1E-12))</f>
        <v/>
      </c>
      <c r="X684" s="3">
        <f>IF(U684="","",U684-($V$3*G684+$W$3))</f>
        <v/>
      </c>
      <c r="Y684" s="3">
        <f>IF(X684="","",MAX(-3,MIN(3,(X684-$X3)/$X4)))</f>
        <v/>
      </c>
      <c r="Z684" s="3">
        <f>IF(Y684="","",(Y684-AVERAGE(Y6:Y1198))/(STDEV(Y6:Y1198)+1E-12))</f>
        <v/>
      </c>
    </row>
    <row r="685">
      <c r="A685" t="inlineStr">
        <is>
          <t>BBG000GPQ7M8</t>
        </is>
      </c>
      <c r="B685" s="3">
        <f>IF('3a Raw'!C685="","",MAX(-3,MIN(3,('3a Raw'!C685-$B3)/$B4)))</f>
        <v/>
      </c>
      <c r="C685" s="3">
        <f>IF(B685="","",(B685-AVERAGE(B6:B1198))/(STDEV(B6:B1198)+1E-12))</f>
        <v/>
      </c>
      <c r="D685" s="3">
        <f>IF('3a Raw'!D685="","",MAX(-3,MIN(3,('3a Raw'!D685-$D3)/$D4)))</f>
        <v/>
      </c>
      <c r="E685" s="3">
        <f>IF(D685="","",(D685-AVERAGE(D6:D1198))/(STDEV(D6:D1198)+1E-12))</f>
        <v/>
      </c>
      <c r="F685" s="3">
        <f>IF('3a Raw'!E685="","",MAX(-3,MIN(3,('3a Raw'!E685-$F3)/$F4)))</f>
        <v/>
      </c>
      <c r="G685" s="3">
        <f>IF(F685="","",(F685-AVERAGE(F6:F1198))/(STDEV(F6:F1198)+1E-12))</f>
        <v/>
      </c>
      <c r="H685" s="3">
        <f>IF('3a Raw'!F685="","",MAX(-3,MIN(3,('3a Raw'!F685-$H3)/$H4)))</f>
        <v/>
      </c>
      <c r="I685" s="3">
        <f>IF(H685="","",(H685-AVERAGE(H6:H1198))/(STDEV(H6:H1198)+1E-12))</f>
        <v/>
      </c>
      <c r="J685" s="3">
        <f>IF('3a Raw'!G685="","",MAX(-3,MIN(3,('3a Raw'!G685-$J3)/$J4)))</f>
        <v/>
      </c>
      <c r="K685" s="3">
        <f>IF(J685="","",(J685-AVERAGE(J6:J1198))/(STDEV(J6:J1198)+1E-12))</f>
        <v/>
      </c>
      <c r="L685" s="3">
        <f>IF('3a Raw'!H685="","",MAX(-3,MIN(3,('3a Raw'!H685-$L3)/$L4)))</f>
        <v/>
      </c>
      <c r="M685" s="3">
        <f>IF(L685="","",(L685-AVERAGE(L6:L1198))/(STDEV(L6:L1198)+1E-12))</f>
        <v/>
      </c>
      <c r="N685" s="3">
        <f>IF('3a Raw'!I685="","",MAX(-3,MIN(3,('3a Raw'!I685-$N3)/$N4)))</f>
        <v/>
      </c>
      <c r="O685" s="3">
        <f>IF(N685="","",(N685-AVERAGE(N6:N1198))/(STDEV(N6:N1198)+1E-12))</f>
        <v/>
      </c>
      <c r="P685" s="3">
        <f>IF('3a Raw'!J685="","",MAX(-3,MIN(3,('3a Raw'!J685-$P3)/$P4)))</f>
        <v/>
      </c>
      <c r="Q685" s="3">
        <f>IF(P685="","",(P685-AVERAGE(P6:P1198))/(STDEV(P6:P1198)+1E-12))</f>
        <v/>
      </c>
      <c r="R685" s="3">
        <f>IF('3a Raw'!K685="","",MAX(-3,MIN(3,('3a Raw'!K685-$R3)/$R4)))</f>
        <v/>
      </c>
      <c r="S685" s="3">
        <f>IF(R685="","",(R685-AVERAGE(R6:R1198))/(STDEV(R6:R1198)+1E-12))</f>
        <v/>
      </c>
      <c r="T685" s="3">
        <f>IF('3a Raw'!L685="","",MAX(-3,MIN(3,('3a Raw'!L685-$T3)/$T4)))</f>
        <v/>
      </c>
      <c r="U685" s="3">
        <f>IF(T685="","",(T685-AVERAGE(T6:T1198))/(STDEV(T6:T1198)+1E-12))</f>
        <v/>
      </c>
      <c r="X685" s="3">
        <f>IF(U685="","",U685-($V$3*G685+$W$3))</f>
        <v/>
      </c>
      <c r="Y685" s="3">
        <f>IF(X685="","",MAX(-3,MIN(3,(X685-$X3)/$X4)))</f>
        <v/>
      </c>
      <c r="Z685" s="3">
        <f>IF(Y685="","",(Y685-AVERAGE(Y6:Y1198))/(STDEV(Y6:Y1198)+1E-12))</f>
        <v/>
      </c>
    </row>
    <row r="686">
      <c r="A686" t="inlineStr">
        <is>
          <t>BBG000C2BXK4</t>
        </is>
      </c>
      <c r="B686" s="3">
        <f>IF('3a Raw'!C686="","",MAX(-3,MIN(3,('3a Raw'!C686-$B3)/$B4)))</f>
        <v/>
      </c>
      <c r="C686" s="3">
        <f>IF(B686="","",(B686-AVERAGE(B6:B1198))/(STDEV(B6:B1198)+1E-12))</f>
        <v/>
      </c>
      <c r="D686" s="3">
        <f>IF('3a Raw'!D686="","",MAX(-3,MIN(3,('3a Raw'!D686-$D3)/$D4)))</f>
        <v/>
      </c>
      <c r="E686" s="3">
        <f>IF(D686="","",(D686-AVERAGE(D6:D1198))/(STDEV(D6:D1198)+1E-12))</f>
        <v/>
      </c>
      <c r="F686" s="3">
        <f>IF('3a Raw'!E686="","",MAX(-3,MIN(3,('3a Raw'!E686-$F3)/$F4)))</f>
        <v/>
      </c>
      <c r="G686" s="3">
        <f>IF(F686="","",(F686-AVERAGE(F6:F1198))/(STDEV(F6:F1198)+1E-12))</f>
        <v/>
      </c>
      <c r="H686" s="3">
        <f>IF('3a Raw'!F686="","",MAX(-3,MIN(3,('3a Raw'!F686-$H3)/$H4)))</f>
        <v/>
      </c>
      <c r="I686" s="3">
        <f>IF(H686="","",(H686-AVERAGE(H6:H1198))/(STDEV(H6:H1198)+1E-12))</f>
        <v/>
      </c>
      <c r="J686" s="3">
        <f>IF('3a Raw'!G686="","",MAX(-3,MIN(3,('3a Raw'!G686-$J3)/$J4)))</f>
        <v/>
      </c>
      <c r="K686" s="3">
        <f>IF(J686="","",(J686-AVERAGE(J6:J1198))/(STDEV(J6:J1198)+1E-12))</f>
        <v/>
      </c>
      <c r="L686" s="3">
        <f>IF('3a Raw'!H686="","",MAX(-3,MIN(3,('3a Raw'!H686-$L3)/$L4)))</f>
        <v/>
      </c>
      <c r="M686" s="3">
        <f>IF(L686="","",(L686-AVERAGE(L6:L1198))/(STDEV(L6:L1198)+1E-12))</f>
        <v/>
      </c>
      <c r="N686" s="3">
        <f>IF('3a Raw'!I686="","",MAX(-3,MIN(3,('3a Raw'!I686-$N3)/$N4)))</f>
        <v/>
      </c>
      <c r="O686" s="3">
        <f>IF(N686="","",(N686-AVERAGE(N6:N1198))/(STDEV(N6:N1198)+1E-12))</f>
        <v/>
      </c>
      <c r="P686" s="3">
        <f>IF('3a Raw'!J686="","",MAX(-3,MIN(3,('3a Raw'!J686-$P3)/$P4)))</f>
        <v/>
      </c>
      <c r="Q686" s="3">
        <f>IF(P686="","",(P686-AVERAGE(P6:P1198))/(STDEV(P6:P1198)+1E-12))</f>
        <v/>
      </c>
      <c r="R686" s="3">
        <f>IF('3a Raw'!K686="","",MAX(-3,MIN(3,('3a Raw'!K686-$R3)/$R4)))</f>
        <v/>
      </c>
      <c r="S686" s="3">
        <f>IF(R686="","",(R686-AVERAGE(R6:R1198))/(STDEV(R6:R1198)+1E-12))</f>
        <v/>
      </c>
      <c r="T686" s="3">
        <f>IF('3a Raw'!L686="","",MAX(-3,MIN(3,('3a Raw'!L686-$T3)/$T4)))</f>
        <v/>
      </c>
      <c r="U686" s="3">
        <f>IF(T686="","",(T686-AVERAGE(T6:T1198))/(STDEV(T6:T1198)+1E-12))</f>
        <v/>
      </c>
      <c r="X686" s="3">
        <f>IF(U686="","",U686-($V$3*G686+$W$3))</f>
        <v/>
      </c>
      <c r="Y686" s="3">
        <f>IF(X686="","",MAX(-3,MIN(3,(X686-$X3)/$X4)))</f>
        <v/>
      </c>
      <c r="Z686" s="3">
        <f>IF(Y686="","",(Y686-AVERAGE(Y6:Y1198))/(STDEV(Y6:Y1198)+1E-12))</f>
        <v/>
      </c>
    </row>
    <row r="687">
      <c r="A687" t="inlineStr">
        <is>
          <t>BBG000BM2SF8</t>
        </is>
      </c>
      <c r="B687" s="3">
        <f>IF('3a Raw'!C687="","",MAX(-3,MIN(3,('3a Raw'!C687-$B3)/$B4)))</f>
        <v/>
      </c>
      <c r="C687" s="3">
        <f>IF(B687="","",(B687-AVERAGE(B6:B1198))/(STDEV(B6:B1198)+1E-12))</f>
        <v/>
      </c>
      <c r="D687" s="3">
        <f>IF('3a Raw'!D687="","",MAX(-3,MIN(3,('3a Raw'!D687-$D3)/$D4)))</f>
        <v/>
      </c>
      <c r="E687" s="3">
        <f>IF(D687="","",(D687-AVERAGE(D6:D1198))/(STDEV(D6:D1198)+1E-12))</f>
        <v/>
      </c>
      <c r="F687" s="3">
        <f>IF('3a Raw'!E687="","",MAX(-3,MIN(3,('3a Raw'!E687-$F3)/$F4)))</f>
        <v/>
      </c>
      <c r="G687" s="3">
        <f>IF(F687="","",(F687-AVERAGE(F6:F1198))/(STDEV(F6:F1198)+1E-12))</f>
        <v/>
      </c>
      <c r="H687" s="3">
        <f>IF('3a Raw'!F687="","",MAX(-3,MIN(3,('3a Raw'!F687-$H3)/$H4)))</f>
        <v/>
      </c>
      <c r="I687" s="3">
        <f>IF(H687="","",(H687-AVERAGE(H6:H1198))/(STDEV(H6:H1198)+1E-12))</f>
        <v/>
      </c>
      <c r="J687" s="3">
        <f>IF('3a Raw'!G687="","",MAX(-3,MIN(3,('3a Raw'!G687-$J3)/$J4)))</f>
        <v/>
      </c>
      <c r="K687" s="3">
        <f>IF(J687="","",(J687-AVERAGE(J6:J1198))/(STDEV(J6:J1198)+1E-12))</f>
        <v/>
      </c>
      <c r="L687" s="3">
        <f>IF('3a Raw'!H687="","",MAX(-3,MIN(3,('3a Raw'!H687-$L3)/$L4)))</f>
        <v/>
      </c>
      <c r="M687" s="3">
        <f>IF(L687="","",(L687-AVERAGE(L6:L1198))/(STDEV(L6:L1198)+1E-12))</f>
        <v/>
      </c>
      <c r="N687" s="3">
        <f>IF('3a Raw'!I687="","",MAX(-3,MIN(3,('3a Raw'!I687-$N3)/$N4)))</f>
        <v/>
      </c>
      <c r="O687" s="3">
        <f>IF(N687="","",(N687-AVERAGE(N6:N1198))/(STDEV(N6:N1198)+1E-12))</f>
        <v/>
      </c>
      <c r="P687" s="3">
        <f>IF('3a Raw'!J687="","",MAX(-3,MIN(3,('3a Raw'!J687-$P3)/$P4)))</f>
        <v/>
      </c>
      <c r="Q687" s="3">
        <f>IF(P687="","",(P687-AVERAGE(P6:P1198))/(STDEV(P6:P1198)+1E-12))</f>
        <v/>
      </c>
      <c r="R687" s="3">
        <f>IF('3a Raw'!K687="","",MAX(-3,MIN(3,('3a Raw'!K687-$R3)/$R4)))</f>
        <v/>
      </c>
      <c r="S687" s="3">
        <f>IF(R687="","",(R687-AVERAGE(R6:R1198))/(STDEV(R6:R1198)+1E-12))</f>
        <v/>
      </c>
      <c r="T687" s="3">
        <f>IF('3a Raw'!L687="","",MAX(-3,MIN(3,('3a Raw'!L687-$T3)/$T4)))</f>
        <v/>
      </c>
      <c r="U687" s="3">
        <f>IF(T687="","",(T687-AVERAGE(T6:T1198))/(STDEV(T6:T1198)+1E-12))</f>
        <v/>
      </c>
      <c r="X687" s="3">
        <f>IF(U687="","",U687-($V$3*G687+$W$3))</f>
        <v/>
      </c>
      <c r="Y687" s="3">
        <f>IF(X687="","",MAX(-3,MIN(3,(X687-$X3)/$X4)))</f>
        <v/>
      </c>
      <c r="Z687" s="3">
        <f>IF(Y687="","",(Y687-AVERAGE(Y6:Y1198))/(STDEV(Y6:Y1198)+1E-12))</f>
        <v/>
      </c>
    </row>
    <row r="688">
      <c r="A688" t="inlineStr">
        <is>
          <t>BBG00GNC8DL2</t>
        </is>
      </c>
      <c r="B688" s="3">
        <f>IF('3a Raw'!C688="","",MAX(-3,MIN(3,('3a Raw'!C688-$B3)/$B4)))</f>
        <v/>
      </c>
      <c r="C688" s="3">
        <f>IF(B688="","",(B688-AVERAGE(B6:B1198))/(STDEV(B6:B1198)+1E-12))</f>
        <v/>
      </c>
      <c r="D688" s="3">
        <f>IF('3a Raw'!D688="","",MAX(-3,MIN(3,('3a Raw'!D688-$D3)/$D4)))</f>
        <v/>
      </c>
      <c r="E688" s="3">
        <f>IF(D688="","",(D688-AVERAGE(D6:D1198))/(STDEV(D6:D1198)+1E-12))</f>
        <v/>
      </c>
      <c r="F688" s="3">
        <f>IF('3a Raw'!E688="","",MAX(-3,MIN(3,('3a Raw'!E688-$F3)/$F4)))</f>
        <v/>
      </c>
      <c r="G688" s="3">
        <f>IF(F688="","",(F688-AVERAGE(F6:F1198))/(STDEV(F6:F1198)+1E-12))</f>
        <v/>
      </c>
      <c r="H688" s="3">
        <f>IF('3a Raw'!F688="","",MAX(-3,MIN(3,('3a Raw'!F688-$H3)/$H4)))</f>
        <v/>
      </c>
      <c r="I688" s="3">
        <f>IF(H688="","",(H688-AVERAGE(H6:H1198))/(STDEV(H6:H1198)+1E-12))</f>
        <v/>
      </c>
      <c r="J688" s="3">
        <f>IF('3a Raw'!G688="","",MAX(-3,MIN(3,('3a Raw'!G688-$J3)/$J4)))</f>
        <v/>
      </c>
      <c r="K688" s="3">
        <f>IF(J688="","",(J688-AVERAGE(J6:J1198))/(STDEV(J6:J1198)+1E-12))</f>
        <v/>
      </c>
      <c r="L688" s="3">
        <f>IF('3a Raw'!H688="","",MAX(-3,MIN(3,('3a Raw'!H688-$L3)/$L4)))</f>
        <v/>
      </c>
      <c r="M688" s="3">
        <f>IF(L688="","",(L688-AVERAGE(L6:L1198))/(STDEV(L6:L1198)+1E-12))</f>
        <v/>
      </c>
      <c r="N688" s="3">
        <f>IF('3a Raw'!I688="","",MAX(-3,MIN(3,('3a Raw'!I688-$N3)/$N4)))</f>
        <v/>
      </c>
      <c r="O688" s="3">
        <f>IF(N688="","",(N688-AVERAGE(N6:N1198))/(STDEV(N6:N1198)+1E-12))</f>
        <v/>
      </c>
      <c r="P688" s="3">
        <f>IF('3a Raw'!J688="","",MAX(-3,MIN(3,('3a Raw'!J688-$P3)/$P4)))</f>
        <v/>
      </c>
      <c r="Q688" s="3">
        <f>IF(P688="","",(P688-AVERAGE(P6:P1198))/(STDEV(P6:P1198)+1E-12))</f>
        <v/>
      </c>
      <c r="R688" s="3">
        <f>IF('3a Raw'!K688="","",MAX(-3,MIN(3,('3a Raw'!K688-$R3)/$R4)))</f>
        <v/>
      </c>
      <c r="S688" s="3">
        <f>IF(R688="","",(R688-AVERAGE(R6:R1198))/(STDEV(R6:R1198)+1E-12))</f>
        <v/>
      </c>
      <c r="T688" s="3">
        <f>IF('3a Raw'!L688="","",MAX(-3,MIN(3,('3a Raw'!L688-$T3)/$T4)))</f>
        <v/>
      </c>
      <c r="U688" s="3">
        <f>IF(T688="","",(T688-AVERAGE(T6:T1198))/(STDEV(T6:T1198)+1E-12))</f>
        <v/>
      </c>
      <c r="X688" s="3">
        <f>IF(U688="","",U688-($V$3*G688+$W$3))</f>
        <v/>
      </c>
      <c r="Y688" s="3">
        <f>IF(X688="","",MAX(-3,MIN(3,(X688-$X3)/$X4)))</f>
        <v/>
      </c>
      <c r="Z688" s="3">
        <f>IF(Y688="","",(Y688-AVERAGE(Y6:Y1198))/(STDEV(Y6:Y1198)+1E-12))</f>
        <v/>
      </c>
    </row>
    <row r="689">
      <c r="A689" t="inlineStr">
        <is>
          <t>BBG01VV18497</t>
        </is>
      </c>
      <c r="B689" s="3">
        <f>IF('3a Raw'!C689="","",MAX(-3,MIN(3,('3a Raw'!C689-$B3)/$B4)))</f>
        <v/>
      </c>
      <c r="C689" s="3">
        <f>IF(B689="","",(B689-AVERAGE(B6:B1198))/(STDEV(B6:B1198)+1E-12))</f>
        <v/>
      </c>
      <c r="D689" s="3">
        <f>IF('3a Raw'!D689="","",MAX(-3,MIN(3,('3a Raw'!D689-$D3)/$D4)))</f>
        <v/>
      </c>
      <c r="E689" s="3">
        <f>IF(D689="","",(D689-AVERAGE(D6:D1198))/(STDEV(D6:D1198)+1E-12))</f>
        <v/>
      </c>
      <c r="F689" s="3">
        <f>IF('3a Raw'!E689="","",MAX(-3,MIN(3,('3a Raw'!E689-$F3)/$F4)))</f>
        <v/>
      </c>
      <c r="G689" s="3">
        <f>IF(F689="","",(F689-AVERAGE(F6:F1198))/(STDEV(F6:F1198)+1E-12))</f>
        <v/>
      </c>
      <c r="H689" s="3">
        <f>IF('3a Raw'!F689="","",MAX(-3,MIN(3,('3a Raw'!F689-$H3)/$H4)))</f>
        <v/>
      </c>
      <c r="I689" s="3">
        <f>IF(H689="","",(H689-AVERAGE(H6:H1198))/(STDEV(H6:H1198)+1E-12))</f>
        <v/>
      </c>
      <c r="J689" s="3">
        <f>IF('3a Raw'!G689="","",MAX(-3,MIN(3,('3a Raw'!G689-$J3)/$J4)))</f>
        <v/>
      </c>
      <c r="K689" s="3">
        <f>IF(J689="","",(J689-AVERAGE(J6:J1198))/(STDEV(J6:J1198)+1E-12))</f>
        <v/>
      </c>
      <c r="L689" s="3">
        <f>IF('3a Raw'!H689="","",MAX(-3,MIN(3,('3a Raw'!H689-$L3)/$L4)))</f>
        <v/>
      </c>
      <c r="M689" s="3">
        <f>IF(L689="","",(L689-AVERAGE(L6:L1198))/(STDEV(L6:L1198)+1E-12))</f>
        <v/>
      </c>
      <c r="N689" s="3">
        <f>IF('3a Raw'!I689="","",MAX(-3,MIN(3,('3a Raw'!I689-$N3)/$N4)))</f>
        <v/>
      </c>
      <c r="O689" s="3">
        <f>IF(N689="","",(N689-AVERAGE(N6:N1198))/(STDEV(N6:N1198)+1E-12))</f>
        <v/>
      </c>
      <c r="P689" s="3">
        <f>IF('3a Raw'!J689="","",MAX(-3,MIN(3,('3a Raw'!J689-$P3)/$P4)))</f>
        <v/>
      </c>
      <c r="Q689" s="3">
        <f>IF(P689="","",(P689-AVERAGE(P6:P1198))/(STDEV(P6:P1198)+1E-12))</f>
        <v/>
      </c>
      <c r="R689" s="3">
        <f>IF('3a Raw'!K689="","",MAX(-3,MIN(3,('3a Raw'!K689-$R3)/$R4)))</f>
        <v/>
      </c>
      <c r="S689" s="3">
        <f>IF(R689="","",(R689-AVERAGE(R6:R1198))/(STDEV(R6:R1198)+1E-12))</f>
        <v/>
      </c>
      <c r="T689" s="3">
        <f>IF('3a Raw'!L689="","",MAX(-3,MIN(3,('3a Raw'!L689-$T3)/$T4)))</f>
        <v/>
      </c>
      <c r="U689" s="3">
        <f>IF(T689="","",(T689-AVERAGE(T6:T1198))/(STDEV(T6:T1198)+1E-12))</f>
        <v/>
      </c>
      <c r="X689" s="3">
        <f>IF(U689="","",U689-($V$3*G689+$W$3))</f>
        <v/>
      </c>
      <c r="Y689" s="3">
        <f>IF(X689="","",MAX(-3,MIN(3,(X689-$X3)/$X4)))</f>
        <v/>
      </c>
      <c r="Z689" s="3">
        <f>IF(Y689="","",(Y689-AVERAGE(Y6:Y1198))/(STDEV(Y6:Y1198)+1E-12))</f>
        <v/>
      </c>
    </row>
    <row r="690">
      <c r="A690" t="inlineStr">
        <is>
          <t>BBG000FLZN98</t>
        </is>
      </c>
      <c r="B690" s="3">
        <f>IF('3a Raw'!C690="","",MAX(-3,MIN(3,('3a Raw'!C690-$B3)/$B4)))</f>
        <v/>
      </c>
      <c r="C690" s="3">
        <f>IF(B690="","",(B690-AVERAGE(B6:B1198))/(STDEV(B6:B1198)+1E-12))</f>
        <v/>
      </c>
      <c r="D690" s="3">
        <f>IF('3a Raw'!D690="","",MAX(-3,MIN(3,('3a Raw'!D690-$D3)/$D4)))</f>
        <v/>
      </c>
      <c r="E690" s="3">
        <f>IF(D690="","",(D690-AVERAGE(D6:D1198))/(STDEV(D6:D1198)+1E-12))</f>
        <v/>
      </c>
      <c r="F690" s="3">
        <f>IF('3a Raw'!E690="","",MAX(-3,MIN(3,('3a Raw'!E690-$F3)/$F4)))</f>
        <v/>
      </c>
      <c r="G690" s="3">
        <f>IF(F690="","",(F690-AVERAGE(F6:F1198))/(STDEV(F6:F1198)+1E-12))</f>
        <v/>
      </c>
      <c r="H690" s="3">
        <f>IF('3a Raw'!F690="","",MAX(-3,MIN(3,('3a Raw'!F690-$H3)/$H4)))</f>
        <v/>
      </c>
      <c r="I690" s="3">
        <f>IF(H690="","",(H690-AVERAGE(H6:H1198))/(STDEV(H6:H1198)+1E-12))</f>
        <v/>
      </c>
      <c r="J690" s="3">
        <f>IF('3a Raw'!G690="","",MAX(-3,MIN(3,('3a Raw'!G690-$J3)/$J4)))</f>
        <v/>
      </c>
      <c r="K690" s="3">
        <f>IF(J690="","",(J690-AVERAGE(J6:J1198))/(STDEV(J6:J1198)+1E-12))</f>
        <v/>
      </c>
      <c r="L690" s="3">
        <f>IF('3a Raw'!H690="","",MAX(-3,MIN(3,('3a Raw'!H690-$L3)/$L4)))</f>
        <v/>
      </c>
      <c r="M690" s="3">
        <f>IF(L690="","",(L690-AVERAGE(L6:L1198))/(STDEV(L6:L1198)+1E-12))</f>
        <v/>
      </c>
      <c r="N690" s="3">
        <f>IF('3a Raw'!I690="","",MAX(-3,MIN(3,('3a Raw'!I690-$N3)/$N4)))</f>
        <v/>
      </c>
      <c r="O690" s="3">
        <f>IF(N690="","",(N690-AVERAGE(N6:N1198))/(STDEV(N6:N1198)+1E-12))</f>
        <v/>
      </c>
      <c r="P690" s="3">
        <f>IF('3a Raw'!J690="","",MAX(-3,MIN(3,('3a Raw'!J690-$P3)/$P4)))</f>
        <v/>
      </c>
      <c r="Q690" s="3">
        <f>IF(P690="","",(P690-AVERAGE(P6:P1198))/(STDEV(P6:P1198)+1E-12))</f>
        <v/>
      </c>
      <c r="R690" s="3">
        <f>IF('3a Raw'!K690="","",MAX(-3,MIN(3,('3a Raw'!K690-$R3)/$R4)))</f>
        <v/>
      </c>
      <c r="S690" s="3">
        <f>IF(R690="","",(R690-AVERAGE(R6:R1198))/(STDEV(R6:R1198)+1E-12))</f>
        <v/>
      </c>
      <c r="T690" s="3">
        <f>IF('3a Raw'!L690="","",MAX(-3,MIN(3,('3a Raw'!L690-$T3)/$T4)))</f>
        <v/>
      </c>
      <c r="U690" s="3">
        <f>IF(T690="","",(T690-AVERAGE(T6:T1198))/(STDEV(T6:T1198)+1E-12))</f>
        <v/>
      </c>
      <c r="X690" s="3">
        <f>IF(U690="","",U690-($V$3*G690+$W$3))</f>
        <v/>
      </c>
      <c r="Y690" s="3">
        <f>IF(X690="","",MAX(-3,MIN(3,(X690-$X3)/$X4)))</f>
        <v/>
      </c>
      <c r="Z690" s="3">
        <f>IF(Y690="","",(Y690-AVERAGE(Y6:Y1198))/(STDEV(Y6:Y1198)+1E-12))</f>
        <v/>
      </c>
    </row>
    <row r="691">
      <c r="A691" t="inlineStr">
        <is>
          <t>BBG004RKDWL9</t>
        </is>
      </c>
      <c r="B691" s="3">
        <f>IF('3a Raw'!C691="","",MAX(-3,MIN(3,('3a Raw'!C691-$B3)/$B4)))</f>
        <v/>
      </c>
      <c r="C691" s="3">
        <f>IF(B691="","",(B691-AVERAGE(B6:B1198))/(STDEV(B6:B1198)+1E-12))</f>
        <v/>
      </c>
      <c r="D691" s="3">
        <f>IF('3a Raw'!D691="","",MAX(-3,MIN(3,('3a Raw'!D691-$D3)/$D4)))</f>
        <v/>
      </c>
      <c r="E691" s="3">
        <f>IF(D691="","",(D691-AVERAGE(D6:D1198))/(STDEV(D6:D1198)+1E-12))</f>
        <v/>
      </c>
      <c r="F691" s="3">
        <f>IF('3a Raw'!E691="","",MAX(-3,MIN(3,('3a Raw'!E691-$F3)/$F4)))</f>
        <v/>
      </c>
      <c r="G691" s="3">
        <f>IF(F691="","",(F691-AVERAGE(F6:F1198))/(STDEV(F6:F1198)+1E-12))</f>
        <v/>
      </c>
      <c r="H691" s="3">
        <f>IF('3a Raw'!F691="","",MAX(-3,MIN(3,('3a Raw'!F691-$H3)/$H4)))</f>
        <v/>
      </c>
      <c r="I691" s="3">
        <f>IF(H691="","",(H691-AVERAGE(H6:H1198))/(STDEV(H6:H1198)+1E-12))</f>
        <v/>
      </c>
      <c r="J691" s="3">
        <f>IF('3a Raw'!G691="","",MAX(-3,MIN(3,('3a Raw'!G691-$J3)/$J4)))</f>
        <v/>
      </c>
      <c r="K691" s="3">
        <f>IF(J691="","",(J691-AVERAGE(J6:J1198))/(STDEV(J6:J1198)+1E-12))</f>
        <v/>
      </c>
      <c r="L691" s="3">
        <f>IF('3a Raw'!H691="","",MAX(-3,MIN(3,('3a Raw'!H691-$L3)/$L4)))</f>
        <v/>
      </c>
      <c r="M691" s="3">
        <f>IF(L691="","",(L691-AVERAGE(L6:L1198))/(STDEV(L6:L1198)+1E-12))</f>
        <v/>
      </c>
      <c r="N691" s="3">
        <f>IF('3a Raw'!I691="","",MAX(-3,MIN(3,('3a Raw'!I691-$N3)/$N4)))</f>
        <v/>
      </c>
      <c r="O691" s="3">
        <f>IF(N691="","",(N691-AVERAGE(N6:N1198))/(STDEV(N6:N1198)+1E-12))</f>
        <v/>
      </c>
      <c r="P691" s="3">
        <f>IF('3a Raw'!J691="","",MAX(-3,MIN(3,('3a Raw'!J691-$P3)/$P4)))</f>
        <v/>
      </c>
      <c r="Q691" s="3">
        <f>IF(P691="","",(P691-AVERAGE(P6:P1198))/(STDEV(P6:P1198)+1E-12))</f>
        <v/>
      </c>
      <c r="R691" s="3">
        <f>IF('3a Raw'!K691="","",MAX(-3,MIN(3,('3a Raw'!K691-$R3)/$R4)))</f>
        <v/>
      </c>
      <c r="S691" s="3">
        <f>IF(R691="","",(R691-AVERAGE(R6:R1198))/(STDEV(R6:R1198)+1E-12))</f>
        <v/>
      </c>
      <c r="T691" s="3">
        <f>IF('3a Raw'!L691="","",MAX(-3,MIN(3,('3a Raw'!L691-$T3)/$T4)))</f>
        <v/>
      </c>
      <c r="U691" s="3">
        <f>IF(T691="","",(T691-AVERAGE(T6:T1198))/(STDEV(T6:T1198)+1E-12))</f>
        <v/>
      </c>
      <c r="X691" s="3">
        <f>IF(U691="","",U691-($V$3*G691+$W$3))</f>
        <v/>
      </c>
      <c r="Y691" s="3">
        <f>IF(X691="","",MAX(-3,MIN(3,(X691-$X3)/$X4)))</f>
        <v/>
      </c>
      <c r="Z691" s="3">
        <f>IF(Y691="","",(Y691-AVERAGE(Y6:Y1198))/(STDEV(Y6:Y1198)+1E-12))</f>
        <v/>
      </c>
    </row>
    <row r="692">
      <c r="A692" t="inlineStr">
        <is>
          <t>BBG000DQN9R3</t>
        </is>
      </c>
      <c r="B692" s="3">
        <f>IF('3a Raw'!C692="","",MAX(-3,MIN(3,('3a Raw'!C692-$B3)/$B4)))</f>
        <v/>
      </c>
      <c r="C692" s="3">
        <f>IF(B692="","",(B692-AVERAGE(B6:B1198))/(STDEV(B6:B1198)+1E-12))</f>
        <v/>
      </c>
      <c r="D692" s="3">
        <f>IF('3a Raw'!D692="","",MAX(-3,MIN(3,('3a Raw'!D692-$D3)/$D4)))</f>
        <v/>
      </c>
      <c r="E692" s="3">
        <f>IF(D692="","",(D692-AVERAGE(D6:D1198))/(STDEV(D6:D1198)+1E-12))</f>
        <v/>
      </c>
      <c r="F692" s="3">
        <f>IF('3a Raw'!E692="","",MAX(-3,MIN(3,('3a Raw'!E692-$F3)/$F4)))</f>
        <v/>
      </c>
      <c r="G692" s="3">
        <f>IF(F692="","",(F692-AVERAGE(F6:F1198))/(STDEV(F6:F1198)+1E-12))</f>
        <v/>
      </c>
      <c r="H692" s="3">
        <f>IF('3a Raw'!F692="","",MAX(-3,MIN(3,('3a Raw'!F692-$H3)/$H4)))</f>
        <v/>
      </c>
      <c r="I692" s="3">
        <f>IF(H692="","",(H692-AVERAGE(H6:H1198))/(STDEV(H6:H1198)+1E-12))</f>
        <v/>
      </c>
      <c r="J692" s="3">
        <f>IF('3a Raw'!G692="","",MAX(-3,MIN(3,('3a Raw'!G692-$J3)/$J4)))</f>
        <v/>
      </c>
      <c r="K692" s="3">
        <f>IF(J692="","",(J692-AVERAGE(J6:J1198))/(STDEV(J6:J1198)+1E-12))</f>
        <v/>
      </c>
      <c r="L692" s="3">
        <f>IF('3a Raw'!H692="","",MAX(-3,MIN(3,('3a Raw'!H692-$L3)/$L4)))</f>
        <v/>
      </c>
      <c r="M692" s="3">
        <f>IF(L692="","",(L692-AVERAGE(L6:L1198))/(STDEV(L6:L1198)+1E-12))</f>
        <v/>
      </c>
      <c r="N692" s="3">
        <f>IF('3a Raw'!I692="","",MAX(-3,MIN(3,('3a Raw'!I692-$N3)/$N4)))</f>
        <v/>
      </c>
      <c r="O692" s="3">
        <f>IF(N692="","",(N692-AVERAGE(N6:N1198))/(STDEV(N6:N1198)+1E-12))</f>
        <v/>
      </c>
      <c r="P692" s="3">
        <f>IF('3a Raw'!J692="","",MAX(-3,MIN(3,('3a Raw'!J692-$P3)/$P4)))</f>
        <v/>
      </c>
      <c r="Q692" s="3">
        <f>IF(P692="","",(P692-AVERAGE(P6:P1198))/(STDEV(P6:P1198)+1E-12))</f>
        <v/>
      </c>
      <c r="R692" s="3">
        <f>IF('3a Raw'!K692="","",MAX(-3,MIN(3,('3a Raw'!K692-$R3)/$R4)))</f>
        <v/>
      </c>
      <c r="S692" s="3">
        <f>IF(R692="","",(R692-AVERAGE(R6:R1198))/(STDEV(R6:R1198)+1E-12))</f>
        <v/>
      </c>
      <c r="T692" s="3">
        <f>IF('3a Raw'!L692="","",MAX(-3,MIN(3,('3a Raw'!L692-$T3)/$T4)))</f>
        <v/>
      </c>
      <c r="U692" s="3">
        <f>IF(T692="","",(T692-AVERAGE(T6:T1198))/(STDEV(T6:T1198)+1E-12))</f>
        <v/>
      </c>
      <c r="X692" s="3">
        <f>IF(U692="","",U692-($V$3*G692+$W$3))</f>
        <v/>
      </c>
      <c r="Y692" s="3">
        <f>IF(X692="","",MAX(-3,MIN(3,(X692-$X3)/$X4)))</f>
        <v/>
      </c>
      <c r="Z692" s="3">
        <f>IF(Y692="","",(Y692-AVERAGE(Y6:Y1198))/(STDEV(Y6:Y1198)+1E-12))</f>
        <v/>
      </c>
    </row>
    <row r="693">
      <c r="A693" t="inlineStr">
        <is>
          <t>BBG00VHJ1K96</t>
        </is>
      </c>
      <c r="B693" s="3">
        <f>IF('3a Raw'!C693="","",MAX(-3,MIN(3,('3a Raw'!C693-$B3)/$B4)))</f>
        <v/>
      </c>
      <c r="C693" s="3">
        <f>IF(B693="","",(B693-AVERAGE(B6:B1198))/(STDEV(B6:B1198)+1E-12))</f>
        <v/>
      </c>
      <c r="D693" s="3">
        <f>IF('3a Raw'!D693="","",MAX(-3,MIN(3,('3a Raw'!D693-$D3)/$D4)))</f>
        <v/>
      </c>
      <c r="E693" s="3">
        <f>IF(D693="","",(D693-AVERAGE(D6:D1198))/(STDEV(D6:D1198)+1E-12))</f>
        <v/>
      </c>
      <c r="F693" s="3">
        <f>IF('3a Raw'!E693="","",MAX(-3,MIN(3,('3a Raw'!E693-$F3)/$F4)))</f>
        <v/>
      </c>
      <c r="G693" s="3">
        <f>IF(F693="","",(F693-AVERAGE(F6:F1198))/(STDEV(F6:F1198)+1E-12))</f>
        <v/>
      </c>
      <c r="H693" s="3">
        <f>IF('3a Raw'!F693="","",MAX(-3,MIN(3,('3a Raw'!F693-$H3)/$H4)))</f>
        <v/>
      </c>
      <c r="I693" s="3">
        <f>IF(H693="","",(H693-AVERAGE(H6:H1198))/(STDEV(H6:H1198)+1E-12))</f>
        <v/>
      </c>
      <c r="J693" s="3">
        <f>IF('3a Raw'!G693="","",MAX(-3,MIN(3,('3a Raw'!G693-$J3)/$J4)))</f>
        <v/>
      </c>
      <c r="K693" s="3">
        <f>IF(J693="","",(J693-AVERAGE(J6:J1198))/(STDEV(J6:J1198)+1E-12))</f>
        <v/>
      </c>
      <c r="L693" s="3">
        <f>IF('3a Raw'!H693="","",MAX(-3,MIN(3,('3a Raw'!H693-$L3)/$L4)))</f>
        <v/>
      </c>
      <c r="M693" s="3">
        <f>IF(L693="","",(L693-AVERAGE(L6:L1198))/(STDEV(L6:L1198)+1E-12))</f>
        <v/>
      </c>
      <c r="N693" s="3">
        <f>IF('3a Raw'!I693="","",MAX(-3,MIN(3,('3a Raw'!I693-$N3)/$N4)))</f>
        <v/>
      </c>
      <c r="O693" s="3">
        <f>IF(N693="","",(N693-AVERAGE(N6:N1198))/(STDEV(N6:N1198)+1E-12))</f>
        <v/>
      </c>
      <c r="P693" s="3">
        <f>IF('3a Raw'!J693="","",MAX(-3,MIN(3,('3a Raw'!J693-$P3)/$P4)))</f>
        <v/>
      </c>
      <c r="Q693" s="3">
        <f>IF(P693="","",(P693-AVERAGE(P6:P1198))/(STDEV(P6:P1198)+1E-12))</f>
        <v/>
      </c>
      <c r="R693" s="3">
        <f>IF('3a Raw'!K693="","",MAX(-3,MIN(3,('3a Raw'!K693-$R3)/$R4)))</f>
        <v/>
      </c>
      <c r="S693" s="3">
        <f>IF(R693="","",(R693-AVERAGE(R6:R1198))/(STDEV(R6:R1198)+1E-12))</f>
        <v/>
      </c>
      <c r="T693" s="3">
        <f>IF('3a Raw'!L693="","",MAX(-3,MIN(3,('3a Raw'!L693-$T3)/$T4)))</f>
        <v/>
      </c>
      <c r="U693" s="3">
        <f>IF(T693="","",(T693-AVERAGE(T6:T1198))/(STDEV(T6:T1198)+1E-12))</f>
        <v/>
      </c>
      <c r="X693" s="3">
        <f>IF(U693="","",U693-($V$3*G693+$W$3))</f>
        <v/>
      </c>
      <c r="Y693" s="3">
        <f>IF(X693="","",MAX(-3,MIN(3,(X693-$X3)/$X4)))</f>
        <v/>
      </c>
      <c r="Z693" s="3">
        <f>IF(Y693="","",(Y693-AVERAGE(Y6:Y1198))/(STDEV(Y6:Y1198)+1E-12))</f>
        <v/>
      </c>
    </row>
    <row r="694">
      <c r="A694" t="inlineStr">
        <is>
          <t>BBG000BP3D45</t>
        </is>
      </c>
      <c r="B694" s="3">
        <f>IF('3a Raw'!C694="","",MAX(-3,MIN(3,('3a Raw'!C694-$B3)/$B4)))</f>
        <v/>
      </c>
      <c r="C694" s="3">
        <f>IF(B694="","",(B694-AVERAGE(B6:B1198))/(STDEV(B6:B1198)+1E-12))</f>
        <v/>
      </c>
      <c r="D694" s="3">
        <f>IF('3a Raw'!D694="","",MAX(-3,MIN(3,('3a Raw'!D694-$D3)/$D4)))</f>
        <v/>
      </c>
      <c r="E694" s="3">
        <f>IF(D694="","",(D694-AVERAGE(D6:D1198))/(STDEV(D6:D1198)+1E-12))</f>
        <v/>
      </c>
      <c r="F694" s="3">
        <f>IF('3a Raw'!E694="","",MAX(-3,MIN(3,('3a Raw'!E694-$F3)/$F4)))</f>
        <v/>
      </c>
      <c r="G694" s="3">
        <f>IF(F694="","",(F694-AVERAGE(F6:F1198))/(STDEV(F6:F1198)+1E-12))</f>
        <v/>
      </c>
      <c r="H694" s="3">
        <f>IF('3a Raw'!F694="","",MAX(-3,MIN(3,('3a Raw'!F694-$H3)/$H4)))</f>
        <v/>
      </c>
      <c r="I694" s="3">
        <f>IF(H694="","",(H694-AVERAGE(H6:H1198))/(STDEV(H6:H1198)+1E-12))</f>
        <v/>
      </c>
      <c r="J694" s="3">
        <f>IF('3a Raw'!G694="","",MAX(-3,MIN(3,('3a Raw'!G694-$J3)/$J4)))</f>
        <v/>
      </c>
      <c r="K694" s="3">
        <f>IF(J694="","",(J694-AVERAGE(J6:J1198))/(STDEV(J6:J1198)+1E-12))</f>
        <v/>
      </c>
      <c r="L694" s="3">
        <f>IF('3a Raw'!H694="","",MAX(-3,MIN(3,('3a Raw'!H694-$L3)/$L4)))</f>
        <v/>
      </c>
      <c r="M694" s="3">
        <f>IF(L694="","",(L694-AVERAGE(L6:L1198))/(STDEV(L6:L1198)+1E-12))</f>
        <v/>
      </c>
      <c r="N694" s="3">
        <f>IF('3a Raw'!I694="","",MAX(-3,MIN(3,('3a Raw'!I694-$N3)/$N4)))</f>
        <v/>
      </c>
      <c r="O694" s="3">
        <f>IF(N694="","",(N694-AVERAGE(N6:N1198))/(STDEV(N6:N1198)+1E-12))</f>
        <v/>
      </c>
      <c r="P694" s="3">
        <f>IF('3a Raw'!J694="","",MAX(-3,MIN(3,('3a Raw'!J694-$P3)/$P4)))</f>
        <v/>
      </c>
      <c r="Q694" s="3">
        <f>IF(P694="","",(P694-AVERAGE(P6:P1198))/(STDEV(P6:P1198)+1E-12))</f>
        <v/>
      </c>
      <c r="R694" s="3">
        <f>IF('3a Raw'!K694="","",MAX(-3,MIN(3,('3a Raw'!K694-$R3)/$R4)))</f>
        <v/>
      </c>
      <c r="S694" s="3">
        <f>IF(R694="","",(R694-AVERAGE(R6:R1198))/(STDEV(R6:R1198)+1E-12))</f>
        <v/>
      </c>
      <c r="T694" s="3">
        <f>IF('3a Raw'!L694="","",MAX(-3,MIN(3,('3a Raw'!L694-$T3)/$T4)))</f>
        <v/>
      </c>
      <c r="U694" s="3">
        <f>IF(T694="","",(T694-AVERAGE(T6:T1198))/(STDEV(T6:T1198)+1E-12))</f>
        <v/>
      </c>
      <c r="X694" s="3">
        <f>IF(U694="","",U694-($V$3*G694+$W$3))</f>
        <v/>
      </c>
      <c r="Y694" s="3">
        <f>IF(X694="","",MAX(-3,MIN(3,(X694-$X3)/$X4)))</f>
        <v/>
      </c>
      <c r="Z694" s="3">
        <f>IF(Y694="","",(Y694-AVERAGE(Y6:Y1198))/(STDEV(Y6:Y1198)+1E-12))</f>
        <v/>
      </c>
    </row>
    <row r="695">
      <c r="A695" t="inlineStr">
        <is>
          <t>BBG000G6Y5W4</t>
        </is>
      </c>
      <c r="B695" s="3">
        <f>IF('3a Raw'!C695="","",MAX(-3,MIN(3,('3a Raw'!C695-$B3)/$B4)))</f>
        <v/>
      </c>
      <c r="C695" s="3">
        <f>IF(B695="","",(B695-AVERAGE(B6:B1198))/(STDEV(B6:B1198)+1E-12))</f>
        <v/>
      </c>
      <c r="D695" s="3">
        <f>IF('3a Raw'!D695="","",MAX(-3,MIN(3,('3a Raw'!D695-$D3)/$D4)))</f>
        <v/>
      </c>
      <c r="E695" s="3">
        <f>IF(D695="","",(D695-AVERAGE(D6:D1198))/(STDEV(D6:D1198)+1E-12))</f>
        <v/>
      </c>
      <c r="F695" s="3">
        <f>IF('3a Raw'!E695="","",MAX(-3,MIN(3,('3a Raw'!E695-$F3)/$F4)))</f>
        <v/>
      </c>
      <c r="G695" s="3">
        <f>IF(F695="","",(F695-AVERAGE(F6:F1198))/(STDEV(F6:F1198)+1E-12))</f>
        <v/>
      </c>
      <c r="H695" s="3">
        <f>IF('3a Raw'!F695="","",MAX(-3,MIN(3,('3a Raw'!F695-$H3)/$H4)))</f>
        <v/>
      </c>
      <c r="I695" s="3">
        <f>IF(H695="","",(H695-AVERAGE(H6:H1198))/(STDEV(H6:H1198)+1E-12))</f>
        <v/>
      </c>
      <c r="J695" s="3">
        <f>IF('3a Raw'!G695="","",MAX(-3,MIN(3,('3a Raw'!G695-$J3)/$J4)))</f>
        <v/>
      </c>
      <c r="K695" s="3">
        <f>IF(J695="","",(J695-AVERAGE(J6:J1198))/(STDEV(J6:J1198)+1E-12))</f>
        <v/>
      </c>
      <c r="L695" s="3">
        <f>IF('3a Raw'!H695="","",MAX(-3,MIN(3,('3a Raw'!H695-$L3)/$L4)))</f>
        <v/>
      </c>
      <c r="M695" s="3">
        <f>IF(L695="","",(L695-AVERAGE(L6:L1198))/(STDEV(L6:L1198)+1E-12))</f>
        <v/>
      </c>
      <c r="N695" s="3">
        <f>IF('3a Raw'!I695="","",MAX(-3,MIN(3,('3a Raw'!I695-$N3)/$N4)))</f>
        <v/>
      </c>
      <c r="O695" s="3">
        <f>IF(N695="","",(N695-AVERAGE(N6:N1198))/(STDEV(N6:N1198)+1E-12))</f>
        <v/>
      </c>
      <c r="P695" s="3">
        <f>IF('3a Raw'!J695="","",MAX(-3,MIN(3,('3a Raw'!J695-$P3)/$P4)))</f>
        <v/>
      </c>
      <c r="Q695" s="3">
        <f>IF(P695="","",(P695-AVERAGE(P6:P1198))/(STDEV(P6:P1198)+1E-12))</f>
        <v/>
      </c>
      <c r="R695" s="3">
        <f>IF('3a Raw'!K695="","",MAX(-3,MIN(3,('3a Raw'!K695-$R3)/$R4)))</f>
        <v/>
      </c>
      <c r="S695" s="3">
        <f>IF(R695="","",(R695-AVERAGE(R6:R1198))/(STDEV(R6:R1198)+1E-12))</f>
        <v/>
      </c>
      <c r="T695" s="3">
        <f>IF('3a Raw'!L695="","",MAX(-3,MIN(3,('3a Raw'!L695-$T3)/$T4)))</f>
        <v/>
      </c>
      <c r="U695" s="3">
        <f>IF(T695="","",(T695-AVERAGE(T6:T1198))/(STDEV(T6:T1198)+1E-12))</f>
        <v/>
      </c>
      <c r="X695" s="3">
        <f>IF(U695="","",U695-($V$3*G695+$W$3))</f>
        <v/>
      </c>
      <c r="Y695" s="3">
        <f>IF(X695="","",MAX(-3,MIN(3,(X695-$X3)/$X4)))</f>
        <v/>
      </c>
      <c r="Z695" s="3">
        <f>IF(Y695="","",(Y695-AVERAGE(Y6:Y1198))/(STDEV(Y6:Y1198)+1E-12))</f>
        <v/>
      </c>
    </row>
    <row r="696">
      <c r="A696" t="inlineStr">
        <is>
          <t>BBG000BVMG26</t>
        </is>
      </c>
      <c r="B696" s="3">
        <f>IF('3a Raw'!C696="","",MAX(-3,MIN(3,('3a Raw'!C696-$B3)/$B4)))</f>
        <v/>
      </c>
      <c r="C696" s="3">
        <f>IF(B696="","",(B696-AVERAGE(B6:B1198))/(STDEV(B6:B1198)+1E-12))</f>
        <v/>
      </c>
      <c r="D696" s="3">
        <f>IF('3a Raw'!D696="","",MAX(-3,MIN(3,('3a Raw'!D696-$D3)/$D4)))</f>
        <v/>
      </c>
      <c r="E696" s="3">
        <f>IF(D696="","",(D696-AVERAGE(D6:D1198))/(STDEV(D6:D1198)+1E-12))</f>
        <v/>
      </c>
      <c r="F696" s="3">
        <f>IF('3a Raw'!E696="","",MAX(-3,MIN(3,('3a Raw'!E696-$F3)/$F4)))</f>
        <v/>
      </c>
      <c r="G696" s="3">
        <f>IF(F696="","",(F696-AVERAGE(F6:F1198))/(STDEV(F6:F1198)+1E-12))</f>
        <v/>
      </c>
      <c r="H696" s="3">
        <f>IF('3a Raw'!F696="","",MAX(-3,MIN(3,('3a Raw'!F696-$H3)/$H4)))</f>
        <v/>
      </c>
      <c r="I696" s="3">
        <f>IF(H696="","",(H696-AVERAGE(H6:H1198))/(STDEV(H6:H1198)+1E-12))</f>
        <v/>
      </c>
      <c r="J696" s="3">
        <f>IF('3a Raw'!G696="","",MAX(-3,MIN(3,('3a Raw'!G696-$J3)/$J4)))</f>
        <v/>
      </c>
      <c r="K696" s="3">
        <f>IF(J696="","",(J696-AVERAGE(J6:J1198))/(STDEV(J6:J1198)+1E-12))</f>
        <v/>
      </c>
      <c r="L696" s="3">
        <f>IF('3a Raw'!H696="","",MAX(-3,MIN(3,('3a Raw'!H696-$L3)/$L4)))</f>
        <v/>
      </c>
      <c r="M696" s="3">
        <f>IF(L696="","",(L696-AVERAGE(L6:L1198))/(STDEV(L6:L1198)+1E-12))</f>
        <v/>
      </c>
      <c r="N696" s="3">
        <f>IF('3a Raw'!I696="","",MAX(-3,MIN(3,('3a Raw'!I696-$N3)/$N4)))</f>
        <v/>
      </c>
      <c r="O696" s="3">
        <f>IF(N696="","",(N696-AVERAGE(N6:N1198))/(STDEV(N6:N1198)+1E-12))</f>
        <v/>
      </c>
      <c r="P696" s="3">
        <f>IF('3a Raw'!J696="","",MAX(-3,MIN(3,('3a Raw'!J696-$P3)/$P4)))</f>
        <v/>
      </c>
      <c r="Q696" s="3">
        <f>IF(P696="","",(P696-AVERAGE(P6:P1198))/(STDEV(P6:P1198)+1E-12))</f>
        <v/>
      </c>
      <c r="R696" s="3">
        <f>IF('3a Raw'!K696="","",MAX(-3,MIN(3,('3a Raw'!K696-$R3)/$R4)))</f>
        <v/>
      </c>
      <c r="S696" s="3">
        <f>IF(R696="","",(R696-AVERAGE(R6:R1198))/(STDEV(R6:R1198)+1E-12))</f>
        <v/>
      </c>
      <c r="T696" s="3">
        <f>IF('3a Raw'!L696="","",MAX(-3,MIN(3,('3a Raw'!L696-$T3)/$T4)))</f>
        <v/>
      </c>
      <c r="U696" s="3">
        <f>IF(T696="","",(T696-AVERAGE(T6:T1198))/(STDEV(T6:T1198)+1E-12))</f>
        <v/>
      </c>
      <c r="X696" s="3">
        <f>IF(U696="","",U696-($V$3*G696+$W$3))</f>
        <v/>
      </c>
      <c r="Y696" s="3">
        <f>IF(X696="","",MAX(-3,MIN(3,(X696-$X3)/$X4)))</f>
        <v/>
      </c>
      <c r="Z696" s="3">
        <f>IF(Y696="","",(Y696-AVERAGE(Y6:Y1198))/(STDEV(Y6:Y1198)+1E-12))</f>
        <v/>
      </c>
    </row>
    <row r="697">
      <c r="A697" t="inlineStr">
        <is>
          <t>BBG000BJBZ23</t>
        </is>
      </c>
      <c r="B697" s="3">
        <f>IF('3a Raw'!C697="","",MAX(-3,MIN(3,('3a Raw'!C697-$B3)/$B4)))</f>
        <v/>
      </c>
      <c r="C697" s="3">
        <f>IF(B697="","",(B697-AVERAGE(B6:B1198))/(STDEV(B6:B1198)+1E-12))</f>
        <v/>
      </c>
      <c r="D697" s="3">
        <f>IF('3a Raw'!D697="","",MAX(-3,MIN(3,('3a Raw'!D697-$D3)/$D4)))</f>
        <v/>
      </c>
      <c r="E697" s="3">
        <f>IF(D697="","",(D697-AVERAGE(D6:D1198))/(STDEV(D6:D1198)+1E-12))</f>
        <v/>
      </c>
      <c r="F697" s="3">
        <f>IF('3a Raw'!E697="","",MAX(-3,MIN(3,('3a Raw'!E697-$F3)/$F4)))</f>
        <v/>
      </c>
      <c r="G697" s="3">
        <f>IF(F697="","",(F697-AVERAGE(F6:F1198))/(STDEV(F6:F1198)+1E-12))</f>
        <v/>
      </c>
      <c r="H697" s="3">
        <f>IF('3a Raw'!F697="","",MAX(-3,MIN(3,('3a Raw'!F697-$H3)/$H4)))</f>
        <v/>
      </c>
      <c r="I697" s="3">
        <f>IF(H697="","",(H697-AVERAGE(H6:H1198))/(STDEV(H6:H1198)+1E-12))</f>
        <v/>
      </c>
      <c r="J697" s="3">
        <f>IF('3a Raw'!G697="","",MAX(-3,MIN(3,('3a Raw'!G697-$J3)/$J4)))</f>
        <v/>
      </c>
      <c r="K697" s="3">
        <f>IF(J697="","",(J697-AVERAGE(J6:J1198))/(STDEV(J6:J1198)+1E-12))</f>
        <v/>
      </c>
      <c r="L697" s="3">
        <f>IF('3a Raw'!H697="","",MAX(-3,MIN(3,('3a Raw'!H697-$L3)/$L4)))</f>
        <v/>
      </c>
      <c r="M697" s="3">
        <f>IF(L697="","",(L697-AVERAGE(L6:L1198))/(STDEV(L6:L1198)+1E-12))</f>
        <v/>
      </c>
      <c r="N697" s="3">
        <f>IF('3a Raw'!I697="","",MAX(-3,MIN(3,('3a Raw'!I697-$N3)/$N4)))</f>
        <v/>
      </c>
      <c r="O697" s="3">
        <f>IF(N697="","",(N697-AVERAGE(N6:N1198))/(STDEV(N6:N1198)+1E-12))</f>
        <v/>
      </c>
      <c r="P697" s="3">
        <f>IF('3a Raw'!J697="","",MAX(-3,MIN(3,('3a Raw'!J697-$P3)/$P4)))</f>
        <v/>
      </c>
      <c r="Q697" s="3">
        <f>IF(P697="","",(P697-AVERAGE(P6:P1198))/(STDEV(P6:P1198)+1E-12))</f>
        <v/>
      </c>
      <c r="R697" s="3">
        <f>IF('3a Raw'!K697="","",MAX(-3,MIN(3,('3a Raw'!K697-$R3)/$R4)))</f>
        <v/>
      </c>
      <c r="S697" s="3">
        <f>IF(R697="","",(R697-AVERAGE(R6:R1198))/(STDEV(R6:R1198)+1E-12))</f>
        <v/>
      </c>
      <c r="T697" s="3">
        <f>IF('3a Raw'!L697="","",MAX(-3,MIN(3,('3a Raw'!L697-$T3)/$T4)))</f>
        <v/>
      </c>
      <c r="U697" s="3">
        <f>IF(T697="","",(T697-AVERAGE(T6:T1198))/(STDEV(T6:T1198)+1E-12))</f>
        <v/>
      </c>
      <c r="X697" s="3">
        <f>IF(U697="","",U697-($V$3*G697+$W$3))</f>
        <v/>
      </c>
      <c r="Y697" s="3">
        <f>IF(X697="","",MAX(-3,MIN(3,(X697-$X3)/$X4)))</f>
        <v/>
      </c>
      <c r="Z697" s="3">
        <f>IF(Y697="","",(Y697-AVERAGE(Y6:Y1198))/(STDEV(Y6:Y1198)+1E-12))</f>
        <v/>
      </c>
    </row>
    <row r="698">
      <c r="A698" t="inlineStr">
        <is>
          <t>BBG000BHP8J4</t>
        </is>
      </c>
      <c r="B698" s="3">
        <f>IF('3a Raw'!C698="","",MAX(-3,MIN(3,('3a Raw'!C698-$B3)/$B4)))</f>
        <v/>
      </c>
      <c r="C698" s="3">
        <f>IF(B698="","",(B698-AVERAGE(B6:B1198))/(STDEV(B6:B1198)+1E-12))</f>
        <v/>
      </c>
      <c r="D698" s="3">
        <f>IF('3a Raw'!D698="","",MAX(-3,MIN(3,('3a Raw'!D698-$D3)/$D4)))</f>
        <v/>
      </c>
      <c r="E698" s="3">
        <f>IF(D698="","",(D698-AVERAGE(D6:D1198))/(STDEV(D6:D1198)+1E-12))</f>
        <v/>
      </c>
      <c r="F698" s="3">
        <f>IF('3a Raw'!E698="","",MAX(-3,MIN(3,('3a Raw'!E698-$F3)/$F4)))</f>
        <v/>
      </c>
      <c r="G698" s="3">
        <f>IF(F698="","",(F698-AVERAGE(F6:F1198))/(STDEV(F6:F1198)+1E-12))</f>
        <v/>
      </c>
      <c r="H698" s="3">
        <f>IF('3a Raw'!F698="","",MAX(-3,MIN(3,('3a Raw'!F698-$H3)/$H4)))</f>
        <v/>
      </c>
      <c r="I698" s="3">
        <f>IF(H698="","",(H698-AVERAGE(H6:H1198))/(STDEV(H6:H1198)+1E-12))</f>
        <v/>
      </c>
      <c r="J698" s="3">
        <f>IF('3a Raw'!G698="","",MAX(-3,MIN(3,('3a Raw'!G698-$J3)/$J4)))</f>
        <v/>
      </c>
      <c r="K698" s="3">
        <f>IF(J698="","",(J698-AVERAGE(J6:J1198))/(STDEV(J6:J1198)+1E-12))</f>
        <v/>
      </c>
      <c r="L698" s="3">
        <f>IF('3a Raw'!H698="","",MAX(-3,MIN(3,('3a Raw'!H698-$L3)/$L4)))</f>
        <v/>
      </c>
      <c r="M698" s="3">
        <f>IF(L698="","",(L698-AVERAGE(L6:L1198))/(STDEV(L6:L1198)+1E-12))</f>
        <v/>
      </c>
      <c r="N698" s="3">
        <f>IF('3a Raw'!I698="","",MAX(-3,MIN(3,('3a Raw'!I698-$N3)/$N4)))</f>
        <v/>
      </c>
      <c r="O698" s="3">
        <f>IF(N698="","",(N698-AVERAGE(N6:N1198))/(STDEV(N6:N1198)+1E-12))</f>
        <v/>
      </c>
      <c r="P698" s="3">
        <f>IF('3a Raw'!J698="","",MAX(-3,MIN(3,('3a Raw'!J698-$P3)/$P4)))</f>
        <v/>
      </c>
      <c r="Q698" s="3">
        <f>IF(P698="","",(P698-AVERAGE(P6:P1198))/(STDEV(P6:P1198)+1E-12))</f>
        <v/>
      </c>
      <c r="R698" s="3">
        <f>IF('3a Raw'!K698="","",MAX(-3,MIN(3,('3a Raw'!K698-$R3)/$R4)))</f>
        <v/>
      </c>
      <c r="S698" s="3">
        <f>IF(R698="","",(R698-AVERAGE(R6:R1198))/(STDEV(R6:R1198)+1E-12))</f>
        <v/>
      </c>
      <c r="T698" s="3">
        <f>IF('3a Raw'!L698="","",MAX(-3,MIN(3,('3a Raw'!L698-$T3)/$T4)))</f>
        <v/>
      </c>
      <c r="U698" s="3">
        <f>IF(T698="","",(T698-AVERAGE(T6:T1198))/(STDEV(T6:T1198)+1E-12))</f>
        <v/>
      </c>
      <c r="X698" s="3">
        <f>IF(U698="","",U698-($V$3*G698+$W$3))</f>
        <v/>
      </c>
      <c r="Y698" s="3">
        <f>IF(X698="","",MAX(-3,MIN(3,(X698-$X3)/$X4)))</f>
        <v/>
      </c>
      <c r="Z698" s="3">
        <f>IF(Y698="","",(Y698-AVERAGE(Y6:Y1198))/(STDEV(Y6:Y1198)+1E-12))</f>
        <v/>
      </c>
    </row>
    <row r="699">
      <c r="A699" t="inlineStr">
        <is>
          <t>BBG000BGYMH7</t>
        </is>
      </c>
      <c r="B699" s="3">
        <f>IF('3a Raw'!C699="","",MAX(-3,MIN(3,('3a Raw'!C699-$B3)/$B4)))</f>
        <v/>
      </c>
      <c r="C699" s="3">
        <f>IF(B699="","",(B699-AVERAGE(B6:B1198))/(STDEV(B6:B1198)+1E-12))</f>
        <v/>
      </c>
      <c r="D699" s="3">
        <f>IF('3a Raw'!D699="","",MAX(-3,MIN(3,('3a Raw'!D699-$D3)/$D4)))</f>
        <v/>
      </c>
      <c r="E699" s="3">
        <f>IF(D699="","",(D699-AVERAGE(D6:D1198))/(STDEV(D6:D1198)+1E-12))</f>
        <v/>
      </c>
      <c r="F699" s="3">
        <f>IF('3a Raw'!E699="","",MAX(-3,MIN(3,('3a Raw'!E699-$F3)/$F4)))</f>
        <v/>
      </c>
      <c r="G699" s="3">
        <f>IF(F699="","",(F699-AVERAGE(F6:F1198))/(STDEV(F6:F1198)+1E-12))</f>
        <v/>
      </c>
      <c r="H699" s="3">
        <f>IF('3a Raw'!F699="","",MAX(-3,MIN(3,('3a Raw'!F699-$H3)/$H4)))</f>
        <v/>
      </c>
      <c r="I699" s="3">
        <f>IF(H699="","",(H699-AVERAGE(H6:H1198))/(STDEV(H6:H1198)+1E-12))</f>
        <v/>
      </c>
      <c r="J699" s="3">
        <f>IF('3a Raw'!G699="","",MAX(-3,MIN(3,('3a Raw'!G699-$J3)/$J4)))</f>
        <v/>
      </c>
      <c r="K699" s="3">
        <f>IF(J699="","",(J699-AVERAGE(J6:J1198))/(STDEV(J6:J1198)+1E-12))</f>
        <v/>
      </c>
      <c r="L699" s="3">
        <f>IF('3a Raw'!H699="","",MAX(-3,MIN(3,('3a Raw'!H699-$L3)/$L4)))</f>
        <v/>
      </c>
      <c r="M699" s="3">
        <f>IF(L699="","",(L699-AVERAGE(L6:L1198))/(STDEV(L6:L1198)+1E-12))</f>
        <v/>
      </c>
      <c r="N699" s="3">
        <f>IF('3a Raw'!I699="","",MAX(-3,MIN(3,('3a Raw'!I699-$N3)/$N4)))</f>
        <v/>
      </c>
      <c r="O699" s="3">
        <f>IF(N699="","",(N699-AVERAGE(N6:N1198))/(STDEV(N6:N1198)+1E-12))</f>
        <v/>
      </c>
      <c r="P699" s="3">
        <f>IF('3a Raw'!J699="","",MAX(-3,MIN(3,('3a Raw'!J699-$P3)/$P4)))</f>
        <v/>
      </c>
      <c r="Q699" s="3">
        <f>IF(P699="","",(P699-AVERAGE(P6:P1198))/(STDEV(P6:P1198)+1E-12))</f>
        <v/>
      </c>
      <c r="R699" s="3">
        <f>IF('3a Raw'!K699="","",MAX(-3,MIN(3,('3a Raw'!K699-$R3)/$R4)))</f>
        <v/>
      </c>
      <c r="S699" s="3">
        <f>IF(R699="","",(R699-AVERAGE(R6:R1198))/(STDEV(R6:R1198)+1E-12))</f>
        <v/>
      </c>
      <c r="T699" s="3">
        <f>IF('3a Raw'!L699="","",MAX(-3,MIN(3,('3a Raw'!L699-$T3)/$T4)))</f>
        <v/>
      </c>
      <c r="U699" s="3">
        <f>IF(T699="","",(T699-AVERAGE(T6:T1198))/(STDEV(T6:T1198)+1E-12))</f>
        <v/>
      </c>
      <c r="X699" s="3">
        <f>IF(U699="","",U699-($V$3*G699+$W$3))</f>
        <v/>
      </c>
      <c r="Y699" s="3">
        <f>IF(X699="","",MAX(-3,MIN(3,(X699-$X3)/$X4)))</f>
        <v/>
      </c>
      <c r="Z699" s="3">
        <f>IF(Y699="","",(Y699-AVERAGE(Y6:Y1198))/(STDEV(Y6:Y1198)+1E-12))</f>
        <v/>
      </c>
    </row>
    <row r="700">
      <c r="A700" t="inlineStr">
        <is>
          <t>BBG00XQZQTS9</t>
        </is>
      </c>
      <c r="B700" s="3">
        <f>IF('3a Raw'!C700="","",MAX(-3,MIN(3,('3a Raw'!C700-$B3)/$B4)))</f>
        <v/>
      </c>
      <c r="C700" s="3">
        <f>IF(B700="","",(B700-AVERAGE(B6:B1198))/(STDEV(B6:B1198)+1E-12))</f>
        <v/>
      </c>
      <c r="D700" s="3">
        <f>IF('3a Raw'!D700="","",MAX(-3,MIN(3,('3a Raw'!D700-$D3)/$D4)))</f>
        <v/>
      </c>
      <c r="E700" s="3">
        <f>IF(D700="","",(D700-AVERAGE(D6:D1198))/(STDEV(D6:D1198)+1E-12))</f>
        <v/>
      </c>
      <c r="F700" s="3">
        <f>IF('3a Raw'!E700="","",MAX(-3,MIN(3,('3a Raw'!E700-$F3)/$F4)))</f>
        <v/>
      </c>
      <c r="G700" s="3">
        <f>IF(F700="","",(F700-AVERAGE(F6:F1198))/(STDEV(F6:F1198)+1E-12))</f>
        <v/>
      </c>
      <c r="H700" s="3">
        <f>IF('3a Raw'!F700="","",MAX(-3,MIN(3,('3a Raw'!F700-$H3)/$H4)))</f>
        <v/>
      </c>
      <c r="I700" s="3">
        <f>IF(H700="","",(H700-AVERAGE(H6:H1198))/(STDEV(H6:H1198)+1E-12))</f>
        <v/>
      </c>
      <c r="J700" s="3">
        <f>IF('3a Raw'!G700="","",MAX(-3,MIN(3,('3a Raw'!G700-$J3)/$J4)))</f>
        <v/>
      </c>
      <c r="K700" s="3">
        <f>IF(J700="","",(J700-AVERAGE(J6:J1198))/(STDEV(J6:J1198)+1E-12))</f>
        <v/>
      </c>
      <c r="L700" s="3">
        <f>IF('3a Raw'!H700="","",MAX(-3,MIN(3,('3a Raw'!H700-$L3)/$L4)))</f>
        <v/>
      </c>
      <c r="M700" s="3">
        <f>IF(L700="","",(L700-AVERAGE(L6:L1198))/(STDEV(L6:L1198)+1E-12))</f>
        <v/>
      </c>
      <c r="N700" s="3">
        <f>IF('3a Raw'!I700="","",MAX(-3,MIN(3,('3a Raw'!I700-$N3)/$N4)))</f>
        <v/>
      </c>
      <c r="O700" s="3">
        <f>IF(N700="","",(N700-AVERAGE(N6:N1198))/(STDEV(N6:N1198)+1E-12))</f>
        <v/>
      </c>
      <c r="P700" s="3">
        <f>IF('3a Raw'!J700="","",MAX(-3,MIN(3,('3a Raw'!J700-$P3)/$P4)))</f>
        <v/>
      </c>
      <c r="Q700" s="3">
        <f>IF(P700="","",(P700-AVERAGE(P6:P1198))/(STDEV(P6:P1198)+1E-12))</f>
        <v/>
      </c>
      <c r="R700" s="3">
        <f>IF('3a Raw'!K700="","",MAX(-3,MIN(3,('3a Raw'!K700-$R3)/$R4)))</f>
        <v/>
      </c>
      <c r="S700" s="3">
        <f>IF(R700="","",(R700-AVERAGE(R6:R1198))/(STDEV(R6:R1198)+1E-12))</f>
        <v/>
      </c>
      <c r="T700" s="3">
        <f>IF('3a Raw'!L700="","",MAX(-3,MIN(3,('3a Raw'!L700-$T3)/$T4)))</f>
        <v/>
      </c>
      <c r="U700" s="3">
        <f>IF(T700="","",(T700-AVERAGE(T6:T1198))/(STDEV(T6:T1198)+1E-12))</f>
        <v/>
      </c>
      <c r="X700" s="3">
        <f>IF(U700="","",U700-($V$3*G700+$W$3))</f>
        <v/>
      </c>
      <c r="Y700" s="3">
        <f>IF(X700="","",MAX(-3,MIN(3,(X700-$X3)/$X4)))</f>
        <v/>
      </c>
      <c r="Z700" s="3">
        <f>IF(Y700="","",(Y700-AVERAGE(Y6:Y1198))/(STDEV(Y6:Y1198)+1E-12))</f>
        <v/>
      </c>
    </row>
    <row r="701">
      <c r="A701" t="inlineStr">
        <is>
          <t>BBG000BP52R2</t>
        </is>
      </c>
      <c r="B701" s="3">
        <f>IF('3a Raw'!C701="","",MAX(-3,MIN(3,('3a Raw'!C701-$B3)/$B4)))</f>
        <v/>
      </c>
      <c r="C701" s="3">
        <f>IF(B701="","",(B701-AVERAGE(B6:B1198))/(STDEV(B6:B1198)+1E-12))</f>
        <v/>
      </c>
      <c r="D701" s="3">
        <f>IF('3a Raw'!D701="","",MAX(-3,MIN(3,('3a Raw'!D701-$D3)/$D4)))</f>
        <v/>
      </c>
      <c r="E701" s="3">
        <f>IF(D701="","",(D701-AVERAGE(D6:D1198))/(STDEV(D6:D1198)+1E-12))</f>
        <v/>
      </c>
      <c r="F701" s="3">
        <f>IF('3a Raw'!E701="","",MAX(-3,MIN(3,('3a Raw'!E701-$F3)/$F4)))</f>
        <v/>
      </c>
      <c r="G701" s="3">
        <f>IF(F701="","",(F701-AVERAGE(F6:F1198))/(STDEV(F6:F1198)+1E-12))</f>
        <v/>
      </c>
      <c r="H701" s="3">
        <f>IF('3a Raw'!F701="","",MAX(-3,MIN(3,('3a Raw'!F701-$H3)/$H4)))</f>
        <v/>
      </c>
      <c r="I701" s="3">
        <f>IF(H701="","",(H701-AVERAGE(H6:H1198))/(STDEV(H6:H1198)+1E-12))</f>
        <v/>
      </c>
      <c r="J701" s="3">
        <f>IF('3a Raw'!G701="","",MAX(-3,MIN(3,('3a Raw'!G701-$J3)/$J4)))</f>
        <v/>
      </c>
      <c r="K701" s="3">
        <f>IF(J701="","",(J701-AVERAGE(J6:J1198))/(STDEV(J6:J1198)+1E-12))</f>
        <v/>
      </c>
      <c r="L701" s="3">
        <f>IF('3a Raw'!H701="","",MAX(-3,MIN(3,('3a Raw'!H701-$L3)/$L4)))</f>
        <v/>
      </c>
      <c r="M701" s="3">
        <f>IF(L701="","",(L701-AVERAGE(L6:L1198))/(STDEV(L6:L1198)+1E-12))</f>
        <v/>
      </c>
      <c r="N701" s="3">
        <f>IF('3a Raw'!I701="","",MAX(-3,MIN(3,('3a Raw'!I701-$N3)/$N4)))</f>
        <v/>
      </c>
      <c r="O701" s="3">
        <f>IF(N701="","",(N701-AVERAGE(N6:N1198))/(STDEV(N6:N1198)+1E-12))</f>
        <v/>
      </c>
      <c r="P701" s="3">
        <f>IF('3a Raw'!J701="","",MAX(-3,MIN(3,('3a Raw'!J701-$P3)/$P4)))</f>
        <v/>
      </c>
      <c r="Q701" s="3">
        <f>IF(P701="","",(P701-AVERAGE(P6:P1198))/(STDEV(P6:P1198)+1E-12))</f>
        <v/>
      </c>
      <c r="R701" s="3">
        <f>IF('3a Raw'!K701="","",MAX(-3,MIN(3,('3a Raw'!K701-$R3)/$R4)))</f>
        <v/>
      </c>
      <c r="S701" s="3">
        <f>IF(R701="","",(R701-AVERAGE(R6:R1198))/(STDEV(R6:R1198)+1E-12))</f>
        <v/>
      </c>
      <c r="T701" s="3">
        <f>IF('3a Raw'!L701="","",MAX(-3,MIN(3,('3a Raw'!L701-$T3)/$T4)))</f>
        <v/>
      </c>
      <c r="U701" s="3">
        <f>IF(T701="","",(T701-AVERAGE(T6:T1198))/(STDEV(T6:T1198)+1E-12))</f>
        <v/>
      </c>
      <c r="X701" s="3">
        <f>IF(U701="","",U701-($V$3*G701+$W$3))</f>
        <v/>
      </c>
      <c r="Y701" s="3">
        <f>IF(X701="","",MAX(-3,MIN(3,(X701-$X3)/$X4)))</f>
        <v/>
      </c>
      <c r="Z701" s="3">
        <f>IF(Y701="","",(Y701-AVERAGE(Y6:Y1198))/(STDEV(Y6:Y1198)+1E-12))</f>
        <v/>
      </c>
    </row>
    <row r="702">
      <c r="A702" t="inlineStr">
        <is>
          <t>BBG000BC5WJ4</t>
        </is>
      </c>
      <c r="B702" s="3">
        <f>IF('3a Raw'!C702="","",MAX(-3,MIN(3,('3a Raw'!C702-$B3)/$B4)))</f>
        <v/>
      </c>
      <c r="C702" s="3">
        <f>IF(B702="","",(B702-AVERAGE(B6:B1198))/(STDEV(B6:B1198)+1E-12))</f>
        <v/>
      </c>
      <c r="D702" s="3">
        <f>IF('3a Raw'!D702="","",MAX(-3,MIN(3,('3a Raw'!D702-$D3)/$D4)))</f>
        <v/>
      </c>
      <c r="E702" s="3">
        <f>IF(D702="","",(D702-AVERAGE(D6:D1198))/(STDEV(D6:D1198)+1E-12))</f>
        <v/>
      </c>
      <c r="F702" s="3">
        <f>IF('3a Raw'!E702="","",MAX(-3,MIN(3,('3a Raw'!E702-$F3)/$F4)))</f>
        <v/>
      </c>
      <c r="G702" s="3">
        <f>IF(F702="","",(F702-AVERAGE(F6:F1198))/(STDEV(F6:F1198)+1E-12))</f>
        <v/>
      </c>
      <c r="H702" s="3">
        <f>IF('3a Raw'!F702="","",MAX(-3,MIN(3,('3a Raw'!F702-$H3)/$H4)))</f>
        <v/>
      </c>
      <c r="I702" s="3">
        <f>IF(H702="","",(H702-AVERAGE(H6:H1198))/(STDEV(H6:H1198)+1E-12))</f>
        <v/>
      </c>
      <c r="J702" s="3">
        <f>IF('3a Raw'!G702="","",MAX(-3,MIN(3,('3a Raw'!G702-$J3)/$J4)))</f>
        <v/>
      </c>
      <c r="K702" s="3">
        <f>IF(J702="","",(J702-AVERAGE(J6:J1198))/(STDEV(J6:J1198)+1E-12))</f>
        <v/>
      </c>
      <c r="L702" s="3">
        <f>IF('3a Raw'!H702="","",MAX(-3,MIN(3,('3a Raw'!H702-$L3)/$L4)))</f>
        <v/>
      </c>
      <c r="M702" s="3">
        <f>IF(L702="","",(L702-AVERAGE(L6:L1198))/(STDEV(L6:L1198)+1E-12))</f>
        <v/>
      </c>
      <c r="N702" s="3">
        <f>IF('3a Raw'!I702="","",MAX(-3,MIN(3,('3a Raw'!I702-$N3)/$N4)))</f>
        <v/>
      </c>
      <c r="O702" s="3">
        <f>IF(N702="","",(N702-AVERAGE(N6:N1198))/(STDEV(N6:N1198)+1E-12))</f>
        <v/>
      </c>
      <c r="P702" s="3">
        <f>IF('3a Raw'!J702="","",MAX(-3,MIN(3,('3a Raw'!J702-$P3)/$P4)))</f>
        <v/>
      </c>
      <c r="Q702" s="3">
        <f>IF(P702="","",(P702-AVERAGE(P6:P1198))/(STDEV(P6:P1198)+1E-12))</f>
        <v/>
      </c>
      <c r="R702" s="3">
        <f>IF('3a Raw'!K702="","",MAX(-3,MIN(3,('3a Raw'!K702-$R3)/$R4)))</f>
        <v/>
      </c>
      <c r="S702" s="3">
        <f>IF(R702="","",(R702-AVERAGE(R6:R1198))/(STDEV(R6:R1198)+1E-12))</f>
        <v/>
      </c>
      <c r="T702" s="3">
        <f>IF('3a Raw'!L702="","",MAX(-3,MIN(3,('3a Raw'!L702-$T3)/$T4)))</f>
        <v/>
      </c>
      <c r="U702" s="3">
        <f>IF(T702="","",(T702-AVERAGE(T6:T1198))/(STDEV(T6:T1198)+1E-12))</f>
        <v/>
      </c>
      <c r="X702" s="3">
        <f>IF(U702="","",U702-($V$3*G702+$W$3))</f>
        <v/>
      </c>
      <c r="Y702" s="3">
        <f>IF(X702="","",MAX(-3,MIN(3,(X702-$X3)/$X4)))</f>
        <v/>
      </c>
      <c r="Z702" s="3">
        <f>IF(Y702="","",(Y702-AVERAGE(Y6:Y1198))/(STDEV(Y6:Y1198)+1E-12))</f>
        <v/>
      </c>
    </row>
    <row r="703">
      <c r="A703" t="inlineStr">
        <is>
          <t>BBG000C42VX0</t>
        </is>
      </c>
      <c r="B703" s="3">
        <f>IF('3a Raw'!C703="","",MAX(-3,MIN(3,('3a Raw'!C703-$B3)/$B4)))</f>
        <v/>
      </c>
      <c r="C703" s="3">
        <f>IF(B703="","",(B703-AVERAGE(B6:B1198))/(STDEV(B6:B1198)+1E-12))</f>
        <v/>
      </c>
      <c r="D703" s="3">
        <f>IF('3a Raw'!D703="","",MAX(-3,MIN(3,('3a Raw'!D703-$D3)/$D4)))</f>
        <v/>
      </c>
      <c r="E703" s="3">
        <f>IF(D703="","",(D703-AVERAGE(D6:D1198))/(STDEV(D6:D1198)+1E-12))</f>
        <v/>
      </c>
      <c r="F703" s="3">
        <f>IF('3a Raw'!E703="","",MAX(-3,MIN(3,('3a Raw'!E703-$F3)/$F4)))</f>
        <v/>
      </c>
      <c r="G703" s="3">
        <f>IF(F703="","",(F703-AVERAGE(F6:F1198))/(STDEV(F6:F1198)+1E-12))</f>
        <v/>
      </c>
      <c r="H703" s="3">
        <f>IF('3a Raw'!F703="","",MAX(-3,MIN(3,('3a Raw'!F703-$H3)/$H4)))</f>
        <v/>
      </c>
      <c r="I703" s="3">
        <f>IF(H703="","",(H703-AVERAGE(H6:H1198))/(STDEV(H6:H1198)+1E-12))</f>
        <v/>
      </c>
      <c r="J703" s="3">
        <f>IF('3a Raw'!G703="","",MAX(-3,MIN(3,('3a Raw'!G703-$J3)/$J4)))</f>
        <v/>
      </c>
      <c r="K703" s="3">
        <f>IF(J703="","",(J703-AVERAGE(J6:J1198))/(STDEV(J6:J1198)+1E-12))</f>
        <v/>
      </c>
      <c r="L703" s="3">
        <f>IF('3a Raw'!H703="","",MAX(-3,MIN(3,('3a Raw'!H703-$L3)/$L4)))</f>
        <v/>
      </c>
      <c r="M703" s="3">
        <f>IF(L703="","",(L703-AVERAGE(L6:L1198))/(STDEV(L6:L1198)+1E-12))</f>
        <v/>
      </c>
      <c r="N703" s="3">
        <f>IF('3a Raw'!I703="","",MAX(-3,MIN(3,('3a Raw'!I703-$N3)/$N4)))</f>
        <v/>
      </c>
      <c r="O703" s="3">
        <f>IF(N703="","",(N703-AVERAGE(N6:N1198))/(STDEV(N6:N1198)+1E-12))</f>
        <v/>
      </c>
      <c r="P703" s="3">
        <f>IF('3a Raw'!J703="","",MAX(-3,MIN(3,('3a Raw'!J703-$P3)/$P4)))</f>
        <v/>
      </c>
      <c r="Q703" s="3">
        <f>IF(P703="","",(P703-AVERAGE(P6:P1198))/(STDEV(P6:P1198)+1E-12))</f>
        <v/>
      </c>
      <c r="R703" s="3">
        <f>IF('3a Raw'!K703="","",MAX(-3,MIN(3,('3a Raw'!K703-$R3)/$R4)))</f>
        <v/>
      </c>
      <c r="S703" s="3">
        <f>IF(R703="","",(R703-AVERAGE(R6:R1198))/(STDEV(R6:R1198)+1E-12))</f>
        <v/>
      </c>
      <c r="T703" s="3">
        <f>IF('3a Raw'!L703="","",MAX(-3,MIN(3,('3a Raw'!L703-$T3)/$T4)))</f>
        <v/>
      </c>
      <c r="U703" s="3">
        <f>IF(T703="","",(T703-AVERAGE(T6:T1198))/(STDEV(T6:T1198)+1E-12))</f>
        <v/>
      </c>
      <c r="X703" s="3">
        <f>IF(U703="","",U703-($V$3*G703+$W$3))</f>
        <v/>
      </c>
      <c r="Y703" s="3">
        <f>IF(X703="","",MAX(-3,MIN(3,(X703-$X3)/$X4)))</f>
        <v/>
      </c>
      <c r="Z703" s="3">
        <f>IF(Y703="","",(Y703-AVERAGE(Y6:Y1198))/(STDEV(Y6:Y1198)+1E-12))</f>
        <v/>
      </c>
    </row>
    <row r="704">
      <c r="A704" t="inlineStr">
        <is>
          <t>BBG008NVB1C0</t>
        </is>
      </c>
      <c r="B704" s="3">
        <f>IF('3a Raw'!C704="","",MAX(-3,MIN(3,('3a Raw'!C704-$B3)/$B4)))</f>
        <v/>
      </c>
      <c r="C704" s="3">
        <f>IF(B704="","",(B704-AVERAGE(B6:B1198))/(STDEV(B6:B1198)+1E-12))</f>
        <v/>
      </c>
      <c r="D704" s="3">
        <f>IF('3a Raw'!D704="","",MAX(-3,MIN(3,('3a Raw'!D704-$D3)/$D4)))</f>
        <v/>
      </c>
      <c r="E704" s="3">
        <f>IF(D704="","",(D704-AVERAGE(D6:D1198))/(STDEV(D6:D1198)+1E-12))</f>
        <v/>
      </c>
      <c r="F704" s="3">
        <f>IF('3a Raw'!E704="","",MAX(-3,MIN(3,('3a Raw'!E704-$F3)/$F4)))</f>
        <v/>
      </c>
      <c r="G704" s="3">
        <f>IF(F704="","",(F704-AVERAGE(F6:F1198))/(STDEV(F6:F1198)+1E-12))</f>
        <v/>
      </c>
      <c r="H704" s="3">
        <f>IF('3a Raw'!F704="","",MAX(-3,MIN(3,('3a Raw'!F704-$H3)/$H4)))</f>
        <v/>
      </c>
      <c r="I704" s="3">
        <f>IF(H704="","",(H704-AVERAGE(H6:H1198))/(STDEV(H6:H1198)+1E-12))</f>
        <v/>
      </c>
      <c r="J704" s="3">
        <f>IF('3a Raw'!G704="","",MAX(-3,MIN(3,('3a Raw'!G704-$J3)/$J4)))</f>
        <v/>
      </c>
      <c r="K704" s="3">
        <f>IF(J704="","",(J704-AVERAGE(J6:J1198))/(STDEV(J6:J1198)+1E-12))</f>
        <v/>
      </c>
      <c r="L704" s="3">
        <f>IF('3a Raw'!H704="","",MAX(-3,MIN(3,('3a Raw'!H704-$L3)/$L4)))</f>
        <v/>
      </c>
      <c r="M704" s="3">
        <f>IF(L704="","",(L704-AVERAGE(L6:L1198))/(STDEV(L6:L1198)+1E-12))</f>
        <v/>
      </c>
      <c r="N704" s="3">
        <f>IF('3a Raw'!I704="","",MAX(-3,MIN(3,('3a Raw'!I704-$N3)/$N4)))</f>
        <v/>
      </c>
      <c r="O704" s="3">
        <f>IF(N704="","",(N704-AVERAGE(N6:N1198))/(STDEV(N6:N1198)+1E-12))</f>
        <v/>
      </c>
      <c r="P704" s="3">
        <f>IF('3a Raw'!J704="","",MAX(-3,MIN(3,('3a Raw'!J704-$P3)/$P4)))</f>
        <v/>
      </c>
      <c r="Q704" s="3">
        <f>IF(P704="","",(P704-AVERAGE(P6:P1198))/(STDEV(P6:P1198)+1E-12))</f>
        <v/>
      </c>
      <c r="R704" s="3">
        <f>IF('3a Raw'!K704="","",MAX(-3,MIN(3,('3a Raw'!K704-$R3)/$R4)))</f>
        <v/>
      </c>
      <c r="S704" s="3">
        <f>IF(R704="","",(R704-AVERAGE(R6:R1198))/(STDEV(R6:R1198)+1E-12))</f>
        <v/>
      </c>
      <c r="T704" s="3">
        <f>IF('3a Raw'!L704="","",MAX(-3,MIN(3,('3a Raw'!L704-$T3)/$T4)))</f>
        <v/>
      </c>
      <c r="U704" s="3">
        <f>IF(T704="","",(T704-AVERAGE(T6:T1198))/(STDEV(T6:T1198)+1E-12))</f>
        <v/>
      </c>
      <c r="X704" s="3">
        <f>IF(U704="","",U704-($V$3*G704+$W$3))</f>
        <v/>
      </c>
      <c r="Y704" s="3">
        <f>IF(X704="","",MAX(-3,MIN(3,(X704-$X3)/$X4)))</f>
        <v/>
      </c>
      <c r="Z704" s="3">
        <f>IF(Y704="","",(Y704-AVERAGE(Y6:Y1198))/(STDEV(Y6:Y1198)+1E-12))</f>
        <v/>
      </c>
    </row>
    <row r="705">
      <c r="A705" t="inlineStr">
        <is>
          <t>BBG01S437BJ4</t>
        </is>
      </c>
      <c r="B705" s="3">
        <f>IF('3a Raw'!C705="","",MAX(-3,MIN(3,('3a Raw'!C705-$B3)/$B4)))</f>
        <v/>
      </c>
      <c r="C705" s="3">
        <f>IF(B705="","",(B705-AVERAGE(B6:B1198))/(STDEV(B6:B1198)+1E-12))</f>
        <v/>
      </c>
      <c r="D705" s="3">
        <f>IF('3a Raw'!D705="","",MAX(-3,MIN(3,('3a Raw'!D705-$D3)/$D4)))</f>
        <v/>
      </c>
      <c r="E705" s="3">
        <f>IF(D705="","",(D705-AVERAGE(D6:D1198))/(STDEV(D6:D1198)+1E-12))</f>
        <v/>
      </c>
      <c r="F705" s="3">
        <f>IF('3a Raw'!E705="","",MAX(-3,MIN(3,('3a Raw'!E705-$F3)/$F4)))</f>
        <v/>
      </c>
      <c r="G705" s="3">
        <f>IF(F705="","",(F705-AVERAGE(F6:F1198))/(STDEV(F6:F1198)+1E-12))</f>
        <v/>
      </c>
      <c r="H705" s="3">
        <f>IF('3a Raw'!F705="","",MAX(-3,MIN(3,('3a Raw'!F705-$H3)/$H4)))</f>
        <v/>
      </c>
      <c r="I705" s="3">
        <f>IF(H705="","",(H705-AVERAGE(H6:H1198))/(STDEV(H6:H1198)+1E-12))</f>
        <v/>
      </c>
      <c r="J705" s="3">
        <f>IF('3a Raw'!G705="","",MAX(-3,MIN(3,('3a Raw'!G705-$J3)/$J4)))</f>
        <v/>
      </c>
      <c r="K705" s="3">
        <f>IF(J705="","",(J705-AVERAGE(J6:J1198))/(STDEV(J6:J1198)+1E-12))</f>
        <v/>
      </c>
      <c r="L705" s="3">
        <f>IF('3a Raw'!H705="","",MAX(-3,MIN(3,('3a Raw'!H705-$L3)/$L4)))</f>
        <v/>
      </c>
      <c r="M705" s="3">
        <f>IF(L705="","",(L705-AVERAGE(L6:L1198))/(STDEV(L6:L1198)+1E-12))</f>
        <v/>
      </c>
      <c r="N705" s="3">
        <f>IF('3a Raw'!I705="","",MAX(-3,MIN(3,('3a Raw'!I705-$N3)/$N4)))</f>
        <v/>
      </c>
      <c r="O705" s="3">
        <f>IF(N705="","",(N705-AVERAGE(N6:N1198))/(STDEV(N6:N1198)+1E-12))</f>
        <v/>
      </c>
      <c r="P705" s="3">
        <f>IF('3a Raw'!J705="","",MAX(-3,MIN(3,('3a Raw'!J705-$P3)/$P4)))</f>
        <v/>
      </c>
      <c r="Q705" s="3">
        <f>IF(P705="","",(P705-AVERAGE(P6:P1198))/(STDEV(P6:P1198)+1E-12))</f>
        <v/>
      </c>
      <c r="R705" s="3">
        <f>IF('3a Raw'!K705="","",MAX(-3,MIN(3,('3a Raw'!K705-$R3)/$R4)))</f>
        <v/>
      </c>
      <c r="S705" s="3">
        <f>IF(R705="","",(R705-AVERAGE(R6:R1198))/(STDEV(R6:R1198)+1E-12))</f>
        <v/>
      </c>
      <c r="T705" s="3">
        <f>IF('3a Raw'!L705="","",MAX(-3,MIN(3,('3a Raw'!L705-$T3)/$T4)))</f>
        <v/>
      </c>
      <c r="U705" s="3">
        <f>IF(T705="","",(T705-AVERAGE(T6:T1198))/(STDEV(T6:T1198)+1E-12))</f>
        <v/>
      </c>
      <c r="X705" s="3">
        <f>IF(U705="","",U705-($V$3*G705+$W$3))</f>
        <v/>
      </c>
      <c r="Y705" s="3">
        <f>IF(X705="","",MAX(-3,MIN(3,(X705-$X3)/$X4)))</f>
        <v/>
      </c>
      <c r="Z705" s="3">
        <f>IF(Y705="","",(Y705-AVERAGE(Y6:Y1198))/(STDEV(Y6:Y1198)+1E-12))</f>
        <v/>
      </c>
    </row>
    <row r="706">
      <c r="A706" t="inlineStr">
        <is>
          <t>BBG000BP6LJ8</t>
        </is>
      </c>
      <c r="B706" s="3">
        <f>IF('3a Raw'!C706="","",MAX(-3,MIN(3,('3a Raw'!C706-$B3)/$B4)))</f>
        <v/>
      </c>
      <c r="C706" s="3">
        <f>IF(B706="","",(B706-AVERAGE(B6:B1198))/(STDEV(B6:B1198)+1E-12))</f>
        <v/>
      </c>
      <c r="D706" s="3">
        <f>IF('3a Raw'!D706="","",MAX(-3,MIN(3,('3a Raw'!D706-$D3)/$D4)))</f>
        <v/>
      </c>
      <c r="E706" s="3">
        <f>IF(D706="","",(D706-AVERAGE(D6:D1198))/(STDEV(D6:D1198)+1E-12))</f>
        <v/>
      </c>
      <c r="F706" s="3">
        <f>IF('3a Raw'!E706="","",MAX(-3,MIN(3,('3a Raw'!E706-$F3)/$F4)))</f>
        <v/>
      </c>
      <c r="G706" s="3">
        <f>IF(F706="","",(F706-AVERAGE(F6:F1198))/(STDEV(F6:F1198)+1E-12))</f>
        <v/>
      </c>
      <c r="H706" s="3">
        <f>IF('3a Raw'!F706="","",MAX(-3,MIN(3,('3a Raw'!F706-$H3)/$H4)))</f>
        <v/>
      </c>
      <c r="I706" s="3">
        <f>IF(H706="","",(H706-AVERAGE(H6:H1198))/(STDEV(H6:H1198)+1E-12))</f>
        <v/>
      </c>
      <c r="J706" s="3">
        <f>IF('3a Raw'!G706="","",MAX(-3,MIN(3,('3a Raw'!G706-$J3)/$J4)))</f>
        <v/>
      </c>
      <c r="K706" s="3">
        <f>IF(J706="","",(J706-AVERAGE(J6:J1198))/(STDEV(J6:J1198)+1E-12))</f>
        <v/>
      </c>
      <c r="L706" s="3">
        <f>IF('3a Raw'!H706="","",MAX(-3,MIN(3,('3a Raw'!H706-$L3)/$L4)))</f>
        <v/>
      </c>
      <c r="M706" s="3">
        <f>IF(L706="","",(L706-AVERAGE(L6:L1198))/(STDEV(L6:L1198)+1E-12))</f>
        <v/>
      </c>
      <c r="N706" s="3">
        <f>IF('3a Raw'!I706="","",MAX(-3,MIN(3,('3a Raw'!I706-$N3)/$N4)))</f>
        <v/>
      </c>
      <c r="O706" s="3">
        <f>IF(N706="","",(N706-AVERAGE(N6:N1198))/(STDEV(N6:N1198)+1E-12))</f>
        <v/>
      </c>
      <c r="P706" s="3">
        <f>IF('3a Raw'!J706="","",MAX(-3,MIN(3,('3a Raw'!J706-$P3)/$P4)))</f>
        <v/>
      </c>
      <c r="Q706" s="3">
        <f>IF(P706="","",(P706-AVERAGE(P6:P1198))/(STDEV(P6:P1198)+1E-12))</f>
        <v/>
      </c>
      <c r="R706" s="3">
        <f>IF('3a Raw'!K706="","",MAX(-3,MIN(3,('3a Raw'!K706-$R3)/$R4)))</f>
        <v/>
      </c>
      <c r="S706" s="3">
        <f>IF(R706="","",(R706-AVERAGE(R6:R1198))/(STDEV(R6:R1198)+1E-12))</f>
        <v/>
      </c>
      <c r="T706" s="3">
        <f>IF('3a Raw'!L706="","",MAX(-3,MIN(3,('3a Raw'!L706-$T3)/$T4)))</f>
        <v/>
      </c>
      <c r="U706" s="3">
        <f>IF(T706="","",(T706-AVERAGE(T6:T1198))/(STDEV(T6:T1198)+1E-12))</f>
        <v/>
      </c>
      <c r="X706" s="3">
        <f>IF(U706="","",U706-($V$3*G706+$W$3))</f>
        <v/>
      </c>
      <c r="Y706" s="3">
        <f>IF(X706="","",MAX(-3,MIN(3,(X706-$X3)/$X4)))</f>
        <v/>
      </c>
      <c r="Z706" s="3">
        <f>IF(Y706="","",(Y706-AVERAGE(Y6:Y1198))/(STDEV(Y6:Y1198)+1E-12))</f>
        <v/>
      </c>
    </row>
    <row r="707">
      <c r="A707" t="inlineStr">
        <is>
          <t>BBG000MBHNC8</t>
        </is>
      </c>
      <c r="B707" s="3">
        <f>IF('3a Raw'!C707="","",MAX(-3,MIN(3,('3a Raw'!C707-$B3)/$B4)))</f>
        <v/>
      </c>
      <c r="C707" s="3">
        <f>IF(B707="","",(B707-AVERAGE(B6:B1198))/(STDEV(B6:B1198)+1E-12))</f>
        <v/>
      </c>
      <c r="D707" s="3">
        <f>IF('3a Raw'!D707="","",MAX(-3,MIN(3,('3a Raw'!D707-$D3)/$D4)))</f>
        <v/>
      </c>
      <c r="E707" s="3">
        <f>IF(D707="","",(D707-AVERAGE(D6:D1198))/(STDEV(D6:D1198)+1E-12))</f>
        <v/>
      </c>
      <c r="F707" s="3">
        <f>IF('3a Raw'!E707="","",MAX(-3,MIN(3,('3a Raw'!E707-$F3)/$F4)))</f>
        <v/>
      </c>
      <c r="G707" s="3">
        <f>IF(F707="","",(F707-AVERAGE(F6:F1198))/(STDEV(F6:F1198)+1E-12))</f>
        <v/>
      </c>
      <c r="H707" s="3">
        <f>IF('3a Raw'!F707="","",MAX(-3,MIN(3,('3a Raw'!F707-$H3)/$H4)))</f>
        <v/>
      </c>
      <c r="I707" s="3">
        <f>IF(H707="","",(H707-AVERAGE(H6:H1198))/(STDEV(H6:H1198)+1E-12))</f>
        <v/>
      </c>
      <c r="J707" s="3">
        <f>IF('3a Raw'!G707="","",MAX(-3,MIN(3,('3a Raw'!G707-$J3)/$J4)))</f>
        <v/>
      </c>
      <c r="K707" s="3">
        <f>IF(J707="","",(J707-AVERAGE(J6:J1198))/(STDEV(J6:J1198)+1E-12))</f>
        <v/>
      </c>
      <c r="L707" s="3">
        <f>IF('3a Raw'!H707="","",MAX(-3,MIN(3,('3a Raw'!H707-$L3)/$L4)))</f>
        <v/>
      </c>
      <c r="M707" s="3">
        <f>IF(L707="","",(L707-AVERAGE(L6:L1198))/(STDEV(L6:L1198)+1E-12))</f>
        <v/>
      </c>
      <c r="N707" s="3">
        <f>IF('3a Raw'!I707="","",MAX(-3,MIN(3,('3a Raw'!I707-$N3)/$N4)))</f>
        <v/>
      </c>
      <c r="O707" s="3">
        <f>IF(N707="","",(N707-AVERAGE(N6:N1198))/(STDEV(N6:N1198)+1E-12))</f>
        <v/>
      </c>
      <c r="P707" s="3">
        <f>IF('3a Raw'!J707="","",MAX(-3,MIN(3,('3a Raw'!J707-$P3)/$P4)))</f>
        <v/>
      </c>
      <c r="Q707" s="3">
        <f>IF(P707="","",(P707-AVERAGE(P6:P1198))/(STDEV(P6:P1198)+1E-12))</f>
        <v/>
      </c>
      <c r="R707" s="3">
        <f>IF('3a Raw'!K707="","",MAX(-3,MIN(3,('3a Raw'!K707-$R3)/$R4)))</f>
        <v/>
      </c>
      <c r="S707" s="3">
        <f>IF(R707="","",(R707-AVERAGE(R6:R1198))/(STDEV(R6:R1198)+1E-12))</f>
        <v/>
      </c>
      <c r="T707" s="3">
        <f>IF('3a Raw'!L707="","",MAX(-3,MIN(3,('3a Raw'!L707-$T3)/$T4)))</f>
        <v/>
      </c>
      <c r="U707" s="3">
        <f>IF(T707="","",(T707-AVERAGE(T6:T1198))/(STDEV(T6:T1198)+1E-12))</f>
        <v/>
      </c>
      <c r="X707" s="3">
        <f>IF(U707="","",U707-($V$3*G707+$W$3))</f>
        <v/>
      </c>
      <c r="Y707" s="3">
        <f>IF(X707="","",MAX(-3,MIN(3,(X707-$X3)/$X4)))</f>
        <v/>
      </c>
      <c r="Z707" s="3">
        <f>IF(Y707="","",(Y707-AVERAGE(Y6:Y1198))/(STDEV(Y6:Y1198)+1E-12))</f>
        <v/>
      </c>
    </row>
    <row r="708">
      <c r="A708" t="inlineStr">
        <is>
          <t>BBG000BFXHL6</t>
        </is>
      </c>
      <c r="B708" s="3">
        <f>IF('3a Raw'!C708="","",MAX(-3,MIN(3,('3a Raw'!C708-$B3)/$B4)))</f>
        <v/>
      </c>
      <c r="C708" s="3">
        <f>IF(B708="","",(B708-AVERAGE(B6:B1198))/(STDEV(B6:B1198)+1E-12))</f>
        <v/>
      </c>
      <c r="D708" s="3">
        <f>IF('3a Raw'!D708="","",MAX(-3,MIN(3,('3a Raw'!D708-$D3)/$D4)))</f>
        <v/>
      </c>
      <c r="E708" s="3">
        <f>IF(D708="","",(D708-AVERAGE(D6:D1198))/(STDEV(D6:D1198)+1E-12))</f>
        <v/>
      </c>
      <c r="F708" s="3">
        <f>IF('3a Raw'!E708="","",MAX(-3,MIN(3,('3a Raw'!E708-$F3)/$F4)))</f>
        <v/>
      </c>
      <c r="G708" s="3">
        <f>IF(F708="","",(F708-AVERAGE(F6:F1198))/(STDEV(F6:F1198)+1E-12))</f>
        <v/>
      </c>
      <c r="H708" s="3">
        <f>IF('3a Raw'!F708="","",MAX(-3,MIN(3,('3a Raw'!F708-$H3)/$H4)))</f>
        <v/>
      </c>
      <c r="I708" s="3">
        <f>IF(H708="","",(H708-AVERAGE(H6:H1198))/(STDEV(H6:H1198)+1E-12))</f>
        <v/>
      </c>
      <c r="J708" s="3">
        <f>IF('3a Raw'!G708="","",MAX(-3,MIN(3,('3a Raw'!G708-$J3)/$J4)))</f>
        <v/>
      </c>
      <c r="K708" s="3">
        <f>IF(J708="","",(J708-AVERAGE(J6:J1198))/(STDEV(J6:J1198)+1E-12))</f>
        <v/>
      </c>
      <c r="L708" s="3">
        <f>IF('3a Raw'!H708="","",MAX(-3,MIN(3,('3a Raw'!H708-$L3)/$L4)))</f>
        <v/>
      </c>
      <c r="M708" s="3">
        <f>IF(L708="","",(L708-AVERAGE(L6:L1198))/(STDEV(L6:L1198)+1E-12))</f>
        <v/>
      </c>
      <c r="N708" s="3">
        <f>IF('3a Raw'!I708="","",MAX(-3,MIN(3,('3a Raw'!I708-$N3)/$N4)))</f>
        <v/>
      </c>
      <c r="O708" s="3">
        <f>IF(N708="","",(N708-AVERAGE(N6:N1198))/(STDEV(N6:N1198)+1E-12))</f>
        <v/>
      </c>
      <c r="P708" s="3">
        <f>IF('3a Raw'!J708="","",MAX(-3,MIN(3,('3a Raw'!J708-$P3)/$P4)))</f>
        <v/>
      </c>
      <c r="Q708" s="3">
        <f>IF(P708="","",(P708-AVERAGE(P6:P1198))/(STDEV(P6:P1198)+1E-12))</f>
        <v/>
      </c>
      <c r="R708" s="3">
        <f>IF('3a Raw'!K708="","",MAX(-3,MIN(3,('3a Raw'!K708-$R3)/$R4)))</f>
        <v/>
      </c>
      <c r="S708" s="3">
        <f>IF(R708="","",(R708-AVERAGE(R6:R1198))/(STDEV(R6:R1198)+1E-12))</f>
        <v/>
      </c>
      <c r="T708" s="3">
        <f>IF('3a Raw'!L708="","",MAX(-3,MIN(3,('3a Raw'!L708-$T3)/$T4)))</f>
        <v/>
      </c>
      <c r="U708" s="3">
        <f>IF(T708="","",(T708-AVERAGE(T6:T1198))/(STDEV(T6:T1198)+1E-12))</f>
        <v/>
      </c>
      <c r="X708" s="3">
        <f>IF(U708="","",U708-($V$3*G708+$W$3))</f>
        <v/>
      </c>
      <c r="Y708" s="3">
        <f>IF(X708="","",MAX(-3,MIN(3,(X708-$X3)/$X4)))</f>
        <v/>
      </c>
      <c r="Z708" s="3">
        <f>IF(Y708="","",(Y708-AVERAGE(Y6:Y1198))/(STDEV(Y6:Y1198)+1E-12))</f>
        <v/>
      </c>
    </row>
    <row r="709">
      <c r="A709" t="inlineStr">
        <is>
          <t>BBG00TJGL0F0</t>
        </is>
      </c>
      <c r="B709" s="3">
        <f>IF('3a Raw'!C709="","",MAX(-3,MIN(3,('3a Raw'!C709-$B3)/$B4)))</f>
        <v/>
      </c>
      <c r="C709" s="3">
        <f>IF(B709="","",(B709-AVERAGE(B6:B1198))/(STDEV(B6:B1198)+1E-12))</f>
        <v/>
      </c>
      <c r="D709" s="3">
        <f>IF('3a Raw'!D709="","",MAX(-3,MIN(3,('3a Raw'!D709-$D3)/$D4)))</f>
        <v/>
      </c>
      <c r="E709" s="3">
        <f>IF(D709="","",(D709-AVERAGE(D6:D1198))/(STDEV(D6:D1198)+1E-12))</f>
        <v/>
      </c>
      <c r="F709" s="3">
        <f>IF('3a Raw'!E709="","",MAX(-3,MIN(3,('3a Raw'!E709-$F3)/$F4)))</f>
        <v/>
      </c>
      <c r="G709" s="3">
        <f>IF(F709="","",(F709-AVERAGE(F6:F1198))/(STDEV(F6:F1198)+1E-12))</f>
        <v/>
      </c>
      <c r="H709" s="3">
        <f>IF('3a Raw'!F709="","",MAX(-3,MIN(3,('3a Raw'!F709-$H3)/$H4)))</f>
        <v/>
      </c>
      <c r="I709" s="3">
        <f>IF(H709="","",(H709-AVERAGE(H6:H1198))/(STDEV(H6:H1198)+1E-12))</f>
        <v/>
      </c>
      <c r="J709" s="3">
        <f>IF('3a Raw'!G709="","",MAX(-3,MIN(3,('3a Raw'!G709-$J3)/$J4)))</f>
        <v/>
      </c>
      <c r="K709" s="3">
        <f>IF(J709="","",(J709-AVERAGE(J6:J1198))/(STDEV(J6:J1198)+1E-12))</f>
        <v/>
      </c>
      <c r="L709" s="3">
        <f>IF('3a Raw'!H709="","",MAX(-3,MIN(3,('3a Raw'!H709-$L3)/$L4)))</f>
        <v/>
      </c>
      <c r="M709" s="3">
        <f>IF(L709="","",(L709-AVERAGE(L6:L1198))/(STDEV(L6:L1198)+1E-12))</f>
        <v/>
      </c>
      <c r="N709" s="3">
        <f>IF('3a Raw'!I709="","",MAX(-3,MIN(3,('3a Raw'!I709-$N3)/$N4)))</f>
        <v/>
      </c>
      <c r="O709" s="3">
        <f>IF(N709="","",(N709-AVERAGE(N6:N1198))/(STDEV(N6:N1198)+1E-12))</f>
        <v/>
      </c>
      <c r="P709" s="3">
        <f>IF('3a Raw'!J709="","",MAX(-3,MIN(3,('3a Raw'!J709-$P3)/$P4)))</f>
        <v/>
      </c>
      <c r="Q709" s="3">
        <f>IF(P709="","",(P709-AVERAGE(P6:P1198))/(STDEV(P6:P1198)+1E-12))</f>
        <v/>
      </c>
      <c r="R709" s="3">
        <f>IF('3a Raw'!K709="","",MAX(-3,MIN(3,('3a Raw'!K709-$R3)/$R4)))</f>
        <v/>
      </c>
      <c r="S709" s="3">
        <f>IF(R709="","",(R709-AVERAGE(R6:R1198))/(STDEV(R6:R1198)+1E-12))</f>
        <v/>
      </c>
      <c r="T709" s="3">
        <f>IF('3a Raw'!L709="","",MAX(-3,MIN(3,('3a Raw'!L709-$T3)/$T4)))</f>
        <v/>
      </c>
      <c r="U709" s="3">
        <f>IF(T709="","",(T709-AVERAGE(T6:T1198))/(STDEV(T6:T1198)+1E-12))</f>
        <v/>
      </c>
      <c r="X709" s="3">
        <f>IF(U709="","",U709-($V$3*G709+$W$3))</f>
        <v/>
      </c>
      <c r="Y709" s="3">
        <f>IF(X709="","",MAX(-3,MIN(3,(X709-$X3)/$X4)))</f>
        <v/>
      </c>
      <c r="Z709" s="3">
        <f>IF(Y709="","",(Y709-AVERAGE(Y6:Y1198))/(STDEV(Y6:Y1198)+1E-12))</f>
        <v/>
      </c>
    </row>
    <row r="710">
      <c r="A710" t="inlineStr">
        <is>
          <t>BBG000BJS1P5</t>
        </is>
      </c>
      <c r="B710" s="3">
        <f>IF('3a Raw'!C710="","",MAX(-3,MIN(3,('3a Raw'!C710-$B3)/$B4)))</f>
        <v/>
      </c>
      <c r="C710" s="3">
        <f>IF(B710="","",(B710-AVERAGE(B6:B1198))/(STDEV(B6:B1198)+1E-12))</f>
        <v/>
      </c>
      <c r="D710" s="3">
        <f>IF('3a Raw'!D710="","",MAX(-3,MIN(3,('3a Raw'!D710-$D3)/$D4)))</f>
        <v/>
      </c>
      <c r="E710" s="3">
        <f>IF(D710="","",(D710-AVERAGE(D6:D1198))/(STDEV(D6:D1198)+1E-12))</f>
        <v/>
      </c>
      <c r="F710" s="3">
        <f>IF('3a Raw'!E710="","",MAX(-3,MIN(3,('3a Raw'!E710-$F3)/$F4)))</f>
        <v/>
      </c>
      <c r="G710" s="3">
        <f>IF(F710="","",(F710-AVERAGE(F6:F1198))/(STDEV(F6:F1198)+1E-12))</f>
        <v/>
      </c>
      <c r="H710" s="3">
        <f>IF('3a Raw'!F710="","",MAX(-3,MIN(3,('3a Raw'!F710-$H3)/$H4)))</f>
        <v/>
      </c>
      <c r="I710" s="3">
        <f>IF(H710="","",(H710-AVERAGE(H6:H1198))/(STDEV(H6:H1198)+1E-12))</f>
        <v/>
      </c>
      <c r="J710" s="3">
        <f>IF('3a Raw'!G710="","",MAX(-3,MIN(3,('3a Raw'!G710-$J3)/$J4)))</f>
        <v/>
      </c>
      <c r="K710" s="3">
        <f>IF(J710="","",(J710-AVERAGE(J6:J1198))/(STDEV(J6:J1198)+1E-12))</f>
        <v/>
      </c>
      <c r="L710" s="3">
        <f>IF('3a Raw'!H710="","",MAX(-3,MIN(3,('3a Raw'!H710-$L3)/$L4)))</f>
        <v/>
      </c>
      <c r="M710" s="3">
        <f>IF(L710="","",(L710-AVERAGE(L6:L1198))/(STDEV(L6:L1198)+1E-12))</f>
        <v/>
      </c>
      <c r="N710" s="3">
        <f>IF('3a Raw'!I710="","",MAX(-3,MIN(3,('3a Raw'!I710-$N3)/$N4)))</f>
        <v/>
      </c>
      <c r="O710" s="3">
        <f>IF(N710="","",(N710-AVERAGE(N6:N1198))/(STDEV(N6:N1198)+1E-12))</f>
        <v/>
      </c>
      <c r="P710" s="3">
        <f>IF('3a Raw'!J710="","",MAX(-3,MIN(3,('3a Raw'!J710-$P3)/$P4)))</f>
        <v/>
      </c>
      <c r="Q710" s="3">
        <f>IF(P710="","",(P710-AVERAGE(P6:P1198))/(STDEV(P6:P1198)+1E-12))</f>
        <v/>
      </c>
      <c r="R710" s="3">
        <f>IF('3a Raw'!K710="","",MAX(-3,MIN(3,('3a Raw'!K710-$R3)/$R4)))</f>
        <v/>
      </c>
      <c r="S710" s="3">
        <f>IF(R710="","",(R710-AVERAGE(R6:R1198))/(STDEV(R6:R1198)+1E-12))</f>
        <v/>
      </c>
      <c r="T710" s="3">
        <f>IF('3a Raw'!L710="","",MAX(-3,MIN(3,('3a Raw'!L710-$T3)/$T4)))</f>
        <v/>
      </c>
      <c r="U710" s="3">
        <f>IF(T710="","",(T710-AVERAGE(T6:T1198))/(STDEV(T6:T1198)+1E-12))</f>
        <v/>
      </c>
      <c r="X710" s="3">
        <f>IF(U710="","",U710-($V$3*G710+$W$3))</f>
        <v/>
      </c>
      <c r="Y710" s="3">
        <f>IF(X710="","",MAX(-3,MIN(3,(X710-$X3)/$X4)))</f>
        <v/>
      </c>
      <c r="Z710" s="3">
        <f>IF(Y710="","",(Y710-AVERAGE(Y6:Y1198))/(STDEV(Y6:Y1198)+1E-12))</f>
        <v/>
      </c>
    </row>
    <row r="711">
      <c r="A711" t="inlineStr">
        <is>
          <t>BBG001DCCGR8</t>
        </is>
      </c>
      <c r="B711" s="3">
        <f>IF('3a Raw'!C711="","",MAX(-3,MIN(3,('3a Raw'!C711-$B3)/$B4)))</f>
        <v/>
      </c>
      <c r="C711" s="3">
        <f>IF(B711="","",(B711-AVERAGE(B6:B1198))/(STDEV(B6:B1198)+1E-12))</f>
        <v/>
      </c>
      <c r="D711" s="3">
        <f>IF('3a Raw'!D711="","",MAX(-3,MIN(3,('3a Raw'!D711-$D3)/$D4)))</f>
        <v/>
      </c>
      <c r="E711" s="3">
        <f>IF(D711="","",(D711-AVERAGE(D6:D1198))/(STDEV(D6:D1198)+1E-12))</f>
        <v/>
      </c>
      <c r="F711" s="3">
        <f>IF('3a Raw'!E711="","",MAX(-3,MIN(3,('3a Raw'!E711-$F3)/$F4)))</f>
        <v/>
      </c>
      <c r="G711" s="3">
        <f>IF(F711="","",(F711-AVERAGE(F6:F1198))/(STDEV(F6:F1198)+1E-12))</f>
        <v/>
      </c>
      <c r="H711" s="3">
        <f>IF('3a Raw'!F711="","",MAX(-3,MIN(3,('3a Raw'!F711-$H3)/$H4)))</f>
        <v/>
      </c>
      <c r="I711" s="3">
        <f>IF(H711="","",(H711-AVERAGE(H6:H1198))/(STDEV(H6:H1198)+1E-12))</f>
        <v/>
      </c>
      <c r="J711" s="3">
        <f>IF('3a Raw'!G711="","",MAX(-3,MIN(3,('3a Raw'!G711-$J3)/$J4)))</f>
        <v/>
      </c>
      <c r="K711" s="3">
        <f>IF(J711="","",(J711-AVERAGE(J6:J1198))/(STDEV(J6:J1198)+1E-12))</f>
        <v/>
      </c>
      <c r="L711" s="3">
        <f>IF('3a Raw'!H711="","",MAX(-3,MIN(3,('3a Raw'!H711-$L3)/$L4)))</f>
        <v/>
      </c>
      <c r="M711" s="3">
        <f>IF(L711="","",(L711-AVERAGE(L6:L1198))/(STDEV(L6:L1198)+1E-12))</f>
        <v/>
      </c>
      <c r="N711" s="3">
        <f>IF('3a Raw'!I711="","",MAX(-3,MIN(3,('3a Raw'!I711-$N3)/$N4)))</f>
        <v/>
      </c>
      <c r="O711" s="3">
        <f>IF(N711="","",(N711-AVERAGE(N6:N1198))/(STDEV(N6:N1198)+1E-12))</f>
        <v/>
      </c>
      <c r="P711" s="3">
        <f>IF('3a Raw'!J711="","",MAX(-3,MIN(3,('3a Raw'!J711-$P3)/$P4)))</f>
        <v/>
      </c>
      <c r="Q711" s="3">
        <f>IF(P711="","",(P711-AVERAGE(P6:P1198))/(STDEV(P6:P1198)+1E-12))</f>
        <v/>
      </c>
      <c r="R711" s="3">
        <f>IF('3a Raw'!K711="","",MAX(-3,MIN(3,('3a Raw'!K711-$R3)/$R4)))</f>
        <v/>
      </c>
      <c r="S711" s="3">
        <f>IF(R711="","",(R711-AVERAGE(R6:R1198))/(STDEV(R6:R1198)+1E-12))</f>
        <v/>
      </c>
      <c r="T711" s="3">
        <f>IF('3a Raw'!L711="","",MAX(-3,MIN(3,('3a Raw'!L711-$T3)/$T4)))</f>
        <v/>
      </c>
      <c r="U711" s="3">
        <f>IF(T711="","",(T711-AVERAGE(T6:T1198))/(STDEV(T6:T1198)+1E-12))</f>
        <v/>
      </c>
      <c r="X711" s="3">
        <f>IF(U711="","",U711-($V$3*G711+$W$3))</f>
        <v/>
      </c>
      <c r="Y711" s="3">
        <f>IF(X711="","",MAX(-3,MIN(3,(X711-$X3)/$X4)))</f>
        <v/>
      </c>
      <c r="Z711" s="3">
        <f>IF(Y711="","",(Y711-AVERAGE(Y6:Y1198))/(STDEV(Y6:Y1198)+1E-12))</f>
        <v/>
      </c>
    </row>
    <row r="712">
      <c r="A712" t="inlineStr">
        <is>
          <t>mpwr</t>
        </is>
      </c>
      <c r="B712" s="3">
        <f>IF('3a Raw'!C712="","",MAX(-3,MIN(3,('3a Raw'!C712-$B3)/$B4)))</f>
        <v/>
      </c>
      <c r="C712" s="3">
        <f>IF(B712="","",(B712-AVERAGE(B6:B1198))/(STDEV(B6:B1198)+1E-12))</f>
        <v/>
      </c>
      <c r="D712" s="3">
        <f>IF('3a Raw'!D712="","",MAX(-3,MIN(3,('3a Raw'!D712-$D3)/$D4)))</f>
        <v/>
      </c>
      <c r="E712" s="3">
        <f>IF(D712="","",(D712-AVERAGE(D6:D1198))/(STDEV(D6:D1198)+1E-12))</f>
        <v/>
      </c>
      <c r="F712" s="3">
        <f>IF('3a Raw'!E712="","",MAX(-3,MIN(3,('3a Raw'!E712-$F3)/$F4)))</f>
        <v/>
      </c>
      <c r="G712" s="3">
        <f>IF(F712="","",(F712-AVERAGE(F6:F1198))/(STDEV(F6:F1198)+1E-12))</f>
        <v/>
      </c>
      <c r="H712" s="3">
        <f>IF('3a Raw'!F712="","",MAX(-3,MIN(3,('3a Raw'!F712-$H3)/$H4)))</f>
        <v/>
      </c>
      <c r="I712" s="3">
        <f>IF(H712="","",(H712-AVERAGE(H6:H1198))/(STDEV(H6:H1198)+1E-12))</f>
        <v/>
      </c>
      <c r="J712" s="3">
        <f>IF('3a Raw'!G712="","",MAX(-3,MIN(3,('3a Raw'!G712-$J3)/$J4)))</f>
        <v/>
      </c>
      <c r="K712" s="3">
        <f>IF(J712="","",(J712-AVERAGE(J6:J1198))/(STDEV(J6:J1198)+1E-12))</f>
        <v/>
      </c>
      <c r="L712" s="3">
        <f>IF('3a Raw'!H712="","",MAX(-3,MIN(3,('3a Raw'!H712-$L3)/$L4)))</f>
        <v/>
      </c>
      <c r="M712" s="3">
        <f>IF(L712="","",(L712-AVERAGE(L6:L1198))/(STDEV(L6:L1198)+1E-12))</f>
        <v/>
      </c>
      <c r="N712" s="3">
        <f>IF('3a Raw'!I712="","",MAX(-3,MIN(3,('3a Raw'!I712-$N3)/$N4)))</f>
        <v/>
      </c>
      <c r="O712" s="3">
        <f>IF(N712="","",(N712-AVERAGE(N6:N1198))/(STDEV(N6:N1198)+1E-12))</f>
        <v/>
      </c>
      <c r="P712" s="3">
        <f>IF('3a Raw'!J712="","",MAX(-3,MIN(3,('3a Raw'!J712-$P3)/$P4)))</f>
        <v/>
      </c>
      <c r="Q712" s="3">
        <f>IF(P712="","",(P712-AVERAGE(P6:P1198))/(STDEV(P6:P1198)+1E-12))</f>
        <v/>
      </c>
      <c r="R712" s="3">
        <f>IF('3a Raw'!K712="","",MAX(-3,MIN(3,('3a Raw'!K712-$R3)/$R4)))</f>
        <v/>
      </c>
      <c r="S712" s="3">
        <f>IF(R712="","",(R712-AVERAGE(R6:R1198))/(STDEV(R6:R1198)+1E-12))</f>
        <v/>
      </c>
      <c r="T712" s="3">
        <f>IF('3a Raw'!L712="","",MAX(-3,MIN(3,('3a Raw'!L712-$T3)/$T4)))</f>
        <v/>
      </c>
      <c r="U712" s="3">
        <f>IF(T712="","",(T712-AVERAGE(T6:T1198))/(STDEV(T6:T1198)+1E-12))</f>
        <v/>
      </c>
      <c r="X712" s="3">
        <f>IF(U712="","",U712-($V$3*G712+$W$3))</f>
        <v/>
      </c>
      <c r="Y712" s="3">
        <f>IF(X712="","",MAX(-3,MIN(3,(X712-$X3)/$X4)))</f>
        <v/>
      </c>
      <c r="Z712" s="3">
        <f>IF(Y712="","",(Y712-AVERAGE(Y6:Y1198))/(STDEV(Y6:Y1198)+1E-12))</f>
        <v/>
      </c>
    </row>
    <row r="713">
      <c r="A713" t="inlineStr">
        <is>
          <t>BBG0112Z87D8</t>
        </is>
      </c>
      <c r="B713" s="3">
        <f>IF('3a Raw'!C713="","",MAX(-3,MIN(3,('3a Raw'!C713-$B3)/$B4)))</f>
        <v/>
      </c>
      <c r="C713" s="3">
        <f>IF(B713="","",(B713-AVERAGE(B6:B1198))/(STDEV(B6:B1198)+1E-12))</f>
        <v/>
      </c>
      <c r="D713" s="3">
        <f>IF('3a Raw'!D713="","",MAX(-3,MIN(3,('3a Raw'!D713-$D3)/$D4)))</f>
        <v/>
      </c>
      <c r="E713" s="3">
        <f>IF(D713="","",(D713-AVERAGE(D6:D1198))/(STDEV(D6:D1198)+1E-12))</f>
        <v/>
      </c>
      <c r="F713" s="3">
        <f>IF('3a Raw'!E713="","",MAX(-3,MIN(3,('3a Raw'!E713-$F3)/$F4)))</f>
        <v/>
      </c>
      <c r="G713" s="3">
        <f>IF(F713="","",(F713-AVERAGE(F6:F1198))/(STDEV(F6:F1198)+1E-12))</f>
        <v/>
      </c>
      <c r="H713" s="3">
        <f>IF('3a Raw'!F713="","",MAX(-3,MIN(3,('3a Raw'!F713-$H3)/$H4)))</f>
        <v/>
      </c>
      <c r="I713" s="3">
        <f>IF(H713="","",(H713-AVERAGE(H6:H1198))/(STDEV(H6:H1198)+1E-12))</f>
        <v/>
      </c>
      <c r="J713" s="3">
        <f>IF('3a Raw'!G713="","",MAX(-3,MIN(3,('3a Raw'!G713-$J3)/$J4)))</f>
        <v/>
      </c>
      <c r="K713" s="3">
        <f>IF(J713="","",(J713-AVERAGE(J6:J1198))/(STDEV(J6:J1198)+1E-12))</f>
        <v/>
      </c>
      <c r="L713" s="3">
        <f>IF('3a Raw'!H713="","",MAX(-3,MIN(3,('3a Raw'!H713-$L3)/$L4)))</f>
        <v/>
      </c>
      <c r="M713" s="3">
        <f>IF(L713="","",(L713-AVERAGE(L6:L1198))/(STDEV(L6:L1198)+1E-12))</f>
        <v/>
      </c>
      <c r="N713" s="3">
        <f>IF('3a Raw'!I713="","",MAX(-3,MIN(3,('3a Raw'!I713-$N3)/$N4)))</f>
        <v/>
      </c>
      <c r="O713" s="3">
        <f>IF(N713="","",(N713-AVERAGE(N6:N1198))/(STDEV(N6:N1198)+1E-12))</f>
        <v/>
      </c>
      <c r="P713" s="3">
        <f>IF('3a Raw'!J713="","",MAX(-3,MIN(3,('3a Raw'!J713-$P3)/$P4)))</f>
        <v/>
      </c>
      <c r="Q713" s="3">
        <f>IF(P713="","",(P713-AVERAGE(P6:P1198))/(STDEV(P6:P1198)+1E-12))</f>
        <v/>
      </c>
      <c r="R713" s="3">
        <f>IF('3a Raw'!K713="","",MAX(-3,MIN(3,('3a Raw'!K713-$R3)/$R4)))</f>
        <v/>
      </c>
      <c r="S713" s="3">
        <f>IF(R713="","",(R713-AVERAGE(R6:R1198))/(STDEV(R6:R1198)+1E-12))</f>
        <v/>
      </c>
      <c r="T713" s="3">
        <f>IF('3a Raw'!L713="","",MAX(-3,MIN(3,('3a Raw'!L713-$T3)/$T4)))</f>
        <v/>
      </c>
      <c r="U713" s="3">
        <f>IF(T713="","",(T713-AVERAGE(T6:T1198))/(STDEV(T6:T1198)+1E-12))</f>
        <v/>
      </c>
      <c r="X713" s="3">
        <f>IF(U713="","",U713-($V$3*G713+$W$3))</f>
        <v/>
      </c>
      <c r="Y713" s="3">
        <f>IF(X713="","",MAX(-3,MIN(3,(X713-$X3)/$X4)))</f>
        <v/>
      </c>
      <c r="Z713" s="3">
        <f>IF(Y713="","",(Y713-AVERAGE(Y6:Y1198))/(STDEV(Y6:Y1198)+1E-12))</f>
        <v/>
      </c>
    </row>
    <row r="714">
      <c r="A714" t="inlineStr">
        <is>
          <t>BBG000BX5GS3</t>
        </is>
      </c>
      <c r="B714" s="3">
        <f>IF('3a Raw'!C714="","",MAX(-3,MIN(3,('3a Raw'!C714-$B3)/$B4)))</f>
        <v/>
      </c>
      <c r="C714" s="3">
        <f>IF(B714="","",(B714-AVERAGE(B6:B1198))/(STDEV(B6:B1198)+1E-12))</f>
        <v/>
      </c>
      <c r="D714" s="3">
        <f>IF('3a Raw'!D714="","",MAX(-3,MIN(3,('3a Raw'!D714-$D3)/$D4)))</f>
        <v/>
      </c>
      <c r="E714" s="3">
        <f>IF(D714="","",(D714-AVERAGE(D6:D1198))/(STDEV(D6:D1198)+1E-12))</f>
        <v/>
      </c>
      <c r="F714" s="3">
        <f>IF('3a Raw'!E714="","",MAX(-3,MIN(3,('3a Raw'!E714-$F3)/$F4)))</f>
        <v/>
      </c>
      <c r="G714" s="3">
        <f>IF(F714="","",(F714-AVERAGE(F6:F1198))/(STDEV(F6:F1198)+1E-12))</f>
        <v/>
      </c>
      <c r="H714" s="3">
        <f>IF('3a Raw'!F714="","",MAX(-3,MIN(3,('3a Raw'!F714-$H3)/$H4)))</f>
        <v/>
      </c>
      <c r="I714" s="3">
        <f>IF(H714="","",(H714-AVERAGE(H6:H1198))/(STDEV(H6:H1198)+1E-12))</f>
        <v/>
      </c>
      <c r="J714" s="3">
        <f>IF('3a Raw'!G714="","",MAX(-3,MIN(3,('3a Raw'!G714-$J3)/$J4)))</f>
        <v/>
      </c>
      <c r="K714" s="3">
        <f>IF(J714="","",(J714-AVERAGE(J6:J1198))/(STDEV(J6:J1198)+1E-12))</f>
        <v/>
      </c>
      <c r="L714" s="3">
        <f>IF('3a Raw'!H714="","",MAX(-3,MIN(3,('3a Raw'!H714-$L3)/$L4)))</f>
        <v/>
      </c>
      <c r="M714" s="3">
        <f>IF(L714="","",(L714-AVERAGE(L6:L1198))/(STDEV(L6:L1198)+1E-12))</f>
        <v/>
      </c>
      <c r="N714" s="3">
        <f>IF('3a Raw'!I714="","",MAX(-3,MIN(3,('3a Raw'!I714-$N3)/$N4)))</f>
        <v/>
      </c>
      <c r="O714" s="3">
        <f>IF(N714="","",(N714-AVERAGE(N6:N1198))/(STDEV(N6:N1198)+1E-12))</f>
        <v/>
      </c>
      <c r="P714" s="3">
        <f>IF('3a Raw'!J714="","",MAX(-3,MIN(3,('3a Raw'!J714-$P3)/$P4)))</f>
        <v/>
      </c>
      <c r="Q714" s="3">
        <f>IF(P714="","",(P714-AVERAGE(P6:P1198))/(STDEV(P6:P1198)+1E-12))</f>
        <v/>
      </c>
      <c r="R714" s="3">
        <f>IF('3a Raw'!K714="","",MAX(-3,MIN(3,('3a Raw'!K714-$R3)/$R4)))</f>
        <v/>
      </c>
      <c r="S714" s="3">
        <f>IF(R714="","",(R714-AVERAGE(R6:R1198))/(STDEV(R6:R1198)+1E-12))</f>
        <v/>
      </c>
      <c r="T714" s="3">
        <f>IF('3a Raw'!L714="","",MAX(-3,MIN(3,('3a Raw'!L714-$T3)/$T4)))</f>
        <v/>
      </c>
      <c r="U714" s="3">
        <f>IF(T714="","",(T714-AVERAGE(T6:T1198))/(STDEV(T6:T1198)+1E-12))</f>
        <v/>
      </c>
      <c r="X714" s="3">
        <f>IF(U714="","",U714-($V$3*G714+$W$3))</f>
        <v/>
      </c>
      <c r="Y714" s="3">
        <f>IF(X714="","",MAX(-3,MIN(3,(X714-$X3)/$X4)))</f>
        <v/>
      </c>
      <c r="Z714" s="3">
        <f>IF(Y714="","",(Y714-AVERAGE(Y6:Y1198))/(STDEV(Y6:Y1198)+1E-12))</f>
        <v/>
      </c>
    </row>
    <row r="715">
      <c r="A715" t="inlineStr">
        <is>
          <t>BBG000BPD168</t>
        </is>
      </c>
      <c r="B715" s="3">
        <f>IF('3a Raw'!C715="","",MAX(-3,MIN(3,('3a Raw'!C715-$B3)/$B4)))</f>
        <v/>
      </c>
      <c r="C715" s="3">
        <f>IF(B715="","",(B715-AVERAGE(B6:B1198))/(STDEV(B6:B1198)+1E-12))</f>
        <v/>
      </c>
      <c r="D715" s="3">
        <f>IF('3a Raw'!D715="","",MAX(-3,MIN(3,('3a Raw'!D715-$D3)/$D4)))</f>
        <v/>
      </c>
      <c r="E715" s="3">
        <f>IF(D715="","",(D715-AVERAGE(D6:D1198))/(STDEV(D6:D1198)+1E-12))</f>
        <v/>
      </c>
      <c r="F715" s="3">
        <f>IF('3a Raw'!E715="","",MAX(-3,MIN(3,('3a Raw'!E715-$F3)/$F4)))</f>
        <v/>
      </c>
      <c r="G715" s="3">
        <f>IF(F715="","",(F715-AVERAGE(F6:F1198))/(STDEV(F6:F1198)+1E-12))</f>
        <v/>
      </c>
      <c r="H715" s="3">
        <f>IF('3a Raw'!F715="","",MAX(-3,MIN(3,('3a Raw'!F715-$H3)/$H4)))</f>
        <v/>
      </c>
      <c r="I715" s="3">
        <f>IF(H715="","",(H715-AVERAGE(H6:H1198))/(STDEV(H6:H1198)+1E-12))</f>
        <v/>
      </c>
      <c r="J715" s="3">
        <f>IF('3a Raw'!G715="","",MAX(-3,MIN(3,('3a Raw'!G715-$J3)/$J4)))</f>
        <v/>
      </c>
      <c r="K715" s="3">
        <f>IF(J715="","",(J715-AVERAGE(J6:J1198))/(STDEV(J6:J1198)+1E-12))</f>
        <v/>
      </c>
      <c r="L715" s="3">
        <f>IF('3a Raw'!H715="","",MAX(-3,MIN(3,('3a Raw'!H715-$L3)/$L4)))</f>
        <v/>
      </c>
      <c r="M715" s="3">
        <f>IF(L715="","",(L715-AVERAGE(L6:L1198))/(STDEV(L6:L1198)+1E-12))</f>
        <v/>
      </c>
      <c r="N715" s="3">
        <f>IF('3a Raw'!I715="","",MAX(-3,MIN(3,('3a Raw'!I715-$N3)/$N4)))</f>
        <v/>
      </c>
      <c r="O715" s="3">
        <f>IF(N715="","",(N715-AVERAGE(N6:N1198))/(STDEV(N6:N1198)+1E-12))</f>
        <v/>
      </c>
      <c r="P715" s="3">
        <f>IF('3a Raw'!J715="","",MAX(-3,MIN(3,('3a Raw'!J715-$P3)/$P4)))</f>
        <v/>
      </c>
      <c r="Q715" s="3">
        <f>IF(P715="","",(P715-AVERAGE(P6:P1198))/(STDEV(P6:P1198)+1E-12))</f>
        <v/>
      </c>
      <c r="R715" s="3">
        <f>IF('3a Raw'!K715="","",MAX(-3,MIN(3,('3a Raw'!K715-$R3)/$R4)))</f>
        <v/>
      </c>
      <c r="S715" s="3">
        <f>IF(R715="","",(R715-AVERAGE(R6:R1198))/(STDEV(R6:R1198)+1E-12))</f>
        <v/>
      </c>
      <c r="T715" s="3">
        <f>IF('3a Raw'!L715="","",MAX(-3,MIN(3,('3a Raw'!L715-$T3)/$T4)))</f>
        <v/>
      </c>
      <c r="U715" s="3">
        <f>IF(T715="","",(T715-AVERAGE(T6:T1198))/(STDEV(T6:T1198)+1E-12))</f>
        <v/>
      </c>
      <c r="X715" s="3">
        <f>IF(U715="","",U715-($V$3*G715+$W$3))</f>
        <v/>
      </c>
      <c r="Y715" s="3">
        <f>IF(X715="","",MAX(-3,MIN(3,(X715-$X3)/$X4)))</f>
        <v/>
      </c>
      <c r="Z715" s="3">
        <f>IF(Y715="","",(Y715-AVERAGE(Y6:Y1198))/(STDEV(Y6:Y1198)+1E-12))</f>
        <v/>
      </c>
    </row>
    <row r="716">
      <c r="A716" t="inlineStr">
        <is>
          <t>mrna</t>
        </is>
      </c>
      <c r="B716" s="3">
        <f>IF('3a Raw'!C716="","",MAX(-3,MIN(3,('3a Raw'!C716-$B3)/$B4)))</f>
        <v/>
      </c>
      <c r="C716" s="3">
        <f>IF(B716="","",(B716-AVERAGE(B6:B1198))/(STDEV(B6:B1198)+1E-12))</f>
        <v/>
      </c>
      <c r="D716" s="3">
        <f>IF('3a Raw'!D716="","",MAX(-3,MIN(3,('3a Raw'!D716-$D3)/$D4)))</f>
        <v/>
      </c>
      <c r="E716" s="3">
        <f>IF(D716="","",(D716-AVERAGE(D6:D1198))/(STDEV(D6:D1198)+1E-12))</f>
        <v/>
      </c>
      <c r="F716" s="3">
        <f>IF('3a Raw'!E716="","",MAX(-3,MIN(3,('3a Raw'!E716-$F3)/$F4)))</f>
        <v/>
      </c>
      <c r="G716" s="3">
        <f>IF(F716="","",(F716-AVERAGE(F6:F1198))/(STDEV(F6:F1198)+1E-12))</f>
        <v/>
      </c>
      <c r="H716" s="3">
        <f>IF('3a Raw'!F716="","",MAX(-3,MIN(3,('3a Raw'!F716-$H3)/$H4)))</f>
        <v/>
      </c>
      <c r="I716" s="3">
        <f>IF(H716="","",(H716-AVERAGE(H6:H1198))/(STDEV(H6:H1198)+1E-12))</f>
        <v/>
      </c>
      <c r="J716" s="3">
        <f>IF('3a Raw'!G716="","",MAX(-3,MIN(3,('3a Raw'!G716-$J3)/$J4)))</f>
        <v/>
      </c>
      <c r="K716" s="3">
        <f>IF(J716="","",(J716-AVERAGE(J6:J1198))/(STDEV(J6:J1198)+1E-12))</f>
        <v/>
      </c>
      <c r="L716" s="3">
        <f>IF('3a Raw'!H716="","",MAX(-3,MIN(3,('3a Raw'!H716-$L3)/$L4)))</f>
        <v/>
      </c>
      <c r="M716" s="3">
        <f>IF(L716="","",(L716-AVERAGE(L6:L1198))/(STDEV(L6:L1198)+1E-12))</f>
        <v/>
      </c>
      <c r="N716" s="3">
        <f>IF('3a Raw'!I716="","",MAX(-3,MIN(3,('3a Raw'!I716-$N3)/$N4)))</f>
        <v/>
      </c>
      <c r="O716" s="3">
        <f>IF(N716="","",(N716-AVERAGE(N6:N1198))/(STDEV(N6:N1198)+1E-12))</f>
        <v/>
      </c>
      <c r="P716" s="3">
        <f>IF('3a Raw'!J716="","",MAX(-3,MIN(3,('3a Raw'!J716-$P3)/$P4)))</f>
        <v/>
      </c>
      <c r="Q716" s="3">
        <f>IF(P716="","",(P716-AVERAGE(P6:P1198))/(STDEV(P6:P1198)+1E-12))</f>
        <v/>
      </c>
      <c r="R716" s="3">
        <f>IF('3a Raw'!K716="","",MAX(-3,MIN(3,('3a Raw'!K716-$R3)/$R4)))</f>
        <v/>
      </c>
      <c r="S716" s="3">
        <f>IF(R716="","",(R716-AVERAGE(R6:R1198))/(STDEV(R6:R1198)+1E-12))</f>
        <v/>
      </c>
      <c r="T716" s="3">
        <f>IF('3a Raw'!L716="","",MAX(-3,MIN(3,('3a Raw'!L716-$T3)/$T4)))</f>
        <v/>
      </c>
      <c r="U716" s="3">
        <f>IF(T716="","",(T716-AVERAGE(T6:T1198))/(STDEV(T6:T1198)+1E-12))</f>
        <v/>
      </c>
      <c r="X716" s="3">
        <f>IF(U716="","",U716-($V$3*G716+$W$3))</f>
        <v/>
      </c>
      <c r="Y716" s="3">
        <f>IF(X716="","",MAX(-3,MIN(3,(X716-$X3)/$X4)))</f>
        <v/>
      </c>
      <c r="Z716" s="3">
        <f>IF(Y716="","",(Y716-AVERAGE(Y6:Y1198))/(STDEV(Y6:Y1198)+1E-12))</f>
        <v/>
      </c>
    </row>
    <row r="717">
      <c r="A717" t="inlineStr">
        <is>
          <t>BBG000BP4MH0</t>
        </is>
      </c>
      <c r="B717" s="3">
        <f>IF('3a Raw'!C717="","",MAX(-3,MIN(3,('3a Raw'!C717-$B3)/$B4)))</f>
        <v/>
      </c>
      <c r="C717" s="3">
        <f>IF(B717="","",(B717-AVERAGE(B6:B1198))/(STDEV(B6:B1198)+1E-12))</f>
        <v/>
      </c>
      <c r="D717" s="3">
        <f>IF('3a Raw'!D717="","",MAX(-3,MIN(3,('3a Raw'!D717-$D3)/$D4)))</f>
        <v/>
      </c>
      <c r="E717" s="3">
        <f>IF(D717="","",(D717-AVERAGE(D6:D1198))/(STDEV(D6:D1198)+1E-12))</f>
        <v/>
      </c>
      <c r="F717" s="3">
        <f>IF('3a Raw'!E717="","",MAX(-3,MIN(3,('3a Raw'!E717-$F3)/$F4)))</f>
        <v/>
      </c>
      <c r="G717" s="3">
        <f>IF(F717="","",(F717-AVERAGE(F6:F1198))/(STDEV(F6:F1198)+1E-12))</f>
        <v/>
      </c>
      <c r="H717" s="3">
        <f>IF('3a Raw'!F717="","",MAX(-3,MIN(3,('3a Raw'!F717-$H3)/$H4)))</f>
        <v/>
      </c>
      <c r="I717" s="3">
        <f>IF(H717="","",(H717-AVERAGE(H6:H1198))/(STDEV(H6:H1198)+1E-12))</f>
        <v/>
      </c>
      <c r="J717" s="3">
        <f>IF('3a Raw'!G717="","",MAX(-3,MIN(3,('3a Raw'!G717-$J3)/$J4)))</f>
        <v/>
      </c>
      <c r="K717" s="3">
        <f>IF(J717="","",(J717-AVERAGE(J6:J1198))/(STDEV(J6:J1198)+1E-12))</f>
        <v/>
      </c>
      <c r="L717" s="3">
        <f>IF('3a Raw'!H717="","",MAX(-3,MIN(3,('3a Raw'!H717-$L3)/$L4)))</f>
        <v/>
      </c>
      <c r="M717" s="3">
        <f>IF(L717="","",(L717-AVERAGE(L6:L1198))/(STDEV(L6:L1198)+1E-12))</f>
        <v/>
      </c>
      <c r="N717" s="3">
        <f>IF('3a Raw'!I717="","",MAX(-3,MIN(3,('3a Raw'!I717-$N3)/$N4)))</f>
        <v/>
      </c>
      <c r="O717" s="3">
        <f>IF(N717="","",(N717-AVERAGE(N6:N1198))/(STDEV(N6:N1198)+1E-12))</f>
        <v/>
      </c>
      <c r="P717" s="3">
        <f>IF('3a Raw'!J717="","",MAX(-3,MIN(3,('3a Raw'!J717-$P3)/$P4)))</f>
        <v/>
      </c>
      <c r="Q717" s="3">
        <f>IF(P717="","",(P717-AVERAGE(P6:P1198))/(STDEV(P6:P1198)+1E-12))</f>
        <v/>
      </c>
      <c r="R717" s="3">
        <f>IF('3a Raw'!K717="","",MAX(-3,MIN(3,('3a Raw'!K717-$R3)/$R4)))</f>
        <v/>
      </c>
      <c r="S717" s="3">
        <f>IF(R717="","",(R717-AVERAGE(R6:R1198))/(STDEV(R6:R1198)+1E-12))</f>
        <v/>
      </c>
      <c r="T717" s="3">
        <f>IF('3a Raw'!L717="","",MAX(-3,MIN(3,('3a Raw'!L717-$T3)/$T4)))</f>
        <v/>
      </c>
      <c r="U717" s="3">
        <f>IF(T717="","",(T717-AVERAGE(T6:T1198))/(STDEV(T6:T1198)+1E-12))</f>
        <v/>
      </c>
      <c r="X717" s="3">
        <f>IF(U717="","",U717-($V$3*G717+$W$3))</f>
        <v/>
      </c>
      <c r="Y717" s="3">
        <f>IF(X717="","",MAX(-3,MIN(3,(X717-$X3)/$X4)))</f>
        <v/>
      </c>
      <c r="Z717" s="3">
        <f>IF(Y717="","",(Y717-AVERAGE(Y6:Y1198))/(STDEV(Y6:Y1198)+1E-12))</f>
        <v/>
      </c>
    </row>
    <row r="718">
      <c r="A718" t="inlineStr">
        <is>
          <t>BBG000BPDJM1</t>
        </is>
      </c>
      <c r="B718" s="3">
        <f>IF('3a Raw'!C718="","",MAX(-3,MIN(3,('3a Raw'!C718-$B3)/$B4)))</f>
        <v/>
      </c>
      <c r="C718" s="3">
        <f>IF(B718="","",(B718-AVERAGE(B6:B1198))/(STDEV(B6:B1198)+1E-12))</f>
        <v/>
      </c>
      <c r="D718" s="3">
        <f>IF('3a Raw'!D718="","",MAX(-3,MIN(3,('3a Raw'!D718-$D3)/$D4)))</f>
        <v/>
      </c>
      <c r="E718" s="3">
        <f>IF(D718="","",(D718-AVERAGE(D6:D1198))/(STDEV(D6:D1198)+1E-12))</f>
        <v/>
      </c>
      <c r="F718" s="3">
        <f>IF('3a Raw'!E718="","",MAX(-3,MIN(3,('3a Raw'!E718-$F3)/$F4)))</f>
        <v/>
      </c>
      <c r="G718" s="3">
        <f>IF(F718="","",(F718-AVERAGE(F6:F1198))/(STDEV(F6:F1198)+1E-12))</f>
        <v/>
      </c>
      <c r="H718" s="3">
        <f>IF('3a Raw'!F718="","",MAX(-3,MIN(3,('3a Raw'!F718-$H3)/$H4)))</f>
        <v/>
      </c>
      <c r="I718" s="3">
        <f>IF(H718="","",(H718-AVERAGE(H6:H1198))/(STDEV(H6:H1198)+1E-12))</f>
        <v/>
      </c>
      <c r="J718" s="3">
        <f>IF('3a Raw'!G718="","",MAX(-3,MIN(3,('3a Raw'!G718-$J3)/$J4)))</f>
        <v/>
      </c>
      <c r="K718" s="3">
        <f>IF(J718="","",(J718-AVERAGE(J6:J1198))/(STDEV(J6:J1198)+1E-12))</f>
        <v/>
      </c>
      <c r="L718" s="3">
        <f>IF('3a Raw'!H718="","",MAX(-3,MIN(3,('3a Raw'!H718-$L3)/$L4)))</f>
        <v/>
      </c>
      <c r="M718" s="3">
        <f>IF(L718="","",(L718-AVERAGE(L6:L1198))/(STDEV(L6:L1198)+1E-12))</f>
        <v/>
      </c>
      <c r="N718" s="3">
        <f>IF('3a Raw'!I718="","",MAX(-3,MIN(3,('3a Raw'!I718-$N3)/$N4)))</f>
        <v/>
      </c>
      <c r="O718" s="3">
        <f>IF(N718="","",(N718-AVERAGE(N6:N1198))/(STDEV(N6:N1198)+1E-12))</f>
        <v/>
      </c>
      <c r="P718" s="3">
        <f>IF('3a Raw'!J718="","",MAX(-3,MIN(3,('3a Raw'!J718-$P3)/$P4)))</f>
        <v/>
      </c>
      <c r="Q718" s="3">
        <f>IF(P718="","",(P718-AVERAGE(P6:P1198))/(STDEV(P6:P1198)+1E-12))</f>
        <v/>
      </c>
      <c r="R718" s="3">
        <f>IF('3a Raw'!K718="","",MAX(-3,MIN(3,('3a Raw'!K718-$R3)/$R4)))</f>
        <v/>
      </c>
      <c r="S718" s="3">
        <f>IF(R718="","",(R718-AVERAGE(R6:R1198))/(STDEV(R6:R1198)+1E-12))</f>
        <v/>
      </c>
      <c r="T718" s="3">
        <f>IF('3a Raw'!L718="","",MAX(-3,MIN(3,('3a Raw'!L718-$T3)/$T4)))</f>
        <v/>
      </c>
      <c r="U718" s="3">
        <f>IF(T718="","",(T718-AVERAGE(T6:T1198))/(STDEV(T6:T1198)+1E-12))</f>
        <v/>
      </c>
      <c r="X718" s="3">
        <f>IF(U718="","",U718-($V$3*G718+$W$3))</f>
        <v/>
      </c>
      <c r="Y718" s="3">
        <f>IF(X718="","",MAX(-3,MIN(3,(X718-$X3)/$X4)))</f>
        <v/>
      </c>
      <c r="Z718" s="3">
        <f>IF(Y718="","",(Y718-AVERAGE(Y6:Y1198))/(STDEV(Y6:Y1198)+1E-12))</f>
        <v/>
      </c>
    </row>
    <row r="719">
      <c r="A719" t="inlineStr">
        <is>
          <t>BBG000BLZRJ2</t>
        </is>
      </c>
      <c r="B719" s="3">
        <f>IF('3a Raw'!C719="","",MAX(-3,MIN(3,('3a Raw'!C719-$B3)/$B4)))</f>
        <v/>
      </c>
      <c r="C719" s="3">
        <f>IF(B719="","",(B719-AVERAGE(B6:B1198))/(STDEV(B6:B1198)+1E-12))</f>
        <v/>
      </c>
      <c r="D719" s="3">
        <f>IF('3a Raw'!D719="","",MAX(-3,MIN(3,('3a Raw'!D719-$D3)/$D4)))</f>
        <v/>
      </c>
      <c r="E719" s="3">
        <f>IF(D719="","",(D719-AVERAGE(D6:D1198))/(STDEV(D6:D1198)+1E-12))</f>
        <v/>
      </c>
      <c r="F719" s="3">
        <f>IF('3a Raw'!E719="","",MAX(-3,MIN(3,('3a Raw'!E719-$F3)/$F4)))</f>
        <v/>
      </c>
      <c r="G719" s="3">
        <f>IF(F719="","",(F719-AVERAGE(F6:F1198))/(STDEV(F6:F1198)+1E-12))</f>
        <v/>
      </c>
      <c r="H719" s="3">
        <f>IF('3a Raw'!F719="","",MAX(-3,MIN(3,('3a Raw'!F719-$H3)/$H4)))</f>
        <v/>
      </c>
      <c r="I719" s="3">
        <f>IF(H719="","",(H719-AVERAGE(H6:H1198))/(STDEV(H6:H1198)+1E-12))</f>
        <v/>
      </c>
      <c r="J719" s="3">
        <f>IF('3a Raw'!G719="","",MAX(-3,MIN(3,('3a Raw'!G719-$J3)/$J4)))</f>
        <v/>
      </c>
      <c r="K719" s="3">
        <f>IF(J719="","",(J719-AVERAGE(J6:J1198))/(STDEV(J6:J1198)+1E-12))</f>
        <v/>
      </c>
      <c r="L719" s="3">
        <f>IF('3a Raw'!H719="","",MAX(-3,MIN(3,('3a Raw'!H719-$L3)/$L4)))</f>
        <v/>
      </c>
      <c r="M719" s="3">
        <f>IF(L719="","",(L719-AVERAGE(L6:L1198))/(STDEV(L6:L1198)+1E-12))</f>
        <v/>
      </c>
      <c r="N719" s="3">
        <f>IF('3a Raw'!I719="","",MAX(-3,MIN(3,('3a Raw'!I719-$N3)/$N4)))</f>
        <v/>
      </c>
      <c r="O719" s="3">
        <f>IF(N719="","",(N719-AVERAGE(N6:N1198))/(STDEV(N6:N1198)+1E-12))</f>
        <v/>
      </c>
      <c r="P719" s="3">
        <f>IF('3a Raw'!J719="","",MAX(-3,MIN(3,('3a Raw'!J719-$P3)/$P4)))</f>
        <v/>
      </c>
      <c r="Q719" s="3">
        <f>IF(P719="","",(P719-AVERAGE(P6:P1198))/(STDEV(P6:P1198)+1E-12))</f>
        <v/>
      </c>
      <c r="R719" s="3">
        <f>IF('3a Raw'!K719="","",MAX(-3,MIN(3,('3a Raw'!K719-$R3)/$R4)))</f>
        <v/>
      </c>
      <c r="S719" s="3">
        <f>IF(R719="","",(R719-AVERAGE(R6:R1198))/(STDEV(R6:R1198)+1E-12))</f>
        <v/>
      </c>
      <c r="T719" s="3">
        <f>IF('3a Raw'!L719="","",MAX(-3,MIN(3,('3a Raw'!L719-$T3)/$T4)))</f>
        <v/>
      </c>
      <c r="U719" s="3">
        <f>IF(T719="","",(T719-AVERAGE(T6:T1198))/(STDEV(T6:T1198)+1E-12))</f>
        <v/>
      </c>
      <c r="X719" s="3">
        <f>IF(U719="","",U719-($V$3*G719+$W$3))</f>
        <v/>
      </c>
      <c r="Y719" s="3">
        <f>IF(X719="","",MAX(-3,MIN(3,(X719-$X3)/$X4)))</f>
        <v/>
      </c>
      <c r="Z719" s="3">
        <f>IF(Y719="","",(Y719-AVERAGE(Y6:Y1198))/(STDEV(Y6:Y1198)+1E-12))</f>
        <v/>
      </c>
    </row>
    <row r="720">
      <c r="A720" t="inlineStr">
        <is>
          <t>BBG000RTDY25</t>
        </is>
      </c>
      <c r="B720" s="3">
        <f>IF('3a Raw'!C720="","",MAX(-3,MIN(3,('3a Raw'!C720-$B3)/$B4)))</f>
        <v/>
      </c>
      <c r="C720" s="3">
        <f>IF(B720="","",(B720-AVERAGE(B6:B1198))/(STDEV(B6:B1198)+1E-12))</f>
        <v/>
      </c>
      <c r="D720" s="3">
        <f>IF('3a Raw'!D720="","",MAX(-3,MIN(3,('3a Raw'!D720-$D3)/$D4)))</f>
        <v/>
      </c>
      <c r="E720" s="3">
        <f>IF(D720="","",(D720-AVERAGE(D6:D1198))/(STDEV(D6:D1198)+1E-12))</f>
        <v/>
      </c>
      <c r="F720" s="3">
        <f>IF('3a Raw'!E720="","",MAX(-3,MIN(3,('3a Raw'!E720-$F3)/$F4)))</f>
        <v/>
      </c>
      <c r="G720" s="3">
        <f>IF(F720="","",(F720-AVERAGE(F6:F1198))/(STDEV(F6:F1198)+1E-12))</f>
        <v/>
      </c>
      <c r="H720" s="3">
        <f>IF('3a Raw'!F720="","",MAX(-3,MIN(3,('3a Raw'!F720-$H3)/$H4)))</f>
        <v/>
      </c>
      <c r="I720" s="3">
        <f>IF(H720="","",(H720-AVERAGE(H6:H1198))/(STDEV(H6:H1198)+1E-12))</f>
        <v/>
      </c>
      <c r="J720" s="3">
        <f>IF('3a Raw'!G720="","",MAX(-3,MIN(3,('3a Raw'!G720-$J3)/$J4)))</f>
        <v/>
      </c>
      <c r="K720" s="3">
        <f>IF(J720="","",(J720-AVERAGE(J6:J1198))/(STDEV(J6:J1198)+1E-12))</f>
        <v/>
      </c>
      <c r="L720" s="3">
        <f>IF('3a Raw'!H720="","",MAX(-3,MIN(3,('3a Raw'!H720-$L3)/$L4)))</f>
        <v/>
      </c>
      <c r="M720" s="3">
        <f>IF(L720="","",(L720-AVERAGE(L6:L1198))/(STDEV(L6:L1198)+1E-12))</f>
        <v/>
      </c>
      <c r="N720" s="3">
        <f>IF('3a Raw'!I720="","",MAX(-3,MIN(3,('3a Raw'!I720-$N3)/$N4)))</f>
        <v/>
      </c>
      <c r="O720" s="3">
        <f>IF(N720="","",(N720-AVERAGE(N6:N1198))/(STDEV(N6:N1198)+1E-12))</f>
        <v/>
      </c>
      <c r="P720" s="3">
        <f>IF('3a Raw'!J720="","",MAX(-3,MIN(3,('3a Raw'!J720-$P3)/$P4)))</f>
        <v/>
      </c>
      <c r="Q720" s="3">
        <f>IF(P720="","",(P720-AVERAGE(P6:P1198))/(STDEV(P6:P1198)+1E-12))</f>
        <v/>
      </c>
      <c r="R720" s="3">
        <f>IF('3a Raw'!K720="","",MAX(-3,MIN(3,('3a Raw'!K720-$R3)/$R4)))</f>
        <v/>
      </c>
      <c r="S720" s="3">
        <f>IF(R720="","",(R720-AVERAGE(R6:R1198))/(STDEV(R6:R1198)+1E-12))</f>
        <v/>
      </c>
      <c r="T720" s="3">
        <f>IF('3a Raw'!L720="","",MAX(-3,MIN(3,('3a Raw'!L720-$T3)/$T4)))</f>
        <v/>
      </c>
      <c r="U720" s="3">
        <f>IF(T720="","",(T720-AVERAGE(T6:T1198))/(STDEV(T6:T1198)+1E-12))</f>
        <v/>
      </c>
      <c r="X720" s="3">
        <f>IF(U720="","",U720-($V$3*G720+$W$3))</f>
        <v/>
      </c>
      <c r="Y720" s="3">
        <f>IF(X720="","",MAX(-3,MIN(3,(X720-$X3)/$X4)))</f>
        <v/>
      </c>
      <c r="Z720" s="3">
        <f>IF(Y720="","",(Y720-AVERAGE(Y6:Y1198))/(STDEV(Y6:Y1198)+1E-12))</f>
        <v/>
      </c>
    </row>
    <row r="721">
      <c r="A721" t="inlineStr">
        <is>
          <t>BBG000BPH459</t>
        </is>
      </c>
      <c r="B721" s="3">
        <f>IF('3a Raw'!C721="","",MAX(-3,MIN(3,('3a Raw'!C721-$B3)/$B4)))</f>
        <v/>
      </c>
      <c r="C721" s="3">
        <f>IF(B721="","",(B721-AVERAGE(B6:B1198))/(STDEV(B6:B1198)+1E-12))</f>
        <v/>
      </c>
      <c r="D721" s="3">
        <f>IF('3a Raw'!D721="","",MAX(-3,MIN(3,('3a Raw'!D721-$D3)/$D4)))</f>
        <v/>
      </c>
      <c r="E721" s="3">
        <f>IF(D721="","",(D721-AVERAGE(D6:D1198))/(STDEV(D6:D1198)+1E-12))</f>
        <v/>
      </c>
      <c r="F721" s="3">
        <f>IF('3a Raw'!E721="","",MAX(-3,MIN(3,('3a Raw'!E721-$F3)/$F4)))</f>
        <v/>
      </c>
      <c r="G721" s="3">
        <f>IF(F721="","",(F721-AVERAGE(F6:F1198))/(STDEV(F6:F1198)+1E-12))</f>
        <v/>
      </c>
      <c r="H721" s="3">
        <f>IF('3a Raw'!F721="","",MAX(-3,MIN(3,('3a Raw'!F721-$H3)/$H4)))</f>
        <v/>
      </c>
      <c r="I721" s="3">
        <f>IF(H721="","",(H721-AVERAGE(H6:H1198))/(STDEV(H6:H1198)+1E-12))</f>
        <v/>
      </c>
      <c r="J721" s="3">
        <f>IF('3a Raw'!G721="","",MAX(-3,MIN(3,('3a Raw'!G721-$J3)/$J4)))</f>
        <v/>
      </c>
      <c r="K721" s="3">
        <f>IF(J721="","",(J721-AVERAGE(J6:J1198))/(STDEV(J6:J1198)+1E-12))</f>
        <v/>
      </c>
      <c r="L721" s="3">
        <f>IF('3a Raw'!H721="","",MAX(-3,MIN(3,('3a Raw'!H721-$L3)/$L4)))</f>
        <v/>
      </c>
      <c r="M721" s="3">
        <f>IF(L721="","",(L721-AVERAGE(L6:L1198))/(STDEV(L6:L1198)+1E-12))</f>
        <v/>
      </c>
      <c r="N721" s="3">
        <f>IF('3a Raw'!I721="","",MAX(-3,MIN(3,('3a Raw'!I721-$N3)/$N4)))</f>
        <v/>
      </c>
      <c r="O721" s="3">
        <f>IF(N721="","",(N721-AVERAGE(N6:N1198))/(STDEV(N6:N1198)+1E-12))</f>
        <v/>
      </c>
      <c r="P721" s="3">
        <f>IF('3a Raw'!J721="","",MAX(-3,MIN(3,('3a Raw'!J721-$P3)/$P4)))</f>
        <v/>
      </c>
      <c r="Q721" s="3">
        <f>IF(P721="","",(P721-AVERAGE(P6:P1198))/(STDEV(P6:P1198)+1E-12))</f>
        <v/>
      </c>
      <c r="R721" s="3">
        <f>IF('3a Raw'!K721="","",MAX(-3,MIN(3,('3a Raw'!K721-$R3)/$R4)))</f>
        <v/>
      </c>
      <c r="S721" s="3">
        <f>IF(R721="","",(R721-AVERAGE(R6:R1198))/(STDEV(R6:R1198)+1E-12))</f>
        <v/>
      </c>
      <c r="T721" s="3">
        <f>IF('3a Raw'!L721="","",MAX(-3,MIN(3,('3a Raw'!L721-$T3)/$T4)))</f>
        <v/>
      </c>
      <c r="U721" s="3">
        <f>IF(T721="","",(T721-AVERAGE(T6:T1198))/(STDEV(T6:T1198)+1E-12))</f>
        <v/>
      </c>
      <c r="X721" s="3">
        <f>IF(U721="","",U721-($V$3*G721+$W$3))</f>
        <v/>
      </c>
      <c r="Y721" s="3">
        <f>IF(X721="","",MAX(-3,MIN(3,(X721-$X3)/$X4)))</f>
        <v/>
      </c>
      <c r="Z721" s="3">
        <f>IF(Y721="","",(Y721-AVERAGE(Y6:Y1198))/(STDEV(Y6:Y1198)+1E-12))</f>
        <v/>
      </c>
    </row>
    <row r="722">
      <c r="A722" t="inlineStr">
        <is>
          <t>BBG007FG0C23</t>
        </is>
      </c>
      <c r="B722" s="3">
        <f>IF('3a Raw'!C722="","",MAX(-3,MIN(3,('3a Raw'!C722-$B3)/$B4)))</f>
        <v/>
      </c>
      <c r="C722" s="3">
        <f>IF(B722="","",(B722-AVERAGE(B6:B1198))/(STDEV(B6:B1198)+1E-12))</f>
        <v/>
      </c>
      <c r="D722" s="3">
        <f>IF('3a Raw'!D722="","",MAX(-3,MIN(3,('3a Raw'!D722-$D3)/$D4)))</f>
        <v/>
      </c>
      <c r="E722" s="3">
        <f>IF(D722="","",(D722-AVERAGE(D6:D1198))/(STDEV(D6:D1198)+1E-12))</f>
        <v/>
      </c>
      <c r="F722" s="3">
        <f>IF('3a Raw'!E722="","",MAX(-3,MIN(3,('3a Raw'!E722-$F3)/$F4)))</f>
        <v/>
      </c>
      <c r="G722" s="3">
        <f>IF(F722="","",(F722-AVERAGE(F6:F1198))/(STDEV(F6:F1198)+1E-12))</f>
        <v/>
      </c>
      <c r="H722" s="3">
        <f>IF('3a Raw'!F722="","",MAX(-3,MIN(3,('3a Raw'!F722-$H3)/$H4)))</f>
        <v/>
      </c>
      <c r="I722" s="3">
        <f>IF(H722="","",(H722-AVERAGE(H6:H1198))/(STDEV(H6:H1198)+1E-12))</f>
        <v/>
      </c>
      <c r="J722" s="3">
        <f>IF('3a Raw'!G722="","",MAX(-3,MIN(3,('3a Raw'!G722-$J3)/$J4)))</f>
        <v/>
      </c>
      <c r="K722" s="3">
        <f>IF(J722="","",(J722-AVERAGE(J6:J1198))/(STDEV(J6:J1198)+1E-12))</f>
        <v/>
      </c>
      <c r="L722" s="3">
        <f>IF('3a Raw'!H722="","",MAX(-3,MIN(3,('3a Raw'!H722-$L3)/$L4)))</f>
        <v/>
      </c>
      <c r="M722" s="3">
        <f>IF(L722="","",(L722-AVERAGE(L6:L1198))/(STDEV(L6:L1198)+1E-12))</f>
        <v/>
      </c>
      <c r="N722" s="3">
        <f>IF('3a Raw'!I722="","",MAX(-3,MIN(3,('3a Raw'!I722-$N3)/$N4)))</f>
        <v/>
      </c>
      <c r="O722" s="3">
        <f>IF(N722="","",(N722-AVERAGE(N6:N1198))/(STDEV(N6:N1198)+1E-12))</f>
        <v/>
      </c>
      <c r="P722" s="3">
        <f>IF('3a Raw'!J722="","",MAX(-3,MIN(3,('3a Raw'!J722-$P3)/$P4)))</f>
        <v/>
      </c>
      <c r="Q722" s="3">
        <f>IF(P722="","",(P722-AVERAGE(P6:P1198))/(STDEV(P6:P1198)+1E-12))</f>
        <v/>
      </c>
      <c r="R722" s="3">
        <f>IF('3a Raw'!K722="","",MAX(-3,MIN(3,('3a Raw'!K722-$R3)/$R4)))</f>
        <v/>
      </c>
      <c r="S722" s="3">
        <f>IF(R722="","",(R722-AVERAGE(R6:R1198))/(STDEV(R6:R1198)+1E-12))</f>
        <v/>
      </c>
      <c r="T722" s="3">
        <f>IF('3a Raw'!L722="","",MAX(-3,MIN(3,('3a Raw'!L722-$T3)/$T4)))</f>
        <v/>
      </c>
      <c r="U722" s="3">
        <f>IF(T722="","",(T722-AVERAGE(T6:T1198))/(STDEV(T6:T1198)+1E-12))</f>
        <v/>
      </c>
      <c r="X722" s="3">
        <f>IF(U722="","",U722-($V$3*G722+$W$3))</f>
        <v/>
      </c>
      <c r="Y722" s="3">
        <f>IF(X722="","",MAX(-3,MIN(3,(X722-$X3)/$X4)))</f>
        <v/>
      </c>
      <c r="Z722" s="3">
        <f>IF(Y722="","",(Y722-AVERAGE(Y6:Y1198))/(STDEV(Y6:Y1198)+1E-12))</f>
        <v/>
      </c>
    </row>
    <row r="723">
      <c r="A723" t="inlineStr">
        <is>
          <t>BBG000BP8Z50</t>
        </is>
      </c>
      <c r="B723" s="3">
        <f>IF('3a Raw'!C723="","",MAX(-3,MIN(3,('3a Raw'!C723-$B3)/$B4)))</f>
        <v/>
      </c>
      <c r="C723" s="3">
        <f>IF(B723="","",(B723-AVERAGE(B6:B1198))/(STDEV(B6:B1198)+1E-12))</f>
        <v/>
      </c>
      <c r="D723" s="3">
        <f>IF('3a Raw'!D723="","",MAX(-3,MIN(3,('3a Raw'!D723-$D3)/$D4)))</f>
        <v/>
      </c>
      <c r="E723" s="3">
        <f>IF(D723="","",(D723-AVERAGE(D6:D1198))/(STDEV(D6:D1198)+1E-12))</f>
        <v/>
      </c>
      <c r="F723" s="3">
        <f>IF('3a Raw'!E723="","",MAX(-3,MIN(3,('3a Raw'!E723-$F3)/$F4)))</f>
        <v/>
      </c>
      <c r="G723" s="3">
        <f>IF(F723="","",(F723-AVERAGE(F6:F1198))/(STDEV(F6:F1198)+1E-12))</f>
        <v/>
      </c>
      <c r="H723" s="3">
        <f>IF('3a Raw'!F723="","",MAX(-3,MIN(3,('3a Raw'!F723-$H3)/$H4)))</f>
        <v/>
      </c>
      <c r="I723" s="3">
        <f>IF(H723="","",(H723-AVERAGE(H6:H1198))/(STDEV(H6:H1198)+1E-12))</f>
        <v/>
      </c>
      <c r="J723" s="3">
        <f>IF('3a Raw'!G723="","",MAX(-3,MIN(3,('3a Raw'!G723-$J3)/$J4)))</f>
        <v/>
      </c>
      <c r="K723" s="3">
        <f>IF(J723="","",(J723-AVERAGE(J6:J1198))/(STDEV(J6:J1198)+1E-12))</f>
        <v/>
      </c>
      <c r="L723" s="3">
        <f>IF('3a Raw'!H723="","",MAX(-3,MIN(3,('3a Raw'!H723-$L3)/$L4)))</f>
        <v/>
      </c>
      <c r="M723" s="3">
        <f>IF(L723="","",(L723-AVERAGE(L6:L1198))/(STDEV(L6:L1198)+1E-12))</f>
        <v/>
      </c>
      <c r="N723" s="3">
        <f>IF('3a Raw'!I723="","",MAX(-3,MIN(3,('3a Raw'!I723-$N3)/$N4)))</f>
        <v/>
      </c>
      <c r="O723" s="3">
        <f>IF(N723="","",(N723-AVERAGE(N6:N1198))/(STDEV(N6:N1198)+1E-12))</f>
        <v/>
      </c>
      <c r="P723" s="3">
        <f>IF('3a Raw'!J723="","",MAX(-3,MIN(3,('3a Raw'!J723-$P3)/$P4)))</f>
        <v/>
      </c>
      <c r="Q723" s="3">
        <f>IF(P723="","",(P723-AVERAGE(P6:P1198))/(STDEV(P6:P1198)+1E-12))</f>
        <v/>
      </c>
      <c r="R723" s="3">
        <f>IF('3a Raw'!K723="","",MAX(-3,MIN(3,('3a Raw'!K723-$R3)/$R4)))</f>
        <v/>
      </c>
      <c r="S723" s="3">
        <f>IF(R723="","",(R723-AVERAGE(R6:R1198))/(STDEV(R6:R1198)+1E-12))</f>
        <v/>
      </c>
      <c r="T723" s="3">
        <f>IF('3a Raw'!L723="","",MAX(-3,MIN(3,('3a Raw'!L723-$T3)/$T4)))</f>
        <v/>
      </c>
      <c r="U723" s="3">
        <f>IF(T723="","",(T723-AVERAGE(T6:T1198))/(STDEV(T6:T1198)+1E-12))</f>
        <v/>
      </c>
      <c r="X723" s="3">
        <f>IF(U723="","",U723-($V$3*G723+$W$3))</f>
        <v/>
      </c>
      <c r="Y723" s="3">
        <f>IF(X723="","",MAX(-3,MIN(3,(X723-$X3)/$X4)))</f>
        <v/>
      </c>
      <c r="Z723" s="3">
        <f>IF(Y723="","",(Y723-AVERAGE(Y6:Y1198))/(STDEV(Y6:Y1198)+1E-12))</f>
        <v/>
      </c>
    </row>
    <row r="724">
      <c r="A724" t="inlineStr">
        <is>
          <t>BBG000GQJPZ0</t>
        </is>
      </c>
      <c r="B724" s="3">
        <f>IF('3a Raw'!C724="","",MAX(-3,MIN(3,('3a Raw'!C724-$B3)/$B4)))</f>
        <v/>
      </c>
      <c r="C724" s="3">
        <f>IF(B724="","",(B724-AVERAGE(B6:B1198))/(STDEV(B6:B1198)+1E-12))</f>
        <v/>
      </c>
      <c r="D724" s="3">
        <f>IF('3a Raw'!D724="","",MAX(-3,MIN(3,('3a Raw'!D724-$D3)/$D4)))</f>
        <v/>
      </c>
      <c r="E724" s="3">
        <f>IF(D724="","",(D724-AVERAGE(D6:D1198))/(STDEV(D6:D1198)+1E-12))</f>
        <v/>
      </c>
      <c r="F724" s="3">
        <f>IF('3a Raw'!E724="","",MAX(-3,MIN(3,('3a Raw'!E724-$F3)/$F4)))</f>
        <v/>
      </c>
      <c r="G724" s="3">
        <f>IF(F724="","",(F724-AVERAGE(F6:F1198))/(STDEV(F6:F1198)+1E-12))</f>
        <v/>
      </c>
      <c r="H724" s="3">
        <f>IF('3a Raw'!F724="","",MAX(-3,MIN(3,('3a Raw'!F724-$H3)/$H4)))</f>
        <v/>
      </c>
      <c r="I724" s="3">
        <f>IF(H724="","",(H724-AVERAGE(H6:H1198))/(STDEV(H6:H1198)+1E-12))</f>
        <v/>
      </c>
      <c r="J724" s="3">
        <f>IF('3a Raw'!G724="","",MAX(-3,MIN(3,('3a Raw'!G724-$J3)/$J4)))</f>
        <v/>
      </c>
      <c r="K724" s="3">
        <f>IF(J724="","",(J724-AVERAGE(J6:J1198))/(STDEV(J6:J1198)+1E-12))</f>
        <v/>
      </c>
      <c r="L724" s="3">
        <f>IF('3a Raw'!H724="","",MAX(-3,MIN(3,('3a Raw'!H724-$L3)/$L4)))</f>
        <v/>
      </c>
      <c r="M724" s="3">
        <f>IF(L724="","",(L724-AVERAGE(L6:L1198))/(STDEV(L6:L1198)+1E-12))</f>
        <v/>
      </c>
      <c r="N724" s="3">
        <f>IF('3a Raw'!I724="","",MAX(-3,MIN(3,('3a Raw'!I724-$N3)/$N4)))</f>
        <v/>
      </c>
      <c r="O724" s="3">
        <f>IF(N724="","",(N724-AVERAGE(N6:N1198))/(STDEV(N6:N1198)+1E-12))</f>
        <v/>
      </c>
      <c r="P724" s="3">
        <f>IF('3a Raw'!J724="","",MAX(-3,MIN(3,('3a Raw'!J724-$P3)/$P4)))</f>
        <v/>
      </c>
      <c r="Q724" s="3">
        <f>IF(P724="","",(P724-AVERAGE(P6:P1198))/(STDEV(P6:P1198)+1E-12))</f>
        <v/>
      </c>
      <c r="R724" s="3">
        <f>IF('3a Raw'!K724="","",MAX(-3,MIN(3,('3a Raw'!K724-$R3)/$R4)))</f>
        <v/>
      </c>
      <c r="S724" s="3">
        <f>IF(R724="","",(R724-AVERAGE(R6:R1198))/(STDEV(R6:R1198)+1E-12))</f>
        <v/>
      </c>
      <c r="T724" s="3">
        <f>IF('3a Raw'!L724="","",MAX(-3,MIN(3,('3a Raw'!L724-$T3)/$T4)))</f>
        <v/>
      </c>
      <c r="U724" s="3">
        <f>IF(T724="","",(T724-AVERAGE(T6:T1198))/(STDEV(T6:T1198)+1E-12))</f>
        <v/>
      </c>
      <c r="X724" s="3">
        <f>IF(U724="","",U724-($V$3*G724+$W$3))</f>
        <v/>
      </c>
      <c r="Y724" s="3">
        <f>IF(X724="","",MAX(-3,MIN(3,(X724-$X3)/$X4)))</f>
        <v/>
      </c>
      <c r="Z724" s="3">
        <f>IF(Y724="","",(Y724-AVERAGE(Y6:Y1198))/(STDEV(Y6:Y1198)+1E-12))</f>
        <v/>
      </c>
    </row>
    <row r="725">
      <c r="A725" t="inlineStr">
        <is>
          <t>BBG000BJH5W0</t>
        </is>
      </c>
      <c r="B725" s="3">
        <f>IF('3a Raw'!C725="","",MAX(-3,MIN(3,('3a Raw'!C725-$B3)/$B4)))</f>
        <v/>
      </c>
      <c r="C725" s="3">
        <f>IF(B725="","",(B725-AVERAGE(B6:B1198))/(STDEV(B6:B1198)+1E-12))</f>
        <v/>
      </c>
      <c r="D725" s="3">
        <f>IF('3a Raw'!D725="","",MAX(-3,MIN(3,('3a Raw'!D725-$D3)/$D4)))</f>
        <v/>
      </c>
      <c r="E725" s="3">
        <f>IF(D725="","",(D725-AVERAGE(D6:D1198))/(STDEV(D6:D1198)+1E-12))</f>
        <v/>
      </c>
      <c r="F725" s="3">
        <f>IF('3a Raw'!E725="","",MAX(-3,MIN(3,('3a Raw'!E725-$F3)/$F4)))</f>
        <v/>
      </c>
      <c r="G725" s="3">
        <f>IF(F725="","",(F725-AVERAGE(F6:F1198))/(STDEV(F6:F1198)+1E-12))</f>
        <v/>
      </c>
      <c r="H725" s="3">
        <f>IF('3a Raw'!F725="","",MAX(-3,MIN(3,('3a Raw'!F725-$H3)/$H4)))</f>
        <v/>
      </c>
      <c r="I725" s="3">
        <f>IF(H725="","",(H725-AVERAGE(H6:H1198))/(STDEV(H6:H1198)+1E-12))</f>
        <v/>
      </c>
      <c r="J725" s="3">
        <f>IF('3a Raw'!G725="","",MAX(-3,MIN(3,('3a Raw'!G725-$J3)/$J4)))</f>
        <v/>
      </c>
      <c r="K725" s="3">
        <f>IF(J725="","",(J725-AVERAGE(J6:J1198))/(STDEV(J6:J1198)+1E-12))</f>
        <v/>
      </c>
      <c r="L725" s="3">
        <f>IF('3a Raw'!H725="","",MAX(-3,MIN(3,('3a Raw'!H725-$L3)/$L4)))</f>
        <v/>
      </c>
      <c r="M725" s="3">
        <f>IF(L725="","",(L725-AVERAGE(L6:L1198))/(STDEV(L6:L1198)+1E-12))</f>
        <v/>
      </c>
      <c r="N725" s="3">
        <f>IF('3a Raw'!I725="","",MAX(-3,MIN(3,('3a Raw'!I725-$N3)/$N4)))</f>
        <v/>
      </c>
      <c r="O725" s="3">
        <f>IF(N725="","",(N725-AVERAGE(N6:N1198))/(STDEV(N6:N1198)+1E-12))</f>
        <v/>
      </c>
      <c r="P725" s="3">
        <f>IF('3a Raw'!J725="","",MAX(-3,MIN(3,('3a Raw'!J725-$P3)/$P4)))</f>
        <v/>
      </c>
      <c r="Q725" s="3">
        <f>IF(P725="","",(P725-AVERAGE(P6:P1198))/(STDEV(P6:P1198)+1E-12))</f>
        <v/>
      </c>
      <c r="R725" s="3">
        <f>IF('3a Raw'!K725="","",MAX(-3,MIN(3,('3a Raw'!K725-$R3)/$R4)))</f>
        <v/>
      </c>
      <c r="S725" s="3">
        <f>IF(R725="","",(R725-AVERAGE(R6:R1198))/(STDEV(R6:R1198)+1E-12))</f>
        <v/>
      </c>
      <c r="T725" s="3">
        <f>IF('3a Raw'!L725="","",MAX(-3,MIN(3,('3a Raw'!L725-$T3)/$T4)))</f>
        <v/>
      </c>
      <c r="U725" s="3">
        <f>IF(T725="","",(T725-AVERAGE(T6:T1198))/(STDEV(T6:T1198)+1E-12))</f>
        <v/>
      </c>
      <c r="X725" s="3">
        <f>IF(U725="","",U725-($V$3*G725+$W$3))</f>
        <v/>
      </c>
      <c r="Y725" s="3">
        <f>IF(X725="","",MAX(-3,MIN(3,(X725-$X3)/$X4)))</f>
        <v/>
      </c>
      <c r="Z725" s="3">
        <f>IF(Y725="","",(Y725-AVERAGE(Y6:Y1198))/(STDEV(Y6:Y1198)+1E-12))</f>
        <v/>
      </c>
    </row>
    <row r="726">
      <c r="A726" t="inlineStr">
        <is>
          <t>BBG000D9KWL9</t>
        </is>
      </c>
      <c r="B726" s="3">
        <f>IF('3a Raw'!C726="","",MAX(-3,MIN(3,('3a Raw'!C726-$B3)/$B4)))</f>
        <v/>
      </c>
      <c r="C726" s="3">
        <f>IF(B726="","",(B726-AVERAGE(B6:B1198))/(STDEV(B6:B1198)+1E-12))</f>
        <v/>
      </c>
      <c r="D726" s="3">
        <f>IF('3a Raw'!D726="","",MAX(-3,MIN(3,('3a Raw'!D726-$D3)/$D4)))</f>
        <v/>
      </c>
      <c r="E726" s="3">
        <f>IF(D726="","",(D726-AVERAGE(D6:D1198))/(STDEV(D6:D1198)+1E-12))</f>
        <v/>
      </c>
      <c r="F726" s="3">
        <f>IF('3a Raw'!E726="","",MAX(-3,MIN(3,('3a Raw'!E726-$F3)/$F4)))</f>
        <v/>
      </c>
      <c r="G726" s="3">
        <f>IF(F726="","",(F726-AVERAGE(F6:F1198))/(STDEV(F6:F1198)+1E-12))</f>
        <v/>
      </c>
      <c r="H726" s="3">
        <f>IF('3a Raw'!F726="","",MAX(-3,MIN(3,('3a Raw'!F726-$H3)/$H4)))</f>
        <v/>
      </c>
      <c r="I726" s="3">
        <f>IF(H726="","",(H726-AVERAGE(H6:H1198))/(STDEV(H6:H1198)+1E-12))</f>
        <v/>
      </c>
      <c r="J726" s="3">
        <f>IF('3a Raw'!G726="","",MAX(-3,MIN(3,('3a Raw'!G726-$J3)/$J4)))</f>
        <v/>
      </c>
      <c r="K726" s="3">
        <f>IF(J726="","",(J726-AVERAGE(J6:J1198))/(STDEV(J6:J1198)+1E-12))</f>
        <v/>
      </c>
      <c r="L726" s="3">
        <f>IF('3a Raw'!H726="","",MAX(-3,MIN(3,('3a Raw'!H726-$L3)/$L4)))</f>
        <v/>
      </c>
      <c r="M726" s="3">
        <f>IF(L726="","",(L726-AVERAGE(L6:L1198))/(STDEV(L6:L1198)+1E-12))</f>
        <v/>
      </c>
      <c r="N726" s="3">
        <f>IF('3a Raw'!I726="","",MAX(-3,MIN(3,('3a Raw'!I726-$N3)/$N4)))</f>
        <v/>
      </c>
      <c r="O726" s="3">
        <f>IF(N726="","",(N726-AVERAGE(N6:N1198))/(STDEV(N6:N1198)+1E-12))</f>
        <v/>
      </c>
      <c r="P726" s="3">
        <f>IF('3a Raw'!J726="","",MAX(-3,MIN(3,('3a Raw'!J726-$P3)/$P4)))</f>
        <v/>
      </c>
      <c r="Q726" s="3">
        <f>IF(P726="","",(P726-AVERAGE(P6:P1198))/(STDEV(P6:P1198)+1E-12))</f>
        <v/>
      </c>
      <c r="R726" s="3">
        <f>IF('3a Raw'!K726="","",MAX(-3,MIN(3,('3a Raw'!K726-$R3)/$R4)))</f>
        <v/>
      </c>
      <c r="S726" s="3">
        <f>IF(R726="","",(R726-AVERAGE(R6:R1198))/(STDEV(R6:R1198)+1E-12))</f>
        <v/>
      </c>
      <c r="T726" s="3">
        <f>IF('3a Raw'!L726="","",MAX(-3,MIN(3,('3a Raw'!L726-$T3)/$T4)))</f>
        <v/>
      </c>
      <c r="U726" s="3">
        <f>IF(T726="","",(T726-AVERAGE(T6:T1198))/(STDEV(T6:T1198)+1E-12))</f>
        <v/>
      </c>
      <c r="X726" s="3">
        <f>IF(U726="","",U726-($V$3*G726+$W$3))</f>
        <v/>
      </c>
      <c r="Y726" s="3">
        <f>IF(X726="","",MAX(-3,MIN(3,(X726-$X3)/$X4)))</f>
        <v/>
      </c>
      <c r="Z726" s="3">
        <f>IF(Y726="","",(Y726-AVERAGE(Y6:Y1198))/(STDEV(Y6:Y1198)+1E-12))</f>
        <v/>
      </c>
    </row>
    <row r="727">
      <c r="A727" t="inlineStr">
        <is>
          <t>mtd</t>
        </is>
      </c>
      <c r="B727" s="3">
        <f>IF('3a Raw'!C727="","",MAX(-3,MIN(3,('3a Raw'!C727-$B3)/$B4)))</f>
        <v/>
      </c>
      <c r="C727" s="3">
        <f>IF(B727="","",(B727-AVERAGE(B6:B1198))/(STDEV(B6:B1198)+1E-12))</f>
        <v/>
      </c>
      <c r="D727" s="3">
        <f>IF('3a Raw'!D727="","",MAX(-3,MIN(3,('3a Raw'!D727-$D3)/$D4)))</f>
        <v/>
      </c>
      <c r="E727" s="3">
        <f>IF(D727="","",(D727-AVERAGE(D6:D1198))/(STDEV(D6:D1198)+1E-12))</f>
        <v/>
      </c>
      <c r="F727" s="3">
        <f>IF('3a Raw'!E727="","",MAX(-3,MIN(3,('3a Raw'!E727-$F3)/$F4)))</f>
        <v/>
      </c>
      <c r="G727" s="3">
        <f>IF(F727="","",(F727-AVERAGE(F6:F1198))/(STDEV(F6:F1198)+1E-12))</f>
        <v/>
      </c>
      <c r="H727" s="3">
        <f>IF('3a Raw'!F727="","",MAX(-3,MIN(3,('3a Raw'!F727-$H3)/$H4)))</f>
        <v/>
      </c>
      <c r="I727" s="3">
        <f>IF(H727="","",(H727-AVERAGE(H6:H1198))/(STDEV(H6:H1198)+1E-12))</f>
        <v/>
      </c>
      <c r="J727" s="3">
        <f>IF('3a Raw'!G727="","",MAX(-3,MIN(3,('3a Raw'!G727-$J3)/$J4)))</f>
        <v/>
      </c>
      <c r="K727" s="3">
        <f>IF(J727="","",(J727-AVERAGE(J6:J1198))/(STDEV(J6:J1198)+1E-12))</f>
        <v/>
      </c>
      <c r="L727" s="3">
        <f>IF('3a Raw'!H727="","",MAX(-3,MIN(3,('3a Raw'!H727-$L3)/$L4)))</f>
        <v/>
      </c>
      <c r="M727" s="3">
        <f>IF(L727="","",(L727-AVERAGE(L6:L1198))/(STDEV(L6:L1198)+1E-12))</f>
        <v/>
      </c>
      <c r="N727" s="3">
        <f>IF('3a Raw'!I727="","",MAX(-3,MIN(3,('3a Raw'!I727-$N3)/$N4)))</f>
        <v/>
      </c>
      <c r="O727" s="3">
        <f>IF(N727="","",(N727-AVERAGE(N6:N1198))/(STDEV(N6:N1198)+1E-12))</f>
        <v/>
      </c>
      <c r="P727" s="3">
        <f>IF('3a Raw'!J727="","",MAX(-3,MIN(3,('3a Raw'!J727-$P3)/$P4)))</f>
        <v/>
      </c>
      <c r="Q727" s="3">
        <f>IF(P727="","",(P727-AVERAGE(P6:P1198))/(STDEV(P6:P1198)+1E-12))</f>
        <v/>
      </c>
      <c r="R727" s="3">
        <f>IF('3a Raw'!K727="","",MAX(-3,MIN(3,('3a Raw'!K727-$R3)/$R4)))</f>
        <v/>
      </c>
      <c r="S727" s="3">
        <f>IF(R727="","",(R727-AVERAGE(R6:R1198))/(STDEV(R6:R1198)+1E-12))</f>
        <v/>
      </c>
      <c r="T727" s="3">
        <f>IF('3a Raw'!L727="","",MAX(-3,MIN(3,('3a Raw'!L727-$T3)/$T4)))</f>
        <v/>
      </c>
      <c r="U727" s="3">
        <f>IF(T727="","",(T727-AVERAGE(T6:T1198))/(STDEV(T6:T1198)+1E-12))</f>
        <v/>
      </c>
      <c r="X727" s="3">
        <f>IF(U727="","",U727-($V$3*G727+$W$3))</f>
        <v/>
      </c>
      <c r="Y727" s="3">
        <f>IF(X727="","",MAX(-3,MIN(3,(X727-$X3)/$X4)))</f>
        <v/>
      </c>
      <c r="Z727" s="3">
        <f>IF(Y727="","",(Y727-AVERAGE(Y6:Y1198))/(STDEV(Y6:Y1198)+1E-12))</f>
        <v/>
      </c>
    </row>
    <row r="728">
      <c r="A728" t="inlineStr">
        <is>
          <t>BBG000JCPGZ1</t>
        </is>
      </c>
      <c r="B728" s="3">
        <f>IF('3a Raw'!C728="","",MAX(-3,MIN(3,('3a Raw'!C728-$B3)/$B4)))</f>
        <v/>
      </c>
      <c r="C728" s="3">
        <f>IF(B728="","",(B728-AVERAGE(B6:B1198))/(STDEV(B6:B1198)+1E-12))</f>
        <v/>
      </c>
      <c r="D728" s="3">
        <f>IF('3a Raw'!D728="","",MAX(-3,MIN(3,('3a Raw'!D728-$D3)/$D4)))</f>
        <v/>
      </c>
      <c r="E728" s="3">
        <f>IF(D728="","",(D728-AVERAGE(D6:D1198))/(STDEV(D6:D1198)+1E-12))</f>
        <v/>
      </c>
      <c r="F728" s="3">
        <f>IF('3a Raw'!E728="","",MAX(-3,MIN(3,('3a Raw'!E728-$F3)/$F4)))</f>
        <v/>
      </c>
      <c r="G728" s="3">
        <f>IF(F728="","",(F728-AVERAGE(F6:F1198))/(STDEV(F6:F1198)+1E-12))</f>
        <v/>
      </c>
      <c r="H728" s="3">
        <f>IF('3a Raw'!F728="","",MAX(-3,MIN(3,('3a Raw'!F728-$H3)/$H4)))</f>
        <v/>
      </c>
      <c r="I728" s="3">
        <f>IF(H728="","",(H728-AVERAGE(H6:H1198))/(STDEV(H6:H1198)+1E-12))</f>
        <v/>
      </c>
      <c r="J728" s="3">
        <f>IF('3a Raw'!G728="","",MAX(-3,MIN(3,('3a Raw'!G728-$J3)/$J4)))</f>
        <v/>
      </c>
      <c r="K728" s="3">
        <f>IF(J728="","",(J728-AVERAGE(J6:J1198))/(STDEV(J6:J1198)+1E-12))</f>
        <v/>
      </c>
      <c r="L728" s="3">
        <f>IF('3a Raw'!H728="","",MAX(-3,MIN(3,('3a Raw'!H728-$L3)/$L4)))</f>
        <v/>
      </c>
      <c r="M728" s="3">
        <f>IF(L728="","",(L728-AVERAGE(L6:L1198))/(STDEV(L6:L1198)+1E-12))</f>
        <v/>
      </c>
      <c r="N728" s="3">
        <f>IF('3a Raw'!I728="","",MAX(-3,MIN(3,('3a Raw'!I728-$N3)/$N4)))</f>
        <v/>
      </c>
      <c r="O728" s="3">
        <f>IF(N728="","",(N728-AVERAGE(N6:N1198))/(STDEV(N6:N1198)+1E-12))</f>
        <v/>
      </c>
      <c r="P728" s="3">
        <f>IF('3a Raw'!J728="","",MAX(-3,MIN(3,('3a Raw'!J728-$P3)/$P4)))</f>
        <v/>
      </c>
      <c r="Q728" s="3">
        <f>IF(P728="","",(P728-AVERAGE(P6:P1198))/(STDEV(P6:P1198)+1E-12))</f>
        <v/>
      </c>
      <c r="R728" s="3">
        <f>IF('3a Raw'!K728="","",MAX(-3,MIN(3,('3a Raw'!K728-$R3)/$R4)))</f>
        <v/>
      </c>
      <c r="S728" s="3">
        <f>IF(R728="","",(R728-AVERAGE(R6:R1198))/(STDEV(R6:R1198)+1E-12))</f>
        <v/>
      </c>
      <c r="T728" s="3">
        <f>IF('3a Raw'!L728="","",MAX(-3,MIN(3,('3a Raw'!L728-$T3)/$T4)))</f>
        <v/>
      </c>
      <c r="U728" s="3">
        <f>IF(T728="","",(T728-AVERAGE(T6:T1198))/(STDEV(T6:T1198)+1E-12))</f>
        <v/>
      </c>
      <c r="X728" s="3">
        <f>IF(U728="","",U728-($V$3*G728+$W$3))</f>
        <v/>
      </c>
      <c r="Y728" s="3">
        <f>IF(X728="","",MAX(-3,MIN(3,(X728-$X3)/$X4)))</f>
        <v/>
      </c>
      <c r="Z728" s="3">
        <f>IF(Y728="","",(Y728-AVERAGE(Y6:Y1198))/(STDEV(Y6:Y1198)+1E-12))</f>
        <v/>
      </c>
    </row>
    <row r="729">
      <c r="A729" t="inlineStr">
        <is>
          <t>BBG000CBMH27</t>
        </is>
      </c>
      <c r="B729" s="3">
        <f>IF('3a Raw'!C729="","",MAX(-3,MIN(3,('3a Raw'!C729-$B3)/$B4)))</f>
        <v/>
      </c>
      <c r="C729" s="3">
        <f>IF(B729="","",(B729-AVERAGE(B6:B1198))/(STDEV(B6:B1198)+1E-12))</f>
        <v/>
      </c>
      <c r="D729" s="3">
        <f>IF('3a Raw'!D729="","",MAX(-3,MIN(3,('3a Raw'!D729-$D3)/$D4)))</f>
        <v/>
      </c>
      <c r="E729" s="3">
        <f>IF(D729="","",(D729-AVERAGE(D6:D1198))/(STDEV(D6:D1198)+1E-12))</f>
        <v/>
      </c>
      <c r="F729" s="3">
        <f>IF('3a Raw'!E729="","",MAX(-3,MIN(3,('3a Raw'!E729-$F3)/$F4)))</f>
        <v/>
      </c>
      <c r="G729" s="3">
        <f>IF(F729="","",(F729-AVERAGE(F6:F1198))/(STDEV(F6:F1198)+1E-12))</f>
        <v/>
      </c>
      <c r="H729" s="3">
        <f>IF('3a Raw'!F729="","",MAX(-3,MIN(3,('3a Raw'!F729-$H3)/$H4)))</f>
        <v/>
      </c>
      <c r="I729" s="3">
        <f>IF(H729="","",(H729-AVERAGE(H6:H1198))/(STDEV(H6:H1198)+1E-12))</f>
        <v/>
      </c>
      <c r="J729" s="3">
        <f>IF('3a Raw'!G729="","",MAX(-3,MIN(3,('3a Raw'!G729-$J3)/$J4)))</f>
        <v/>
      </c>
      <c r="K729" s="3">
        <f>IF(J729="","",(J729-AVERAGE(J6:J1198))/(STDEV(J6:J1198)+1E-12))</f>
        <v/>
      </c>
      <c r="L729" s="3">
        <f>IF('3a Raw'!H729="","",MAX(-3,MIN(3,('3a Raw'!H729-$L3)/$L4)))</f>
        <v/>
      </c>
      <c r="M729" s="3">
        <f>IF(L729="","",(L729-AVERAGE(L6:L1198))/(STDEV(L6:L1198)+1E-12))</f>
        <v/>
      </c>
      <c r="N729" s="3">
        <f>IF('3a Raw'!I729="","",MAX(-3,MIN(3,('3a Raw'!I729-$N3)/$N4)))</f>
        <v/>
      </c>
      <c r="O729" s="3">
        <f>IF(N729="","",(N729-AVERAGE(N6:N1198))/(STDEV(N6:N1198)+1E-12))</f>
        <v/>
      </c>
      <c r="P729" s="3">
        <f>IF('3a Raw'!J729="","",MAX(-3,MIN(3,('3a Raw'!J729-$P3)/$P4)))</f>
        <v/>
      </c>
      <c r="Q729" s="3">
        <f>IF(P729="","",(P729-AVERAGE(P6:P1198))/(STDEV(P6:P1198)+1E-12))</f>
        <v/>
      </c>
      <c r="R729" s="3">
        <f>IF('3a Raw'!K729="","",MAX(-3,MIN(3,('3a Raw'!K729-$R3)/$R4)))</f>
        <v/>
      </c>
      <c r="S729" s="3">
        <f>IF(R729="","",(R729-AVERAGE(R6:R1198))/(STDEV(R6:R1198)+1E-12))</f>
        <v/>
      </c>
      <c r="T729" s="3">
        <f>IF('3a Raw'!L729="","",MAX(-3,MIN(3,('3a Raw'!L729-$T3)/$T4)))</f>
        <v/>
      </c>
      <c r="U729" s="3">
        <f>IF(T729="","",(T729-AVERAGE(T6:T1198))/(STDEV(T6:T1198)+1E-12))</f>
        <v/>
      </c>
      <c r="X729" s="3">
        <f>IF(U729="","",U729-($V$3*G729+$W$3))</f>
        <v/>
      </c>
      <c r="Y729" s="3">
        <f>IF(X729="","",MAX(-3,MIN(3,(X729-$X3)/$X4)))</f>
        <v/>
      </c>
      <c r="Z729" s="3">
        <f>IF(Y729="","",(Y729-AVERAGE(Y6:Y1198))/(STDEV(Y6:Y1198)+1E-12))</f>
        <v/>
      </c>
    </row>
    <row r="730">
      <c r="A730" t="inlineStr">
        <is>
          <t>BBG000F4F1N0</t>
        </is>
      </c>
      <c r="B730" s="3">
        <f>IF('3a Raw'!C730="","",MAX(-3,MIN(3,('3a Raw'!C730-$B3)/$B4)))</f>
        <v/>
      </c>
      <c r="C730" s="3">
        <f>IF(B730="","",(B730-AVERAGE(B6:B1198))/(STDEV(B6:B1198)+1E-12))</f>
        <v/>
      </c>
      <c r="D730" s="3">
        <f>IF('3a Raw'!D730="","",MAX(-3,MIN(3,('3a Raw'!D730-$D3)/$D4)))</f>
        <v/>
      </c>
      <c r="E730" s="3">
        <f>IF(D730="","",(D730-AVERAGE(D6:D1198))/(STDEV(D6:D1198)+1E-12))</f>
        <v/>
      </c>
      <c r="F730" s="3">
        <f>IF('3a Raw'!E730="","",MAX(-3,MIN(3,('3a Raw'!E730-$F3)/$F4)))</f>
        <v/>
      </c>
      <c r="G730" s="3">
        <f>IF(F730="","",(F730-AVERAGE(F6:F1198))/(STDEV(F6:F1198)+1E-12))</f>
        <v/>
      </c>
      <c r="H730" s="3">
        <f>IF('3a Raw'!F730="","",MAX(-3,MIN(3,('3a Raw'!F730-$H3)/$H4)))</f>
        <v/>
      </c>
      <c r="I730" s="3">
        <f>IF(H730="","",(H730-AVERAGE(H6:H1198))/(STDEV(H6:H1198)+1E-12))</f>
        <v/>
      </c>
      <c r="J730" s="3">
        <f>IF('3a Raw'!G730="","",MAX(-3,MIN(3,('3a Raw'!G730-$J3)/$J4)))</f>
        <v/>
      </c>
      <c r="K730" s="3">
        <f>IF(J730="","",(J730-AVERAGE(J6:J1198))/(STDEV(J6:J1198)+1E-12))</f>
        <v/>
      </c>
      <c r="L730" s="3">
        <f>IF('3a Raw'!H730="","",MAX(-3,MIN(3,('3a Raw'!H730-$L3)/$L4)))</f>
        <v/>
      </c>
      <c r="M730" s="3">
        <f>IF(L730="","",(L730-AVERAGE(L6:L1198))/(STDEV(L6:L1198)+1E-12))</f>
        <v/>
      </c>
      <c r="N730" s="3">
        <f>IF('3a Raw'!I730="","",MAX(-3,MIN(3,('3a Raw'!I730-$N3)/$N4)))</f>
        <v/>
      </c>
      <c r="O730" s="3">
        <f>IF(N730="","",(N730-AVERAGE(N6:N1198))/(STDEV(N6:N1198)+1E-12))</f>
        <v/>
      </c>
      <c r="P730" s="3">
        <f>IF('3a Raw'!J730="","",MAX(-3,MIN(3,('3a Raw'!J730-$P3)/$P4)))</f>
        <v/>
      </c>
      <c r="Q730" s="3">
        <f>IF(P730="","",(P730-AVERAGE(P6:P1198))/(STDEV(P6:P1198)+1E-12))</f>
        <v/>
      </c>
      <c r="R730" s="3">
        <f>IF('3a Raw'!K730="","",MAX(-3,MIN(3,('3a Raw'!K730-$R3)/$R4)))</f>
        <v/>
      </c>
      <c r="S730" s="3">
        <f>IF(R730="","",(R730-AVERAGE(R6:R1198))/(STDEV(R6:R1198)+1E-12))</f>
        <v/>
      </c>
      <c r="T730" s="3">
        <f>IF('3a Raw'!L730="","",MAX(-3,MIN(3,('3a Raw'!L730-$T3)/$T4)))</f>
        <v/>
      </c>
      <c r="U730" s="3">
        <f>IF(T730="","",(T730-AVERAGE(T6:T1198))/(STDEV(T6:T1198)+1E-12))</f>
        <v/>
      </c>
      <c r="X730" s="3">
        <f>IF(U730="","",U730-($V$3*G730+$W$3))</f>
        <v/>
      </c>
      <c r="Y730" s="3">
        <f>IF(X730="","",MAX(-3,MIN(3,(X730-$X3)/$X4)))</f>
        <v/>
      </c>
      <c r="Z730" s="3">
        <f>IF(Y730="","",(Y730-AVERAGE(Y6:Y1198))/(STDEV(Y6:Y1198)+1E-12))</f>
        <v/>
      </c>
    </row>
    <row r="731">
      <c r="A731" t="inlineStr">
        <is>
          <t>BBG000BCMWM1</t>
        </is>
      </c>
      <c r="B731" s="3">
        <f>IF('3a Raw'!C731="","",MAX(-3,MIN(3,('3a Raw'!C731-$B3)/$B4)))</f>
        <v/>
      </c>
      <c r="C731" s="3">
        <f>IF(B731="","",(B731-AVERAGE(B6:B1198))/(STDEV(B6:B1198)+1E-12))</f>
        <v/>
      </c>
      <c r="D731" s="3">
        <f>IF('3a Raw'!D731="","",MAX(-3,MIN(3,('3a Raw'!D731-$D3)/$D4)))</f>
        <v/>
      </c>
      <c r="E731" s="3">
        <f>IF(D731="","",(D731-AVERAGE(D6:D1198))/(STDEV(D6:D1198)+1E-12))</f>
        <v/>
      </c>
      <c r="F731" s="3">
        <f>IF('3a Raw'!E731="","",MAX(-3,MIN(3,('3a Raw'!E731-$F3)/$F4)))</f>
        <v/>
      </c>
      <c r="G731" s="3">
        <f>IF(F731="","",(F731-AVERAGE(F6:F1198))/(STDEV(F6:F1198)+1E-12))</f>
        <v/>
      </c>
      <c r="H731" s="3">
        <f>IF('3a Raw'!F731="","",MAX(-3,MIN(3,('3a Raw'!F731-$H3)/$H4)))</f>
        <v/>
      </c>
      <c r="I731" s="3">
        <f>IF(H731="","",(H731-AVERAGE(H6:H1198))/(STDEV(H6:H1198)+1E-12))</f>
        <v/>
      </c>
      <c r="J731" s="3">
        <f>IF('3a Raw'!G731="","",MAX(-3,MIN(3,('3a Raw'!G731-$J3)/$J4)))</f>
        <v/>
      </c>
      <c r="K731" s="3">
        <f>IF(J731="","",(J731-AVERAGE(J6:J1198))/(STDEV(J6:J1198)+1E-12))</f>
        <v/>
      </c>
      <c r="L731" s="3">
        <f>IF('3a Raw'!H731="","",MAX(-3,MIN(3,('3a Raw'!H731-$L3)/$L4)))</f>
        <v/>
      </c>
      <c r="M731" s="3">
        <f>IF(L731="","",(L731-AVERAGE(L6:L1198))/(STDEV(L6:L1198)+1E-12))</f>
        <v/>
      </c>
      <c r="N731" s="3">
        <f>IF('3a Raw'!I731="","",MAX(-3,MIN(3,('3a Raw'!I731-$N3)/$N4)))</f>
        <v/>
      </c>
      <c r="O731" s="3">
        <f>IF(N731="","",(N731-AVERAGE(N6:N1198))/(STDEV(N6:N1198)+1E-12))</f>
        <v/>
      </c>
      <c r="P731" s="3">
        <f>IF('3a Raw'!J731="","",MAX(-3,MIN(3,('3a Raw'!J731-$P3)/$P4)))</f>
        <v/>
      </c>
      <c r="Q731" s="3">
        <f>IF(P731="","",(P731-AVERAGE(P6:P1198))/(STDEV(P6:P1198)+1E-12))</f>
        <v/>
      </c>
      <c r="R731" s="3">
        <f>IF('3a Raw'!K731="","",MAX(-3,MIN(3,('3a Raw'!K731-$R3)/$R4)))</f>
        <v/>
      </c>
      <c r="S731" s="3">
        <f>IF(R731="","",(R731-AVERAGE(R6:R1198))/(STDEV(R6:R1198)+1E-12))</f>
        <v/>
      </c>
      <c r="T731" s="3">
        <f>IF('3a Raw'!L731="","",MAX(-3,MIN(3,('3a Raw'!L731-$T3)/$T4)))</f>
        <v/>
      </c>
      <c r="U731" s="3">
        <f>IF(T731="","",(T731-AVERAGE(T6:T1198))/(STDEV(T6:T1198)+1E-12))</f>
        <v/>
      </c>
      <c r="X731" s="3">
        <f>IF(U731="","",U731-($V$3*G731+$W$3))</f>
        <v/>
      </c>
      <c r="Y731" s="3">
        <f>IF(X731="","",MAX(-3,MIN(3,(X731-$X3)/$X4)))</f>
        <v/>
      </c>
      <c r="Z731" s="3">
        <f>IF(Y731="","",(Y731-AVERAGE(Y6:Y1198))/(STDEV(Y6:Y1198)+1E-12))</f>
        <v/>
      </c>
    </row>
    <row r="732">
      <c r="A732" t="inlineStr">
        <is>
          <t>BBG000BDTT76</t>
        </is>
      </c>
      <c r="B732" s="3">
        <f>IF('3a Raw'!C732="","",MAX(-3,MIN(3,('3a Raw'!C732-$B3)/$B4)))</f>
        <v/>
      </c>
      <c r="C732" s="3">
        <f>IF(B732="","",(B732-AVERAGE(B6:B1198))/(STDEV(B6:B1198)+1E-12))</f>
        <v/>
      </c>
      <c r="D732" s="3">
        <f>IF('3a Raw'!D732="","",MAX(-3,MIN(3,('3a Raw'!D732-$D3)/$D4)))</f>
        <v/>
      </c>
      <c r="E732" s="3">
        <f>IF(D732="","",(D732-AVERAGE(D6:D1198))/(STDEV(D6:D1198)+1E-12))</f>
        <v/>
      </c>
      <c r="F732" s="3">
        <f>IF('3a Raw'!E732="","",MAX(-3,MIN(3,('3a Raw'!E732-$F3)/$F4)))</f>
        <v/>
      </c>
      <c r="G732" s="3">
        <f>IF(F732="","",(F732-AVERAGE(F6:F1198))/(STDEV(F6:F1198)+1E-12))</f>
        <v/>
      </c>
      <c r="H732" s="3">
        <f>IF('3a Raw'!F732="","",MAX(-3,MIN(3,('3a Raw'!F732-$H3)/$H4)))</f>
        <v/>
      </c>
      <c r="I732" s="3">
        <f>IF(H732="","",(H732-AVERAGE(H6:H1198))/(STDEV(H6:H1198)+1E-12))</f>
        <v/>
      </c>
      <c r="J732" s="3">
        <f>IF('3a Raw'!G732="","",MAX(-3,MIN(3,('3a Raw'!G732-$J3)/$J4)))</f>
        <v/>
      </c>
      <c r="K732" s="3">
        <f>IF(J732="","",(J732-AVERAGE(J6:J1198))/(STDEV(J6:J1198)+1E-12))</f>
        <v/>
      </c>
      <c r="L732" s="3">
        <f>IF('3a Raw'!H732="","",MAX(-3,MIN(3,('3a Raw'!H732-$L3)/$L4)))</f>
        <v/>
      </c>
      <c r="M732" s="3">
        <f>IF(L732="","",(L732-AVERAGE(L6:L1198))/(STDEV(L6:L1198)+1E-12))</f>
        <v/>
      </c>
      <c r="N732" s="3">
        <f>IF('3a Raw'!I732="","",MAX(-3,MIN(3,('3a Raw'!I732-$N3)/$N4)))</f>
        <v/>
      </c>
      <c r="O732" s="3">
        <f>IF(N732="","",(N732-AVERAGE(N6:N1198))/(STDEV(N6:N1198)+1E-12))</f>
        <v/>
      </c>
      <c r="P732" s="3">
        <f>IF('3a Raw'!J732="","",MAX(-3,MIN(3,('3a Raw'!J732-$P3)/$P4)))</f>
        <v/>
      </c>
      <c r="Q732" s="3">
        <f>IF(P732="","",(P732-AVERAGE(P6:P1198))/(STDEV(P6:P1198)+1E-12))</f>
        <v/>
      </c>
      <c r="R732" s="3">
        <f>IF('3a Raw'!K732="","",MAX(-3,MIN(3,('3a Raw'!K732-$R3)/$R4)))</f>
        <v/>
      </c>
      <c r="S732" s="3">
        <f>IF(R732="","",(R732-AVERAGE(R6:R1198))/(STDEV(R6:R1198)+1E-12))</f>
        <v/>
      </c>
      <c r="T732" s="3">
        <f>IF('3a Raw'!L732="","",MAX(-3,MIN(3,('3a Raw'!L732-$T3)/$T4)))</f>
        <v/>
      </c>
      <c r="U732" s="3">
        <f>IF(T732="","",(T732-AVERAGE(T6:T1198))/(STDEV(T6:T1198)+1E-12))</f>
        <v/>
      </c>
      <c r="X732" s="3">
        <f>IF(U732="","",U732-($V$3*G732+$W$3))</f>
        <v/>
      </c>
      <c r="Y732" s="3">
        <f>IF(X732="","",MAX(-3,MIN(3,(X732-$X3)/$X4)))</f>
        <v/>
      </c>
      <c r="Z732" s="3">
        <f>IF(Y732="","",(Y732-AVERAGE(Y6:Y1198))/(STDEV(Y6:Y1198)+1E-12))</f>
        <v/>
      </c>
    </row>
    <row r="733">
      <c r="A733" t="inlineStr">
        <is>
          <t>BBG000DYXD23</t>
        </is>
      </c>
      <c r="B733" s="3">
        <f>IF('3a Raw'!C733="","",MAX(-3,MIN(3,('3a Raw'!C733-$B3)/$B4)))</f>
        <v/>
      </c>
      <c r="C733" s="3">
        <f>IF(B733="","",(B733-AVERAGE(B6:B1198))/(STDEV(B6:B1198)+1E-12))</f>
        <v/>
      </c>
      <c r="D733" s="3">
        <f>IF('3a Raw'!D733="","",MAX(-3,MIN(3,('3a Raw'!D733-$D3)/$D4)))</f>
        <v/>
      </c>
      <c r="E733" s="3">
        <f>IF(D733="","",(D733-AVERAGE(D6:D1198))/(STDEV(D6:D1198)+1E-12))</f>
        <v/>
      </c>
      <c r="F733" s="3">
        <f>IF('3a Raw'!E733="","",MAX(-3,MIN(3,('3a Raw'!E733-$F3)/$F4)))</f>
        <v/>
      </c>
      <c r="G733" s="3">
        <f>IF(F733="","",(F733-AVERAGE(F6:F1198))/(STDEV(F6:F1198)+1E-12))</f>
        <v/>
      </c>
      <c r="H733" s="3">
        <f>IF('3a Raw'!F733="","",MAX(-3,MIN(3,('3a Raw'!F733-$H3)/$H4)))</f>
        <v/>
      </c>
      <c r="I733" s="3">
        <f>IF(H733="","",(H733-AVERAGE(H6:H1198))/(STDEV(H6:H1198)+1E-12))</f>
        <v/>
      </c>
      <c r="J733" s="3">
        <f>IF('3a Raw'!G733="","",MAX(-3,MIN(3,('3a Raw'!G733-$J3)/$J4)))</f>
        <v/>
      </c>
      <c r="K733" s="3">
        <f>IF(J733="","",(J733-AVERAGE(J6:J1198))/(STDEV(J6:J1198)+1E-12))</f>
        <v/>
      </c>
      <c r="L733" s="3">
        <f>IF('3a Raw'!H733="","",MAX(-3,MIN(3,('3a Raw'!H733-$L3)/$L4)))</f>
        <v/>
      </c>
      <c r="M733" s="3">
        <f>IF(L733="","",(L733-AVERAGE(L6:L1198))/(STDEV(L6:L1198)+1E-12))</f>
        <v/>
      </c>
      <c r="N733" s="3">
        <f>IF('3a Raw'!I733="","",MAX(-3,MIN(3,('3a Raw'!I733-$N3)/$N4)))</f>
        <v/>
      </c>
      <c r="O733" s="3">
        <f>IF(N733="","",(N733-AVERAGE(N6:N1198))/(STDEV(N6:N1198)+1E-12))</f>
        <v/>
      </c>
      <c r="P733" s="3">
        <f>IF('3a Raw'!J733="","",MAX(-3,MIN(3,('3a Raw'!J733-$P3)/$P4)))</f>
        <v/>
      </c>
      <c r="Q733" s="3">
        <f>IF(P733="","",(P733-AVERAGE(P6:P1198))/(STDEV(P6:P1198)+1E-12))</f>
        <v/>
      </c>
      <c r="R733" s="3">
        <f>IF('3a Raw'!K733="","",MAX(-3,MIN(3,('3a Raw'!K733-$R3)/$R4)))</f>
        <v/>
      </c>
      <c r="S733" s="3">
        <f>IF(R733="","",(R733-AVERAGE(R6:R1198))/(STDEV(R6:R1198)+1E-12))</f>
        <v/>
      </c>
      <c r="T733" s="3">
        <f>IF('3a Raw'!L733="","",MAX(-3,MIN(3,('3a Raw'!L733-$T3)/$T4)))</f>
        <v/>
      </c>
      <c r="U733" s="3">
        <f>IF(T733="","",(T733-AVERAGE(T6:T1198))/(STDEV(T6:T1198)+1E-12))</f>
        <v/>
      </c>
      <c r="X733" s="3">
        <f>IF(U733="","",U733-($V$3*G733+$W$3))</f>
        <v/>
      </c>
      <c r="Y733" s="3">
        <f>IF(X733="","",MAX(-3,MIN(3,(X733-$X3)/$X4)))</f>
        <v/>
      </c>
      <c r="Z733" s="3">
        <f>IF(Y733="","",(Y733-AVERAGE(Y6:Y1198))/(STDEV(Y6:Y1198)+1E-12))</f>
        <v/>
      </c>
    </row>
    <row r="734">
      <c r="A734" t="inlineStr">
        <is>
          <t>BBG000C5Z1S3</t>
        </is>
      </c>
      <c r="B734" s="3">
        <f>IF('3a Raw'!C734="","",MAX(-3,MIN(3,('3a Raw'!C734-$B3)/$B4)))</f>
        <v/>
      </c>
      <c r="C734" s="3">
        <f>IF(B734="","",(B734-AVERAGE(B6:B1198))/(STDEV(B6:B1198)+1E-12))</f>
        <v/>
      </c>
      <c r="D734" s="3">
        <f>IF('3a Raw'!D734="","",MAX(-3,MIN(3,('3a Raw'!D734-$D3)/$D4)))</f>
        <v/>
      </c>
      <c r="E734" s="3">
        <f>IF(D734="","",(D734-AVERAGE(D6:D1198))/(STDEV(D6:D1198)+1E-12))</f>
        <v/>
      </c>
      <c r="F734" s="3">
        <f>IF('3a Raw'!E734="","",MAX(-3,MIN(3,('3a Raw'!E734-$F3)/$F4)))</f>
        <v/>
      </c>
      <c r="G734" s="3">
        <f>IF(F734="","",(F734-AVERAGE(F6:F1198))/(STDEV(F6:F1198)+1E-12))</f>
        <v/>
      </c>
      <c r="H734" s="3">
        <f>IF('3a Raw'!F734="","",MAX(-3,MIN(3,('3a Raw'!F734-$H3)/$H4)))</f>
        <v/>
      </c>
      <c r="I734" s="3">
        <f>IF(H734="","",(H734-AVERAGE(H6:H1198))/(STDEV(H6:H1198)+1E-12))</f>
        <v/>
      </c>
      <c r="J734" s="3">
        <f>IF('3a Raw'!G734="","",MAX(-3,MIN(3,('3a Raw'!G734-$J3)/$J4)))</f>
        <v/>
      </c>
      <c r="K734" s="3">
        <f>IF(J734="","",(J734-AVERAGE(J6:J1198))/(STDEV(J6:J1198)+1E-12))</f>
        <v/>
      </c>
      <c r="L734" s="3">
        <f>IF('3a Raw'!H734="","",MAX(-3,MIN(3,('3a Raw'!H734-$L3)/$L4)))</f>
        <v/>
      </c>
      <c r="M734" s="3">
        <f>IF(L734="","",(L734-AVERAGE(L6:L1198))/(STDEV(L6:L1198)+1E-12))</f>
        <v/>
      </c>
      <c r="N734" s="3">
        <f>IF('3a Raw'!I734="","",MAX(-3,MIN(3,('3a Raw'!I734-$N3)/$N4)))</f>
        <v/>
      </c>
      <c r="O734" s="3">
        <f>IF(N734="","",(N734-AVERAGE(N6:N1198))/(STDEV(N6:N1198)+1E-12))</f>
        <v/>
      </c>
      <c r="P734" s="3">
        <f>IF('3a Raw'!J734="","",MAX(-3,MIN(3,('3a Raw'!J734-$P3)/$P4)))</f>
        <v/>
      </c>
      <c r="Q734" s="3">
        <f>IF(P734="","",(P734-AVERAGE(P6:P1198))/(STDEV(P6:P1198)+1E-12))</f>
        <v/>
      </c>
      <c r="R734" s="3">
        <f>IF('3a Raw'!K734="","",MAX(-3,MIN(3,('3a Raw'!K734-$R3)/$R4)))</f>
        <v/>
      </c>
      <c r="S734" s="3">
        <f>IF(R734="","",(R734-AVERAGE(R6:R1198))/(STDEV(R6:R1198)+1E-12))</f>
        <v/>
      </c>
      <c r="T734" s="3">
        <f>IF('3a Raw'!L734="","",MAX(-3,MIN(3,('3a Raw'!L734-$T3)/$T4)))</f>
        <v/>
      </c>
      <c r="U734" s="3">
        <f>IF(T734="","",(T734-AVERAGE(T6:T1198))/(STDEV(T6:T1198)+1E-12))</f>
        <v/>
      </c>
      <c r="X734" s="3">
        <f>IF(U734="","",U734-($V$3*G734+$W$3))</f>
        <v/>
      </c>
      <c r="Y734" s="3">
        <f>IF(X734="","",MAX(-3,MIN(3,(X734-$X3)/$X4)))</f>
        <v/>
      </c>
      <c r="Z734" s="3">
        <f>IF(Y734="","",(Y734-AVERAGE(Y6:Y1198))/(STDEV(Y6:Y1198)+1E-12))</f>
        <v/>
      </c>
    </row>
    <row r="735">
      <c r="A735" t="inlineStr">
        <is>
          <t>BBG01ZPFR6N2</t>
        </is>
      </c>
      <c r="B735" s="3">
        <f>IF('3a Raw'!C735="","",MAX(-3,MIN(3,('3a Raw'!C735-$B3)/$B4)))</f>
        <v/>
      </c>
      <c r="C735" s="3">
        <f>IF(B735="","",(B735-AVERAGE(B6:B1198))/(STDEV(B6:B1198)+1E-12))</f>
        <v/>
      </c>
      <c r="D735" s="3">
        <f>IF('3a Raw'!D735="","",MAX(-3,MIN(3,('3a Raw'!D735-$D3)/$D4)))</f>
        <v/>
      </c>
      <c r="E735" s="3">
        <f>IF(D735="","",(D735-AVERAGE(D6:D1198))/(STDEV(D6:D1198)+1E-12))</f>
        <v/>
      </c>
      <c r="F735" s="3">
        <f>IF('3a Raw'!E735="","",MAX(-3,MIN(3,('3a Raw'!E735-$F3)/$F4)))</f>
        <v/>
      </c>
      <c r="G735" s="3">
        <f>IF(F735="","",(F735-AVERAGE(F6:F1198))/(STDEV(F6:F1198)+1E-12))</f>
        <v/>
      </c>
      <c r="H735" s="3">
        <f>IF('3a Raw'!F735="","",MAX(-3,MIN(3,('3a Raw'!F735-$H3)/$H4)))</f>
        <v/>
      </c>
      <c r="I735" s="3">
        <f>IF(H735="","",(H735-AVERAGE(H6:H1198))/(STDEV(H6:H1198)+1E-12))</f>
        <v/>
      </c>
      <c r="J735" s="3">
        <f>IF('3a Raw'!G735="","",MAX(-3,MIN(3,('3a Raw'!G735-$J3)/$J4)))</f>
        <v/>
      </c>
      <c r="K735" s="3">
        <f>IF(J735="","",(J735-AVERAGE(J6:J1198))/(STDEV(J6:J1198)+1E-12))</f>
        <v/>
      </c>
      <c r="L735" s="3">
        <f>IF('3a Raw'!H735="","",MAX(-3,MIN(3,('3a Raw'!H735-$L3)/$L4)))</f>
        <v/>
      </c>
      <c r="M735" s="3">
        <f>IF(L735="","",(L735-AVERAGE(L6:L1198))/(STDEV(L6:L1198)+1E-12))</f>
        <v/>
      </c>
      <c r="N735" s="3">
        <f>IF('3a Raw'!I735="","",MAX(-3,MIN(3,('3a Raw'!I735-$N3)/$N4)))</f>
        <v/>
      </c>
      <c r="O735" s="3">
        <f>IF(N735="","",(N735-AVERAGE(N6:N1198))/(STDEV(N6:N1198)+1E-12))</f>
        <v/>
      </c>
      <c r="P735" s="3">
        <f>IF('3a Raw'!J735="","",MAX(-3,MIN(3,('3a Raw'!J735-$P3)/$P4)))</f>
        <v/>
      </c>
      <c r="Q735" s="3">
        <f>IF(P735="","",(P735-AVERAGE(P6:P1198))/(STDEV(P6:P1198)+1E-12))</f>
        <v/>
      </c>
      <c r="R735" s="3">
        <f>IF('3a Raw'!K735="","",MAX(-3,MIN(3,('3a Raw'!K735-$R3)/$R4)))</f>
        <v/>
      </c>
      <c r="S735" s="3">
        <f>IF(R735="","",(R735-AVERAGE(R6:R1198))/(STDEV(R6:R1198)+1E-12))</f>
        <v/>
      </c>
      <c r="T735" s="3">
        <f>IF('3a Raw'!L735="","",MAX(-3,MIN(3,('3a Raw'!L735-$T3)/$T4)))</f>
        <v/>
      </c>
      <c r="U735" s="3">
        <f>IF(T735="","",(T735-AVERAGE(T6:T1198))/(STDEV(T6:T1198)+1E-12))</f>
        <v/>
      </c>
      <c r="X735" s="3">
        <f>IF(U735="","",U735-($V$3*G735+$W$3))</f>
        <v/>
      </c>
      <c r="Y735" s="3">
        <f>IF(X735="","",MAX(-3,MIN(3,(X735-$X3)/$X4)))</f>
        <v/>
      </c>
      <c r="Z735" s="3">
        <f>IF(Y735="","",(Y735-AVERAGE(Y6:Y1198))/(STDEV(Y6:Y1198)+1E-12))</f>
        <v/>
      </c>
    </row>
    <row r="736">
      <c r="A736" t="inlineStr">
        <is>
          <t>BBG000BB6R33</t>
        </is>
      </c>
      <c r="B736" s="3">
        <f>IF('3a Raw'!C736="","",MAX(-3,MIN(3,('3a Raw'!C736-$B3)/$B4)))</f>
        <v/>
      </c>
      <c r="C736" s="3">
        <f>IF(B736="","",(B736-AVERAGE(B6:B1198))/(STDEV(B6:B1198)+1E-12))</f>
        <v/>
      </c>
      <c r="D736" s="3">
        <f>IF('3a Raw'!D736="","",MAX(-3,MIN(3,('3a Raw'!D736-$D3)/$D4)))</f>
        <v/>
      </c>
      <c r="E736" s="3">
        <f>IF(D736="","",(D736-AVERAGE(D6:D1198))/(STDEV(D6:D1198)+1E-12))</f>
        <v/>
      </c>
      <c r="F736" s="3">
        <f>IF('3a Raw'!E736="","",MAX(-3,MIN(3,('3a Raw'!E736-$F3)/$F4)))</f>
        <v/>
      </c>
      <c r="G736" s="3">
        <f>IF(F736="","",(F736-AVERAGE(F6:F1198))/(STDEV(F6:F1198)+1E-12))</f>
        <v/>
      </c>
      <c r="H736" s="3">
        <f>IF('3a Raw'!F736="","",MAX(-3,MIN(3,('3a Raw'!F736-$H3)/$H4)))</f>
        <v/>
      </c>
      <c r="I736" s="3">
        <f>IF(H736="","",(H736-AVERAGE(H6:H1198))/(STDEV(H6:H1198)+1E-12))</f>
        <v/>
      </c>
      <c r="J736" s="3">
        <f>IF('3a Raw'!G736="","",MAX(-3,MIN(3,('3a Raw'!G736-$J3)/$J4)))</f>
        <v/>
      </c>
      <c r="K736" s="3">
        <f>IF(J736="","",(J736-AVERAGE(J6:J1198))/(STDEV(J6:J1198)+1E-12))</f>
        <v/>
      </c>
      <c r="L736" s="3">
        <f>IF('3a Raw'!H736="","",MAX(-3,MIN(3,('3a Raw'!H736-$L3)/$L4)))</f>
        <v/>
      </c>
      <c r="M736" s="3">
        <f>IF(L736="","",(L736-AVERAGE(L6:L1198))/(STDEV(L6:L1198)+1E-12))</f>
        <v/>
      </c>
      <c r="N736" s="3">
        <f>IF('3a Raw'!I736="","",MAX(-3,MIN(3,('3a Raw'!I736-$N3)/$N4)))</f>
        <v/>
      </c>
      <c r="O736" s="3">
        <f>IF(N736="","",(N736-AVERAGE(N6:N1198))/(STDEV(N6:N1198)+1E-12))</f>
        <v/>
      </c>
      <c r="P736" s="3">
        <f>IF('3a Raw'!J736="","",MAX(-3,MIN(3,('3a Raw'!J736-$P3)/$P4)))</f>
        <v/>
      </c>
      <c r="Q736" s="3">
        <f>IF(P736="","",(P736-AVERAGE(P6:P1198))/(STDEV(P6:P1198)+1E-12))</f>
        <v/>
      </c>
      <c r="R736" s="3">
        <f>IF('3a Raw'!K736="","",MAX(-3,MIN(3,('3a Raw'!K736-$R3)/$R4)))</f>
        <v/>
      </c>
      <c r="S736" s="3">
        <f>IF(R736="","",(R736-AVERAGE(R6:R1198))/(STDEV(R6:R1198)+1E-12))</f>
        <v/>
      </c>
      <c r="T736" s="3">
        <f>IF('3a Raw'!L736="","",MAX(-3,MIN(3,('3a Raw'!L736-$T3)/$T4)))</f>
        <v/>
      </c>
      <c r="U736" s="3">
        <f>IF(T736="","",(T736-AVERAGE(T6:T1198))/(STDEV(T6:T1198)+1E-12))</f>
        <v/>
      </c>
      <c r="X736" s="3">
        <f>IF(U736="","",U736-($V$3*G736+$W$3))</f>
        <v/>
      </c>
      <c r="Y736" s="3">
        <f>IF(X736="","",MAX(-3,MIN(3,(X736-$X3)/$X4)))</f>
        <v/>
      </c>
      <c r="Z736" s="3">
        <f>IF(Y736="","",(Y736-AVERAGE(Y6:Y1198))/(STDEV(Y6:Y1198)+1E-12))</f>
        <v/>
      </c>
    </row>
    <row r="737">
      <c r="A737" t="inlineStr">
        <is>
          <t>BBG000BWM9L9</t>
        </is>
      </c>
      <c r="B737" s="3">
        <f>IF('3a Raw'!C737="","",MAX(-3,MIN(3,('3a Raw'!C737-$B3)/$B4)))</f>
        <v/>
      </c>
      <c r="C737" s="3">
        <f>IF(B737="","",(B737-AVERAGE(B6:B1198))/(STDEV(B6:B1198)+1E-12))</f>
        <v/>
      </c>
      <c r="D737" s="3">
        <f>IF('3a Raw'!D737="","",MAX(-3,MIN(3,('3a Raw'!D737-$D3)/$D4)))</f>
        <v/>
      </c>
      <c r="E737" s="3">
        <f>IF(D737="","",(D737-AVERAGE(D6:D1198))/(STDEV(D6:D1198)+1E-12))</f>
        <v/>
      </c>
      <c r="F737" s="3">
        <f>IF('3a Raw'!E737="","",MAX(-3,MIN(3,('3a Raw'!E737-$F3)/$F4)))</f>
        <v/>
      </c>
      <c r="G737" s="3">
        <f>IF(F737="","",(F737-AVERAGE(F6:F1198))/(STDEV(F6:F1198)+1E-12))</f>
        <v/>
      </c>
      <c r="H737" s="3">
        <f>IF('3a Raw'!F737="","",MAX(-3,MIN(3,('3a Raw'!F737-$H3)/$H4)))</f>
        <v/>
      </c>
      <c r="I737" s="3">
        <f>IF(H737="","",(H737-AVERAGE(H6:H1198))/(STDEV(H6:H1198)+1E-12))</f>
        <v/>
      </c>
      <c r="J737" s="3">
        <f>IF('3a Raw'!G737="","",MAX(-3,MIN(3,('3a Raw'!G737-$J3)/$J4)))</f>
        <v/>
      </c>
      <c r="K737" s="3">
        <f>IF(J737="","",(J737-AVERAGE(J6:J1198))/(STDEV(J6:J1198)+1E-12))</f>
        <v/>
      </c>
      <c r="L737" s="3">
        <f>IF('3a Raw'!H737="","",MAX(-3,MIN(3,('3a Raw'!H737-$L3)/$L4)))</f>
        <v/>
      </c>
      <c r="M737" s="3">
        <f>IF(L737="","",(L737-AVERAGE(L6:L1198))/(STDEV(L6:L1198)+1E-12))</f>
        <v/>
      </c>
      <c r="N737" s="3">
        <f>IF('3a Raw'!I737="","",MAX(-3,MIN(3,('3a Raw'!I737-$N3)/$N4)))</f>
        <v/>
      </c>
      <c r="O737" s="3">
        <f>IF(N737="","",(N737-AVERAGE(N6:N1198))/(STDEV(N6:N1198)+1E-12))</f>
        <v/>
      </c>
      <c r="P737" s="3">
        <f>IF('3a Raw'!J737="","",MAX(-3,MIN(3,('3a Raw'!J737-$P3)/$P4)))</f>
        <v/>
      </c>
      <c r="Q737" s="3">
        <f>IF(P737="","",(P737-AVERAGE(P6:P1198))/(STDEV(P6:P1198)+1E-12))</f>
        <v/>
      </c>
      <c r="R737" s="3">
        <f>IF('3a Raw'!K737="","",MAX(-3,MIN(3,('3a Raw'!K737-$R3)/$R4)))</f>
        <v/>
      </c>
      <c r="S737" s="3">
        <f>IF(R737="","",(R737-AVERAGE(R6:R1198))/(STDEV(R6:R1198)+1E-12))</f>
        <v/>
      </c>
      <c r="T737" s="3">
        <f>IF('3a Raw'!L737="","",MAX(-3,MIN(3,('3a Raw'!L737-$T3)/$T4)))</f>
        <v/>
      </c>
      <c r="U737" s="3">
        <f>IF(T737="","",(T737-AVERAGE(T6:T1198))/(STDEV(T6:T1198)+1E-12))</f>
        <v/>
      </c>
      <c r="X737" s="3">
        <f>IF(U737="","",U737-($V$3*G737+$W$3))</f>
        <v/>
      </c>
      <c r="Y737" s="3">
        <f>IF(X737="","",MAX(-3,MIN(3,(X737-$X3)/$X4)))</f>
        <v/>
      </c>
      <c r="Z737" s="3">
        <f>IF(Y737="","",(Y737-AVERAGE(Y6:Y1198))/(STDEV(Y6:Y1198)+1E-12))</f>
        <v/>
      </c>
    </row>
    <row r="738">
      <c r="A738" t="inlineStr">
        <is>
          <t>BBG019Y0WP19</t>
        </is>
      </c>
      <c r="B738" s="3">
        <f>IF('3a Raw'!C738="","",MAX(-3,MIN(3,('3a Raw'!C738-$B3)/$B4)))</f>
        <v/>
      </c>
      <c r="C738" s="3">
        <f>IF(B738="","",(B738-AVERAGE(B6:B1198))/(STDEV(B6:B1198)+1E-12))</f>
        <v/>
      </c>
      <c r="D738" s="3">
        <f>IF('3a Raw'!D738="","",MAX(-3,MIN(3,('3a Raw'!D738-$D3)/$D4)))</f>
        <v/>
      </c>
      <c r="E738" s="3">
        <f>IF(D738="","",(D738-AVERAGE(D6:D1198))/(STDEV(D6:D1198)+1E-12))</f>
        <v/>
      </c>
      <c r="F738" s="3">
        <f>IF('3a Raw'!E738="","",MAX(-3,MIN(3,('3a Raw'!E738-$F3)/$F4)))</f>
        <v/>
      </c>
      <c r="G738" s="3">
        <f>IF(F738="","",(F738-AVERAGE(F6:F1198))/(STDEV(F6:F1198)+1E-12))</f>
        <v/>
      </c>
      <c r="H738" s="3">
        <f>IF('3a Raw'!F738="","",MAX(-3,MIN(3,('3a Raw'!F738-$H3)/$H4)))</f>
        <v/>
      </c>
      <c r="I738" s="3">
        <f>IF(H738="","",(H738-AVERAGE(H6:H1198))/(STDEV(H6:H1198)+1E-12))</f>
        <v/>
      </c>
      <c r="J738" s="3">
        <f>IF('3a Raw'!G738="","",MAX(-3,MIN(3,('3a Raw'!G738-$J3)/$J4)))</f>
        <v/>
      </c>
      <c r="K738" s="3">
        <f>IF(J738="","",(J738-AVERAGE(J6:J1198))/(STDEV(J6:J1198)+1E-12))</f>
        <v/>
      </c>
      <c r="L738" s="3">
        <f>IF('3a Raw'!H738="","",MAX(-3,MIN(3,('3a Raw'!H738-$L3)/$L4)))</f>
        <v/>
      </c>
      <c r="M738" s="3">
        <f>IF(L738="","",(L738-AVERAGE(L6:L1198))/(STDEV(L6:L1198)+1E-12))</f>
        <v/>
      </c>
      <c r="N738" s="3">
        <f>IF('3a Raw'!I738="","",MAX(-3,MIN(3,('3a Raw'!I738-$N3)/$N4)))</f>
        <v/>
      </c>
      <c r="O738" s="3">
        <f>IF(N738="","",(N738-AVERAGE(N6:N1198))/(STDEV(N6:N1198)+1E-12))</f>
        <v/>
      </c>
      <c r="P738" s="3">
        <f>IF('3a Raw'!J738="","",MAX(-3,MIN(3,('3a Raw'!J738-$P3)/$P4)))</f>
        <v/>
      </c>
      <c r="Q738" s="3">
        <f>IF(P738="","",(P738-AVERAGE(P6:P1198))/(STDEV(P6:P1198)+1E-12))</f>
        <v/>
      </c>
      <c r="R738" s="3">
        <f>IF('3a Raw'!K738="","",MAX(-3,MIN(3,('3a Raw'!K738-$R3)/$R4)))</f>
        <v/>
      </c>
      <c r="S738" s="3">
        <f>IF(R738="","",(R738-AVERAGE(R6:R1198))/(STDEV(R6:R1198)+1E-12))</f>
        <v/>
      </c>
      <c r="T738" s="3">
        <f>IF('3a Raw'!L738="","",MAX(-3,MIN(3,('3a Raw'!L738-$T3)/$T4)))</f>
        <v/>
      </c>
      <c r="U738" s="3">
        <f>IF(T738="","",(T738-AVERAGE(T6:T1198))/(STDEV(T6:T1198)+1E-12))</f>
        <v/>
      </c>
      <c r="X738" s="3">
        <f>IF(U738="","",U738-($V$3*G738+$W$3))</f>
        <v/>
      </c>
      <c r="Y738" s="3">
        <f>IF(X738="","",MAX(-3,MIN(3,(X738-$X3)/$X4)))</f>
        <v/>
      </c>
      <c r="Z738" s="3">
        <f>IF(Y738="","",(Y738-AVERAGE(Y6:Y1198))/(STDEV(Y6:Y1198)+1E-12))</f>
        <v/>
      </c>
    </row>
    <row r="739">
      <c r="A739" t="inlineStr">
        <is>
          <t>BBG004MN1R41</t>
        </is>
      </c>
      <c r="B739" s="3">
        <f>IF('3a Raw'!C739="","",MAX(-3,MIN(3,('3a Raw'!C739-$B3)/$B4)))</f>
        <v/>
      </c>
      <c r="C739" s="3">
        <f>IF(B739="","",(B739-AVERAGE(B6:B1198))/(STDEV(B6:B1198)+1E-12))</f>
        <v/>
      </c>
      <c r="D739" s="3">
        <f>IF('3a Raw'!D739="","",MAX(-3,MIN(3,('3a Raw'!D739-$D3)/$D4)))</f>
        <v/>
      </c>
      <c r="E739" s="3">
        <f>IF(D739="","",(D739-AVERAGE(D6:D1198))/(STDEV(D6:D1198)+1E-12))</f>
        <v/>
      </c>
      <c r="F739" s="3">
        <f>IF('3a Raw'!E739="","",MAX(-3,MIN(3,('3a Raw'!E739-$F3)/$F4)))</f>
        <v/>
      </c>
      <c r="G739" s="3">
        <f>IF(F739="","",(F739-AVERAGE(F6:F1198))/(STDEV(F6:F1198)+1E-12))</f>
        <v/>
      </c>
      <c r="H739" s="3">
        <f>IF('3a Raw'!F739="","",MAX(-3,MIN(3,('3a Raw'!F739-$H3)/$H4)))</f>
        <v/>
      </c>
      <c r="I739" s="3">
        <f>IF(H739="","",(H739-AVERAGE(H6:H1198))/(STDEV(H6:H1198)+1E-12))</f>
        <v/>
      </c>
      <c r="J739" s="3">
        <f>IF('3a Raw'!G739="","",MAX(-3,MIN(3,('3a Raw'!G739-$J3)/$J4)))</f>
        <v/>
      </c>
      <c r="K739" s="3">
        <f>IF(J739="","",(J739-AVERAGE(J6:J1198))/(STDEV(J6:J1198)+1E-12))</f>
        <v/>
      </c>
      <c r="L739" s="3">
        <f>IF('3a Raw'!H739="","",MAX(-3,MIN(3,('3a Raw'!H739-$L3)/$L4)))</f>
        <v/>
      </c>
      <c r="M739" s="3">
        <f>IF(L739="","",(L739-AVERAGE(L6:L1198))/(STDEV(L6:L1198)+1E-12))</f>
        <v/>
      </c>
      <c r="N739" s="3">
        <f>IF('3a Raw'!I739="","",MAX(-3,MIN(3,('3a Raw'!I739-$N3)/$N4)))</f>
        <v/>
      </c>
      <c r="O739" s="3">
        <f>IF(N739="","",(N739-AVERAGE(N6:N1198))/(STDEV(N6:N1198)+1E-12))</f>
        <v/>
      </c>
      <c r="P739" s="3">
        <f>IF('3a Raw'!J739="","",MAX(-3,MIN(3,('3a Raw'!J739-$P3)/$P4)))</f>
        <v/>
      </c>
      <c r="Q739" s="3">
        <f>IF(P739="","",(P739-AVERAGE(P6:P1198))/(STDEV(P6:P1198)+1E-12))</f>
        <v/>
      </c>
      <c r="R739" s="3">
        <f>IF('3a Raw'!K739="","",MAX(-3,MIN(3,('3a Raw'!K739-$R3)/$R4)))</f>
        <v/>
      </c>
      <c r="S739" s="3">
        <f>IF(R739="","",(R739-AVERAGE(R6:R1198))/(STDEV(R6:R1198)+1E-12))</f>
        <v/>
      </c>
      <c r="T739" s="3">
        <f>IF('3a Raw'!L739="","",MAX(-3,MIN(3,('3a Raw'!L739-$T3)/$T4)))</f>
        <v/>
      </c>
      <c r="U739" s="3">
        <f>IF(T739="","",(T739-AVERAGE(T6:T1198))/(STDEV(T6:T1198)+1E-12))</f>
        <v/>
      </c>
      <c r="X739" s="3">
        <f>IF(U739="","",U739-($V$3*G739+$W$3))</f>
        <v/>
      </c>
      <c r="Y739" s="3">
        <f>IF(X739="","",MAX(-3,MIN(3,(X739-$X3)/$X4)))</f>
        <v/>
      </c>
      <c r="Z739" s="3">
        <f>IF(Y739="","",(Y739-AVERAGE(Y6:Y1198))/(STDEV(Y6:Y1198)+1E-12))</f>
        <v/>
      </c>
    </row>
    <row r="740">
      <c r="A740" t="inlineStr">
        <is>
          <t>BBG01KS1NK29</t>
        </is>
      </c>
      <c r="B740" s="3">
        <f>IF('3a Raw'!C740="","",MAX(-3,MIN(3,('3a Raw'!C740-$B3)/$B4)))</f>
        <v/>
      </c>
      <c r="C740" s="3">
        <f>IF(B740="","",(B740-AVERAGE(B6:B1198))/(STDEV(B6:B1198)+1E-12))</f>
        <v/>
      </c>
      <c r="D740" s="3">
        <f>IF('3a Raw'!D740="","",MAX(-3,MIN(3,('3a Raw'!D740-$D3)/$D4)))</f>
        <v/>
      </c>
      <c r="E740" s="3">
        <f>IF(D740="","",(D740-AVERAGE(D6:D1198))/(STDEV(D6:D1198)+1E-12))</f>
        <v/>
      </c>
      <c r="F740" s="3">
        <f>IF('3a Raw'!E740="","",MAX(-3,MIN(3,('3a Raw'!E740-$F3)/$F4)))</f>
        <v/>
      </c>
      <c r="G740" s="3">
        <f>IF(F740="","",(F740-AVERAGE(F6:F1198))/(STDEV(F6:F1198)+1E-12))</f>
        <v/>
      </c>
      <c r="H740" s="3">
        <f>IF('3a Raw'!F740="","",MAX(-3,MIN(3,('3a Raw'!F740-$H3)/$H4)))</f>
        <v/>
      </c>
      <c r="I740" s="3">
        <f>IF(H740="","",(H740-AVERAGE(H6:H1198))/(STDEV(H6:H1198)+1E-12))</f>
        <v/>
      </c>
      <c r="J740" s="3">
        <f>IF('3a Raw'!G740="","",MAX(-3,MIN(3,('3a Raw'!G740-$J3)/$J4)))</f>
        <v/>
      </c>
      <c r="K740" s="3">
        <f>IF(J740="","",(J740-AVERAGE(J6:J1198))/(STDEV(J6:J1198)+1E-12))</f>
        <v/>
      </c>
      <c r="L740" s="3">
        <f>IF('3a Raw'!H740="","",MAX(-3,MIN(3,('3a Raw'!H740-$L3)/$L4)))</f>
        <v/>
      </c>
      <c r="M740" s="3">
        <f>IF(L740="","",(L740-AVERAGE(L6:L1198))/(STDEV(L6:L1198)+1E-12))</f>
        <v/>
      </c>
      <c r="N740" s="3">
        <f>IF('3a Raw'!I740="","",MAX(-3,MIN(3,('3a Raw'!I740-$N3)/$N4)))</f>
        <v/>
      </c>
      <c r="O740" s="3">
        <f>IF(N740="","",(N740-AVERAGE(N6:N1198))/(STDEV(N6:N1198)+1E-12))</f>
        <v/>
      </c>
      <c r="P740" s="3">
        <f>IF('3a Raw'!J740="","",MAX(-3,MIN(3,('3a Raw'!J740-$P3)/$P4)))</f>
        <v/>
      </c>
      <c r="Q740" s="3">
        <f>IF(P740="","",(P740-AVERAGE(P6:P1198))/(STDEV(P6:P1198)+1E-12))</f>
        <v/>
      </c>
      <c r="R740" s="3">
        <f>IF('3a Raw'!K740="","",MAX(-3,MIN(3,('3a Raw'!K740-$R3)/$R4)))</f>
        <v/>
      </c>
      <c r="S740" s="3">
        <f>IF(R740="","",(R740-AVERAGE(R6:R1198))/(STDEV(R6:R1198)+1E-12))</f>
        <v/>
      </c>
      <c r="T740" s="3">
        <f>IF('3a Raw'!L740="","",MAX(-3,MIN(3,('3a Raw'!L740-$T3)/$T4)))</f>
        <v/>
      </c>
      <c r="U740" s="3">
        <f>IF(T740="","",(T740-AVERAGE(T6:T1198))/(STDEV(T6:T1198)+1E-12))</f>
        <v/>
      </c>
      <c r="X740" s="3">
        <f>IF(U740="","",U740-($V$3*G740+$W$3))</f>
        <v/>
      </c>
      <c r="Y740" s="3">
        <f>IF(X740="","",MAX(-3,MIN(3,(X740-$X3)/$X4)))</f>
        <v/>
      </c>
      <c r="Z740" s="3">
        <f>IF(Y740="","",(Y740-AVERAGE(Y6:Y1198))/(STDEV(Y6:Y1198)+1E-12))</f>
        <v/>
      </c>
    </row>
    <row r="741">
      <c r="A741" t="inlineStr">
        <is>
          <t>BBG000GJS7C1</t>
        </is>
      </c>
      <c r="B741" s="3">
        <f>IF('3a Raw'!C741="","",MAX(-3,MIN(3,('3a Raw'!C741-$B3)/$B4)))</f>
        <v/>
      </c>
      <c r="C741" s="3">
        <f>IF(B741="","",(B741-AVERAGE(B6:B1198))/(STDEV(B6:B1198)+1E-12))</f>
        <v/>
      </c>
      <c r="D741" s="3">
        <f>IF('3a Raw'!D741="","",MAX(-3,MIN(3,('3a Raw'!D741-$D3)/$D4)))</f>
        <v/>
      </c>
      <c r="E741" s="3">
        <f>IF(D741="","",(D741-AVERAGE(D6:D1198))/(STDEV(D6:D1198)+1E-12))</f>
        <v/>
      </c>
      <c r="F741" s="3">
        <f>IF('3a Raw'!E741="","",MAX(-3,MIN(3,('3a Raw'!E741-$F3)/$F4)))</f>
        <v/>
      </c>
      <c r="G741" s="3">
        <f>IF(F741="","",(F741-AVERAGE(F6:F1198))/(STDEV(F6:F1198)+1E-12))</f>
        <v/>
      </c>
      <c r="H741" s="3">
        <f>IF('3a Raw'!F741="","",MAX(-3,MIN(3,('3a Raw'!F741-$H3)/$H4)))</f>
        <v/>
      </c>
      <c r="I741" s="3">
        <f>IF(H741="","",(H741-AVERAGE(H6:H1198))/(STDEV(H6:H1198)+1E-12))</f>
        <v/>
      </c>
      <c r="J741" s="3">
        <f>IF('3a Raw'!G741="","",MAX(-3,MIN(3,('3a Raw'!G741-$J3)/$J4)))</f>
        <v/>
      </c>
      <c r="K741" s="3">
        <f>IF(J741="","",(J741-AVERAGE(J6:J1198))/(STDEV(J6:J1198)+1E-12))</f>
        <v/>
      </c>
      <c r="L741" s="3">
        <f>IF('3a Raw'!H741="","",MAX(-3,MIN(3,('3a Raw'!H741-$L3)/$L4)))</f>
        <v/>
      </c>
      <c r="M741" s="3">
        <f>IF(L741="","",(L741-AVERAGE(L6:L1198))/(STDEV(L6:L1198)+1E-12))</f>
        <v/>
      </c>
      <c r="N741" s="3">
        <f>IF('3a Raw'!I741="","",MAX(-3,MIN(3,('3a Raw'!I741-$N3)/$N4)))</f>
        <v/>
      </c>
      <c r="O741" s="3">
        <f>IF(N741="","",(N741-AVERAGE(N6:N1198))/(STDEV(N6:N1198)+1E-12))</f>
        <v/>
      </c>
      <c r="P741" s="3">
        <f>IF('3a Raw'!J741="","",MAX(-3,MIN(3,('3a Raw'!J741-$P3)/$P4)))</f>
        <v/>
      </c>
      <c r="Q741" s="3">
        <f>IF(P741="","",(P741-AVERAGE(P6:P1198))/(STDEV(P6:P1198)+1E-12))</f>
        <v/>
      </c>
      <c r="R741" s="3">
        <f>IF('3a Raw'!K741="","",MAX(-3,MIN(3,('3a Raw'!K741-$R3)/$R4)))</f>
        <v/>
      </c>
      <c r="S741" s="3">
        <f>IF(R741="","",(R741-AVERAGE(R6:R1198))/(STDEV(R6:R1198)+1E-12))</f>
        <v/>
      </c>
      <c r="T741" s="3">
        <f>IF('3a Raw'!L741="","",MAX(-3,MIN(3,('3a Raw'!L741-$T3)/$T4)))</f>
        <v/>
      </c>
      <c r="U741" s="3">
        <f>IF(T741="","",(T741-AVERAGE(T6:T1198))/(STDEV(T6:T1198)+1E-12))</f>
        <v/>
      </c>
      <c r="X741" s="3">
        <f>IF(U741="","",U741-($V$3*G741+$W$3))</f>
        <v/>
      </c>
      <c r="Y741" s="3">
        <f>IF(X741="","",MAX(-3,MIN(3,(X741-$X3)/$X4)))</f>
        <v/>
      </c>
      <c r="Z741" s="3">
        <f>IF(Y741="","",(Y741-AVERAGE(Y6:Y1198))/(STDEV(Y6:Y1198)+1E-12))</f>
        <v/>
      </c>
    </row>
    <row r="742">
      <c r="A742" t="inlineStr">
        <is>
          <t>nclh</t>
        </is>
      </c>
      <c r="B742" s="3">
        <f>IF('3a Raw'!C742="","",MAX(-3,MIN(3,('3a Raw'!C742-$B3)/$B4)))</f>
        <v/>
      </c>
      <c r="C742" s="3">
        <f>IF(B742="","",(B742-AVERAGE(B6:B1198))/(STDEV(B6:B1198)+1E-12))</f>
        <v/>
      </c>
      <c r="D742" s="3">
        <f>IF('3a Raw'!D742="","",MAX(-3,MIN(3,('3a Raw'!D742-$D3)/$D4)))</f>
        <v/>
      </c>
      <c r="E742" s="3">
        <f>IF(D742="","",(D742-AVERAGE(D6:D1198))/(STDEV(D6:D1198)+1E-12))</f>
        <v/>
      </c>
      <c r="F742" s="3">
        <f>IF('3a Raw'!E742="","",MAX(-3,MIN(3,('3a Raw'!E742-$F3)/$F4)))</f>
        <v/>
      </c>
      <c r="G742" s="3">
        <f>IF(F742="","",(F742-AVERAGE(F6:F1198))/(STDEV(F6:F1198)+1E-12))</f>
        <v/>
      </c>
      <c r="H742" s="3">
        <f>IF('3a Raw'!F742="","",MAX(-3,MIN(3,('3a Raw'!F742-$H3)/$H4)))</f>
        <v/>
      </c>
      <c r="I742" s="3">
        <f>IF(H742="","",(H742-AVERAGE(H6:H1198))/(STDEV(H6:H1198)+1E-12))</f>
        <v/>
      </c>
      <c r="J742" s="3">
        <f>IF('3a Raw'!G742="","",MAX(-3,MIN(3,('3a Raw'!G742-$J3)/$J4)))</f>
        <v/>
      </c>
      <c r="K742" s="3">
        <f>IF(J742="","",(J742-AVERAGE(J6:J1198))/(STDEV(J6:J1198)+1E-12))</f>
        <v/>
      </c>
      <c r="L742" s="3">
        <f>IF('3a Raw'!H742="","",MAX(-3,MIN(3,('3a Raw'!H742-$L3)/$L4)))</f>
        <v/>
      </c>
      <c r="M742" s="3">
        <f>IF(L742="","",(L742-AVERAGE(L6:L1198))/(STDEV(L6:L1198)+1E-12))</f>
        <v/>
      </c>
      <c r="N742" s="3">
        <f>IF('3a Raw'!I742="","",MAX(-3,MIN(3,('3a Raw'!I742-$N3)/$N4)))</f>
        <v/>
      </c>
      <c r="O742" s="3">
        <f>IF(N742="","",(N742-AVERAGE(N6:N1198))/(STDEV(N6:N1198)+1E-12))</f>
        <v/>
      </c>
      <c r="P742" s="3">
        <f>IF('3a Raw'!J742="","",MAX(-3,MIN(3,('3a Raw'!J742-$P3)/$P4)))</f>
        <v/>
      </c>
      <c r="Q742" s="3">
        <f>IF(P742="","",(P742-AVERAGE(P6:P1198))/(STDEV(P6:P1198)+1E-12))</f>
        <v/>
      </c>
      <c r="R742" s="3">
        <f>IF('3a Raw'!K742="","",MAX(-3,MIN(3,('3a Raw'!K742-$R3)/$R4)))</f>
        <v/>
      </c>
      <c r="S742" s="3">
        <f>IF(R742="","",(R742-AVERAGE(R6:R1198))/(STDEV(R6:R1198)+1E-12))</f>
        <v/>
      </c>
      <c r="T742" s="3">
        <f>IF('3a Raw'!L742="","",MAX(-3,MIN(3,('3a Raw'!L742-$T3)/$T4)))</f>
        <v/>
      </c>
      <c r="U742" s="3">
        <f>IF(T742="","",(T742-AVERAGE(T6:T1198))/(STDEV(T6:T1198)+1E-12))</f>
        <v/>
      </c>
      <c r="X742" s="3">
        <f>IF(U742="","",U742-($V$3*G742+$W$3))</f>
        <v/>
      </c>
      <c r="Y742" s="3">
        <f>IF(X742="","",MAX(-3,MIN(3,(X742-$X3)/$X4)))</f>
        <v/>
      </c>
      <c r="Z742" s="3">
        <f>IF(Y742="","",(Y742-AVERAGE(Y6:Y1198))/(STDEV(Y6:Y1198)+1E-12))</f>
        <v/>
      </c>
    </row>
    <row r="743">
      <c r="A743" t="inlineStr">
        <is>
          <t>BBG000F5VVB6</t>
        </is>
      </c>
      <c r="B743" s="3">
        <f>IF('3a Raw'!C743="","",MAX(-3,MIN(3,('3a Raw'!C743-$B3)/$B4)))</f>
        <v/>
      </c>
      <c r="C743" s="3">
        <f>IF(B743="","",(B743-AVERAGE(B6:B1198))/(STDEV(B6:B1198)+1E-12))</f>
        <v/>
      </c>
      <c r="D743" s="3">
        <f>IF('3a Raw'!D743="","",MAX(-3,MIN(3,('3a Raw'!D743-$D3)/$D4)))</f>
        <v/>
      </c>
      <c r="E743" s="3">
        <f>IF(D743="","",(D743-AVERAGE(D6:D1198))/(STDEV(D6:D1198)+1E-12))</f>
        <v/>
      </c>
      <c r="F743" s="3">
        <f>IF('3a Raw'!E743="","",MAX(-3,MIN(3,('3a Raw'!E743-$F3)/$F4)))</f>
        <v/>
      </c>
      <c r="G743" s="3">
        <f>IF(F743="","",(F743-AVERAGE(F6:F1198))/(STDEV(F6:F1198)+1E-12))</f>
        <v/>
      </c>
      <c r="H743" s="3">
        <f>IF('3a Raw'!F743="","",MAX(-3,MIN(3,('3a Raw'!F743-$H3)/$H4)))</f>
        <v/>
      </c>
      <c r="I743" s="3">
        <f>IF(H743="","",(H743-AVERAGE(H6:H1198))/(STDEV(H6:H1198)+1E-12))</f>
        <v/>
      </c>
      <c r="J743" s="3">
        <f>IF('3a Raw'!G743="","",MAX(-3,MIN(3,('3a Raw'!G743-$J3)/$J4)))</f>
        <v/>
      </c>
      <c r="K743" s="3">
        <f>IF(J743="","",(J743-AVERAGE(J6:J1198))/(STDEV(J6:J1198)+1E-12))</f>
        <v/>
      </c>
      <c r="L743" s="3">
        <f>IF('3a Raw'!H743="","",MAX(-3,MIN(3,('3a Raw'!H743-$L3)/$L4)))</f>
        <v/>
      </c>
      <c r="M743" s="3">
        <f>IF(L743="","",(L743-AVERAGE(L6:L1198))/(STDEV(L6:L1198)+1E-12))</f>
        <v/>
      </c>
      <c r="N743" s="3">
        <f>IF('3a Raw'!I743="","",MAX(-3,MIN(3,('3a Raw'!I743-$N3)/$N4)))</f>
        <v/>
      </c>
      <c r="O743" s="3">
        <f>IF(N743="","",(N743-AVERAGE(N6:N1198))/(STDEV(N6:N1198)+1E-12))</f>
        <v/>
      </c>
      <c r="P743" s="3">
        <f>IF('3a Raw'!J743="","",MAX(-3,MIN(3,('3a Raw'!J743-$P3)/$P4)))</f>
        <v/>
      </c>
      <c r="Q743" s="3">
        <f>IF(P743="","",(P743-AVERAGE(P6:P1198))/(STDEV(P6:P1198)+1E-12))</f>
        <v/>
      </c>
      <c r="R743" s="3">
        <f>IF('3a Raw'!K743="","",MAX(-3,MIN(3,('3a Raw'!K743-$R3)/$R4)))</f>
        <v/>
      </c>
      <c r="S743" s="3">
        <f>IF(R743="","",(R743-AVERAGE(R6:R1198))/(STDEV(R6:R1198)+1E-12))</f>
        <v/>
      </c>
      <c r="T743" s="3">
        <f>IF('3a Raw'!L743="","",MAX(-3,MIN(3,('3a Raw'!L743-$T3)/$T4)))</f>
        <v/>
      </c>
      <c r="U743" s="3">
        <f>IF(T743="","",(T743-AVERAGE(T6:T1198))/(STDEV(T6:T1198)+1E-12))</f>
        <v/>
      </c>
      <c r="X743" s="3">
        <f>IF(U743="","",U743-($V$3*G743+$W$3))</f>
        <v/>
      </c>
      <c r="Y743" s="3">
        <f>IF(X743="","",MAX(-3,MIN(3,(X743-$X3)/$X4)))</f>
        <v/>
      </c>
      <c r="Z743" s="3">
        <f>IF(Y743="","",(Y743-AVERAGE(Y6:Y1198))/(STDEV(Y6:Y1198)+1E-12))</f>
        <v/>
      </c>
    </row>
    <row r="744">
      <c r="A744" t="inlineStr">
        <is>
          <t>BBG000BPWGR1</t>
        </is>
      </c>
      <c r="B744" s="3">
        <f>IF('3a Raw'!C744="","",MAX(-3,MIN(3,('3a Raw'!C744-$B3)/$B4)))</f>
        <v/>
      </c>
      <c r="C744" s="3">
        <f>IF(B744="","",(B744-AVERAGE(B6:B1198))/(STDEV(B6:B1198)+1E-12))</f>
        <v/>
      </c>
      <c r="D744" s="3">
        <f>IF('3a Raw'!D744="","",MAX(-3,MIN(3,('3a Raw'!D744-$D3)/$D4)))</f>
        <v/>
      </c>
      <c r="E744" s="3">
        <f>IF(D744="","",(D744-AVERAGE(D6:D1198))/(STDEV(D6:D1198)+1E-12))</f>
        <v/>
      </c>
      <c r="F744" s="3">
        <f>IF('3a Raw'!E744="","",MAX(-3,MIN(3,('3a Raw'!E744-$F3)/$F4)))</f>
        <v/>
      </c>
      <c r="G744" s="3">
        <f>IF(F744="","",(F744-AVERAGE(F6:F1198))/(STDEV(F6:F1198)+1E-12))</f>
        <v/>
      </c>
      <c r="H744" s="3">
        <f>IF('3a Raw'!F744="","",MAX(-3,MIN(3,('3a Raw'!F744-$H3)/$H4)))</f>
        <v/>
      </c>
      <c r="I744" s="3">
        <f>IF(H744="","",(H744-AVERAGE(H6:H1198))/(STDEV(H6:H1198)+1E-12))</f>
        <v/>
      </c>
      <c r="J744" s="3">
        <f>IF('3a Raw'!G744="","",MAX(-3,MIN(3,('3a Raw'!G744-$J3)/$J4)))</f>
        <v/>
      </c>
      <c r="K744" s="3">
        <f>IF(J744="","",(J744-AVERAGE(J6:J1198))/(STDEV(J6:J1198)+1E-12))</f>
        <v/>
      </c>
      <c r="L744" s="3">
        <f>IF('3a Raw'!H744="","",MAX(-3,MIN(3,('3a Raw'!H744-$L3)/$L4)))</f>
        <v/>
      </c>
      <c r="M744" s="3">
        <f>IF(L744="","",(L744-AVERAGE(L6:L1198))/(STDEV(L6:L1198)+1E-12))</f>
        <v/>
      </c>
      <c r="N744" s="3">
        <f>IF('3a Raw'!I744="","",MAX(-3,MIN(3,('3a Raw'!I744-$N3)/$N4)))</f>
        <v/>
      </c>
      <c r="O744" s="3">
        <f>IF(N744="","",(N744-AVERAGE(N6:N1198))/(STDEV(N6:N1198)+1E-12))</f>
        <v/>
      </c>
      <c r="P744" s="3">
        <f>IF('3a Raw'!J744="","",MAX(-3,MIN(3,('3a Raw'!J744-$P3)/$P4)))</f>
        <v/>
      </c>
      <c r="Q744" s="3">
        <f>IF(P744="","",(P744-AVERAGE(P6:P1198))/(STDEV(P6:P1198)+1E-12))</f>
        <v/>
      </c>
      <c r="R744" s="3">
        <f>IF('3a Raw'!K744="","",MAX(-3,MIN(3,('3a Raw'!K744-$R3)/$R4)))</f>
        <v/>
      </c>
      <c r="S744" s="3">
        <f>IF(R744="","",(R744-AVERAGE(R6:R1198))/(STDEV(R6:R1198)+1E-12))</f>
        <v/>
      </c>
      <c r="T744" s="3">
        <f>IF('3a Raw'!L744="","",MAX(-3,MIN(3,('3a Raw'!L744-$T3)/$T4)))</f>
        <v/>
      </c>
      <c r="U744" s="3">
        <f>IF(T744="","",(T744-AVERAGE(T6:T1198))/(STDEV(T6:T1198)+1E-12))</f>
        <v/>
      </c>
      <c r="X744" s="3">
        <f>IF(U744="","",U744-($V$3*G744+$W$3))</f>
        <v/>
      </c>
      <c r="Y744" s="3">
        <f>IF(X744="","",MAX(-3,MIN(3,(X744-$X3)/$X4)))</f>
        <v/>
      </c>
      <c r="Z744" s="3">
        <f>IF(Y744="","",(Y744-AVERAGE(Y6:Y1198))/(STDEV(Y6:Y1198)+1E-12))</f>
        <v/>
      </c>
    </row>
    <row r="745">
      <c r="A745" t="inlineStr">
        <is>
          <t>BBG000BJSBJ0</t>
        </is>
      </c>
      <c r="B745" s="3">
        <f>IF('3a Raw'!C745="","",MAX(-3,MIN(3,('3a Raw'!C745-$B3)/$B4)))</f>
        <v/>
      </c>
      <c r="C745" s="3">
        <f>IF(B745="","",(B745-AVERAGE(B6:B1198))/(STDEV(B6:B1198)+1E-12))</f>
        <v/>
      </c>
      <c r="D745" s="3">
        <f>IF('3a Raw'!D745="","",MAX(-3,MIN(3,('3a Raw'!D745-$D3)/$D4)))</f>
        <v/>
      </c>
      <c r="E745" s="3">
        <f>IF(D745="","",(D745-AVERAGE(D6:D1198))/(STDEV(D6:D1198)+1E-12))</f>
        <v/>
      </c>
      <c r="F745" s="3">
        <f>IF('3a Raw'!E745="","",MAX(-3,MIN(3,('3a Raw'!E745-$F3)/$F4)))</f>
        <v/>
      </c>
      <c r="G745" s="3">
        <f>IF(F745="","",(F745-AVERAGE(F6:F1198))/(STDEV(F6:F1198)+1E-12))</f>
        <v/>
      </c>
      <c r="H745" s="3">
        <f>IF('3a Raw'!F745="","",MAX(-3,MIN(3,('3a Raw'!F745-$H3)/$H4)))</f>
        <v/>
      </c>
      <c r="I745" s="3">
        <f>IF(H745="","",(H745-AVERAGE(H6:H1198))/(STDEV(H6:H1198)+1E-12))</f>
        <v/>
      </c>
      <c r="J745" s="3">
        <f>IF('3a Raw'!G745="","",MAX(-3,MIN(3,('3a Raw'!G745-$J3)/$J4)))</f>
        <v/>
      </c>
      <c r="K745" s="3">
        <f>IF(J745="","",(J745-AVERAGE(J6:J1198))/(STDEV(J6:J1198)+1E-12))</f>
        <v/>
      </c>
      <c r="L745" s="3">
        <f>IF('3a Raw'!H745="","",MAX(-3,MIN(3,('3a Raw'!H745-$L3)/$L4)))</f>
        <v/>
      </c>
      <c r="M745" s="3">
        <f>IF(L745="","",(L745-AVERAGE(L6:L1198))/(STDEV(L6:L1198)+1E-12))</f>
        <v/>
      </c>
      <c r="N745" s="3">
        <f>IF('3a Raw'!I745="","",MAX(-3,MIN(3,('3a Raw'!I745-$N3)/$N4)))</f>
        <v/>
      </c>
      <c r="O745" s="3">
        <f>IF(N745="","",(N745-AVERAGE(N6:N1198))/(STDEV(N6:N1198)+1E-12))</f>
        <v/>
      </c>
      <c r="P745" s="3">
        <f>IF('3a Raw'!J745="","",MAX(-3,MIN(3,('3a Raw'!J745-$P3)/$P4)))</f>
        <v/>
      </c>
      <c r="Q745" s="3">
        <f>IF(P745="","",(P745-AVERAGE(P6:P1198))/(STDEV(P6:P1198)+1E-12))</f>
        <v/>
      </c>
      <c r="R745" s="3">
        <f>IF('3a Raw'!K745="","",MAX(-3,MIN(3,('3a Raw'!K745-$R3)/$R4)))</f>
        <v/>
      </c>
      <c r="S745" s="3">
        <f>IF(R745="","",(R745-AVERAGE(R6:R1198))/(STDEV(R6:R1198)+1E-12))</f>
        <v/>
      </c>
      <c r="T745" s="3">
        <f>IF('3a Raw'!L745="","",MAX(-3,MIN(3,('3a Raw'!L745-$T3)/$T4)))</f>
        <v/>
      </c>
      <c r="U745" s="3">
        <f>IF(T745="","",(T745-AVERAGE(T6:T1198))/(STDEV(T6:T1198)+1E-12))</f>
        <v/>
      </c>
      <c r="X745" s="3">
        <f>IF(U745="","",U745-($V$3*G745+$W$3))</f>
        <v/>
      </c>
      <c r="Y745" s="3">
        <f>IF(X745="","",MAX(-3,MIN(3,(X745-$X3)/$X4)))</f>
        <v/>
      </c>
      <c r="Z745" s="3">
        <f>IF(Y745="","",(Y745-AVERAGE(Y6:Y1198))/(STDEV(Y6:Y1198)+1E-12))</f>
        <v/>
      </c>
    </row>
    <row r="746">
      <c r="A746" t="inlineStr">
        <is>
          <t>nem</t>
        </is>
      </c>
      <c r="B746" s="3">
        <f>IF('3a Raw'!C746="","",MAX(-3,MIN(3,('3a Raw'!C746-$B3)/$B4)))</f>
        <v/>
      </c>
      <c r="C746" s="3">
        <f>IF(B746="","",(B746-AVERAGE(B6:B1198))/(STDEV(B6:B1198)+1E-12))</f>
        <v/>
      </c>
      <c r="D746" s="3">
        <f>IF('3a Raw'!D746="","",MAX(-3,MIN(3,('3a Raw'!D746-$D3)/$D4)))</f>
        <v/>
      </c>
      <c r="E746" s="3">
        <f>IF(D746="","",(D746-AVERAGE(D6:D1198))/(STDEV(D6:D1198)+1E-12))</f>
        <v/>
      </c>
      <c r="F746" s="3">
        <f>IF('3a Raw'!E746="","",MAX(-3,MIN(3,('3a Raw'!E746-$F3)/$F4)))</f>
        <v/>
      </c>
      <c r="G746" s="3">
        <f>IF(F746="","",(F746-AVERAGE(F6:F1198))/(STDEV(F6:F1198)+1E-12))</f>
        <v/>
      </c>
      <c r="H746" s="3">
        <f>IF('3a Raw'!F746="","",MAX(-3,MIN(3,('3a Raw'!F746-$H3)/$H4)))</f>
        <v/>
      </c>
      <c r="I746" s="3">
        <f>IF(H746="","",(H746-AVERAGE(H6:H1198))/(STDEV(H6:H1198)+1E-12))</f>
        <v/>
      </c>
      <c r="J746" s="3">
        <f>IF('3a Raw'!G746="","",MAX(-3,MIN(3,('3a Raw'!G746-$J3)/$J4)))</f>
        <v/>
      </c>
      <c r="K746" s="3">
        <f>IF(J746="","",(J746-AVERAGE(J6:J1198))/(STDEV(J6:J1198)+1E-12))</f>
        <v/>
      </c>
      <c r="L746" s="3">
        <f>IF('3a Raw'!H746="","",MAX(-3,MIN(3,('3a Raw'!H746-$L3)/$L4)))</f>
        <v/>
      </c>
      <c r="M746" s="3">
        <f>IF(L746="","",(L746-AVERAGE(L6:L1198))/(STDEV(L6:L1198)+1E-12))</f>
        <v/>
      </c>
      <c r="N746" s="3">
        <f>IF('3a Raw'!I746="","",MAX(-3,MIN(3,('3a Raw'!I746-$N3)/$N4)))</f>
        <v/>
      </c>
      <c r="O746" s="3">
        <f>IF(N746="","",(N746-AVERAGE(N6:N1198))/(STDEV(N6:N1198)+1E-12))</f>
        <v/>
      </c>
      <c r="P746" s="3">
        <f>IF('3a Raw'!J746="","",MAX(-3,MIN(3,('3a Raw'!J746-$P3)/$P4)))</f>
        <v/>
      </c>
      <c r="Q746" s="3">
        <f>IF(P746="","",(P746-AVERAGE(P6:P1198))/(STDEV(P6:P1198)+1E-12))</f>
        <v/>
      </c>
      <c r="R746" s="3">
        <f>IF('3a Raw'!K746="","",MAX(-3,MIN(3,('3a Raw'!K746-$R3)/$R4)))</f>
        <v/>
      </c>
      <c r="S746" s="3">
        <f>IF(R746="","",(R746-AVERAGE(R6:R1198))/(STDEV(R6:R1198)+1E-12))</f>
        <v/>
      </c>
      <c r="T746" s="3">
        <f>IF('3a Raw'!L746="","",MAX(-3,MIN(3,('3a Raw'!L746-$T3)/$T4)))</f>
        <v/>
      </c>
      <c r="U746" s="3">
        <f>IF(T746="","",(T746-AVERAGE(T6:T1198))/(STDEV(T6:T1198)+1E-12))</f>
        <v/>
      </c>
      <c r="X746" s="3">
        <f>IF(U746="","",U746-($V$3*G746+$W$3))</f>
        <v/>
      </c>
      <c r="Y746" s="3">
        <f>IF(X746="","",MAX(-3,MIN(3,(X746-$X3)/$X4)))</f>
        <v/>
      </c>
      <c r="Z746" s="3">
        <f>IF(Y746="","",(Y746-AVERAGE(Y6:Y1198))/(STDEV(Y6:Y1198)+1E-12))</f>
        <v/>
      </c>
    </row>
    <row r="747">
      <c r="A747" t="inlineStr">
        <is>
          <t>BBG001WMKHH5</t>
        </is>
      </c>
      <c r="B747" s="3">
        <f>IF('3a Raw'!C747="","",MAX(-3,MIN(3,('3a Raw'!C747-$B3)/$B4)))</f>
        <v/>
      </c>
      <c r="C747" s="3">
        <f>IF(B747="","",(B747-AVERAGE(B6:B1198))/(STDEV(B6:B1198)+1E-12))</f>
        <v/>
      </c>
      <c r="D747" s="3">
        <f>IF('3a Raw'!D747="","",MAX(-3,MIN(3,('3a Raw'!D747-$D3)/$D4)))</f>
        <v/>
      </c>
      <c r="E747" s="3">
        <f>IF(D747="","",(D747-AVERAGE(D6:D1198))/(STDEV(D6:D1198)+1E-12))</f>
        <v/>
      </c>
      <c r="F747" s="3">
        <f>IF('3a Raw'!E747="","",MAX(-3,MIN(3,('3a Raw'!E747-$F3)/$F4)))</f>
        <v/>
      </c>
      <c r="G747" s="3">
        <f>IF(F747="","",(F747-AVERAGE(F6:F1198))/(STDEV(F6:F1198)+1E-12))</f>
        <v/>
      </c>
      <c r="H747" s="3">
        <f>IF('3a Raw'!F747="","",MAX(-3,MIN(3,('3a Raw'!F747-$H3)/$H4)))</f>
        <v/>
      </c>
      <c r="I747" s="3">
        <f>IF(H747="","",(H747-AVERAGE(H6:H1198))/(STDEV(H6:H1198)+1E-12))</f>
        <v/>
      </c>
      <c r="J747" s="3">
        <f>IF('3a Raw'!G747="","",MAX(-3,MIN(3,('3a Raw'!G747-$J3)/$J4)))</f>
        <v/>
      </c>
      <c r="K747" s="3">
        <f>IF(J747="","",(J747-AVERAGE(J6:J1198))/(STDEV(J6:J1198)+1E-12))</f>
        <v/>
      </c>
      <c r="L747" s="3">
        <f>IF('3a Raw'!H747="","",MAX(-3,MIN(3,('3a Raw'!H747-$L3)/$L4)))</f>
        <v/>
      </c>
      <c r="M747" s="3">
        <f>IF(L747="","",(L747-AVERAGE(L6:L1198))/(STDEV(L6:L1198)+1E-12))</f>
        <v/>
      </c>
      <c r="N747" s="3">
        <f>IF('3a Raw'!I747="","",MAX(-3,MIN(3,('3a Raw'!I747-$N3)/$N4)))</f>
        <v/>
      </c>
      <c r="O747" s="3">
        <f>IF(N747="","",(N747-AVERAGE(N6:N1198))/(STDEV(N6:N1198)+1E-12))</f>
        <v/>
      </c>
      <c r="P747" s="3">
        <f>IF('3a Raw'!J747="","",MAX(-3,MIN(3,('3a Raw'!J747-$P3)/$P4)))</f>
        <v/>
      </c>
      <c r="Q747" s="3">
        <f>IF(P747="","",(P747-AVERAGE(P6:P1198))/(STDEV(P6:P1198)+1E-12))</f>
        <v/>
      </c>
      <c r="R747" s="3">
        <f>IF('3a Raw'!K747="","",MAX(-3,MIN(3,('3a Raw'!K747-$R3)/$R4)))</f>
        <v/>
      </c>
      <c r="S747" s="3">
        <f>IF(R747="","",(R747-AVERAGE(R6:R1198))/(STDEV(R6:R1198)+1E-12))</f>
        <v/>
      </c>
      <c r="T747" s="3">
        <f>IF('3a Raw'!L747="","",MAX(-3,MIN(3,('3a Raw'!L747-$T3)/$T4)))</f>
        <v/>
      </c>
      <c r="U747" s="3">
        <f>IF(T747="","",(T747-AVERAGE(T6:T1198))/(STDEV(T6:T1198)+1E-12))</f>
        <v/>
      </c>
      <c r="X747" s="3">
        <f>IF(U747="","",U747-($V$3*G747+$W$3))</f>
        <v/>
      </c>
      <c r="Y747" s="3">
        <f>IF(X747="","",MAX(-3,MIN(3,(X747-$X3)/$X4)))</f>
        <v/>
      </c>
      <c r="Z747" s="3">
        <f>IF(Y747="","",(Y747-AVERAGE(Y6:Y1198))/(STDEV(Y6:Y1198)+1E-12))</f>
        <v/>
      </c>
    </row>
    <row r="748">
      <c r="A748" t="inlineStr">
        <is>
          <t>BBG000BJ5SS8</t>
        </is>
      </c>
      <c r="B748" s="3">
        <f>IF('3a Raw'!C748="","",MAX(-3,MIN(3,('3a Raw'!C748-$B3)/$B4)))</f>
        <v/>
      </c>
      <c r="C748" s="3">
        <f>IF(B748="","",(B748-AVERAGE(B6:B1198))/(STDEV(B6:B1198)+1E-12))</f>
        <v/>
      </c>
      <c r="D748" s="3">
        <f>IF('3a Raw'!D748="","",MAX(-3,MIN(3,('3a Raw'!D748-$D3)/$D4)))</f>
        <v/>
      </c>
      <c r="E748" s="3">
        <f>IF(D748="","",(D748-AVERAGE(D6:D1198))/(STDEV(D6:D1198)+1E-12))</f>
        <v/>
      </c>
      <c r="F748" s="3">
        <f>IF('3a Raw'!E748="","",MAX(-3,MIN(3,('3a Raw'!E748-$F3)/$F4)))</f>
        <v/>
      </c>
      <c r="G748" s="3">
        <f>IF(F748="","",(F748-AVERAGE(F6:F1198))/(STDEV(F6:F1198)+1E-12))</f>
        <v/>
      </c>
      <c r="H748" s="3">
        <f>IF('3a Raw'!F748="","",MAX(-3,MIN(3,('3a Raw'!F748-$H3)/$H4)))</f>
        <v/>
      </c>
      <c r="I748" s="3">
        <f>IF(H748="","",(H748-AVERAGE(H6:H1198))/(STDEV(H6:H1198)+1E-12))</f>
        <v/>
      </c>
      <c r="J748" s="3">
        <f>IF('3a Raw'!G748="","",MAX(-3,MIN(3,('3a Raw'!G748-$J3)/$J4)))</f>
        <v/>
      </c>
      <c r="K748" s="3">
        <f>IF(J748="","",(J748-AVERAGE(J6:J1198))/(STDEV(J6:J1198)+1E-12))</f>
        <v/>
      </c>
      <c r="L748" s="3">
        <f>IF('3a Raw'!H748="","",MAX(-3,MIN(3,('3a Raw'!H748-$L3)/$L4)))</f>
        <v/>
      </c>
      <c r="M748" s="3">
        <f>IF(L748="","",(L748-AVERAGE(L6:L1198))/(STDEV(L6:L1198)+1E-12))</f>
        <v/>
      </c>
      <c r="N748" s="3">
        <f>IF('3a Raw'!I748="","",MAX(-3,MIN(3,('3a Raw'!I748-$N3)/$N4)))</f>
        <v/>
      </c>
      <c r="O748" s="3">
        <f>IF(N748="","",(N748-AVERAGE(N6:N1198))/(STDEV(N6:N1198)+1E-12))</f>
        <v/>
      </c>
      <c r="P748" s="3">
        <f>IF('3a Raw'!J748="","",MAX(-3,MIN(3,('3a Raw'!J748-$P3)/$P4)))</f>
        <v/>
      </c>
      <c r="Q748" s="3">
        <f>IF(P748="","",(P748-AVERAGE(P6:P1198))/(STDEV(P6:P1198)+1E-12))</f>
        <v/>
      </c>
      <c r="R748" s="3">
        <f>IF('3a Raw'!K748="","",MAX(-3,MIN(3,('3a Raw'!K748-$R3)/$R4)))</f>
        <v/>
      </c>
      <c r="S748" s="3">
        <f>IF(R748="","",(R748-AVERAGE(R6:R1198))/(STDEV(R6:R1198)+1E-12))</f>
        <v/>
      </c>
      <c r="T748" s="3">
        <f>IF('3a Raw'!L748="","",MAX(-3,MIN(3,('3a Raw'!L748-$T3)/$T4)))</f>
        <v/>
      </c>
      <c r="U748" s="3">
        <f>IF(T748="","",(T748-AVERAGE(T6:T1198))/(STDEV(T6:T1198)+1E-12))</f>
        <v/>
      </c>
      <c r="X748" s="3">
        <f>IF(U748="","",U748-($V$3*G748+$W$3))</f>
        <v/>
      </c>
      <c r="Y748" s="3">
        <f>IF(X748="","",MAX(-3,MIN(3,(X748-$X3)/$X4)))</f>
        <v/>
      </c>
      <c r="Z748" s="3">
        <f>IF(Y748="","",(Y748-AVERAGE(Y6:Y1198))/(STDEV(Y6:Y1198)+1E-12))</f>
        <v/>
      </c>
    </row>
    <row r="749">
      <c r="A749" t="inlineStr">
        <is>
          <t>BBG000CL9VN6</t>
        </is>
      </c>
      <c r="B749" s="3">
        <f>IF('3a Raw'!C749="","",MAX(-3,MIN(3,('3a Raw'!C749-$B3)/$B4)))</f>
        <v/>
      </c>
      <c r="C749" s="3">
        <f>IF(B749="","",(B749-AVERAGE(B6:B1198))/(STDEV(B6:B1198)+1E-12))</f>
        <v/>
      </c>
      <c r="D749" s="3">
        <f>IF('3a Raw'!D749="","",MAX(-3,MIN(3,('3a Raw'!D749-$D3)/$D4)))</f>
        <v/>
      </c>
      <c r="E749" s="3">
        <f>IF(D749="","",(D749-AVERAGE(D6:D1198))/(STDEV(D6:D1198)+1E-12))</f>
        <v/>
      </c>
      <c r="F749" s="3">
        <f>IF('3a Raw'!E749="","",MAX(-3,MIN(3,('3a Raw'!E749-$F3)/$F4)))</f>
        <v/>
      </c>
      <c r="G749" s="3">
        <f>IF(F749="","",(F749-AVERAGE(F6:F1198))/(STDEV(F6:F1198)+1E-12))</f>
        <v/>
      </c>
      <c r="H749" s="3">
        <f>IF('3a Raw'!F749="","",MAX(-3,MIN(3,('3a Raw'!F749-$H3)/$H4)))</f>
        <v/>
      </c>
      <c r="I749" s="3">
        <f>IF(H749="","",(H749-AVERAGE(H6:H1198))/(STDEV(H6:H1198)+1E-12))</f>
        <v/>
      </c>
      <c r="J749" s="3">
        <f>IF('3a Raw'!G749="","",MAX(-3,MIN(3,('3a Raw'!G749-$J3)/$J4)))</f>
        <v/>
      </c>
      <c r="K749" s="3">
        <f>IF(J749="","",(J749-AVERAGE(J6:J1198))/(STDEV(J6:J1198)+1E-12))</f>
        <v/>
      </c>
      <c r="L749" s="3">
        <f>IF('3a Raw'!H749="","",MAX(-3,MIN(3,('3a Raw'!H749-$L3)/$L4)))</f>
        <v/>
      </c>
      <c r="M749" s="3">
        <f>IF(L749="","",(L749-AVERAGE(L6:L1198))/(STDEV(L6:L1198)+1E-12))</f>
        <v/>
      </c>
      <c r="N749" s="3">
        <f>IF('3a Raw'!I749="","",MAX(-3,MIN(3,('3a Raw'!I749-$N3)/$N4)))</f>
        <v/>
      </c>
      <c r="O749" s="3">
        <f>IF(N749="","",(N749-AVERAGE(N6:N1198))/(STDEV(N6:N1198)+1E-12))</f>
        <v/>
      </c>
      <c r="P749" s="3">
        <f>IF('3a Raw'!J749="","",MAX(-3,MIN(3,('3a Raw'!J749-$P3)/$P4)))</f>
        <v/>
      </c>
      <c r="Q749" s="3">
        <f>IF(P749="","",(P749-AVERAGE(P6:P1198))/(STDEV(P6:P1198)+1E-12))</f>
        <v/>
      </c>
      <c r="R749" s="3">
        <f>IF('3a Raw'!K749="","",MAX(-3,MIN(3,('3a Raw'!K749-$R3)/$R4)))</f>
        <v/>
      </c>
      <c r="S749" s="3">
        <f>IF(R749="","",(R749-AVERAGE(R6:R1198))/(STDEV(R6:R1198)+1E-12))</f>
        <v/>
      </c>
      <c r="T749" s="3">
        <f>IF('3a Raw'!L749="","",MAX(-3,MIN(3,('3a Raw'!L749-$T3)/$T4)))</f>
        <v/>
      </c>
      <c r="U749" s="3">
        <f>IF(T749="","",(T749-AVERAGE(T6:T1198))/(STDEV(T6:T1198)+1E-12))</f>
        <v/>
      </c>
      <c r="X749" s="3">
        <f>IF(U749="","",U749-($V$3*G749+$W$3))</f>
        <v/>
      </c>
      <c r="Y749" s="3">
        <f>IF(X749="","",MAX(-3,MIN(3,(X749-$X3)/$X4)))</f>
        <v/>
      </c>
      <c r="Z749" s="3">
        <f>IF(Y749="","",(Y749-AVERAGE(Y6:Y1198))/(STDEV(Y6:Y1198)+1E-12))</f>
        <v/>
      </c>
    </row>
    <row r="750">
      <c r="A750" t="inlineStr">
        <is>
          <t>BBG000D25424</t>
        </is>
      </c>
      <c r="B750" s="3">
        <f>IF('3a Raw'!C750="","",MAX(-3,MIN(3,('3a Raw'!C750-$B3)/$B4)))</f>
        <v/>
      </c>
      <c r="C750" s="3">
        <f>IF(B750="","",(B750-AVERAGE(B6:B1198))/(STDEV(B6:B1198)+1E-12))</f>
        <v/>
      </c>
      <c r="D750" s="3">
        <f>IF('3a Raw'!D750="","",MAX(-3,MIN(3,('3a Raw'!D750-$D3)/$D4)))</f>
        <v/>
      </c>
      <c r="E750" s="3">
        <f>IF(D750="","",(D750-AVERAGE(D6:D1198))/(STDEV(D6:D1198)+1E-12))</f>
        <v/>
      </c>
      <c r="F750" s="3">
        <f>IF('3a Raw'!E750="","",MAX(-3,MIN(3,('3a Raw'!E750-$F3)/$F4)))</f>
        <v/>
      </c>
      <c r="G750" s="3">
        <f>IF(F750="","",(F750-AVERAGE(F6:F1198))/(STDEV(F6:F1198)+1E-12))</f>
        <v/>
      </c>
      <c r="H750" s="3">
        <f>IF('3a Raw'!F750="","",MAX(-3,MIN(3,('3a Raw'!F750-$H3)/$H4)))</f>
        <v/>
      </c>
      <c r="I750" s="3">
        <f>IF(H750="","",(H750-AVERAGE(H6:H1198))/(STDEV(H6:H1198)+1E-12))</f>
        <v/>
      </c>
      <c r="J750" s="3">
        <f>IF('3a Raw'!G750="","",MAX(-3,MIN(3,('3a Raw'!G750-$J3)/$J4)))</f>
        <v/>
      </c>
      <c r="K750" s="3">
        <f>IF(J750="","",(J750-AVERAGE(J6:J1198))/(STDEV(J6:J1198)+1E-12))</f>
        <v/>
      </c>
      <c r="L750" s="3">
        <f>IF('3a Raw'!H750="","",MAX(-3,MIN(3,('3a Raw'!H750-$L3)/$L4)))</f>
        <v/>
      </c>
      <c r="M750" s="3">
        <f>IF(L750="","",(L750-AVERAGE(L6:L1198))/(STDEV(L6:L1198)+1E-12))</f>
        <v/>
      </c>
      <c r="N750" s="3">
        <f>IF('3a Raw'!I750="","",MAX(-3,MIN(3,('3a Raw'!I750-$N3)/$N4)))</f>
        <v/>
      </c>
      <c r="O750" s="3">
        <f>IF(N750="","",(N750-AVERAGE(N6:N1198))/(STDEV(N6:N1198)+1E-12))</f>
        <v/>
      </c>
      <c r="P750" s="3">
        <f>IF('3a Raw'!J750="","",MAX(-3,MIN(3,('3a Raw'!J750-$P3)/$P4)))</f>
        <v/>
      </c>
      <c r="Q750" s="3">
        <f>IF(P750="","",(P750-AVERAGE(P6:P1198))/(STDEV(P6:P1198)+1E-12))</f>
        <v/>
      </c>
      <c r="R750" s="3">
        <f>IF('3a Raw'!K750="","",MAX(-3,MIN(3,('3a Raw'!K750-$R3)/$R4)))</f>
        <v/>
      </c>
      <c r="S750" s="3">
        <f>IF(R750="","",(R750-AVERAGE(R6:R1198))/(STDEV(R6:R1198)+1E-12))</f>
        <v/>
      </c>
      <c r="T750" s="3">
        <f>IF('3a Raw'!L750="","",MAX(-3,MIN(3,('3a Raw'!L750-$T3)/$T4)))</f>
        <v/>
      </c>
      <c r="U750" s="3">
        <f>IF(T750="","",(T750-AVERAGE(T6:T1198))/(STDEV(T6:T1198)+1E-12))</f>
        <v/>
      </c>
      <c r="X750" s="3">
        <f>IF(U750="","",U750-($V$3*G750+$W$3))</f>
        <v/>
      </c>
      <c r="Y750" s="3">
        <f>IF(X750="","",MAX(-3,MIN(3,(X750-$X3)/$X4)))</f>
        <v/>
      </c>
      <c r="Z750" s="3">
        <f>IF(Y750="","",(Y750-AVERAGE(Y6:Y1198))/(STDEV(Y6:Y1198)+1E-12))</f>
        <v/>
      </c>
    </row>
    <row r="751">
      <c r="A751" t="inlineStr">
        <is>
          <t>BBG000BPZBB6</t>
        </is>
      </c>
      <c r="B751" s="3">
        <f>IF('3a Raw'!C751="","",MAX(-3,MIN(3,('3a Raw'!C751-$B3)/$B4)))</f>
        <v/>
      </c>
      <c r="C751" s="3">
        <f>IF(B751="","",(B751-AVERAGE(B6:B1198))/(STDEV(B6:B1198)+1E-12))</f>
        <v/>
      </c>
      <c r="D751" s="3">
        <f>IF('3a Raw'!D751="","",MAX(-3,MIN(3,('3a Raw'!D751-$D3)/$D4)))</f>
        <v/>
      </c>
      <c r="E751" s="3">
        <f>IF(D751="","",(D751-AVERAGE(D6:D1198))/(STDEV(D6:D1198)+1E-12))</f>
        <v/>
      </c>
      <c r="F751" s="3">
        <f>IF('3a Raw'!E751="","",MAX(-3,MIN(3,('3a Raw'!E751-$F3)/$F4)))</f>
        <v/>
      </c>
      <c r="G751" s="3">
        <f>IF(F751="","",(F751-AVERAGE(F6:F1198))/(STDEV(F6:F1198)+1E-12))</f>
        <v/>
      </c>
      <c r="H751" s="3">
        <f>IF('3a Raw'!F751="","",MAX(-3,MIN(3,('3a Raw'!F751-$H3)/$H4)))</f>
        <v/>
      </c>
      <c r="I751" s="3">
        <f>IF(H751="","",(H751-AVERAGE(H6:H1198))/(STDEV(H6:H1198)+1E-12))</f>
        <v/>
      </c>
      <c r="J751" s="3">
        <f>IF('3a Raw'!G751="","",MAX(-3,MIN(3,('3a Raw'!G751-$J3)/$J4)))</f>
        <v/>
      </c>
      <c r="K751" s="3">
        <f>IF(J751="","",(J751-AVERAGE(J6:J1198))/(STDEV(J6:J1198)+1E-12))</f>
        <v/>
      </c>
      <c r="L751" s="3">
        <f>IF('3a Raw'!H751="","",MAX(-3,MIN(3,('3a Raw'!H751-$L3)/$L4)))</f>
        <v/>
      </c>
      <c r="M751" s="3">
        <f>IF(L751="","",(L751-AVERAGE(L6:L1198))/(STDEV(L6:L1198)+1E-12))</f>
        <v/>
      </c>
      <c r="N751" s="3">
        <f>IF('3a Raw'!I751="","",MAX(-3,MIN(3,('3a Raw'!I751-$N3)/$N4)))</f>
        <v/>
      </c>
      <c r="O751" s="3">
        <f>IF(N751="","",(N751-AVERAGE(N6:N1198))/(STDEV(N6:N1198)+1E-12))</f>
        <v/>
      </c>
      <c r="P751" s="3">
        <f>IF('3a Raw'!J751="","",MAX(-3,MIN(3,('3a Raw'!J751-$P3)/$P4)))</f>
        <v/>
      </c>
      <c r="Q751" s="3">
        <f>IF(P751="","",(P751-AVERAGE(P6:P1198))/(STDEV(P6:P1198)+1E-12))</f>
        <v/>
      </c>
      <c r="R751" s="3">
        <f>IF('3a Raw'!K751="","",MAX(-3,MIN(3,('3a Raw'!K751-$R3)/$R4)))</f>
        <v/>
      </c>
      <c r="S751" s="3">
        <f>IF(R751="","",(R751-AVERAGE(R6:R1198))/(STDEV(R6:R1198)+1E-12))</f>
        <v/>
      </c>
      <c r="T751" s="3">
        <f>IF('3a Raw'!L751="","",MAX(-3,MIN(3,('3a Raw'!L751-$T3)/$T4)))</f>
        <v/>
      </c>
      <c r="U751" s="3">
        <f>IF(T751="","",(T751-AVERAGE(T6:T1198))/(STDEV(T6:T1198)+1E-12))</f>
        <v/>
      </c>
      <c r="X751" s="3">
        <f>IF(U751="","",U751-($V$3*G751+$W$3))</f>
        <v/>
      </c>
      <c r="Y751" s="3">
        <f>IF(X751="","",MAX(-3,MIN(3,(X751-$X3)/$X4)))</f>
        <v/>
      </c>
      <c r="Z751" s="3">
        <f>IF(Y751="","",(Y751-AVERAGE(Y6:Y1198))/(STDEV(Y6:Y1198)+1E-12))</f>
        <v/>
      </c>
    </row>
    <row r="752">
      <c r="A752" t="inlineStr">
        <is>
          <t>BBG000KC17R4</t>
        </is>
      </c>
      <c r="B752" s="3">
        <f>IF('3a Raw'!C752="","",MAX(-3,MIN(3,('3a Raw'!C752-$B3)/$B4)))</f>
        <v/>
      </c>
      <c r="C752" s="3">
        <f>IF(B752="","",(B752-AVERAGE(B6:B1198))/(STDEV(B6:B1198)+1E-12))</f>
        <v/>
      </c>
      <c r="D752" s="3">
        <f>IF('3a Raw'!D752="","",MAX(-3,MIN(3,('3a Raw'!D752-$D3)/$D4)))</f>
        <v/>
      </c>
      <c r="E752" s="3">
        <f>IF(D752="","",(D752-AVERAGE(D6:D1198))/(STDEV(D6:D1198)+1E-12))</f>
        <v/>
      </c>
      <c r="F752" s="3">
        <f>IF('3a Raw'!E752="","",MAX(-3,MIN(3,('3a Raw'!E752-$F3)/$F4)))</f>
        <v/>
      </c>
      <c r="G752" s="3">
        <f>IF(F752="","",(F752-AVERAGE(F6:F1198))/(STDEV(F6:F1198)+1E-12))</f>
        <v/>
      </c>
      <c r="H752" s="3">
        <f>IF('3a Raw'!F752="","",MAX(-3,MIN(3,('3a Raw'!F752-$H3)/$H4)))</f>
        <v/>
      </c>
      <c r="I752" s="3">
        <f>IF(H752="","",(H752-AVERAGE(H6:H1198))/(STDEV(H6:H1198)+1E-12))</f>
        <v/>
      </c>
      <c r="J752" s="3">
        <f>IF('3a Raw'!G752="","",MAX(-3,MIN(3,('3a Raw'!G752-$J3)/$J4)))</f>
        <v/>
      </c>
      <c r="K752" s="3">
        <f>IF(J752="","",(J752-AVERAGE(J6:J1198))/(STDEV(J6:J1198)+1E-12))</f>
        <v/>
      </c>
      <c r="L752" s="3">
        <f>IF('3a Raw'!H752="","",MAX(-3,MIN(3,('3a Raw'!H752-$L3)/$L4)))</f>
        <v/>
      </c>
      <c r="M752" s="3">
        <f>IF(L752="","",(L752-AVERAGE(L6:L1198))/(STDEV(L6:L1198)+1E-12))</f>
        <v/>
      </c>
      <c r="N752" s="3">
        <f>IF('3a Raw'!I752="","",MAX(-3,MIN(3,('3a Raw'!I752-$N3)/$N4)))</f>
        <v/>
      </c>
      <c r="O752" s="3">
        <f>IF(N752="","",(N752-AVERAGE(N6:N1198))/(STDEV(N6:N1198)+1E-12))</f>
        <v/>
      </c>
      <c r="P752" s="3">
        <f>IF('3a Raw'!J752="","",MAX(-3,MIN(3,('3a Raw'!J752-$P3)/$P4)))</f>
        <v/>
      </c>
      <c r="Q752" s="3">
        <f>IF(P752="","",(P752-AVERAGE(P6:P1198))/(STDEV(P6:P1198)+1E-12))</f>
        <v/>
      </c>
      <c r="R752" s="3">
        <f>IF('3a Raw'!K752="","",MAX(-3,MIN(3,('3a Raw'!K752-$R3)/$R4)))</f>
        <v/>
      </c>
      <c r="S752" s="3">
        <f>IF(R752="","",(R752-AVERAGE(R6:R1198))/(STDEV(R6:R1198)+1E-12))</f>
        <v/>
      </c>
      <c r="T752" s="3">
        <f>IF('3a Raw'!L752="","",MAX(-3,MIN(3,('3a Raw'!L752-$T3)/$T4)))</f>
        <v/>
      </c>
      <c r="U752" s="3">
        <f>IF(T752="","",(T752-AVERAGE(T6:T1198))/(STDEV(T6:T1198)+1E-12))</f>
        <v/>
      </c>
      <c r="X752" s="3">
        <f>IF(U752="","",U752-($V$3*G752+$W$3))</f>
        <v/>
      </c>
      <c r="Y752" s="3">
        <f>IF(X752="","",MAX(-3,MIN(3,(X752-$X3)/$X4)))</f>
        <v/>
      </c>
      <c r="Z752" s="3">
        <f>IF(Y752="","",(Y752-AVERAGE(Y6:Y1198))/(STDEV(Y6:Y1198)+1E-12))</f>
        <v/>
      </c>
    </row>
    <row r="753">
      <c r="A753" t="inlineStr">
        <is>
          <t>BBG000C5HS04</t>
        </is>
      </c>
      <c r="B753" s="3">
        <f>IF('3a Raw'!C753="","",MAX(-3,MIN(3,('3a Raw'!C753-$B3)/$B4)))</f>
        <v/>
      </c>
      <c r="C753" s="3">
        <f>IF(B753="","",(B753-AVERAGE(B6:B1198))/(STDEV(B6:B1198)+1E-12))</f>
        <v/>
      </c>
      <c r="D753" s="3">
        <f>IF('3a Raw'!D753="","",MAX(-3,MIN(3,('3a Raw'!D753-$D3)/$D4)))</f>
        <v/>
      </c>
      <c r="E753" s="3">
        <f>IF(D753="","",(D753-AVERAGE(D6:D1198))/(STDEV(D6:D1198)+1E-12))</f>
        <v/>
      </c>
      <c r="F753" s="3">
        <f>IF('3a Raw'!E753="","",MAX(-3,MIN(3,('3a Raw'!E753-$F3)/$F4)))</f>
        <v/>
      </c>
      <c r="G753" s="3">
        <f>IF(F753="","",(F753-AVERAGE(F6:F1198))/(STDEV(F6:F1198)+1E-12))</f>
        <v/>
      </c>
      <c r="H753" s="3">
        <f>IF('3a Raw'!F753="","",MAX(-3,MIN(3,('3a Raw'!F753-$H3)/$H4)))</f>
        <v/>
      </c>
      <c r="I753" s="3">
        <f>IF(H753="","",(H753-AVERAGE(H6:H1198))/(STDEV(H6:H1198)+1E-12))</f>
        <v/>
      </c>
      <c r="J753" s="3">
        <f>IF('3a Raw'!G753="","",MAX(-3,MIN(3,('3a Raw'!G753-$J3)/$J4)))</f>
        <v/>
      </c>
      <c r="K753" s="3">
        <f>IF(J753="","",(J753-AVERAGE(J6:J1198))/(STDEV(J6:J1198)+1E-12))</f>
        <v/>
      </c>
      <c r="L753" s="3">
        <f>IF('3a Raw'!H753="","",MAX(-3,MIN(3,('3a Raw'!H753-$L3)/$L4)))</f>
        <v/>
      </c>
      <c r="M753" s="3">
        <f>IF(L753="","",(L753-AVERAGE(L6:L1198))/(STDEV(L6:L1198)+1E-12))</f>
        <v/>
      </c>
      <c r="N753" s="3">
        <f>IF('3a Raw'!I753="","",MAX(-3,MIN(3,('3a Raw'!I753-$N3)/$N4)))</f>
        <v/>
      </c>
      <c r="O753" s="3">
        <f>IF(N753="","",(N753-AVERAGE(N6:N1198))/(STDEV(N6:N1198)+1E-12))</f>
        <v/>
      </c>
      <c r="P753" s="3">
        <f>IF('3a Raw'!J753="","",MAX(-3,MIN(3,('3a Raw'!J753-$P3)/$P4)))</f>
        <v/>
      </c>
      <c r="Q753" s="3">
        <f>IF(P753="","",(P753-AVERAGE(P6:P1198))/(STDEV(P6:P1198)+1E-12))</f>
        <v/>
      </c>
      <c r="R753" s="3">
        <f>IF('3a Raw'!K753="","",MAX(-3,MIN(3,('3a Raw'!K753-$R3)/$R4)))</f>
        <v/>
      </c>
      <c r="S753" s="3">
        <f>IF(R753="","",(R753-AVERAGE(R6:R1198))/(STDEV(R6:R1198)+1E-12))</f>
        <v/>
      </c>
      <c r="T753" s="3">
        <f>IF('3a Raw'!L753="","",MAX(-3,MIN(3,('3a Raw'!L753-$T3)/$T4)))</f>
        <v/>
      </c>
      <c r="U753" s="3">
        <f>IF(T753="","",(T753-AVERAGE(T6:T1198))/(STDEV(T6:T1198)+1E-12))</f>
        <v/>
      </c>
      <c r="X753" s="3">
        <f>IF(U753="","",U753-($V$3*G753+$W$3))</f>
        <v/>
      </c>
      <c r="Y753" s="3">
        <f>IF(X753="","",MAX(-3,MIN(3,(X753-$X3)/$X4)))</f>
        <v/>
      </c>
      <c r="Z753" s="3">
        <f>IF(Y753="","",(Y753-AVERAGE(Y6:Y1198))/(STDEV(Y6:Y1198)+1E-12))</f>
        <v/>
      </c>
    </row>
    <row r="754">
      <c r="A754" t="inlineStr">
        <is>
          <t>BBG000BG22J4</t>
        </is>
      </c>
      <c r="B754" s="3">
        <f>IF('3a Raw'!C754="","",MAX(-3,MIN(3,('3a Raw'!C754-$B3)/$B4)))</f>
        <v/>
      </c>
      <c r="C754" s="3">
        <f>IF(B754="","",(B754-AVERAGE(B6:B1198))/(STDEV(B6:B1198)+1E-12))</f>
        <v/>
      </c>
      <c r="D754" s="3">
        <f>IF('3a Raw'!D754="","",MAX(-3,MIN(3,('3a Raw'!D754-$D3)/$D4)))</f>
        <v/>
      </c>
      <c r="E754" s="3">
        <f>IF(D754="","",(D754-AVERAGE(D6:D1198))/(STDEV(D6:D1198)+1E-12))</f>
        <v/>
      </c>
      <c r="F754" s="3">
        <f>IF('3a Raw'!E754="","",MAX(-3,MIN(3,('3a Raw'!E754-$F3)/$F4)))</f>
        <v/>
      </c>
      <c r="G754" s="3">
        <f>IF(F754="","",(F754-AVERAGE(F6:F1198))/(STDEV(F6:F1198)+1E-12))</f>
        <v/>
      </c>
      <c r="H754" s="3">
        <f>IF('3a Raw'!F754="","",MAX(-3,MIN(3,('3a Raw'!F754-$H3)/$H4)))</f>
        <v/>
      </c>
      <c r="I754" s="3">
        <f>IF(H754="","",(H754-AVERAGE(H6:H1198))/(STDEV(H6:H1198)+1E-12))</f>
        <v/>
      </c>
      <c r="J754" s="3">
        <f>IF('3a Raw'!G754="","",MAX(-3,MIN(3,('3a Raw'!G754-$J3)/$J4)))</f>
        <v/>
      </c>
      <c r="K754" s="3">
        <f>IF(J754="","",(J754-AVERAGE(J6:J1198))/(STDEV(J6:J1198)+1E-12))</f>
        <v/>
      </c>
      <c r="L754" s="3">
        <f>IF('3a Raw'!H754="","",MAX(-3,MIN(3,('3a Raw'!H754-$L3)/$L4)))</f>
        <v/>
      </c>
      <c r="M754" s="3">
        <f>IF(L754="","",(L754-AVERAGE(L6:L1198))/(STDEV(L6:L1198)+1E-12))</f>
        <v/>
      </c>
      <c r="N754" s="3">
        <f>IF('3a Raw'!I754="","",MAX(-3,MIN(3,('3a Raw'!I754-$N3)/$N4)))</f>
        <v/>
      </c>
      <c r="O754" s="3">
        <f>IF(N754="","",(N754-AVERAGE(N6:N1198))/(STDEV(N6:N1198)+1E-12))</f>
        <v/>
      </c>
      <c r="P754" s="3">
        <f>IF('3a Raw'!J754="","",MAX(-3,MIN(3,('3a Raw'!J754-$P3)/$P4)))</f>
        <v/>
      </c>
      <c r="Q754" s="3">
        <f>IF(P754="","",(P754-AVERAGE(P6:P1198))/(STDEV(P6:P1198)+1E-12))</f>
        <v/>
      </c>
      <c r="R754" s="3">
        <f>IF('3a Raw'!K754="","",MAX(-3,MIN(3,('3a Raw'!K754-$R3)/$R4)))</f>
        <v/>
      </c>
      <c r="S754" s="3">
        <f>IF(R754="","",(R754-AVERAGE(R6:R1198))/(STDEV(R6:R1198)+1E-12))</f>
        <v/>
      </c>
      <c r="T754" s="3">
        <f>IF('3a Raw'!L754="","",MAX(-3,MIN(3,('3a Raw'!L754-$T3)/$T4)))</f>
        <v/>
      </c>
      <c r="U754" s="3">
        <f>IF(T754="","",(T754-AVERAGE(T6:T1198))/(STDEV(T6:T1198)+1E-12))</f>
        <v/>
      </c>
      <c r="X754" s="3">
        <f>IF(U754="","",U754-($V$3*G754+$W$3))</f>
        <v/>
      </c>
      <c r="Y754" s="3">
        <f>IF(X754="","",MAX(-3,MIN(3,(X754-$X3)/$X4)))</f>
        <v/>
      </c>
      <c r="Z754" s="3">
        <f>IF(Y754="","",(Y754-AVERAGE(Y6:Y1198))/(STDEV(Y6:Y1198)+1E-12))</f>
        <v/>
      </c>
    </row>
    <row r="755">
      <c r="A755" t="inlineStr">
        <is>
          <t>BBG012W9C4X1</t>
        </is>
      </c>
      <c r="B755" s="3">
        <f>IF('3a Raw'!C755="","",MAX(-3,MIN(3,('3a Raw'!C755-$B3)/$B4)))</f>
        <v/>
      </c>
      <c r="C755" s="3">
        <f>IF(B755="","",(B755-AVERAGE(B6:B1198))/(STDEV(B6:B1198)+1E-12))</f>
        <v/>
      </c>
      <c r="D755" s="3">
        <f>IF('3a Raw'!D755="","",MAX(-3,MIN(3,('3a Raw'!D755-$D3)/$D4)))</f>
        <v/>
      </c>
      <c r="E755" s="3">
        <f>IF(D755="","",(D755-AVERAGE(D6:D1198))/(STDEV(D6:D1198)+1E-12))</f>
        <v/>
      </c>
      <c r="F755" s="3">
        <f>IF('3a Raw'!E755="","",MAX(-3,MIN(3,('3a Raw'!E755-$F3)/$F4)))</f>
        <v/>
      </c>
      <c r="G755" s="3">
        <f>IF(F755="","",(F755-AVERAGE(F6:F1198))/(STDEV(F6:F1198)+1E-12))</f>
        <v/>
      </c>
      <c r="H755" s="3">
        <f>IF('3a Raw'!F755="","",MAX(-3,MIN(3,('3a Raw'!F755-$H3)/$H4)))</f>
        <v/>
      </c>
      <c r="I755" s="3">
        <f>IF(H755="","",(H755-AVERAGE(H6:H1198))/(STDEV(H6:H1198)+1E-12))</f>
        <v/>
      </c>
      <c r="J755" s="3">
        <f>IF('3a Raw'!G755="","",MAX(-3,MIN(3,('3a Raw'!G755-$J3)/$J4)))</f>
        <v/>
      </c>
      <c r="K755" s="3">
        <f>IF(J755="","",(J755-AVERAGE(J6:J1198))/(STDEV(J6:J1198)+1E-12))</f>
        <v/>
      </c>
      <c r="L755" s="3">
        <f>IF('3a Raw'!H755="","",MAX(-3,MIN(3,('3a Raw'!H755-$L3)/$L4)))</f>
        <v/>
      </c>
      <c r="M755" s="3">
        <f>IF(L755="","",(L755-AVERAGE(L6:L1198))/(STDEV(L6:L1198)+1E-12))</f>
        <v/>
      </c>
      <c r="N755" s="3">
        <f>IF('3a Raw'!I755="","",MAX(-3,MIN(3,('3a Raw'!I755-$N3)/$N4)))</f>
        <v/>
      </c>
      <c r="O755" s="3">
        <f>IF(N755="","",(N755-AVERAGE(N6:N1198))/(STDEV(N6:N1198)+1E-12))</f>
        <v/>
      </c>
      <c r="P755" s="3">
        <f>IF('3a Raw'!J755="","",MAX(-3,MIN(3,('3a Raw'!J755-$P3)/$P4)))</f>
        <v/>
      </c>
      <c r="Q755" s="3">
        <f>IF(P755="","",(P755-AVERAGE(P6:P1198))/(STDEV(P6:P1198)+1E-12))</f>
        <v/>
      </c>
      <c r="R755" s="3">
        <f>IF('3a Raw'!K755="","",MAX(-3,MIN(3,('3a Raw'!K755-$R3)/$R4)))</f>
        <v/>
      </c>
      <c r="S755" s="3">
        <f>IF(R755="","",(R755-AVERAGE(R6:R1198))/(STDEV(R6:R1198)+1E-12))</f>
        <v/>
      </c>
      <c r="T755" s="3">
        <f>IF('3a Raw'!L755="","",MAX(-3,MIN(3,('3a Raw'!L755-$T3)/$T4)))</f>
        <v/>
      </c>
      <c r="U755" s="3">
        <f>IF(T755="","",(T755-AVERAGE(T6:T1198))/(STDEV(T6:T1198)+1E-12))</f>
        <v/>
      </c>
      <c r="X755" s="3">
        <f>IF(U755="","",U755-($V$3*G755+$W$3))</f>
        <v/>
      </c>
      <c r="Y755" s="3">
        <f>IF(X755="","",MAX(-3,MIN(3,(X755-$X3)/$X4)))</f>
        <v/>
      </c>
      <c r="Z755" s="3">
        <f>IF(Y755="","",(Y755-AVERAGE(Y6:Y1198))/(STDEV(Y6:Y1198)+1E-12))</f>
        <v/>
      </c>
    </row>
    <row r="756">
      <c r="A756" t="inlineStr">
        <is>
          <t>BBG000CLP0Y4</t>
        </is>
      </c>
      <c r="B756" s="3">
        <f>IF('3a Raw'!C756="","",MAX(-3,MIN(3,('3a Raw'!C756-$B3)/$B4)))</f>
        <v/>
      </c>
      <c r="C756" s="3">
        <f>IF(B756="","",(B756-AVERAGE(B6:B1198))/(STDEV(B6:B1198)+1E-12))</f>
        <v/>
      </c>
      <c r="D756" s="3">
        <f>IF('3a Raw'!D756="","",MAX(-3,MIN(3,('3a Raw'!D756-$D3)/$D4)))</f>
        <v/>
      </c>
      <c r="E756" s="3">
        <f>IF(D756="","",(D756-AVERAGE(D6:D1198))/(STDEV(D6:D1198)+1E-12))</f>
        <v/>
      </c>
      <c r="F756" s="3">
        <f>IF('3a Raw'!E756="","",MAX(-3,MIN(3,('3a Raw'!E756-$F3)/$F4)))</f>
        <v/>
      </c>
      <c r="G756" s="3">
        <f>IF(F756="","",(F756-AVERAGE(F6:F1198))/(STDEV(F6:F1198)+1E-12))</f>
        <v/>
      </c>
      <c r="H756" s="3">
        <f>IF('3a Raw'!F756="","",MAX(-3,MIN(3,('3a Raw'!F756-$H3)/$H4)))</f>
        <v/>
      </c>
      <c r="I756" s="3">
        <f>IF(H756="","",(H756-AVERAGE(H6:H1198))/(STDEV(H6:H1198)+1E-12))</f>
        <v/>
      </c>
      <c r="J756" s="3">
        <f>IF('3a Raw'!G756="","",MAX(-3,MIN(3,('3a Raw'!G756-$J3)/$J4)))</f>
        <v/>
      </c>
      <c r="K756" s="3">
        <f>IF(J756="","",(J756-AVERAGE(J6:J1198))/(STDEV(J6:J1198)+1E-12))</f>
        <v/>
      </c>
      <c r="L756" s="3">
        <f>IF('3a Raw'!H756="","",MAX(-3,MIN(3,('3a Raw'!H756-$L3)/$L4)))</f>
        <v/>
      </c>
      <c r="M756" s="3">
        <f>IF(L756="","",(L756-AVERAGE(L6:L1198))/(STDEV(L6:L1198)+1E-12))</f>
        <v/>
      </c>
      <c r="N756" s="3">
        <f>IF('3a Raw'!I756="","",MAX(-3,MIN(3,('3a Raw'!I756-$N3)/$N4)))</f>
        <v/>
      </c>
      <c r="O756" s="3">
        <f>IF(N756="","",(N756-AVERAGE(N6:N1198))/(STDEV(N6:N1198)+1E-12))</f>
        <v/>
      </c>
      <c r="P756" s="3">
        <f>IF('3a Raw'!J756="","",MAX(-3,MIN(3,('3a Raw'!J756-$P3)/$P4)))</f>
        <v/>
      </c>
      <c r="Q756" s="3">
        <f>IF(P756="","",(P756-AVERAGE(P6:P1198))/(STDEV(P6:P1198)+1E-12))</f>
        <v/>
      </c>
      <c r="R756" s="3">
        <f>IF('3a Raw'!K756="","",MAX(-3,MIN(3,('3a Raw'!K756-$R3)/$R4)))</f>
        <v/>
      </c>
      <c r="S756" s="3">
        <f>IF(R756="","",(R756-AVERAGE(R6:R1198))/(STDEV(R6:R1198)+1E-12))</f>
        <v/>
      </c>
      <c r="T756" s="3">
        <f>IF('3a Raw'!L756="","",MAX(-3,MIN(3,('3a Raw'!L756-$T3)/$T4)))</f>
        <v/>
      </c>
      <c r="U756" s="3">
        <f>IF(T756="","",(T756-AVERAGE(T6:T1198))/(STDEV(T6:T1198)+1E-12))</f>
        <v/>
      </c>
      <c r="X756" s="3">
        <f>IF(U756="","",U756-($V$3*G756+$W$3))</f>
        <v/>
      </c>
      <c r="Y756" s="3">
        <f>IF(X756="","",MAX(-3,MIN(3,(X756-$X3)/$X4)))</f>
        <v/>
      </c>
      <c r="Z756" s="3">
        <f>IF(Y756="","",(Y756-AVERAGE(Y6:Y1198))/(STDEV(Y6:Y1198)+1E-12))</f>
        <v/>
      </c>
    </row>
    <row r="757">
      <c r="A757" t="inlineStr">
        <is>
          <t>BBG000BQ2C28</t>
        </is>
      </c>
      <c r="B757" s="3">
        <f>IF('3a Raw'!C757="","",MAX(-3,MIN(3,('3a Raw'!C757-$B3)/$B4)))</f>
        <v/>
      </c>
      <c r="C757" s="3">
        <f>IF(B757="","",(B757-AVERAGE(B6:B1198))/(STDEV(B6:B1198)+1E-12))</f>
        <v/>
      </c>
      <c r="D757" s="3">
        <f>IF('3a Raw'!D757="","",MAX(-3,MIN(3,('3a Raw'!D757-$D3)/$D4)))</f>
        <v/>
      </c>
      <c r="E757" s="3">
        <f>IF(D757="","",(D757-AVERAGE(D6:D1198))/(STDEV(D6:D1198)+1E-12))</f>
        <v/>
      </c>
      <c r="F757" s="3">
        <f>IF('3a Raw'!E757="","",MAX(-3,MIN(3,('3a Raw'!E757-$F3)/$F4)))</f>
        <v/>
      </c>
      <c r="G757" s="3">
        <f>IF(F757="","",(F757-AVERAGE(F6:F1198))/(STDEV(F6:F1198)+1E-12))</f>
        <v/>
      </c>
      <c r="H757" s="3">
        <f>IF('3a Raw'!F757="","",MAX(-3,MIN(3,('3a Raw'!F757-$H3)/$H4)))</f>
        <v/>
      </c>
      <c r="I757" s="3">
        <f>IF(H757="","",(H757-AVERAGE(H6:H1198))/(STDEV(H6:H1198)+1E-12))</f>
        <v/>
      </c>
      <c r="J757" s="3">
        <f>IF('3a Raw'!G757="","",MAX(-3,MIN(3,('3a Raw'!G757-$J3)/$J4)))</f>
        <v/>
      </c>
      <c r="K757" s="3">
        <f>IF(J757="","",(J757-AVERAGE(J6:J1198))/(STDEV(J6:J1198)+1E-12))</f>
        <v/>
      </c>
      <c r="L757" s="3">
        <f>IF('3a Raw'!H757="","",MAX(-3,MIN(3,('3a Raw'!H757-$L3)/$L4)))</f>
        <v/>
      </c>
      <c r="M757" s="3">
        <f>IF(L757="","",(L757-AVERAGE(L6:L1198))/(STDEV(L6:L1198)+1E-12))</f>
        <v/>
      </c>
      <c r="N757" s="3">
        <f>IF('3a Raw'!I757="","",MAX(-3,MIN(3,('3a Raw'!I757-$N3)/$N4)))</f>
        <v/>
      </c>
      <c r="O757" s="3">
        <f>IF(N757="","",(N757-AVERAGE(N6:N1198))/(STDEV(N6:N1198)+1E-12))</f>
        <v/>
      </c>
      <c r="P757" s="3">
        <f>IF('3a Raw'!J757="","",MAX(-3,MIN(3,('3a Raw'!J757-$P3)/$P4)))</f>
        <v/>
      </c>
      <c r="Q757" s="3">
        <f>IF(P757="","",(P757-AVERAGE(P6:P1198))/(STDEV(P6:P1198)+1E-12))</f>
        <v/>
      </c>
      <c r="R757" s="3">
        <f>IF('3a Raw'!K757="","",MAX(-3,MIN(3,('3a Raw'!K757-$R3)/$R4)))</f>
        <v/>
      </c>
      <c r="S757" s="3">
        <f>IF(R757="","",(R757-AVERAGE(R6:R1198))/(STDEV(R6:R1198)+1E-12))</f>
        <v/>
      </c>
      <c r="T757" s="3">
        <f>IF('3a Raw'!L757="","",MAX(-3,MIN(3,('3a Raw'!L757-$T3)/$T4)))</f>
        <v/>
      </c>
      <c r="U757" s="3">
        <f>IF(T757="","",(T757-AVERAGE(T6:T1198))/(STDEV(T6:T1198)+1E-12))</f>
        <v/>
      </c>
      <c r="X757" s="3">
        <f>IF(U757="","",U757-($V$3*G757+$W$3))</f>
        <v/>
      </c>
      <c r="Y757" s="3">
        <f>IF(X757="","",MAX(-3,MIN(3,(X757-$X3)/$X4)))</f>
        <v/>
      </c>
      <c r="Z757" s="3">
        <f>IF(Y757="","",(Y757-AVERAGE(Y6:Y1198))/(STDEV(Y6:Y1198)+1E-12))</f>
        <v/>
      </c>
    </row>
    <row r="758">
      <c r="A758" t="inlineStr">
        <is>
          <t>BBG000BNGBW9</t>
        </is>
      </c>
      <c r="B758" s="3">
        <f>IF('3a Raw'!C758="","",MAX(-3,MIN(3,('3a Raw'!C758-$B3)/$B4)))</f>
        <v/>
      </c>
      <c r="C758" s="3">
        <f>IF(B758="","",(B758-AVERAGE(B6:B1198))/(STDEV(B6:B1198)+1E-12))</f>
        <v/>
      </c>
      <c r="D758" s="3">
        <f>IF('3a Raw'!D758="","",MAX(-3,MIN(3,('3a Raw'!D758-$D3)/$D4)))</f>
        <v/>
      </c>
      <c r="E758" s="3">
        <f>IF(D758="","",(D758-AVERAGE(D6:D1198))/(STDEV(D6:D1198)+1E-12))</f>
        <v/>
      </c>
      <c r="F758" s="3">
        <f>IF('3a Raw'!E758="","",MAX(-3,MIN(3,('3a Raw'!E758-$F3)/$F4)))</f>
        <v/>
      </c>
      <c r="G758" s="3">
        <f>IF(F758="","",(F758-AVERAGE(F6:F1198))/(STDEV(F6:F1198)+1E-12))</f>
        <v/>
      </c>
      <c r="H758" s="3">
        <f>IF('3a Raw'!F758="","",MAX(-3,MIN(3,('3a Raw'!F758-$H3)/$H4)))</f>
        <v/>
      </c>
      <c r="I758" s="3">
        <f>IF(H758="","",(H758-AVERAGE(H6:H1198))/(STDEV(H6:H1198)+1E-12))</f>
        <v/>
      </c>
      <c r="J758" s="3">
        <f>IF('3a Raw'!G758="","",MAX(-3,MIN(3,('3a Raw'!G758-$J3)/$J4)))</f>
        <v/>
      </c>
      <c r="K758" s="3">
        <f>IF(J758="","",(J758-AVERAGE(J6:J1198))/(STDEV(J6:J1198)+1E-12))</f>
        <v/>
      </c>
      <c r="L758" s="3">
        <f>IF('3a Raw'!H758="","",MAX(-3,MIN(3,('3a Raw'!H758-$L3)/$L4)))</f>
        <v/>
      </c>
      <c r="M758" s="3">
        <f>IF(L758="","",(L758-AVERAGE(L6:L1198))/(STDEV(L6:L1198)+1E-12))</f>
        <v/>
      </c>
      <c r="N758" s="3">
        <f>IF('3a Raw'!I758="","",MAX(-3,MIN(3,('3a Raw'!I758-$N3)/$N4)))</f>
        <v/>
      </c>
      <c r="O758" s="3">
        <f>IF(N758="","",(N758-AVERAGE(N6:N1198))/(STDEV(N6:N1198)+1E-12))</f>
        <v/>
      </c>
      <c r="P758" s="3">
        <f>IF('3a Raw'!J758="","",MAX(-3,MIN(3,('3a Raw'!J758-$P3)/$P4)))</f>
        <v/>
      </c>
      <c r="Q758" s="3">
        <f>IF(P758="","",(P758-AVERAGE(P6:P1198))/(STDEV(P6:P1198)+1E-12))</f>
        <v/>
      </c>
      <c r="R758" s="3">
        <f>IF('3a Raw'!K758="","",MAX(-3,MIN(3,('3a Raw'!K758-$R3)/$R4)))</f>
        <v/>
      </c>
      <c r="S758" s="3">
        <f>IF(R758="","",(R758-AVERAGE(R6:R1198))/(STDEV(R6:R1198)+1E-12))</f>
        <v/>
      </c>
      <c r="T758" s="3">
        <f>IF('3a Raw'!L758="","",MAX(-3,MIN(3,('3a Raw'!L758-$T3)/$T4)))</f>
        <v/>
      </c>
      <c r="U758" s="3">
        <f>IF(T758="","",(T758-AVERAGE(T6:T1198))/(STDEV(T6:T1198)+1E-12))</f>
        <v/>
      </c>
      <c r="X758" s="3">
        <f>IF(U758="","",U758-($V$3*G758+$W$3))</f>
        <v/>
      </c>
      <c r="Y758" s="3">
        <f>IF(X758="","",MAX(-3,MIN(3,(X758-$X3)/$X4)))</f>
        <v/>
      </c>
      <c r="Z758" s="3">
        <f>IF(Y758="","",(Y758-AVERAGE(Y6:Y1198))/(STDEV(Y6:Y1198)+1E-12))</f>
        <v/>
      </c>
    </row>
    <row r="759">
      <c r="A759" t="inlineStr">
        <is>
          <t>BBG000M1R011</t>
        </is>
      </c>
      <c r="B759" s="3">
        <f>IF('3a Raw'!C759="","",MAX(-3,MIN(3,('3a Raw'!C759-$B3)/$B4)))</f>
        <v/>
      </c>
      <c r="C759" s="3">
        <f>IF(B759="","",(B759-AVERAGE(B6:B1198))/(STDEV(B6:B1198)+1E-12))</f>
        <v/>
      </c>
      <c r="D759" s="3">
        <f>IF('3a Raw'!D759="","",MAX(-3,MIN(3,('3a Raw'!D759-$D3)/$D4)))</f>
        <v/>
      </c>
      <c r="E759" s="3">
        <f>IF(D759="","",(D759-AVERAGE(D6:D1198))/(STDEV(D6:D1198)+1E-12))</f>
        <v/>
      </c>
      <c r="F759" s="3">
        <f>IF('3a Raw'!E759="","",MAX(-3,MIN(3,('3a Raw'!E759-$F3)/$F4)))</f>
        <v/>
      </c>
      <c r="G759" s="3">
        <f>IF(F759="","",(F759-AVERAGE(F6:F1198))/(STDEV(F6:F1198)+1E-12))</f>
        <v/>
      </c>
      <c r="H759" s="3">
        <f>IF('3a Raw'!F759="","",MAX(-3,MIN(3,('3a Raw'!F759-$H3)/$H4)))</f>
        <v/>
      </c>
      <c r="I759" s="3">
        <f>IF(H759="","",(H759-AVERAGE(H6:H1198))/(STDEV(H6:H1198)+1E-12))</f>
        <v/>
      </c>
      <c r="J759" s="3">
        <f>IF('3a Raw'!G759="","",MAX(-3,MIN(3,('3a Raw'!G759-$J3)/$J4)))</f>
        <v/>
      </c>
      <c r="K759" s="3">
        <f>IF(J759="","",(J759-AVERAGE(J6:J1198))/(STDEV(J6:J1198)+1E-12))</f>
        <v/>
      </c>
      <c r="L759" s="3">
        <f>IF('3a Raw'!H759="","",MAX(-3,MIN(3,('3a Raw'!H759-$L3)/$L4)))</f>
        <v/>
      </c>
      <c r="M759" s="3">
        <f>IF(L759="","",(L759-AVERAGE(L6:L1198))/(STDEV(L6:L1198)+1E-12))</f>
        <v/>
      </c>
      <c r="N759" s="3">
        <f>IF('3a Raw'!I759="","",MAX(-3,MIN(3,('3a Raw'!I759-$N3)/$N4)))</f>
        <v/>
      </c>
      <c r="O759" s="3">
        <f>IF(N759="","",(N759-AVERAGE(N6:N1198))/(STDEV(N6:N1198)+1E-12))</f>
        <v/>
      </c>
      <c r="P759" s="3">
        <f>IF('3a Raw'!J759="","",MAX(-3,MIN(3,('3a Raw'!J759-$P3)/$P4)))</f>
        <v/>
      </c>
      <c r="Q759" s="3">
        <f>IF(P759="","",(P759-AVERAGE(P6:P1198))/(STDEV(P6:P1198)+1E-12))</f>
        <v/>
      </c>
      <c r="R759" s="3">
        <f>IF('3a Raw'!K759="","",MAX(-3,MIN(3,('3a Raw'!K759-$R3)/$R4)))</f>
        <v/>
      </c>
      <c r="S759" s="3">
        <f>IF(R759="","",(R759-AVERAGE(R6:R1198))/(STDEV(R6:R1198)+1E-12))</f>
        <v/>
      </c>
      <c r="T759" s="3">
        <f>IF('3a Raw'!L759="","",MAX(-3,MIN(3,('3a Raw'!L759-$T3)/$T4)))</f>
        <v/>
      </c>
      <c r="U759" s="3">
        <f>IF(T759="","",(T759-AVERAGE(T6:T1198))/(STDEV(T6:T1198)+1E-12))</f>
        <v/>
      </c>
      <c r="X759" s="3">
        <f>IF(U759="","",U759-($V$3*G759+$W$3))</f>
        <v/>
      </c>
      <c r="Y759" s="3">
        <f>IF(X759="","",MAX(-3,MIN(3,(X759-$X3)/$X4)))</f>
        <v/>
      </c>
      <c r="Z759" s="3">
        <f>IF(Y759="","",(Y759-AVERAGE(Y6:Y1198))/(STDEV(Y6:Y1198)+1E-12))</f>
        <v/>
      </c>
    </row>
    <row r="760">
      <c r="A760" t="inlineStr">
        <is>
          <t>BBG01X1D5ZD9</t>
        </is>
      </c>
      <c r="B760" s="3">
        <f>IF('3a Raw'!C760="","",MAX(-3,MIN(3,('3a Raw'!C760-$B3)/$B4)))</f>
        <v/>
      </c>
      <c r="C760" s="3">
        <f>IF(B760="","",(B760-AVERAGE(B6:B1198))/(STDEV(B6:B1198)+1E-12))</f>
        <v/>
      </c>
      <c r="D760" s="3">
        <f>IF('3a Raw'!D760="","",MAX(-3,MIN(3,('3a Raw'!D760-$D3)/$D4)))</f>
        <v/>
      </c>
      <c r="E760" s="3">
        <f>IF(D760="","",(D760-AVERAGE(D6:D1198))/(STDEV(D6:D1198)+1E-12))</f>
        <v/>
      </c>
      <c r="F760" s="3">
        <f>IF('3a Raw'!E760="","",MAX(-3,MIN(3,('3a Raw'!E760-$F3)/$F4)))</f>
        <v/>
      </c>
      <c r="G760" s="3">
        <f>IF(F760="","",(F760-AVERAGE(F6:F1198))/(STDEV(F6:F1198)+1E-12))</f>
        <v/>
      </c>
      <c r="H760" s="3">
        <f>IF('3a Raw'!F760="","",MAX(-3,MIN(3,('3a Raw'!F760-$H3)/$H4)))</f>
        <v/>
      </c>
      <c r="I760" s="3">
        <f>IF(H760="","",(H760-AVERAGE(H6:H1198))/(STDEV(H6:H1198)+1E-12))</f>
        <v/>
      </c>
      <c r="J760" s="3">
        <f>IF('3a Raw'!G760="","",MAX(-3,MIN(3,('3a Raw'!G760-$J3)/$J4)))</f>
        <v/>
      </c>
      <c r="K760" s="3">
        <f>IF(J760="","",(J760-AVERAGE(J6:J1198))/(STDEV(J6:J1198)+1E-12))</f>
        <v/>
      </c>
      <c r="L760" s="3">
        <f>IF('3a Raw'!H760="","",MAX(-3,MIN(3,('3a Raw'!H760-$L3)/$L4)))</f>
        <v/>
      </c>
      <c r="M760" s="3">
        <f>IF(L760="","",(L760-AVERAGE(L6:L1198))/(STDEV(L6:L1198)+1E-12))</f>
        <v/>
      </c>
      <c r="N760" s="3">
        <f>IF('3a Raw'!I760="","",MAX(-3,MIN(3,('3a Raw'!I760-$N3)/$N4)))</f>
        <v/>
      </c>
      <c r="O760" s="3">
        <f>IF(N760="","",(N760-AVERAGE(N6:N1198))/(STDEV(N6:N1198)+1E-12))</f>
        <v/>
      </c>
      <c r="P760" s="3">
        <f>IF('3a Raw'!J760="","",MAX(-3,MIN(3,('3a Raw'!J760-$P3)/$P4)))</f>
        <v/>
      </c>
      <c r="Q760" s="3">
        <f>IF(P760="","",(P760-AVERAGE(P6:P1198))/(STDEV(P6:P1198)+1E-12))</f>
        <v/>
      </c>
      <c r="R760" s="3">
        <f>IF('3a Raw'!K760="","",MAX(-3,MIN(3,('3a Raw'!K760-$R3)/$R4)))</f>
        <v/>
      </c>
      <c r="S760" s="3">
        <f>IF(R760="","",(R760-AVERAGE(R6:R1198))/(STDEV(R6:R1198)+1E-12))</f>
        <v/>
      </c>
      <c r="T760" s="3">
        <f>IF('3a Raw'!L760="","",MAX(-3,MIN(3,('3a Raw'!L760-$T3)/$T4)))</f>
        <v/>
      </c>
      <c r="U760" s="3">
        <f>IF(T760="","",(T760-AVERAGE(T6:T1198))/(STDEV(T6:T1198)+1E-12))</f>
        <v/>
      </c>
      <c r="X760" s="3">
        <f>IF(U760="","",U760-($V$3*G760+$W$3))</f>
        <v/>
      </c>
      <c r="Y760" s="3">
        <f>IF(X760="","",MAX(-3,MIN(3,(X760-$X3)/$X4)))</f>
        <v/>
      </c>
      <c r="Z760" s="3">
        <f>IF(Y760="","",(Y760-AVERAGE(Y6:Y1198))/(STDEV(Y6:Y1198)+1E-12))</f>
        <v/>
      </c>
    </row>
    <row r="761">
      <c r="A761" t="inlineStr">
        <is>
          <t>BBG000QKT8D3</t>
        </is>
      </c>
      <c r="B761" s="3">
        <f>IF('3a Raw'!C761="","",MAX(-3,MIN(3,('3a Raw'!C761-$B3)/$B4)))</f>
        <v/>
      </c>
      <c r="C761" s="3">
        <f>IF(B761="","",(B761-AVERAGE(B6:B1198))/(STDEV(B6:B1198)+1E-12))</f>
        <v/>
      </c>
      <c r="D761" s="3">
        <f>IF('3a Raw'!D761="","",MAX(-3,MIN(3,('3a Raw'!D761-$D3)/$D4)))</f>
        <v/>
      </c>
      <c r="E761" s="3">
        <f>IF(D761="","",(D761-AVERAGE(D6:D1198))/(STDEV(D6:D1198)+1E-12))</f>
        <v/>
      </c>
      <c r="F761" s="3">
        <f>IF('3a Raw'!E761="","",MAX(-3,MIN(3,('3a Raw'!E761-$F3)/$F4)))</f>
        <v/>
      </c>
      <c r="G761" s="3">
        <f>IF(F761="","",(F761-AVERAGE(F6:F1198))/(STDEV(F6:F1198)+1E-12))</f>
        <v/>
      </c>
      <c r="H761" s="3">
        <f>IF('3a Raw'!F761="","",MAX(-3,MIN(3,('3a Raw'!F761-$H3)/$H4)))</f>
        <v/>
      </c>
      <c r="I761" s="3">
        <f>IF(H761="","",(H761-AVERAGE(H6:H1198))/(STDEV(H6:H1198)+1E-12))</f>
        <v/>
      </c>
      <c r="J761" s="3">
        <f>IF('3a Raw'!G761="","",MAX(-3,MIN(3,('3a Raw'!G761-$J3)/$J4)))</f>
        <v/>
      </c>
      <c r="K761" s="3">
        <f>IF(J761="","",(J761-AVERAGE(J6:J1198))/(STDEV(J6:J1198)+1E-12))</f>
        <v/>
      </c>
      <c r="L761" s="3">
        <f>IF('3a Raw'!H761="","",MAX(-3,MIN(3,('3a Raw'!H761-$L3)/$L4)))</f>
        <v/>
      </c>
      <c r="M761" s="3">
        <f>IF(L761="","",(L761-AVERAGE(L6:L1198))/(STDEV(L6:L1198)+1E-12))</f>
        <v/>
      </c>
      <c r="N761" s="3">
        <f>IF('3a Raw'!I761="","",MAX(-3,MIN(3,('3a Raw'!I761-$N3)/$N4)))</f>
        <v/>
      </c>
      <c r="O761" s="3">
        <f>IF(N761="","",(N761-AVERAGE(N6:N1198))/(STDEV(N6:N1198)+1E-12))</f>
        <v/>
      </c>
      <c r="P761" s="3">
        <f>IF('3a Raw'!J761="","",MAX(-3,MIN(3,('3a Raw'!J761-$P3)/$P4)))</f>
        <v/>
      </c>
      <c r="Q761" s="3">
        <f>IF(P761="","",(P761-AVERAGE(P6:P1198))/(STDEV(P6:P1198)+1E-12))</f>
        <v/>
      </c>
      <c r="R761" s="3">
        <f>IF('3a Raw'!K761="","",MAX(-3,MIN(3,('3a Raw'!K761-$R3)/$R4)))</f>
        <v/>
      </c>
      <c r="S761" s="3">
        <f>IF(R761="","",(R761-AVERAGE(R6:R1198))/(STDEV(R6:R1198)+1E-12))</f>
        <v/>
      </c>
      <c r="T761" s="3">
        <f>IF('3a Raw'!L761="","",MAX(-3,MIN(3,('3a Raw'!L761-$T3)/$T4)))</f>
        <v/>
      </c>
      <c r="U761" s="3">
        <f>IF(T761="","",(T761-AVERAGE(T6:T1198))/(STDEV(T6:T1198)+1E-12))</f>
        <v/>
      </c>
      <c r="X761" s="3">
        <f>IF(U761="","",U761-($V$3*G761+$W$3))</f>
        <v/>
      </c>
      <c r="Y761" s="3">
        <f>IF(X761="","",MAX(-3,MIN(3,(X761-$X3)/$X4)))</f>
        <v/>
      </c>
      <c r="Z761" s="3">
        <f>IF(Y761="","",(Y761-AVERAGE(Y6:Y1198))/(STDEV(Y6:Y1198)+1E-12))</f>
        <v/>
      </c>
    </row>
    <row r="762">
      <c r="A762" t="inlineStr">
        <is>
          <t>BBG000D8RG11</t>
        </is>
      </c>
      <c r="B762" s="3">
        <f>IF('3a Raw'!C762="","",MAX(-3,MIN(3,('3a Raw'!C762-$B3)/$B4)))</f>
        <v/>
      </c>
      <c r="C762" s="3">
        <f>IF(B762="","",(B762-AVERAGE(B6:B1198))/(STDEV(B6:B1198)+1E-12))</f>
        <v/>
      </c>
      <c r="D762" s="3">
        <f>IF('3a Raw'!D762="","",MAX(-3,MIN(3,('3a Raw'!D762-$D3)/$D4)))</f>
        <v/>
      </c>
      <c r="E762" s="3">
        <f>IF(D762="","",(D762-AVERAGE(D6:D1198))/(STDEV(D6:D1198)+1E-12))</f>
        <v/>
      </c>
      <c r="F762" s="3">
        <f>IF('3a Raw'!E762="","",MAX(-3,MIN(3,('3a Raw'!E762-$F3)/$F4)))</f>
        <v/>
      </c>
      <c r="G762" s="3">
        <f>IF(F762="","",(F762-AVERAGE(F6:F1198))/(STDEV(F6:F1198)+1E-12))</f>
        <v/>
      </c>
      <c r="H762" s="3">
        <f>IF('3a Raw'!F762="","",MAX(-3,MIN(3,('3a Raw'!F762-$H3)/$H4)))</f>
        <v/>
      </c>
      <c r="I762" s="3">
        <f>IF(H762="","",(H762-AVERAGE(H6:H1198))/(STDEV(H6:H1198)+1E-12))</f>
        <v/>
      </c>
      <c r="J762" s="3">
        <f>IF('3a Raw'!G762="","",MAX(-3,MIN(3,('3a Raw'!G762-$J3)/$J4)))</f>
        <v/>
      </c>
      <c r="K762" s="3">
        <f>IF(J762="","",(J762-AVERAGE(J6:J1198))/(STDEV(J6:J1198)+1E-12))</f>
        <v/>
      </c>
      <c r="L762" s="3">
        <f>IF('3a Raw'!H762="","",MAX(-3,MIN(3,('3a Raw'!H762-$L3)/$L4)))</f>
        <v/>
      </c>
      <c r="M762" s="3">
        <f>IF(L762="","",(L762-AVERAGE(L6:L1198))/(STDEV(L6:L1198)+1E-12))</f>
        <v/>
      </c>
      <c r="N762" s="3">
        <f>IF('3a Raw'!I762="","",MAX(-3,MIN(3,('3a Raw'!I762-$N3)/$N4)))</f>
        <v/>
      </c>
      <c r="O762" s="3">
        <f>IF(N762="","",(N762-AVERAGE(N6:N1198))/(STDEV(N6:N1198)+1E-12))</f>
        <v/>
      </c>
      <c r="P762" s="3">
        <f>IF('3a Raw'!J762="","",MAX(-3,MIN(3,('3a Raw'!J762-$P3)/$P4)))</f>
        <v/>
      </c>
      <c r="Q762" s="3">
        <f>IF(P762="","",(P762-AVERAGE(P6:P1198))/(STDEV(P6:P1198)+1E-12))</f>
        <v/>
      </c>
      <c r="R762" s="3">
        <f>IF('3a Raw'!K762="","",MAX(-3,MIN(3,('3a Raw'!K762-$R3)/$R4)))</f>
        <v/>
      </c>
      <c r="S762" s="3">
        <f>IF(R762="","",(R762-AVERAGE(R6:R1198))/(STDEV(R6:R1198)+1E-12))</f>
        <v/>
      </c>
      <c r="T762" s="3">
        <f>IF('3a Raw'!L762="","",MAX(-3,MIN(3,('3a Raw'!L762-$T3)/$T4)))</f>
        <v/>
      </c>
      <c r="U762" s="3">
        <f>IF(T762="","",(T762-AVERAGE(T6:T1198))/(STDEV(T6:T1198)+1E-12))</f>
        <v/>
      </c>
      <c r="X762" s="3">
        <f>IF(U762="","",U762-($V$3*G762+$W$3))</f>
        <v/>
      </c>
      <c r="Y762" s="3">
        <f>IF(X762="","",MAX(-3,MIN(3,(X762-$X3)/$X4)))</f>
        <v/>
      </c>
      <c r="Z762" s="3">
        <f>IF(Y762="","",(Y762-AVERAGE(Y6:Y1198))/(STDEV(Y6:Y1198)+1E-12))</f>
        <v/>
      </c>
    </row>
    <row r="763">
      <c r="A763" t="inlineStr">
        <is>
          <t>BBG008417VN4</t>
        </is>
      </c>
      <c r="B763" s="3">
        <f>IF('3a Raw'!C763="","",MAX(-3,MIN(3,('3a Raw'!C763-$B3)/$B4)))</f>
        <v/>
      </c>
      <c r="C763" s="3">
        <f>IF(B763="","",(B763-AVERAGE(B6:B1198))/(STDEV(B6:B1198)+1E-12))</f>
        <v/>
      </c>
      <c r="D763" s="3">
        <f>IF('3a Raw'!D763="","",MAX(-3,MIN(3,('3a Raw'!D763-$D3)/$D4)))</f>
        <v/>
      </c>
      <c r="E763" s="3">
        <f>IF(D763="","",(D763-AVERAGE(D6:D1198))/(STDEV(D6:D1198)+1E-12))</f>
        <v/>
      </c>
      <c r="F763" s="3">
        <f>IF('3a Raw'!E763="","",MAX(-3,MIN(3,('3a Raw'!E763-$F3)/$F4)))</f>
        <v/>
      </c>
      <c r="G763" s="3">
        <f>IF(F763="","",(F763-AVERAGE(F6:F1198))/(STDEV(F6:F1198)+1E-12))</f>
        <v/>
      </c>
      <c r="H763" s="3">
        <f>IF('3a Raw'!F763="","",MAX(-3,MIN(3,('3a Raw'!F763-$H3)/$H4)))</f>
        <v/>
      </c>
      <c r="I763" s="3">
        <f>IF(H763="","",(H763-AVERAGE(H6:H1198))/(STDEV(H6:H1198)+1E-12))</f>
        <v/>
      </c>
      <c r="J763" s="3">
        <f>IF('3a Raw'!G763="","",MAX(-3,MIN(3,('3a Raw'!G763-$J3)/$J4)))</f>
        <v/>
      </c>
      <c r="K763" s="3">
        <f>IF(J763="","",(J763-AVERAGE(J6:J1198))/(STDEV(J6:J1198)+1E-12))</f>
        <v/>
      </c>
      <c r="L763" s="3">
        <f>IF('3a Raw'!H763="","",MAX(-3,MIN(3,('3a Raw'!H763-$L3)/$L4)))</f>
        <v/>
      </c>
      <c r="M763" s="3">
        <f>IF(L763="","",(L763-AVERAGE(L6:L1198))/(STDEV(L6:L1198)+1E-12))</f>
        <v/>
      </c>
      <c r="N763" s="3">
        <f>IF('3a Raw'!I763="","",MAX(-3,MIN(3,('3a Raw'!I763-$N3)/$N4)))</f>
        <v/>
      </c>
      <c r="O763" s="3">
        <f>IF(N763="","",(N763-AVERAGE(N6:N1198))/(STDEV(N6:N1198)+1E-12))</f>
        <v/>
      </c>
      <c r="P763" s="3">
        <f>IF('3a Raw'!J763="","",MAX(-3,MIN(3,('3a Raw'!J763-$P3)/$P4)))</f>
        <v/>
      </c>
      <c r="Q763" s="3">
        <f>IF(P763="","",(P763-AVERAGE(P6:P1198))/(STDEV(P6:P1198)+1E-12))</f>
        <v/>
      </c>
      <c r="R763" s="3">
        <f>IF('3a Raw'!K763="","",MAX(-3,MIN(3,('3a Raw'!K763-$R3)/$R4)))</f>
        <v/>
      </c>
      <c r="S763" s="3">
        <f>IF(R763="","",(R763-AVERAGE(R6:R1198))/(STDEV(R6:R1198)+1E-12))</f>
        <v/>
      </c>
      <c r="T763" s="3">
        <f>IF('3a Raw'!L763="","",MAX(-3,MIN(3,('3a Raw'!L763-$T3)/$T4)))</f>
        <v/>
      </c>
      <c r="U763" s="3">
        <f>IF(T763="","",(T763-AVERAGE(T6:T1198))/(STDEV(T6:T1198)+1E-12))</f>
        <v/>
      </c>
      <c r="X763" s="3">
        <f>IF(U763="","",U763-($V$3*G763+$W$3))</f>
        <v/>
      </c>
      <c r="Y763" s="3">
        <f>IF(X763="","",MAX(-3,MIN(3,(X763-$X3)/$X4)))</f>
        <v/>
      </c>
      <c r="Z763" s="3">
        <f>IF(Y763="","",(Y763-AVERAGE(Y6:Y1198))/(STDEV(Y6:Y1198)+1E-12))</f>
        <v/>
      </c>
    </row>
    <row r="764">
      <c r="A764" t="inlineStr">
        <is>
          <t>BBG000BQ5DS5</t>
        </is>
      </c>
      <c r="B764" s="3">
        <f>IF('3a Raw'!C764="","",MAX(-3,MIN(3,('3a Raw'!C764-$B3)/$B4)))</f>
        <v/>
      </c>
      <c r="C764" s="3">
        <f>IF(B764="","",(B764-AVERAGE(B6:B1198))/(STDEV(B6:B1198)+1E-12))</f>
        <v/>
      </c>
      <c r="D764" s="3">
        <f>IF('3a Raw'!D764="","",MAX(-3,MIN(3,('3a Raw'!D764-$D3)/$D4)))</f>
        <v/>
      </c>
      <c r="E764" s="3">
        <f>IF(D764="","",(D764-AVERAGE(D6:D1198))/(STDEV(D6:D1198)+1E-12))</f>
        <v/>
      </c>
      <c r="F764" s="3">
        <f>IF('3a Raw'!E764="","",MAX(-3,MIN(3,('3a Raw'!E764-$F3)/$F4)))</f>
        <v/>
      </c>
      <c r="G764" s="3">
        <f>IF(F764="","",(F764-AVERAGE(F6:F1198))/(STDEV(F6:F1198)+1E-12))</f>
        <v/>
      </c>
      <c r="H764" s="3">
        <f>IF('3a Raw'!F764="","",MAX(-3,MIN(3,('3a Raw'!F764-$H3)/$H4)))</f>
        <v/>
      </c>
      <c r="I764" s="3">
        <f>IF(H764="","",(H764-AVERAGE(H6:H1198))/(STDEV(H6:H1198)+1E-12))</f>
        <v/>
      </c>
      <c r="J764" s="3">
        <f>IF('3a Raw'!G764="","",MAX(-3,MIN(3,('3a Raw'!G764-$J3)/$J4)))</f>
        <v/>
      </c>
      <c r="K764" s="3">
        <f>IF(J764="","",(J764-AVERAGE(J6:J1198))/(STDEV(J6:J1198)+1E-12))</f>
        <v/>
      </c>
      <c r="L764" s="3">
        <f>IF('3a Raw'!H764="","",MAX(-3,MIN(3,('3a Raw'!H764-$L3)/$L4)))</f>
        <v/>
      </c>
      <c r="M764" s="3">
        <f>IF(L764="","",(L764-AVERAGE(L6:L1198))/(STDEV(L6:L1198)+1E-12))</f>
        <v/>
      </c>
      <c r="N764" s="3">
        <f>IF('3a Raw'!I764="","",MAX(-3,MIN(3,('3a Raw'!I764-$N3)/$N4)))</f>
        <v/>
      </c>
      <c r="O764" s="3">
        <f>IF(N764="","",(N764-AVERAGE(N6:N1198))/(STDEV(N6:N1198)+1E-12))</f>
        <v/>
      </c>
      <c r="P764" s="3">
        <f>IF('3a Raw'!J764="","",MAX(-3,MIN(3,('3a Raw'!J764-$P3)/$P4)))</f>
        <v/>
      </c>
      <c r="Q764" s="3">
        <f>IF(P764="","",(P764-AVERAGE(P6:P1198))/(STDEV(P6:P1198)+1E-12))</f>
        <v/>
      </c>
      <c r="R764" s="3">
        <f>IF('3a Raw'!K764="","",MAX(-3,MIN(3,('3a Raw'!K764-$R3)/$R4)))</f>
        <v/>
      </c>
      <c r="S764" s="3">
        <f>IF(R764="","",(R764-AVERAGE(R6:R1198))/(STDEV(R6:R1198)+1E-12))</f>
        <v/>
      </c>
      <c r="T764" s="3">
        <f>IF('3a Raw'!L764="","",MAX(-3,MIN(3,('3a Raw'!L764-$T3)/$T4)))</f>
        <v/>
      </c>
      <c r="U764" s="3">
        <f>IF(T764="","",(T764-AVERAGE(T6:T1198))/(STDEV(T6:T1198)+1E-12))</f>
        <v/>
      </c>
      <c r="X764" s="3">
        <f>IF(U764="","",U764-($V$3*G764+$W$3))</f>
        <v/>
      </c>
      <c r="Y764" s="3">
        <f>IF(X764="","",MAX(-3,MIN(3,(X764-$X3)/$X4)))</f>
        <v/>
      </c>
      <c r="Z764" s="3">
        <f>IF(Y764="","",(Y764-AVERAGE(Y6:Y1198))/(STDEV(Y6:Y1198)+1E-12))</f>
        <v/>
      </c>
    </row>
    <row r="765">
      <c r="A765" t="inlineStr">
        <is>
          <t>BBG000FP1N32</t>
        </is>
      </c>
      <c r="B765" s="3">
        <f>IF('3a Raw'!C765="","",MAX(-3,MIN(3,('3a Raw'!C765-$B3)/$B4)))</f>
        <v/>
      </c>
      <c r="C765" s="3">
        <f>IF(B765="","",(B765-AVERAGE(B6:B1198))/(STDEV(B6:B1198)+1E-12))</f>
        <v/>
      </c>
      <c r="D765" s="3">
        <f>IF('3a Raw'!D765="","",MAX(-3,MIN(3,('3a Raw'!D765-$D3)/$D4)))</f>
        <v/>
      </c>
      <c r="E765" s="3">
        <f>IF(D765="","",(D765-AVERAGE(D6:D1198))/(STDEV(D6:D1198)+1E-12))</f>
        <v/>
      </c>
      <c r="F765" s="3">
        <f>IF('3a Raw'!E765="","",MAX(-3,MIN(3,('3a Raw'!E765-$F3)/$F4)))</f>
        <v/>
      </c>
      <c r="G765" s="3">
        <f>IF(F765="","",(F765-AVERAGE(F6:F1198))/(STDEV(F6:F1198)+1E-12))</f>
        <v/>
      </c>
      <c r="H765" s="3">
        <f>IF('3a Raw'!F765="","",MAX(-3,MIN(3,('3a Raw'!F765-$H3)/$H4)))</f>
        <v/>
      </c>
      <c r="I765" s="3">
        <f>IF(H765="","",(H765-AVERAGE(H6:H1198))/(STDEV(H6:H1198)+1E-12))</f>
        <v/>
      </c>
      <c r="J765" s="3">
        <f>IF('3a Raw'!G765="","",MAX(-3,MIN(3,('3a Raw'!G765-$J3)/$J4)))</f>
        <v/>
      </c>
      <c r="K765" s="3">
        <f>IF(J765="","",(J765-AVERAGE(J6:J1198))/(STDEV(J6:J1198)+1E-12))</f>
        <v/>
      </c>
      <c r="L765" s="3">
        <f>IF('3a Raw'!H765="","",MAX(-3,MIN(3,('3a Raw'!H765-$L3)/$L4)))</f>
        <v/>
      </c>
      <c r="M765" s="3">
        <f>IF(L765="","",(L765-AVERAGE(L6:L1198))/(STDEV(L6:L1198)+1E-12))</f>
        <v/>
      </c>
      <c r="N765" s="3">
        <f>IF('3a Raw'!I765="","",MAX(-3,MIN(3,('3a Raw'!I765-$N3)/$N4)))</f>
        <v/>
      </c>
      <c r="O765" s="3">
        <f>IF(N765="","",(N765-AVERAGE(N6:N1198))/(STDEV(N6:N1198)+1E-12))</f>
        <v/>
      </c>
      <c r="P765" s="3">
        <f>IF('3a Raw'!J765="","",MAX(-3,MIN(3,('3a Raw'!J765-$P3)/$P4)))</f>
        <v/>
      </c>
      <c r="Q765" s="3">
        <f>IF(P765="","",(P765-AVERAGE(P6:P1198))/(STDEV(P6:P1198)+1E-12))</f>
        <v/>
      </c>
      <c r="R765" s="3">
        <f>IF('3a Raw'!K765="","",MAX(-3,MIN(3,('3a Raw'!K765-$R3)/$R4)))</f>
        <v/>
      </c>
      <c r="S765" s="3">
        <f>IF(R765="","",(R765-AVERAGE(R6:R1198))/(STDEV(R6:R1198)+1E-12))</f>
        <v/>
      </c>
      <c r="T765" s="3">
        <f>IF('3a Raw'!L765="","",MAX(-3,MIN(3,('3a Raw'!L765-$T3)/$T4)))</f>
        <v/>
      </c>
      <c r="U765" s="3">
        <f>IF(T765="","",(T765-AVERAGE(T6:T1198))/(STDEV(T6:T1198)+1E-12))</f>
        <v/>
      </c>
      <c r="X765" s="3">
        <f>IF(U765="","",U765-($V$3*G765+$W$3))</f>
        <v/>
      </c>
      <c r="Y765" s="3">
        <f>IF(X765="","",MAX(-3,MIN(3,(X765-$X3)/$X4)))</f>
        <v/>
      </c>
      <c r="Z765" s="3">
        <f>IF(Y765="","",(Y765-AVERAGE(Y6:Y1198))/(STDEV(Y6:Y1198)+1E-12))</f>
        <v/>
      </c>
    </row>
    <row r="766">
      <c r="A766" t="inlineStr">
        <is>
          <t>BBG000BX72V8</t>
        </is>
      </c>
      <c r="B766" s="3">
        <f>IF('3a Raw'!C766="","",MAX(-3,MIN(3,('3a Raw'!C766-$B3)/$B4)))</f>
        <v/>
      </c>
      <c r="C766" s="3">
        <f>IF(B766="","",(B766-AVERAGE(B6:B1198))/(STDEV(B6:B1198)+1E-12))</f>
        <v/>
      </c>
      <c r="D766" s="3">
        <f>IF('3a Raw'!D766="","",MAX(-3,MIN(3,('3a Raw'!D766-$D3)/$D4)))</f>
        <v/>
      </c>
      <c r="E766" s="3">
        <f>IF(D766="","",(D766-AVERAGE(D6:D1198))/(STDEV(D6:D1198)+1E-12))</f>
        <v/>
      </c>
      <c r="F766" s="3">
        <f>IF('3a Raw'!E766="","",MAX(-3,MIN(3,('3a Raw'!E766-$F3)/$F4)))</f>
        <v/>
      </c>
      <c r="G766" s="3">
        <f>IF(F766="","",(F766-AVERAGE(F6:F1198))/(STDEV(F6:F1198)+1E-12))</f>
        <v/>
      </c>
      <c r="H766" s="3">
        <f>IF('3a Raw'!F766="","",MAX(-3,MIN(3,('3a Raw'!F766-$H3)/$H4)))</f>
        <v/>
      </c>
      <c r="I766" s="3">
        <f>IF(H766="","",(H766-AVERAGE(H6:H1198))/(STDEV(H6:H1198)+1E-12))</f>
        <v/>
      </c>
      <c r="J766" s="3">
        <f>IF('3a Raw'!G766="","",MAX(-3,MIN(3,('3a Raw'!G766-$J3)/$J4)))</f>
        <v/>
      </c>
      <c r="K766" s="3">
        <f>IF(J766="","",(J766-AVERAGE(J6:J1198))/(STDEV(J6:J1198)+1E-12))</f>
        <v/>
      </c>
      <c r="L766" s="3">
        <f>IF('3a Raw'!H766="","",MAX(-3,MIN(3,('3a Raw'!H766-$L3)/$L4)))</f>
        <v/>
      </c>
      <c r="M766" s="3">
        <f>IF(L766="","",(L766-AVERAGE(L6:L1198))/(STDEV(L6:L1198)+1E-12))</f>
        <v/>
      </c>
      <c r="N766" s="3">
        <f>IF('3a Raw'!I766="","",MAX(-3,MIN(3,('3a Raw'!I766-$N3)/$N4)))</f>
        <v/>
      </c>
      <c r="O766" s="3">
        <f>IF(N766="","",(N766-AVERAGE(N6:N1198))/(STDEV(N6:N1198)+1E-12))</f>
        <v/>
      </c>
      <c r="P766" s="3">
        <f>IF('3a Raw'!J766="","",MAX(-3,MIN(3,('3a Raw'!J766-$P3)/$P4)))</f>
        <v/>
      </c>
      <c r="Q766" s="3">
        <f>IF(P766="","",(P766-AVERAGE(P6:P1198))/(STDEV(P6:P1198)+1E-12))</f>
        <v/>
      </c>
      <c r="R766" s="3">
        <f>IF('3a Raw'!K766="","",MAX(-3,MIN(3,('3a Raw'!K766-$R3)/$R4)))</f>
        <v/>
      </c>
      <c r="S766" s="3">
        <f>IF(R766="","",(R766-AVERAGE(R6:R1198))/(STDEV(R6:R1198)+1E-12))</f>
        <v/>
      </c>
      <c r="T766" s="3">
        <f>IF('3a Raw'!L766="","",MAX(-3,MIN(3,('3a Raw'!L766-$T3)/$T4)))</f>
        <v/>
      </c>
      <c r="U766" s="3">
        <f>IF(T766="","",(T766-AVERAGE(T6:T1198))/(STDEV(T6:T1198)+1E-12))</f>
        <v/>
      </c>
      <c r="X766" s="3">
        <f>IF(U766="","",U766-($V$3*G766+$W$3))</f>
        <v/>
      </c>
      <c r="Y766" s="3">
        <f>IF(X766="","",MAX(-3,MIN(3,(X766-$X3)/$X4)))</f>
        <v/>
      </c>
      <c r="Z766" s="3">
        <f>IF(Y766="","",(Y766-AVERAGE(Y6:Y1198))/(STDEV(Y6:Y1198)+1E-12))</f>
        <v/>
      </c>
    </row>
    <row r="767">
      <c r="A767" t="inlineStr">
        <is>
          <t>BBG001NDW1Z7</t>
        </is>
      </c>
      <c r="B767" s="3">
        <f>IF('3a Raw'!C767="","",MAX(-3,MIN(3,('3a Raw'!C767-$B3)/$B4)))</f>
        <v/>
      </c>
      <c r="C767" s="3">
        <f>IF(B767="","",(B767-AVERAGE(B6:B1198))/(STDEV(B6:B1198)+1E-12))</f>
        <v/>
      </c>
      <c r="D767" s="3">
        <f>IF('3a Raw'!D767="","",MAX(-3,MIN(3,('3a Raw'!D767-$D3)/$D4)))</f>
        <v/>
      </c>
      <c r="E767" s="3">
        <f>IF(D767="","",(D767-AVERAGE(D6:D1198))/(STDEV(D6:D1198)+1E-12))</f>
        <v/>
      </c>
      <c r="F767" s="3">
        <f>IF('3a Raw'!E767="","",MAX(-3,MIN(3,('3a Raw'!E767-$F3)/$F4)))</f>
        <v/>
      </c>
      <c r="G767" s="3">
        <f>IF(F767="","",(F767-AVERAGE(F6:F1198))/(STDEV(F6:F1198)+1E-12))</f>
        <v/>
      </c>
      <c r="H767" s="3">
        <f>IF('3a Raw'!F767="","",MAX(-3,MIN(3,('3a Raw'!F767-$H3)/$H4)))</f>
        <v/>
      </c>
      <c r="I767" s="3">
        <f>IF(H767="","",(H767-AVERAGE(H6:H1198))/(STDEV(H6:H1198)+1E-12))</f>
        <v/>
      </c>
      <c r="J767" s="3">
        <f>IF('3a Raw'!G767="","",MAX(-3,MIN(3,('3a Raw'!G767-$J3)/$J4)))</f>
        <v/>
      </c>
      <c r="K767" s="3">
        <f>IF(J767="","",(J767-AVERAGE(J6:J1198))/(STDEV(J6:J1198)+1E-12))</f>
        <v/>
      </c>
      <c r="L767" s="3">
        <f>IF('3a Raw'!H767="","",MAX(-3,MIN(3,('3a Raw'!H767-$L3)/$L4)))</f>
        <v/>
      </c>
      <c r="M767" s="3">
        <f>IF(L767="","",(L767-AVERAGE(L6:L1198))/(STDEV(L6:L1198)+1E-12))</f>
        <v/>
      </c>
      <c r="N767" s="3">
        <f>IF('3a Raw'!I767="","",MAX(-3,MIN(3,('3a Raw'!I767-$N3)/$N4)))</f>
        <v/>
      </c>
      <c r="O767" s="3">
        <f>IF(N767="","",(N767-AVERAGE(N6:N1198))/(STDEV(N6:N1198)+1E-12))</f>
        <v/>
      </c>
      <c r="P767" s="3">
        <f>IF('3a Raw'!J767="","",MAX(-3,MIN(3,('3a Raw'!J767-$P3)/$P4)))</f>
        <v/>
      </c>
      <c r="Q767" s="3">
        <f>IF(P767="","",(P767-AVERAGE(P6:P1198))/(STDEV(P6:P1198)+1E-12))</f>
        <v/>
      </c>
      <c r="R767" s="3">
        <f>IF('3a Raw'!K767="","",MAX(-3,MIN(3,('3a Raw'!K767-$R3)/$R4)))</f>
        <v/>
      </c>
      <c r="S767" s="3">
        <f>IF(R767="","",(R767-AVERAGE(R6:R1198))/(STDEV(R6:R1198)+1E-12))</f>
        <v/>
      </c>
      <c r="T767" s="3">
        <f>IF('3a Raw'!L767="","",MAX(-3,MIN(3,('3a Raw'!L767-$T3)/$T4)))</f>
        <v/>
      </c>
      <c r="U767" s="3">
        <f>IF(T767="","",(T767-AVERAGE(T6:T1198))/(STDEV(T6:T1198)+1E-12))</f>
        <v/>
      </c>
      <c r="X767" s="3">
        <f>IF(U767="","",U767-($V$3*G767+$W$3))</f>
        <v/>
      </c>
      <c r="Y767" s="3">
        <f>IF(X767="","",MAX(-3,MIN(3,(X767-$X3)/$X4)))</f>
        <v/>
      </c>
      <c r="Z767" s="3">
        <f>IF(Y767="","",(Y767-AVERAGE(Y6:Y1198))/(STDEV(Y6:Y1198)+1E-12))</f>
        <v/>
      </c>
    </row>
    <row r="768">
      <c r="A768" t="inlineStr">
        <is>
          <t>BBG001J1BQ86</t>
        </is>
      </c>
      <c r="B768" s="3">
        <f>IF('3a Raw'!C768="","",MAX(-3,MIN(3,('3a Raw'!C768-$B3)/$B4)))</f>
        <v/>
      </c>
      <c r="C768" s="3">
        <f>IF(B768="","",(B768-AVERAGE(B6:B1198))/(STDEV(B6:B1198)+1E-12))</f>
        <v/>
      </c>
      <c r="D768" s="3">
        <f>IF('3a Raw'!D768="","",MAX(-3,MIN(3,('3a Raw'!D768-$D3)/$D4)))</f>
        <v/>
      </c>
      <c r="E768" s="3">
        <f>IF(D768="","",(D768-AVERAGE(D6:D1198))/(STDEV(D6:D1198)+1E-12))</f>
        <v/>
      </c>
      <c r="F768" s="3">
        <f>IF('3a Raw'!E768="","",MAX(-3,MIN(3,('3a Raw'!E768-$F3)/$F4)))</f>
        <v/>
      </c>
      <c r="G768" s="3">
        <f>IF(F768="","",(F768-AVERAGE(F6:F1198))/(STDEV(F6:F1198)+1E-12))</f>
        <v/>
      </c>
      <c r="H768" s="3">
        <f>IF('3a Raw'!F768="","",MAX(-3,MIN(3,('3a Raw'!F768-$H3)/$H4)))</f>
        <v/>
      </c>
      <c r="I768" s="3">
        <f>IF(H768="","",(H768-AVERAGE(H6:H1198))/(STDEV(H6:H1198)+1E-12))</f>
        <v/>
      </c>
      <c r="J768" s="3">
        <f>IF('3a Raw'!G768="","",MAX(-3,MIN(3,('3a Raw'!G768-$J3)/$J4)))</f>
        <v/>
      </c>
      <c r="K768" s="3">
        <f>IF(J768="","",(J768-AVERAGE(J6:J1198))/(STDEV(J6:J1198)+1E-12))</f>
        <v/>
      </c>
      <c r="L768" s="3">
        <f>IF('3a Raw'!H768="","",MAX(-3,MIN(3,('3a Raw'!H768-$L3)/$L4)))</f>
        <v/>
      </c>
      <c r="M768" s="3">
        <f>IF(L768="","",(L768-AVERAGE(L6:L1198))/(STDEV(L6:L1198)+1E-12))</f>
        <v/>
      </c>
      <c r="N768" s="3">
        <f>IF('3a Raw'!I768="","",MAX(-3,MIN(3,('3a Raw'!I768-$N3)/$N4)))</f>
        <v/>
      </c>
      <c r="O768" s="3">
        <f>IF(N768="","",(N768-AVERAGE(N6:N1198))/(STDEV(N6:N1198)+1E-12))</f>
        <v/>
      </c>
      <c r="P768" s="3">
        <f>IF('3a Raw'!J768="","",MAX(-3,MIN(3,('3a Raw'!J768-$P3)/$P4)))</f>
        <v/>
      </c>
      <c r="Q768" s="3">
        <f>IF(P768="","",(P768-AVERAGE(P6:P1198))/(STDEV(P6:P1198)+1E-12))</f>
        <v/>
      </c>
      <c r="R768" s="3">
        <f>IF('3a Raw'!K768="","",MAX(-3,MIN(3,('3a Raw'!K768-$R3)/$R4)))</f>
        <v/>
      </c>
      <c r="S768" s="3">
        <f>IF(R768="","",(R768-AVERAGE(R6:R1198))/(STDEV(R6:R1198)+1E-12))</f>
        <v/>
      </c>
      <c r="T768" s="3">
        <f>IF('3a Raw'!L768="","",MAX(-3,MIN(3,('3a Raw'!L768-$T3)/$T4)))</f>
        <v/>
      </c>
      <c r="U768" s="3">
        <f>IF(T768="","",(T768-AVERAGE(T6:T1198))/(STDEV(T6:T1198)+1E-12))</f>
        <v/>
      </c>
      <c r="X768" s="3">
        <f>IF(U768="","",U768-($V$3*G768+$W$3))</f>
        <v/>
      </c>
      <c r="Y768" s="3">
        <f>IF(X768="","",MAX(-3,MIN(3,(X768-$X3)/$X4)))</f>
        <v/>
      </c>
      <c r="Z768" s="3">
        <f>IF(Y768="","",(Y768-AVERAGE(Y6:Y1198))/(STDEV(Y6:Y1198)+1E-12))</f>
        <v/>
      </c>
    </row>
    <row r="769">
      <c r="A769" t="inlineStr">
        <is>
          <t>BBG000BQ74K1</t>
        </is>
      </c>
      <c r="B769" s="3">
        <f>IF('3a Raw'!C769="","",MAX(-3,MIN(3,('3a Raw'!C769-$B3)/$B4)))</f>
        <v/>
      </c>
      <c r="C769" s="3">
        <f>IF(B769="","",(B769-AVERAGE(B6:B1198))/(STDEV(B6:B1198)+1E-12))</f>
        <v/>
      </c>
      <c r="D769" s="3">
        <f>IF('3a Raw'!D769="","",MAX(-3,MIN(3,('3a Raw'!D769-$D3)/$D4)))</f>
        <v/>
      </c>
      <c r="E769" s="3">
        <f>IF(D769="","",(D769-AVERAGE(D6:D1198))/(STDEV(D6:D1198)+1E-12))</f>
        <v/>
      </c>
      <c r="F769" s="3">
        <f>IF('3a Raw'!E769="","",MAX(-3,MIN(3,('3a Raw'!E769-$F3)/$F4)))</f>
        <v/>
      </c>
      <c r="G769" s="3">
        <f>IF(F769="","",(F769-AVERAGE(F6:F1198))/(STDEV(F6:F1198)+1E-12))</f>
        <v/>
      </c>
      <c r="H769" s="3">
        <f>IF('3a Raw'!F769="","",MAX(-3,MIN(3,('3a Raw'!F769-$H3)/$H4)))</f>
        <v/>
      </c>
      <c r="I769" s="3">
        <f>IF(H769="","",(H769-AVERAGE(H6:H1198))/(STDEV(H6:H1198)+1E-12))</f>
        <v/>
      </c>
      <c r="J769" s="3">
        <f>IF('3a Raw'!G769="","",MAX(-3,MIN(3,('3a Raw'!G769-$J3)/$J4)))</f>
        <v/>
      </c>
      <c r="K769" s="3">
        <f>IF(J769="","",(J769-AVERAGE(J6:J1198))/(STDEV(J6:J1198)+1E-12))</f>
        <v/>
      </c>
      <c r="L769" s="3">
        <f>IF('3a Raw'!H769="","",MAX(-3,MIN(3,('3a Raw'!H769-$L3)/$L4)))</f>
        <v/>
      </c>
      <c r="M769" s="3">
        <f>IF(L769="","",(L769-AVERAGE(L6:L1198))/(STDEV(L6:L1198)+1E-12))</f>
        <v/>
      </c>
      <c r="N769" s="3">
        <f>IF('3a Raw'!I769="","",MAX(-3,MIN(3,('3a Raw'!I769-$N3)/$N4)))</f>
        <v/>
      </c>
      <c r="O769" s="3">
        <f>IF(N769="","",(N769-AVERAGE(N6:N1198))/(STDEV(N6:N1198)+1E-12))</f>
        <v/>
      </c>
      <c r="P769" s="3">
        <f>IF('3a Raw'!J769="","",MAX(-3,MIN(3,('3a Raw'!J769-$P3)/$P4)))</f>
        <v/>
      </c>
      <c r="Q769" s="3">
        <f>IF(P769="","",(P769-AVERAGE(P6:P1198))/(STDEV(P6:P1198)+1E-12))</f>
        <v/>
      </c>
      <c r="R769" s="3">
        <f>IF('3a Raw'!K769="","",MAX(-3,MIN(3,('3a Raw'!K769-$R3)/$R4)))</f>
        <v/>
      </c>
      <c r="S769" s="3">
        <f>IF(R769="","",(R769-AVERAGE(R6:R1198))/(STDEV(R6:R1198)+1E-12))</f>
        <v/>
      </c>
      <c r="T769" s="3">
        <f>IF('3a Raw'!L769="","",MAX(-3,MIN(3,('3a Raw'!L769-$T3)/$T4)))</f>
        <v/>
      </c>
      <c r="U769" s="3">
        <f>IF(T769="","",(T769-AVERAGE(T6:T1198))/(STDEV(T6:T1198)+1E-12))</f>
        <v/>
      </c>
      <c r="X769" s="3">
        <f>IF(U769="","",U769-($V$3*G769+$W$3))</f>
        <v/>
      </c>
      <c r="Y769" s="3">
        <f>IF(X769="","",MAX(-3,MIN(3,(X769-$X3)/$X4)))</f>
        <v/>
      </c>
      <c r="Z769" s="3">
        <f>IF(Y769="","",(Y769-AVERAGE(Y6:Y1198))/(STDEV(Y6:Y1198)+1E-12))</f>
        <v/>
      </c>
    </row>
    <row r="770">
      <c r="A770" t="inlineStr">
        <is>
          <t>BBG005CY8T44</t>
        </is>
      </c>
      <c r="B770" s="3">
        <f>IF('3a Raw'!C770="","",MAX(-3,MIN(3,('3a Raw'!C770-$B3)/$B4)))</f>
        <v/>
      </c>
      <c r="C770" s="3">
        <f>IF(B770="","",(B770-AVERAGE(B6:B1198))/(STDEV(B6:B1198)+1E-12))</f>
        <v/>
      </c>
      <c r="D770" s="3">
        <f>IF('3a Raw'!D770="","",MAX(-3,MIN(3,('3a Raw'!D770-$D3)/$D4)))</f>
        <v/>
      </c>
      <c r="E770" s="3">
        <f>IF(D770="","",(D770-AVERAGE(D6:D1198))/(STDEV(D6:D1198)+1E-12))</f>
        <v/>
      </c>
      <c r="F770" s="3">
        <f>IF('3a Raw'!E770="","",MAX(-3,MIN(3,('3a Raw'!E770-$F3)/$F4)))</f>
        <v/>
      </c>
      <c r="G770" s="3">
        <f>IF(F770="","",(F770-AVERAGE(F6:F1198))/(STDEV(F6:F1198)+1E-12))</f>
        <v/>
      </c>
      <c r="H770" s="3">
        <f>IF('3a Raw'!F770="","",MAX(-3,MIN(3,('3a Raw'!F770-$H3)/$H4)))</f>
        <v/>
      </c>
      <c r="I770" s="3">
        <f>IF(H770="","",(H770-AVERAGE(H6:H1198))/(STDEV(H6:H1198)+1E-12))</f>
        <v/>
      </c>
      <c r="J770" s="3">
        <f>IF('3a Raw'!G770="","",MAX(-3,MIN(3,('3a Raw'!G770-$J3)/$J4)))</f>
        <v/>
      </c>
      <c r="K770" s="3">
        <f>IF(J770="","",(J770-AVERAGE(J6:J1198))/(STDEV(J6:J1198)+1E-12))</f>
        <v/>
      </c>
      <c r="L770" s="3">
        <f>IF('3a Raw'!H770="","",MAX(-3,MIN(3,('3a Raw'!H770-$L3)/$L4)))</f>
        <v/>
      </c>
      <c r="M770" s="3">
        <f>IF(L770="","",(L770-AVERAGE(L6:L1198))/(STDEV(L6:L1198)+1E-12))</f>
        <v/>
      </c>
      <c r="N770" s="3">
        <f>IF('3a Raw'!I770="","",MAX(-3,MIN(3,('3a Raw'!I770-$N3)/$N4)))</f>
        <v/>
      </c>
      <c r="O770" s="3">
        <f>IF(N770="","",(N770-AVERAGE(N6:N1198))/(STDEV(N6:N1198)+1E-12))</f>
        <v/>
      </c>
      <c r="P770" s="3">
        <f>IF('3a Raw'!J770="","",MAX(-3,MIN(3,('3a Raw'!J770-$P3)/$P4)))</f>
        <v/>
      </c>
      <c r="Q770" s="3">
        <f>IF(P770="","",(P770-AVERAGE(P6:P1198))/(STDEV(P6:P1198)+1E-12))</f>
        <v/>
      </c>
      <c r="R770" s="3">
        <f>IF('3a Raw'!K770="","",MAX(-3,MIN(3,('3a Raw'!K770-$R3)/$R4)))</f>
        <v/>
      </c>
      <c r="S770" s="3">
        <f>IF(R770="","",(R770-AVERAGE(R6:R1198))/(STDEV(R6:R1198)+1E-12))</f>
        <v/>
      </c>
      <c r="T770" s="3">
        <f>IF('3a Raw'!L770="","",MAX(-3,MIN(3,('3a Raw'!L770-$T3)/$T4)))</f>
        <v/>
      </c>
      <c r="U770" s="3">
        <f>IF(T770="","",(T770-AVERAGE(T6:T1198))/(STDEV(T6:T1198)+1E-12))</f>
        <v/>
      </c>
      <c r="X770" s="3">
        <f>IF(U770="","",U770-($V$3*G770+$W$3))</f>
        <v/>
      </c>
      <c r="Y770" s="3">
        <f>IF(X770="","",MAX(-3,MIN(3,(X770-$X3)/$X4)))</f>
        <v/>
      </c>
      <c r="Z770" s="3">
        <f>IF(Y770="","",(Y770-AVERAGE(Y6:Y1198))/(STDEV(Y6:Y1198)+1E-12))</f>
        <v/>
      </c>
    </row>
    <row r="771">
      <c r="A771" t="inlineStr">
        <is>
          <t>BBG000BQ8KV2</t>
        </is>
      </c>
      <c r="B771" s="3">
        <f>IF('3a Raw'!C771="","",MAX(-3,MIN(3,('3a Raw'!C771-$B3)/$B4)))</f>
        <v/>
      </c>
      <c r="C771" s="3">
        <f>IF(B771="","",(B771-AVERAGE(B6:B1198))/(STDEV(B6:B1198)+1E-12))</f>
        <v/>
      </c>
      <c r="D771" s="3">
        <f>IF('3a Raw'!D771="","",MAX(-3,MIN(3,('3a Raw'!D771-$D3)/$D4)))</f>
        <v/>
      </c>
      <c r="E771" s="3">
        <f>IF(D771="","",(D771-AVERAGE(D6:D1198))/(STDEV(D6:D1198)+1E-12))</f>
        <v/>
      </c>
      <c r="F771" s="3">
        <f>IF('3a Raw'!E771="","",MAX(-3,MIN(3,('3a Raw'!E771-$F3)/$F4)))</f>
        <v/>
      </c>
      <c r="G771" s="3">
        <f>IF(F771="","",(F771-AVERAGE(F6:F1198))/(STDEV(F6:F1198)+1E-12))</f>
        <v/>
      </c>
      <c r="H771" s="3">
        <f>IF('3a Raw'!F771="","",MAX(-3,MIN(3,('3a Raw'!F771-$H3)/$H4)))</f>
        <v/>
      </c>
      <c r="I771" s="3">
        <f>IF(H771="","",(H771-AVERAGE(H6:H1198))/(STDEV(H6:H1198)+1E-12))</f>
        <v/>
      </c>
      <c r="J771" s="3">
        <f>IF('3a Raw'!G771="","",MAX(-3,MIN(3,('3a Raw'!G771-$J3)/$J4)))</f>
        <v/>
      </c>
      <c r="K771" s="3">
        <f>IF(J771="","",(J771-AVERAGE(J6:J1198))/(STDEV(J6:J1198)+1E-12))</f>
        <v/>
      </c>
      <c r="L771" s="3">
        <f>IF('3a Raw'!H771="","",MAX(-3,MIN(3,('3a Raw'!H771-$L3)/$L4)))</f>
        <v/>
      </c>
      <c r="M771" s="3">
        <f>IF(L771="","",(L771-AVERAGE(L6:L1198))/(STDEV(L6:L1198)+1E-12))</f>
        <v/>
      </c>
      <c r="N771" s="3">
        <f>IF('3a Raw'!I771="","",MAX(-3,MIN(3,('3a Raw'!I771-$N3)/$N4)))</f>
        <v/>
      </c>
      <c r="O771" s="3">
        <f>IF(N771="","",(N771-AVERAGE(N6:N1198))/(STDEV(N6:N1198)+1E-12))</f>
        <v/>
      </c>
      <c r="P771" s="3">
        <f>IF('3a Raw'!J771="","",MAX(-3,MIN(3,('3a Raw'!J771-$P3)/$P4)))</f>
        <v/>
      </c>
      <c r="Q771" s="3">
        <f>IF(P771="","",(P771-AVERAGE(P6:P1198))/(STDEV(P6:P1198)+1E-12))</f>
        <v/>
      </c>
      <c r="R771" s="3">
        <f>IF('3a Raw'!K771="","",MAX(-3,MIN(3,('3a Raw'!K771-$R3)/$R4)))</f>
        <v/>
      </c>
      <c r="S771" s="3">
        <f>IF(R771="","",(R771-AVERAGE(R6:R1198))/(STDEV(R6:R1198)+1E-12))</f>
        <v/>
      </c>
      <c r="T771" s="3">
        <f>IF('3a Raw'!L771="","",MAX(-3,MIN(3,('3a Raw'!L771-$T3)/$T4)))</f>
        <v/>
      </c>
      <c r="U771" s="3">
        <f>IF(T771="","",(T771-AVERAGE(T6:T1198))/(STDEV(T6:T1198)+1E-12))</f>
        <v/>
      </c>
      <c r="X771" s="3">
        <f>IF(U771="","",U771-($V$3*G771+$W$3))</f>
        <v/>
      </c>
      <c r="Y771" s="3">
        <f>IF(X771="","",MAX(-3,MIN(3,(X771-$X3)/$X4)))</f>
        <v/>
      </c>
      <c r="Z771" s="3">
        <f>IF(Y771="","",(Y771-AVERAGE(Y6:Y1198))/(STDEV(Y6:Y1198)+1E-12))</f>
        <v/>
      </c>
    </row>
    <row r="772">
      <c r="A772" t="inlineStr">
        <is>
          <t>BBG000BBJQV0</t>
        </is>
      </c>
      <c r="B772" s="3">
        <f>IF('3a Raw'!C772="","",MAX(-3,MIN(3,('3a Raw'!C772-$B3)/$B4)))</f>
        <v/>
      </c>
      <c r="C772" s="3">
        <f>IF(B772="","",(B772-AVERAGE(B6:B1198))/(STDEV(B6:B1198)+1E-12))</f>
        <v/>
      </c>
      <c r="D772" s="3">
        <f>IF('3a Raw'!D772="","",MAX(-3,MIN(3,('3a Raw'!D772-$D3)/$D4)))</f>
        <v/>
      </c>
      <c r="E772" s="3">
        <f>IF(D772="","",(D772-AVERAGE(D6:D1198))/(STDEV(D6:D1198)+1E-12))</f>
        <v/>
      </c>
      <c r="F772" s="3">
        <f>IF('3a Raw'!E772="","",MAX(-3,MIN(3,('3a Raw'!E772-$F3)/$F4)))</f>
        <v/>
      </c>
      <c r="G772" s="3">
        <f>IF(F772="","",(F772-AVERAGE(F6:F1198))/(STDEV(F6:F1198)+1E-12))</f>
        <v/>
      </c>
      <c r="H772" s="3">
        <f>IF('3a Raw'!F772="","",MAX(-3,MIN(3,('3a Raw'!F772-$H3)/$H4)))</f>
        <v/>
      </c>
      <c r="I772" s="3">
        <f>IF(H772="","",(H772-AVERAGE(H6:H1198))/(STDEV(H6:H1198)+1E-12))</f>
        <v/>
      </c>
      <c r="J772" s="3">
        <f>IF('3a Raw'!G772="","",MAX(-3,MIN(3,('3a Raw'!G772-$J3)/$J4)))</f>
        <v/>
      </c>
      <c r="K772" s="3">
        <f>IF(J772="","",(J772-AVERAGE(J6:J1198))/(STDEV(J6:J1198)+1E-12))</f>
        <v/>
      </c>
      <c r="L772" s="3">
        <f>IF('3a Raw'!H772="","",MAX(-3,MIN(3,('3a Raw'!H772-$L3)/$L4)))</f>
        <v/>
      </c>
      <c r="M772" s="3">
        <f>IF(L772="","",(L772-AVERAGE(L6:L1198))/(STDEV(L6:L1198)+1E-12))</f>
        <v/>
      </c>
      <c r="N772" s="3">
        <f>IF('3a Raw'!I772="","",MAX(-3,MIN(3,('3a Raw'!I772-$N3)/$N4)))</f>
        <v/>
      </c>
      <c r="O772" s="3">
        <f>IF(N772="","",(N772-AVERAGE(N6:N1198))/(STDEV(N6:N1198)+1E-12))</f>
        <v/>
      </c>
      <c r="P772" s="3">
        <f>IF('3a Raw'!J772="","",MAX(-3,MIN(3,('3a Raw'!J772-$P3)/$P4)))</f>
        <v/>
      </c>
      <c r="Q772" s="3">
        <f>IF(P772="","",(P772-AVERAGE(P6:P1198))/(STDEV(P6:P1198)+1E-12))</f>
        <v/>
      </c>
      <c r="R772" s="3">
        <f>IF('3a Raw'!K772="","",MAX(-3,MIN(3,('3a Raw'!K772-$R3)/$R4)))</f>
        <v/>
      </c>
      <c r="S772" s="3">
        <f>IF(R772="","",(R772-AVERAGE(R6:R1198))/(STDEV(R6:R1198)+1E-12))</f>
        <v/>
      </c>
      <c r="T772" s="3">
        <f>IF('3a Raw'!L772="","",MAX(-3,MIN(3,('3a Raw'!L772-$T3)/$T4)))</f>
        <v/>
      </c>
      <c r="U772" s="3">
        <f>IF(T772="","",(T772-AVERAGE(T6:T1198))/(STDEV(T6:T1198)+1E-12))</f>
        <v/>
      </c>
      <c r="X772" s="3">
        <f>IF(U772="","",U772-($V$3*G772+$W$3))</f>
        <v/>
      </c>
      <c r="Y772" s="3">
        <f>IF(X772="","",MAX(-3,MIN(3,(X772-$X3)/$X4)))</f>
        <v/>
      </c>
      <c r="Z772" s="3">
        <f>IF(Y772="","",(Y772-AVERAGE(Y6:Y1198))/(STDEV(Y6:Y1198)+1E-12))</f>
        <v/>
      </c>
    </row>
    <row r="773">
      <c r="A773" t="inlineStr">
        <is>
          <t>BBG000BQBKR3</t>
        </is>
      </c>
      <c r="B773" s="3">
        <f>IF('3a Raw'!C773="","",MAX(-3,MIN(3,('3a Raw'!C773-$B3)/$B4)))</f>
        <v/>
      </c>
      <c r="C773" s="3">
        <f>IF(B773="","",(B773-AVERAGE(B6:B1198))/(STDEV(B6:B1198)+1E-12))</f>
        <v/>
      </c>
      <c r="D773" s="3">
        <f>IF('3a Raw'!D773="","",MAX(-3,MIN(3,('3a Raw'!D773-$D3)/$D4)))</f>
        <v/>
      </c>
      <c r="E773" s="3">
        <f>IF(D773="","",(D773-AVERAGE(D6:D1198))/(STDEV(D6:D1198)+1E-12))</f>
        <v/>
      </c>
      <c r="F773" s="3">
        <f>IF('3a Raw'!E773="","",MAX(-3,MIN(3,('3a Raw'!E773-$F3)/$F4)))</f>
        <v/>
      </c>
      <c r="G773" s="3">
        <f>IF(F773="","",(F773-AVERAGE(F6:F1198))/(STDEV(F6:F1198)+1E-12))</f>
        <v/>
      </c>
      <c r="H773" s="3">
        <f>IF('3a Raw'!F773="","",MAX(-3,MIN(3,('3a Raw'!F773-$H3)/$H4)))</f>
        <v/>
      </c>
      <c r="I773" s="3">
        <f>IF(H773="","",(H773-AVERAGE(H6:H1198))/(STDEV(H6:H1198)+1E-12))</f>
        <v/>
      </c>
      <c r="J773" s="3">
        <f>IF('3a Raw'!G773="","",MAX(-3,MIN(3,('3a Raw'!G773-$J3)/$J4)))</f>
        <v/>
      </c>
      <c r="K773" s="3">
        <f>IF(J773="","",(J773-AVERAGE(J6:J1198))/(STDEV(J6:J1198)+1E-12))</f>
        <v/>
      </c>
      <c r="L773" s="3">
        <f>IF('3a Raw'!H773="","",MAX(-3,MIN(3,('3a Raw'!H773-$L3)/$L4)))</f>
        <v/>
      </c>
      <c r="M773" s="3">
        <f>IF(L773="","",(L773-AVERAGE(L6:L1198))/(STDEV(L6:L1198)+1E-12))</f>
        <v/>
      </c>
      <c r="N773" s="3">
        <f>IF('3a Raw'!I773="","",MAX(-3,MIN(3,('3a Raw'!I773-$N3)/$N4)))</f>
        <v/>
      </c>
      <c r="O773" s="3">
        <f>IF(N773="","",(N773-AVERAGE(N6:N1198))/(STDEV(N6:N1198)+1E-12))</f>
        <v/>
      </c>
      <c r="P773" s="3">
        <f>IF('3a Raw'!J773="","",MAX(-3,MIN(3,('3a Raw'!J773-$P3)/$P4)))</f>
        <v/>
      </c>
      <c r="Q773" s="3">
        <f>IF(P773="","",(P773-AVERAGE(P6:P1198))/(STDEV(P6:P1198)+1E-12))</f>
        <v/>
      </c>
      <c r="R773" s="3">
        <f>IF('3a Raw'!K773="","",MAX(-3,MIN(3,('3a Raw'!K773-$R3)/$R4)))</f>
        <v/>
      </c>
      <c r="S773" s="3">
        <f>IF(R773="","",(R773-AVERAGE(R6:R1198))/(STDEV(R6:R1198)+1E-12))</f>
        <v/>
      </c>
      <c r="T773" s="3">
        <f>IF('3a Raw'!L773="","",MAX(-3,MIN(3,('3a Raw'!L773-$T3)/$T4)))</f>
        <v/>
      </c>
      <c r="U773" s="3">
        <f>IF(T773="","",(T773-AVERAGE(T6:T1198))/(STDEV(T6:T1198)+1E-12))</f>
        <v/>
      </c>
      <c r="X773" s="3">
        <f>IF(U773="","",U773-($V$3*G773+$W$3))</f>
        <v/>
      </c>
      <c r="Y773" s="3">
        <f>IF(X773="","",MAX(-3,MIN(3,(X773-$X3)/$X4)))</f>
        <v/>
      </c>
      <c r="Z773" s="3">
        <f>IF(Y773="","",(Y773-AVERAGE(Y6:Y1198))/(STDEV(Y6:Y1198)+1E-12))</f>
        <v/>
      </c>
    </row>
    <row r="774">
      <c r="A774" t="inlineStr">
        <is>
          <t>nvr</t>
        </is>
      </c>
      <c r="B774" s="3">
        <f>IF('3a Raw'!C774="","",MAX(-3,MIN(3,('3a Raw'!C774-$B3)/$B4)))</f>
        <v/>
      </c>
      <c r="C774" s="3">
        <f>IF(B774="","",(B774-AVERAGE(B6:B1198))/(STDEV(B6:B1198)+1E-12))</f>
        <v/>
      </c>
      <c r="D774" s="3">
        <f>IF('3a Raw'!D774="","",MAX(-3,MIN(3,('3a Raw'!D774-$D3)/$D4)))</f>
        <v/>
      </c>
      <c r="E774" s="3">
        <f>IF(D774="","",(D774-AVERAGE(D6:D1198))/(STDEV(D6:D1198)+1E-12))</f>
        <v/>
      </c>
      <c r="F774" s="3">
        <f>IF('3a Raw'!E774="","",MAX(-3,MIN(3,('3a Raw'!E774-$F3)/$F4)))</f>
        <v/>
      </c>
      <c r="G774" s="3">
        <f>IF(F774="","",(F774-AVERAGE(F6:F1198))/(STDEV(F6:F1198)+1E-12))</f>
        <v/>
      </c>
      <c r="H774" s="3">
        <f>IF('3a Raw'!F774="","",MAX(-3,MIN(3,('3a Raw'!F774-$H3)/$H4)))</f>
        <v/>
      </c>
      <c r="I774" s="3">
        <f>IF(H774="","",(H774-AVERAGE(H6:H1198))/(STDEV(H6:H1198)+1E-12))</f>
        <v/>
      </c>
      <c r="J774" s="3">
        <f>IF('3a Raw'!G774="","",MAX(-3,MIN(3,('3a Raw'!G774-$J3)/$J4)))</f>
        <v/>
      </c>
      <c r="K774" s="3">
        <f>IF(J774="","",(J774-AVERAGE(J6:J1198))/(STDEV(J6:J1198)+1E-12))</f>
        <v/>
      </c>
      <c r="L774" s="3">
        <f>IF('3a Raw'!H774="","",MAX(-3,MIN(3,('3a Raw'!H774-$L3)/$L4)))</f>
        <v/>
      </c>
      <c r="M774" s="3">
        <f>IF(L774="","",(L774-AVERAGE(L6:L1198))/(STDEV(L6:L1198)+1E-12))</f>
        <v/>
      </c>
      <c r="N774" s="3">
        <f>IF('3a Raw'!I774="","",MAX(-3,MIN(3,('3a Raw'!I774-$N3)/$N4)))</f>
        <v/>
      </c>
      <c r="O774" s="3">
        <f>IF(N774="","",(N774-AVERAGE(N6:N1198))/(STDEV(N6:N1198)+1E-12))</f>
        <v/>
      </c>
      <c r="P774" s="3">
        <f>IF('3a Raw'!J774="","",MAX(-3,MIN(3,('3a Raw'!J774-$P3)/$P4)))</f>
        <v/>
      </c>
      <c r="Q774" s="3">
        <f>IF(P774="","",(P774-AVERAGE(P6:P1198))/(STDEV(P6:P1198)+1E-12))</f>
        <v/>
      </c>
      <c r="R774" s="3">
        <f>IF('3a Raw'!K774="","",MAX(-3,MIN(3,('3a Raw'!K774-$R3)/$R4)))</f>
        <v/>
      </c>
      <c r="S774" s="3">
        <f>IF(R774="","",(R774-AVERAGE(R6:R1198))/(STDEV(R6:R1198)+1E-12))</f>
        <v/>
      </c>
      <c r="T774" s="3">
        <f>IF('3a Raw'!L774="","",MAX(-3,MIN(3,('3a Raw'!L774-$T3)/$T4)))</f>
        <v/>
      </c>
      <c r="U774" s="3">
        <f>IF(T774="","",(T774-AVERAGE(T6:T1198))/(STDEV(T6:T1198)+1E-12))</f>
        <v/>
      </c>
      <c r="X774" s="3">
        <f>IF(U774="","",U774-($V$3*G774+$W$3))</f>
        <v/>
      </c>
      <c r="Y774" s="3">
        <f>IF(X774="","",MAX(-3,MIN(3,(X774-$X3)/$X4)))</f>
        <v/>
      </c>
      <c r="Z774" s="3">
        <f>IF(Y774="","",(Y774-AVERAGE(Y6:Y1198))/(STDEV(Y6:Y1198)+1E-12))</f>
        <v/>
      </c>
    </row>
    <row r="775">
      <c r="A775" t="inlineStr">
        <is>
          <t>BBG000BKSDY6</t>
        </is>
      </c>
      <c r="B775" s="3">
        <f>IF('3a Raw'!C775="","",MAX(-3,MIN(3,('3a Raw'!C775-$B3)/$B4)))</f>
        <v/>
      </c>
      <c r="C775" s="3">
        <f>IF(B775="","",(B775-AVERAGE(B6:B1198))/(STDEV(B6:B1198)+1E-12))</f>
        <v/>
      </c>
      <c r="D775" s="3">
        <f>IF('3a Raw'!D775="","",MAX(-3,MIN(3,('3a Raw'!D775-$D3)/$D4)))</f>
        <v/>
      </c>
      <c r="E775" s="3">
        <f>IF(D775="","",(D775-AVERAGE(D6:D1198))/(STDEV(D6:D1198)+1E-12))</f>
        <v/>
      </c>
      <c r="F775" s="3">
        <f>IF('3a Raw'!E775="","",MAX(-3,MIN(3,('3a Raw'!E775-$F3)/$F4)))</f>
        <v/>
      </c>
      <c r="G775" s="3">
        <f>IF(F775="","",(F775-AVERAGE(F6:F1198))/(STDEV(F6:F1198)+1E-12))</f>
        <v/>
      </c>
      <c r="H775" s="3">
        <f>IF('3a Raw'!F775="","",MAX(-3,MIN(3,('3a Raw'!F775-$H3)/$H4)))</f>
        <v/>
      </c>
      <c r="I775" s="3">
        <f>IF(H775="","",(H775-AVERAGE(H6:H1198))/(STDEV(H6:H1198)+1E-12))</f>
        <v/>
      </c>
      <c r="J775" s="3">
        <f>IF('3a Raw'!G775="","",MAX(-3,MIN(3,('3a Raw'!G775-$J3)/$J4)))</f>
        <v/>
      </c>
      <c r="K775" s="3">
        <f>IF(J775="","",(J775-AVERAGE(J6:J1198))/(STDEV(J6:J1198)+1E-12))</f>
        <v/>
      </c>
      <c r="L775" s="3">
        <f>IF('3a Raw'!H775="","",MAX(-3,MIN(3,('3a Raw'!H775-$L3)/$L4)))</f>
        <v/>
      </c>
      <c r="M775" s="3">
        <f>IF(L775="","",(L775-AVERAGE(L6:L1198))/(STDEV(L6:L1198)+1E-12))</f>
        <v/>
      </c>
      <c r="N775" s="3">
        <f>IF('3a Raw'!I775="","",MAX(-3,MIN(3,('3a Raw'!I775-$N3)/$N4)))</f>
        <v/>
      </c>
      <c r="O775" s="3">
        <f>IF(N775="","",(N775-AVERAGE(N6:N1198))/(STDEV(N6:N1198)+1E-12))</f>
        <v/>
      </c>
      <c r="P775" s="3">
        <f>IF('3a Raw'!J775="","",MAX(-3,MIN(3,('3a Raw'!J775-$P3)/$P4)))</f>
        <v/>
      </c>
      <c r="Q775" s="3">
        <f>IF(P775="","",(P775-AVERAGE(P6:P1198))/(STDEV(P6:P1198)+1E-12))</f>
        <v/>
      </c>
      <c r="R775" s="3">
        <f>IF('3a Raw'!K775="","",MAX(-3,MIN(3,('3a Raw'!K775-$R3)/$R4)))</f>
        <v/>
      </c>
      <c r="S775" s="3">
        <f>IF(R775="","",(R775-AVERAGE(R6:R1198))/(STDEV(R6:R1198)+1E-12))</f>
        <v/>
      </c>
      <c r="T775" s="3">
        <f>IF('3a Raw'!L775="","",MAX(-3,MIN(3,('3a Raw'!L775-$T3)/$T4)))</f>
        <v/>
      </c>
      <c r="U775" s="3">
        <f>IF(T775="","",(T775-AVERAGE(T6:T1198))/(STDEV(T6:T1198)+1E-12))</f>
        <v/>
      </c>
      <c r="X775" s="3">
        <f>IF(U775="","",U775-($V$3*G775+$W$3))</f>
        <v/>
      </c>
      <c r="Y775" s="3">
        <f>IF(X775="","",MAX(-3,MIN(3,(X775-$X3)/$X4)))</f>
        <v/>
      </c>
      <c r="Z775" s="3">
        <f>IF(Y775="","",(Y775-AVERAGE(Y6:Y1198))/(STDEV(Y6:Y1198)+1E-12))</f>
        <v/>
      </c>
    </row>
    <row r="776">
      <c r="A776" t="inlineStr">
        <is>
          <t>BBG00KXKRKY3</t>
        </is>
      </c>
      <c r="B776" s="3">
        <f>IF('3a Raw'!C776="","",MAX(-3,MIN(3,('3a Raw'!C776-$B3)/$B4)))</f>
        <v/>
      </c>
      <c r="C776" s="3">
        <f>IF(B776="","",(B776-AVERAGE(B6:B1198))/(STDEV(B6:B1198)+1E-12))</f>
        <v/>
      </c>
      <c r="D776" s="3">
        <f>IF('3a Raw'!D776="","",MAX(-3,MIN(3,('3a Raw'!D776-$D3)/$D4)))</f>
        <v/>
      </c>
      <c r="E776" s="3">
        <f>IF(D776="","",(D776-AVERAGE(D6:D1198))/(STDEV(D6:D1198)+1E-12))</f>
        <v/>
      </c>
      <c r="F776" s="3">
        <f>IF('3a Raw'!E776="","",MAX(-3,MIN(3,('3a Raw'!E776-$F3)/$F4)))</f>
        <v/>
      </c>
      <c r="G776" s="3">
        <f>IF(F776="","",(F776-AVERAGE(F6:F1198))/(STDEV(F6:F1198)+1E-12))</f>
        <v/>
      </c>
      <c r="H776" s="3">
        <f>IF('3a Raw'!F776="","",MAX(-3,MIN(3,('3a Raw'!F776-$H3)/$H4)))</f>
        <v/>
      </c>
      <c r="I776" s="3">
        <f>IF(H776="","",(H776-AVERAGE(H6:H1198))/(STDEV(H6:H1198)+1E-12))</f>
        <v/>
      </c>
      <c r="J776" s="3">
        <f>IF('3a Raw'!G776="","",MAX(-3,MIN(3,('3a Raw'!G776-$J3)/$J4)))</f>
        <v/>
      </c>
      <c r="K776" s="3">
        <f>IF(J776="","",(J776-AVERAGE(J6:J1198))/(STDEV(J6:J1198)+1E-12))</f>
        <v/>
      </c>
      <c r="L776" s="3">
        <f>IF('3a Raw'!H776="","",MAX(-3,MIN(3,('3a Raw'!H776-$L3)/$L4)))</f>
        <v/>
      </c>
      <c r="M776" s="3">
        <f>IF(L776="","",(L776-AVERAGE(L6:L1198))/(STDEV(L6:L1198)+1E-12))</f>
        <v/>
      </c>
      <c r="N776" s="3">
        <f>IF('3a Raw'!I776="","",MAX(-3,MIN(3,('3a Raw'!I776-$N3)/$N4)))</f>
        <v/>
      </c>
      <c r="O776" s="3">
        <f>IF(N776="","",(N776-AVERAGE(N6:N1198))/(STDEV(N6:N1198)+1E-12))</f>
        <v/>
      </c>
      <c r="P776" s="3">
        <f>IF('3a Raw'!J776="","",MAX(-3,MIN(3,('3a Raw'!J776-$P3)/$P4)))</f>
        <v/>
      </c>
      <c r="Q776" s="3">
        <f>IF(P776="","",(P776-AVERAGE(P6:P1198))/(STDEV(P6:P1198)+1E-12))</f>
        <v/>
      </c>
      <c r="R776" s="3">
        <f>IF('3a Raw'!K776="","",MAX(-3,MIN(3,('3a Raw'!K776-$R3)/$R4)))</f>
        <v/>
      </c>
      <c r="S776" s="3">
        <f>IF(R776="","",(R776-AVERAGE(R6:R1198))/(STDEV(R6:R1198)+1E-12))</f>
        <v/>
      </c>
      <c r="T776" s="3">
        <f>IF('3a Raw'!L776="","",MAX(-3,MIN(3,('3a Raw'!L776-$T3)/$T4)))</f>
        <v/>
      </c>
      <c r="U776" s="3">
        <f>IF(T776="","",(T776-AVERAGE(T6:T1198))/(STDEV(T6:T1198)+1E-12))</f>
        <v/>
      </c>
      <c r="X776" s="3">
        <f>IF(U776="","",U776-($V$3*G776+$W$3))</f>
        <v/>
      </c>
      <c r="Y776" s="3">
        <f>IF(X776="","",MAX(-3,MIN(3,(X776-$X3)/$X4)))</f>
        <v/>
      </c>
      <c r="Z776" s="3">
        <f>IF(Y776="","",(Y776-AVERAGE(Y6:Y1198))/(STDEV(Y6:Y1198)+1E-12))</f>
        <v/>
      </c>
    </row>
    <row r="777">
      <c r="A777" t="inlineStr">
        <is>
          <t>nws</t>
        </is>
      </c>
      <c r="B777" s="3">
        <f>IF('3a Raw'!C777="","",MAX(-3,MIN(3,('3a Raw'!C777-$B3)/$B4)))</f>
        <v/>
      </c>
      <c r="C777" s="3">
        <f>IF(B777="","",(B777-AVERAGE(B6:B1198))/(STDEV(B6:B1198)+1E-12))</f>
        <v/>
      </c>
      <c r="D777" s="3">
        <f>IF('3a Raw'!D777="","",MAX(-3,MIN(3,('3a Raw'!D777-$D3)/$D4)))</f>
        <v/>
      </c>
      <c r="E777" s="3">
        <f>IF(D777="","",(D777-AVERAGE(D6:D1198))/(STDEV(D6:D1198)+1E-12))</f>
        <v/>
      </c>
      <c r="F777" s="3">
        <f>IF('3a Raw'!E777="","",MAX(-3,MIN(3,('3a Raw'!E777-$F3)/$F4)))</f>
        <v/>
      </c>
      <c r="G777" s="3">
        <f>IF(F777="","",(F777-AVERAGE(F6:F1198))/(STDEV(F6:F1198)+1E-12))</f>
        <v/>
      </c>
      <c r="H777" s="3">
        <f>IF('3a Raw'!F777="","",MAX(-3,MIN(3,('3a Raw'!F777-$H3)/$H4)))</f>
        <v/>
      </c>
      <c r="I777" s="3">
        <f>IF(H777="","",(H777-AVERAGE(H6:H1198))/(STDEV(H6:H1198)+1E-12))</f>
        <v/>
      </c>
      <c r="J777" s="3">
        <f>IF('3a Raw'!G777="","",MAX(-3,MIN(3,('3a Raw'!G777-$J3)/$J4)))</f>
        <v/>
      </c>
      <c r="K777" s="3">
        <f>IF(J777="","",(J777-AVERAGE(J6:J1198))/(STDEV(J6:J1198)+1E-12))</f>
        <v/>
      </c>
      <c r="L777" s="3">
        <f>IF('3a Raw'!H777="","",MAX(-3,MIN(3,('3a Raw'!H777-$L3)/$L4)))</f>
        <v/>
      </c>
      <c r="M777" s="3">
        <f>IF(L777="","",(L777-AVERAGE(L6:L1198))/(STDEV(L6:L1198)+1E-12))</f>
        <v/>
      </c>
      <c r="N777" s="3">
        <f>IF('3a Raw'!I777="","",MAX(-3,MIN(3,('3a Raw'!I777-$N3)/$N4)))</f>
        <v/>
      </c>
      <c r="O777" s="3">
        <f>IF(N777="","",(N777-AVERAGE(N6:N1198))/(STDEV(N6:N1198)+1E-12))</f>
        <v/>
      </c>
      <c r="P777" s="3">
        <f>IF('3a Raw'!J777="","",MAX(-3,MIN(3,('3a Raw'!J777-$P3)/$P4)))</f>
        <v/>
      </c>
      <c r="Q777" s="3">
        <f>IF(P777="","",(P777-AVERAGE(P6:P1198))/(STDEV(P6:P1198)+1E-12))</f>
        <v/>
      </c>
      <c r="R777" s="3">
        <f>IF('3a Raw'!K777="","",MAX(-3,MIN(3,('3a Raw'!K777-$R3)/$R4)))</f>
        <v/>
      </c>
      <c r="S777" s="3">
        <f>IF(R777="","",(R777-AVERAGE(R6:R1198))/(STDEV(R6:R1198)+1E-12))</f>
        <v/>
      </c>
      <c r="T777" s="3">
        <f>IF('3a Raw'!L777="","",MAX(-3,MIN(3,('3a Raw'!L777-$T3)/$T4)))</f>
        <v/>
      </c>
      <c r="U777" s="3">
        <f>IF(T777="","",(T777-AVERAGE(T6:T1198))/(STDEV(T6:T1198)+1E-12))</f>
        <v/>
      </c>
      <c r="X777" s="3">
        <f>IF(U777="","",U777-($V$3*G777+$W$3))</f>
        <v/>
      </c>
      <c r="Y777" s="3">
        <f>IF(X777="","",MAX(-3,MIN(3,(X777-$X3)/$X4)))</f>
        <v/>
      </c>
      <c r="Z777" s="3">
        <f>IF(Y777="","",(Y777-AVERAGE(Y6:Y1198))/(STDEV(Y6:Y1198)+1E-12))</f>
        <v/>
      </c>
    </row>
    <row r="778">
      <c r="A778" t="inlineStr">
        <is>
          <t>nwsa</t>
        </is>
      </c>
      <c r="B778" s="3">
        <f>IF('3a Raw'!C778="","",MAX(-3,MIN(3,('3a Raw'!C778-$B3)/$B4)))</f>
        <v/>
      </c>
      <c r="C778" s="3">
        <f>IF(B778="","",(B778-AVERAGE(B6:B1198))/(STDEV(B6:B1198)+1E-12))</f>
        <v/>
      </c>
      <c r="D778" s="3">
        <f>IF('3a Raw'!D778="","",MAX(-3,MIN(3,('3a Raw'!D778-$D3)/$D4)))</f>
        <v/>
      </c>
      <c r="E778" s="3">
        <f>IF(D778="","",(D778-AVERAGE(D6:D1198))/(STDEV(D6:D1198)+1E-12))</f>
        <v/>
      </c>
      <c r="F778" s="3">
        <f>IF('3a Raw'!E778="","",MAX(-3,MIN(3,('3a Raw'!E778-$F3)/$F4)))</f>
        <v/>
      </c>
      <c r="G778" s="3">
        <f>IF(F778="","",(F778-AVERAGE(F6:F1198))/(STDEV(F6:F1198)+1E-12))</f>
        <v/>
      </c>
      <c r="H778" s="3">
        <f>IF('3a Raw'!F778="","",MAX(-3,MIN(3,('3a Raw'!F778-$H3)/$H4)))</f>
        <v/>
      </c>
      <c r="I778" s="3">
        <f>IF(H778="","",(H778-AVERAGE(H6:H1198))/(STDEV(H6:H1198)+1E-12))</f>
        <v/>
      </c>
      <c r="J778" s="3">
        <f>IF('3a Raw'!G778="","",MAX(-3,MIN(3,('3a Raw'!G778-$J3)/$J4)))</f>
        <v/>
      </c>
      <c r="K778" s="3">
        <f>IF(J778="","",(J778-AVERAGE(J6:J1198))/(STDEV(J6:J1198)+1E-12))</f>
        <v/>
      </c>
      <c r="L778" s="3">
        <f>IF('3a Raw'!H778="","",MAX(-3,MIN(3,('3a Raw'!H778-$L3)/$L4)))</f>
        <v/>
      </c>
      <c r="M778" s="3">
        <f>IF(L778="","",(L778-AVERAGE(L6:L1198))/(STDEV(L6:L1198)+1E-12))</f>
        <v/>
      </c>
      <c r="N778" s="3">
        <f>IF('3a Raw'!I778="","",MAX(-3,MIN(3,('3a Raw'!I778-$N3)/$N4)))</f>
        <v/>
      </c>
      <c r="O778" s="3">
        <f>IF(N778="","",(N778-AVERAGE(N6:N1198))/(STDEV(N6:N1198)+1E-12))</f>
        <v/>
      </c>
      <c r="P778" s="3">
        <f>IF('3a Raw'!J778="","",MAX(-3,MIN(3,('3a Raw'!J778-$P3)/$P4)))</f>
        <v/>
      </c>
      <c r="Q778" s="3">
        <f>IF(P778="","",(P778-AVERAGE(P6:P1198))/(STDEV(P6:P1198)+1E-12))</f>
        <v/>
      </c>
      <c r="R778" s="3">
        <f>IF('3a Raw'!K778="","",MAX(-3,MIN(3,('3a Raw'!K778-$R3)/$R4)))</f>
        <v/>
      </c>
      <c r="S778" s="3">
        <f>IF(R778="","",(R778-AVERAGE(R6:R1198))/(STDEV(R6:R1198)+1E-12))</f>
        <v/>
      </c>
      <c r="T778" s="3">
        <f>IF('3a Raw'!L778="","",MAX(-3,MIN(3,('3a Raw'!L778-$T3)/$T4)))</f>
        <v/>
      </c>
      <c r="U778" s="3">
        <f>IF(T778="","",(T778-AVERAGE(T6:T1198))/(STDEV(T6:T1198)+1E-12))</f>
        <v/>
      </c>
      <c r="X778" s="3">
        <f>IF(U778="","",U778-($V$3*G778+$W$3))</f>
        <v/>
      </c>
      <c r="Y778" s="3">
        <f>IF(X778="","",MAX(-3,MIN(3,(X778-$X3)/$X4)))</f>
        <v/>
      </c>
      <c r="Z778" s="3">
        <f>IF(Y778="","",(Y778-AVERAGE(Y6:Y1198))/(STDEV(Y6:Y1198)+1E-12))</f>
        <v/>
      </c>
    </row>
    <row r="779">
      <c r="A779" t="inlineStr">
        <is>
          <t>nxpi</t>
        </is>
      </c>
      <c r="B779" s="3">
        <f>IF('3a Raw'!C779="","",MAX(-3,MIN(3,('3a Raw'!C779-$B3)/$B4)))</f>
        <v/>
      </c>
      <c r="C779" s="3">
        <f>IF(B779="","",(B779-AVERAGE(B6:B1198))/(STDEV(B6:B1198)+1E-12))</f>
        <v/>
      </c>
      <c r="D779" s="3">
        <f>IF('3a Raw'!D779="","",MAX(-3,MIN(3,('3a Raw'!D779-$D3)/$D4)))</f>
        <v/>
      </c>
      <c r="E779" s="3">
        <f>IF(D779="","",(D779-AVERAGE(D6:D1198))/(STDEV(D6:D1198)+1E-12))</f>
        <v/>
      </c>
      <c r="F779" s="3">
        <f>IF('3a Raw'!E779="","",MAX(-3,MIN(3,('3a Raw'!E779-$F3)/$F4)))</f>
        <v/>
      </c>
      <c r="G779" s="3">
        <f>IF(F779="","",(F779-AVERAGE(F6:F1198))/(STDEV(F6:F1198)+1E-12))</f>
        <v/>
      </c>
      <c r="H779" s="3">
        <f>IF('3a Raw'!F779="","",MAX(-3,MIN(3,('3a Raw'!F779-$H3)/$H4)))</f>
        <v/>
      </c>
      <c r="I779" s="3">
        <f>IF(H779="","",(H779-AVERAGE(H6:H1198))/(STDEV(H6:H1198)+1E-12))</f>
        <v/>
      </c>
      <c r="J779" s="3">
        <f>IF('3a Raw'!G779="","",MAX(-3,MIN(3,('3a Raw'!G779-$J3)/$J4)))</f>
        <v/>
      </c>
      <c r="K779" s="3">
        <f>IF(J779="","",(J779-AVERAGE(J6:J1198))/(STDEV(J6:J1198)+1E-12))</f>
        <v/>
      </c>
      <c r="L779" s="3">
        <f>IF('3a Raw'!H779="","",MAX(-3,MIN(3,('3a Raw'!H779-$L3)/$L4)))</f>
        <v/>
      </c>
      <c r="M779" s="3">
        <f>IF(L779="","",(L779-AVERAGE(L6:L1198))/(STDEV(L6:L1198)+1E-12))</f>
        <v/>
      </c>
      <c r="N779" s="3">
        <f>IF('3a Raw'!I779="","",MAX(-3,MIN(3,('3a Raw'!I779-$N3)/$N4)))</f>
        <v/>
      </c>
      <c r="O779" s="3">
        <f>IF(N779="","",(N779-AVERAGE(N6:N1198))/(STDEV(N6:N1198)+1E-12))</f>
        <v/>
      </c>
      <c r="P779" s="3">
        <f>IF('3a Raw'!J779="","",MAX(-3,MIN(3,('3a Raw'!J779-$P3)/$P4)))</f>
        <v/>
      </c>
      <c r="Q779" s="3">
        <f>IF(P779="","",(P779-AVERAGE(P6:P1198))/(STDEV(P6:P1198)+1E-12))</f>
        <v/>
      </c>
      <c r="R779" s="3">
        <f>IF('3a Raw'!K779="","",MAX(-3,MIN(3,('3a Raw'!K779-$R3)/$R4)))</f>
        <v/>
      </c>
      <c r="S779" s="3">
        <f>IF(R779="","",(R779-AVERAGE(R6:R1198))/(STDEV(R6:R1198)+1E-12))</f>
        <v/>
      </c>
      <c r="T779" s="3">
        <f>IF('3a Raw'!L779="","",MAX(-3,MIN(3,('3a Raw'!L779-$T3)/$T4)))</f>
        <v/>
      </c>
      <c r="U779" s="3">
        <f>IF(T779="","",(T779-AVERAGE(T6:T1198))/(STDEV(T6:T1198)+1E-12))</f>
        <v/>
      </c>
      <c r="X779" s="3">
        <f>IF(U779="","",U779-($V$3*G779+$W$3))</f>
        <v/>
      </c>
      <c r="Y779" s="3">
        <f>IF(X779="","",MAX(-3,MIN(3,(X779-$X3)/$X4)))</f>
        <v/>
      </c>
      <c r="Z779" s="3">
        <f>IF(Y779="","",(Y779-AVERAGE(Y6:Y1198))/(STDEV(Y6:Y1198)+1E-12))</f>
        <v/>
      </c>
    </row>
    <row r="780">
      <c r="A780" t="inlineStr">
        <is>
          <t>BBG00835TPZ2</t>
        </is>
      </c>
      <c r="B780" s="3">
        <f>IF('3a Raw'!C780="","",MAX(-3,MIN(3,('3a Raw'!C780-$B3)/$B4)))</f>
        <v/>
      </c>
      <c r="C780" s="3">
        <f>IF(B780="","",(B780-AVERAGE(B6:B1198))/(STDEV(B6:B1198)+1E-12))</f>
        <v/>
      </c>
      <c r="D780" s="3">
        <f>IF('3a Raw'!D780="","",MAX(-3,MIN(3,('3a Raw'!D780-$D3)/$D4)))</f>
        <v/>
      </c>
      <c r="E780" s="3">
        <f>IF(D780="","",(D780-AVERAGE(D6:D1198))/(STDEV(D6:D1198)+1E-12))</f>
        <v/>
      </c>
      <c r="F780" s="3">
        <f>IF('3a Raw'!E780="","",MAX(-3,MIN(3,('3a Raw'!E780-$F3)/$F4)))</f>
        <v/>
      </c>
      <c r="G780" s="3">
        <f>IF(F780="","",(F780-AVERAGE(F6:F1198))/(STDEV(F6:F1198)+1E-12))</f>
        <v/>
      </c>
      <c r="H780" s="3">
        <f>IF('3a Raw'!F780="","",MAX(-3,MIN(3,('3a Raw'!F780-$H3)/$H4)))</f>
        <v/>
      </c>
      <c r="I780" s="3">
        <f>IF(H780="","",(H780-AVERAGE(H6:H1198))/(STDEV(H6:H1198)+1E-12))</f>
        <v/>
      </c>
      <c r="J780" s="3">
        <f>IF('3a Raw'!G780="","",MAX(-3,MIN(3,('3a Raw'!G780-$J3)/$J4)))</f>
        <v/>
      </c>
      <c r="K780" s="3">
        <f>IF(J780="","",(J780-AVERAGE(J6:J1198))/(STDEV(J6:J1198)+1E-12))</f>
        <v/>
      </c>
      <c r="L780" s="3">
        <f>IF('3a Raw'!H780="","",MAX(-3,MIN(3,('3a Raw'!H780-$L3)/$L4)))</f>
        <v/>
      </c>
      <c r="M780" s="3">
        <f>IF(L780="","",(L780-AVERAGE(L6:L1198))/(STDEV(L6:L1198)+1E-12))</f>
        <v/>
      </c>
      <c r="N780" s="3">
        <f>IF('3a Raw'!I780="","",MAX(-3,MIN(3,('3a Raw'!I780-$N3)/$N4)))</f>
        <v/>
      </c>
      <c r="O780" s="3">
        <f>IF(N780="","",(N780-AVERAGE(N6:N1198))/(STDEV(N6:N1198)+1E-12))</f>
        <v/>
      </c>
      <c r="P780" s="3">
        <f>IF('3a Raw'!J780="","",MAX(-3,MIN(3,('3a Raw'!J780-$P3)/$P4)))</f>
        <v/>
      </c>
      <c r="Q780" s="3">
        <f>IF(P780="","",(P780-AVERAGE(P6:P1198))/(STDEV(P6:P1198)+1E-12))</f>
        <v/>
      </c>
      <c r="R780" s="3">
        <f>IF('3a Raw'!K780="","",MAX(-3,MIN(3,('3a Raw'!K780-$R3)/$R4)))</f>
        <v/>
      </c>
      <c r="S780" s="3">
        <f>IF(R780="","",(R780-AVERAGE(R6:R1198))/(STDEV(R6:R1198)+1E-12))</f>
        <v/>
      </c>
      <c r="T780" s="3">
        <f>IF('3a Raw'!L780="","",MAX(-3,MIN(3,('3a Raw'!L780-$T3)/$T4)))</f>
        <v/>
      </c>
      <c r="U780" s="3">
        <f>IF(T780="","",(T780-AVERAGE(T6:T1198))/(STDEV(T6:T1198)+1E-12))</f>
        <v/>
      </c>
      <c r="X780" s="3">
        <f>IF(U780="","",U780-($V$3*G780+$W$3))</f>
        <v/>
      </c>
      <c r="Y780" s="3">
        <f>IF(X780="","",MAX(-3,MIN(3,(X780-$X3)/$X4)))</f>
        <v/>
      </c>
      <c r="Z780" s="3">
        <f>IF(Y780="","",(Y780-AVERAGE(Y6:Y1198))/(STDEV(Y6:Y1198)+1E-12))</f>
        <v/>
      </c>
    </row>
    <row r="781">
      <c r="A781" t="inlineStr">
        <is>
          <t>BBG000FFC0B3</t>
        </is>
      </c>
      <c r="B781" s="3">
        <f>IF('3a Raw'!C781="","",MAX(-3,MIN(3,('3a Raw'!C781-$B3)/$B4)))</f>
        <v/>
      </c>
      <c r="C781" s="3">
        <f>IF(B781="","",(B781-AVERAGE(B6:B1198))/(STDEV(B6:B1198)+1E-12))</f>
        <v/>
      </c>
      <c r="D781" s="3">
        <f>IF('3a Raw'!D781="","",MAX(-3,MIN(3,('3a Raw'!D781-$D3)/$D4)))</f>
        <v/>
      </c>
      <c r="E781" s="3">
        <f>IF(D781="","",(D781-AVERAGE(D6:D1198))/(STDEV(D6:D1198)+1E-12))</f>
        <v/>
      </c>
      <c r="F781" s="3">
        <f>IF('3a Raw'!E781="","",MAX(-3,MIN(3,('3a Raw'!E781-$F3)/$F4)))</f>
        <v/>
      </c>
      <c r="G781" s="3">
        <f>IF(F781="","",(F781-AVERAGE(F6:F1198))/(STDEV(F6:F1198)+1E-12))</f>
        <v/>
      </c>
      <c r="H781" s="3">
        <f>IF('3a Raw'!F781="","",MAX(-3,MIN(3,('3a Raw'!F781-$H3)/$H4)))</f>
        <v/>
      </c>
      <c r="I781" s="3">
        <f>IF(H781="","",(H781-AVERAGE(H6:H1198))/(STDEV(H6:H1198)+1E-12))</f>
        <v/>
      </c>
      <c r="J781" s="3">
        <f>IF('3a Raw'!G781="","",MAX(-3,MIN(3,('3a Raw'!G781-$J3)/$J4)))</f>
        <v/>
      </c>
      <c r="K781" s="3">
        <f>IF(J781="","",(J781-AVERAGE(J6:J1198))/(STDEV(J6:J1198)+1E-12))</f>
        <v/>
      </c>
      <c r="L781" s="3">
        <f>IF('3a Raw'!H781="","",MAX(-3,MIN(3,('3a Raw'!H781-$L3)/$L4)))</f>
        <v/>
      </c>
      <c r="M781" s="3">
        <f>IF(L781="","",(L781-AVERAGE(L6:L1198))/(STDEV(L6:L1198)+1E-12))</f>
        <v/>
      </c>
      <c r="N781" s="3">
        <f>IF('3a Raw'!I781="","",MAX(-3,MIN(3,('3a Raw'!I781-$N3)/$N4)))</f>
        <v/>
      </c>
      <c r="O781" s="3">
        <f>IF(N781="","",(N781-AVERAGE(N6:N1198))/(STDEV(N6:N1198)+1E-12))</f>
        <v/>
      </c>
      <c r="P781" s="3">
        <f>IF('3a Raw'!J781="","",MAX(-3,MIN(3,('3a Raw'!J781-$P3)/$P4)))</f>
        <v/>
      </c>
      <c r="Q781" s="3">
        <f>IF(P781="","",(P781-AVERAGE(P6:P1198))/(STDEV(P6:P1198)+1E-12))</f>
        <v/>
      </c>
      <c r="R781" s="3">
        <f>IF('3a Raw'!K781="","",MAX(-3,MIN(3,('3a Raw'!K781-$R3)/$R4)))</f>
        <v/>
      </c>
      <c r="S781" s="3">
        <f>IF(R781="","",(R781-AVERAGE(R6:R1198))/(STDEV(R6:R1198)+1E-12))</f>
        <v/>
      </c>
      <c r="T781" s="3">
        <f>IF('3a Raw'!L781="","",MAX(-3,MIN(3,('3a Raw'!L781-$T3)/$T4)))</f>
        <v/>
      </c>
      <c r="U781" s="3">
        <f>IF(T781="","",(T781-AVERAGE(T6:T1198))/(STDEV(T6:T1198)+1E-12))</f>
        <v/>
      </c>
      <c r="X781" s="3">
        <f>IF(U781="","",U781-($V$3*G781+$W$3))</f>
        <v/>
      </c>
      <c r="Y781" s="3">
        <f>IF(X781="","",MAX(-3,MIN(3,(X781-$X3)/$X4)))</f>
        <v/>
      </c>
      <c r="Z781" s="3">
        <f>IF(Y781="","",(Y781-AVERAGE(Y6:Y1198))/(STDEV(Y6:Y1198)+1E-12))</f>
        <v/>
      </c>
    </row>
    <row r="782">
      <c r="A782" t="inlineStr">
        <is>
          <t>BBG000DHPN63</t>
        </is>
      </c>
      <c r="B782" s="3">
        <f>IF('3a Raw'!C782="","",MAX(-3,MIN(3,('3a Raw'!C782-$B3)/$B4)))</f>
        <v/>
      </c>
      <c r="C782" s="3">
        <f>IF(B782="","",(B782-AVERAGE(B6:B1198))/(STDEV(B6:B1198)+1E-12))</f>
        <v/>
      </c>
      <c r="D782" s="3">
        <f>IF('3a Raw'!D782="","",MAX(-3,MIN(3,('3a Raw'!D782-$D3)/$D4)))</f>
        <v/>
      </c>
      <c r="E782" s="3">
        <f>IF(D782="","",(D782-AVERAGE(D6:D1198))/(STDEV(D6:D1198)+1E-12))</f>
        <v/>
      </c>
      <c r="F782" s="3">
        <f>IF('3a Raw'!E782="","",MAX(-3,MIN(3,('3a Raw'!E782-$F3)/$F4)))</f>
        <v/>
      </c>
      <c r="G782" s="3">
        <f>IF(F782="","",(F782-AVERAGE(F6:F1198))/(STDEV(F6:F1198)+1E-12))</f>
        <v/>
      </c>
      <c r="H782" s="3">
        <f>IF('3a Raw'!F782="","",MAX(-3,MIN(3,('3a Raw'!F782-$H3)/$H4)))</f>
        <v/>
      </c>
      <c r="I782" s="3">
        <f>IF(H782="","",(H782-AVERAGE(H6:H1198))/(STDEV(H6:H1198)+1E-12))</f>
        <v/>
      </c>
      <c r="J782" s="3">
        <f>IF('3a Raw'!G782="","",MAX(-3,MIN(3,('3a Raw'!G782-$J3)/$J4)))</f>
        <v/>
      </c>
      <c r="K782" s="3">
        <f>IF(J782="","",(J782-AVERAGE(J6:J1198))/(STDEV(J6:J1198)+1E-12))</f>
        <v/>
      </c>
      <c r="L782" s="3">
        <f>IF('3a Raw'!H782="","",MAX(-3,MIN(3,('3a Raw'!H782-$L3)/$L4)))</f>
        <v/>
      </c>
      <c r="M782" s="3">
        <f>IF(L782="","",(L782-AVERAGE(L6:L1198))/(STDEV(L6:L1198)+1E-12))</f>
        <v/>
      </c>
      <c r="N782" s="3">
        <f>IF('3a Raw'!I782="","",MAX(-3,MIN(3,('3a Raw'!I782-$N3)/$N4)))</f>
        <v/>
      </c>
      <c r="O782" s="3">
        <f>IF(N782="","",(N782-AVERAGE(N6:N1198))/(STDEV(N6:N1198)+1E-12))</f>
        <v/>
      </c>
      <c r="P782" s="3">
        <f>IF('3a Raw'!J782="","",MAX(-3,MIN(3,('3a Raw'!J782-$P3)/$P4)))</f>
        <v/>
      </c>
      <c r="Q782" s="3">
        <f>IF(P782="","",(P782-AVERAGE(P6:P1198))/(STDEV(P6:P1198)+1E-12))</f>
        <v/>
      </c>
      <c r="R782" s="3">
        <f>IF('3a Raw'!K782="","",MAX(-3,MIN(3,('3a Raw'!K782-$R3)/$R4)))</f>
        <v/>
      </c>
      <c r="S782" s="3">
        <f>IF(R782="","",(R782-AVERAGE(R6:R1198))/(STDEV(R6:R1198)+1E-12))</f>
        <v/>
      </c>
      <c r="T782" s="3">
        <f>IF('3a Raw'!L782="","",MAX(-3,MIN(3,('3a Raw'!L782-$T3)/$T4)))</f>
        <v/>
      </c>
      <c r="U782" s="3">
        <f>IF(T782="","",(T782-AVERAGE(T6:T1198))/(STDEV(T6:T1198)+1E-12))</f>
        <v/>
      </c>
      <c r="X782" s="3">
        <f>IF(U782="","",U782-($V$3*G782+$W$3))</f>
        <v/>
      </c>
      <c r="Y782" s="3">
        <f>IF(X782="","",MAX(-3,MIN(3,(X782-$X3)/$X4)))</f>
        <v/>
      </c>
      <c r="Z782" s="3">
        <f>IF(Y782="","",(Y782-AVERAGE(Y6:Y1198))/(STDEV(Y6:Y1198)+1E-12))</f>
        <v/>
      </c>
    </row>
    <row r="783">
      <c r="A783" t="inlineStr">
        <is>
          <t>BBG00DB0XYC4</t>
        </is>
      </c>
      <c r="B783" s="3">
        <f>IF('3a Raw'!C783="","",MAX(-3,MIN(3,('3a Raw'!C783-$B3)/$B4)))</f>
        <v/>
      </c>
      <c r="C783" s="3">
        <f>IF(B783="","",(B783-AVERAGE(B6:B1198))/(STDEV(B6:B1198)+1E-12))</f>
        <v/>
      </c>
      <c r="D783" s="3">
        <f>IF('3a Raw'!D783="","",MAX(-3,MIN(3,('3a Raw'!D783-$D3)/$D4)))</f>
        <v/>
      </c>
      <c r="E783" s="3">
        <f>IF(D783="","",(D783-AVERAGE(D6:D1198))/(STDEV(D6:D1198)+1E-12))</f>
        <v/>
      </c>
      <c r="F783" s="3">
        <f>IF('3a Raw'!E783="","",MAX(-3,MIN(3,('3a Raw'!E783-$F3)/$F4)))</f>
        <v/>
      </c>
      <c r="G783" s="3">
        <f>IF(F783="","",(F783-AVERAGE(F6:F1198))/(STDEV(F6:F1198)+1E-12))</f>
        <v/>
      </c>
      <c r="H783" s="3">
        <f>IF('3a Raw'!F783="","",MAX(-3,MIN(3,('3a Raw'!F783-$H3)/$H4)))</f>
        <v/>
      </c>
      <c r="I783" s="3">
        <f>IF(H783="","",(H783-AVERAGE(H6:H1198))/(STDEV(H6:H1198)+1E-12))</f>
        <v/>
      </c>
      <c r="J783" s="3">
        <f>IF('3a Raw'!G783="","",MAX(-3,MIN(3,('3a Raw'!G783-$J3)/$J4)))</f>
        <v/>
      </c>
      <c r="K783" s="3">
        <f>IF(J783="","",(J783-AVERAGE(J6:J1198))/(STDEV(J6:J1198)+1E-12))</f>
        <v/>
      </c>
      <c r="L783" s="3">
        <f>IF('3a Raw'!H783="","",MAX(-3,MIN(3,('3a Raw'!H783-$L3)/$L4)))</f>
        <v/>
      </c>
      <c r="M783" s="3">
        <f>IF(L783="","",(L783-AVERAGE(L6:L1198))/(STDEV(L6:L1198)+1E-12))</f>
        <v/>
      </c>
      <c r="N783" s="3">
        <f>IF('3a Raw'!I783="","",MAX(-3,MIN(3,('3a Raw'!I783-$N3)/$N4)))</f>
        <v/>
      </c>
      <c r="O783" s="3">
        <f>IF(N783="","",(N783-AVERAGE(N6:N1198))/(STDEV(N6:N1198)+1E-12))</f>
        <v/>
      </c>
      <c r="P783" s="3">
        <f>IF('3a Raw'!J783="","",MAX(-3,MIN(3,('3a Raw'!J783-$P3)/$P4)))</f>
        <v/>
      </c>
      <c r="Q783" s="3">
        <f>IF(P783="","",(P783-AVERAGE(P6:P1198))/(STDEV(P6:P1198)+1E-12))</f>
        <v/>
      </c>
      <c r="R783" s="3">
        <f>IF('3a Raw'!K783="","",MAX(-3,MIN(3,('3a Raw'!K783-$R3)/$R4)))</f>
        <v/>
      </c>
      <c r="S783" s="3">
        <f>IF(R783="","",(R783-AVERAGE(R6:R1198))/(STDEV(R6:R1198)+1E-12))</f>
        <v/>
      </c>
      <c r="T783" s="3">
        <f>IF('3a Raw'!L783="","",MAX(-3,MIN(3,('3a Raw'!L783-$T3)/$T4)))</f>
        <v/>
      </c>
      <c r="U783" s="3">
        <f>IF(T783="","",(T783-AVERAGE(T6:T1198))/(STDEV(T6:T1198)+1E-12))</f>
        <v/>
      </c>
      <c r="X783" s="3">
        <f>IF(U783="","",U783-($V$3*G783+$W$3))</f>
        <v/>
      </c>
      <c r="Y783" s="3">
        <f>IF(X783="","",MAX(-3,MIN(3,(X783-$X3)/$X4)))</f>
        <v/>
      </c>
      <c r="Z783" s="3">
        <f>IF(Y783="","",(Y783-AVERAGE(Y6:Y1198))/(STDEV(Y6:Y1198)+1E-12))</f>
        <v/>
      </c>
    </row>
    <row r="784">
      <c r="A784" t="inlineStr">
        <is>
          <t>BBG000M44VW8</t>
        </is>
      </c>
      <c r="B784" s="3">
        <f>IF('3a Raw'!C784="","",MAX(-3,MIN(3,('3a Raw'!C784-$B3)/$B4)))</f>
        <v/>
      </c>
      <c r="C784" s="3">
        <f>IF(B784="","",(B784-AVERAGE(B6:B1198))/(STDEV(B6:B1198)+1E-12))</f>
        <v/>
      </c>
      <c r="D784" s="3">
        <f>IF('3a Raw'!D784="","",MAX(-3,MIN(3,('3a Raw'!D784-$D3)/$D4)))</f>
        <v/>
      </c>
      <c r="E784" s="3">
        <f>IF(D784="","",(D784-AVERAGE(D6:D1198))/(STDEV(D6:D1198)+1E-12))</f>
        <v/>
      </c>
      <c r="F784" s="3">
        <f>IF('3a Raw'!E784="","",MAX(-3,MIN(3,('3a Raw'!E784-$F3)/$F4)))</f>
        <v/>
      </c>
      <c r="G784" s="3">
        <f>IF(F784="","",(F784-AVERAGE(F6:F1198))/(STDEV(F6:F1198)+1E-12))</f>
        <v/>
      </c>
      <c r="H784" s="3">
        <f>IF('3a Raw'!F784="","",MAX(-3,MIN(3,('3a Raw'!F784-$H3)/$H4)))</f>
        <v/>
      </c>
      <c r="I784" s="3">
        <f>IF(H784="","",(H784-AVERAGE(H6:H1198))/(STDEV(H6:H1198)+1E-12))</f>
        <v/>
      </c>
      <c r="J784" s="3">
        <f>IF('3a Raw'!G784="","",MAX(-3,MIN(3,('3a Raw'!G784-$J3)/$J4)))</f>
        <v/>
      </c>
      <c r="K784" s="3">
        <f>IF(J784="","",(J784-AVERAGE(J6:J1198))/(STDEV(J6:J1198)+1E-12))</f>
        <v/>
      </c>
      <c r="L784" s="3">
        <f>IF('3a Raw'!H784="","",MAX(-3,MIN(3,('3a Raw'!H784-$L3)/$L4)))</f>
        <v/>
      </c>
      <c r="M784" s="3">
        <f>IF(L784="","",(L784-AVERAGE(L6:L1198))/(STDEV(L6:L1198)+1E-12))</f>
        <v/>
      </c>
      <c r="N784" s="3">
        <f>IF('3a Raw'!I784="","",MAX(-3,MIN(3,('3a Raw'!I784-$N3)/$N4)))</f>
        <v/>
      </c>
      <c r="O784" s="3">
        <f>IF(N784="","",(N784-AVERAGE(N6:N1198))/(STDEV(N6:N1198)+1E-12))</f>
        <v/>
      </c>
      <c r="P784" s="3">
        <f>IF('3a Raw'!J784="","",MAX(-3,MIN(3,('3a Raw'!J784-$P3)/$P4)))</f>
        <v/>
      </c>
      <c r="Q784" s="3">
        <f>IF(P784="","",(P784-AVERAGE(P6:P1198))/(STDEV(P6:P1198)+1E-12))</f>
        <v/>
      </c>
      <c r="R784" s="3">
        <f>IF('3a Raw'!K784="","",MAX(-3,MIN(3,('3a Raw'!K784-$R3)/$R4)))</f>
        <v/>
      </c>
      <c r="S784" s="3">
        <f>IF(R784="","",(R784-AVERAGE(R6:R1198))/(STDEV(R6:R1198)+1E-12))</f>
        <v/>
      </c>
      <c r="T784" s="3">
        <f>IF('3a Raw'!L784="","",MAX(-3,MIN(3,('3a Raw'!L784-$T3)/$T4)))</f>
        <v/>
      </c>
      <c r="U784" s="3">
        <f>IF(T784="","",(T784-AVERAGE(T6:T1198))/(STDEV(T6:T1198)+1E-12))</f>
        <v/>
      </c>
      <c r="X784" s="3">
        <f>IF(U784="","",U784-($V$3*G784+$W$3))</f>
        <v/>
      </c>
      <c r="Y784" s="3">
        <f>IF(X784="","",MAX(-3,MIN(3,(X784-$X3)/$X4)))</f>
        <v/>
      </c>
      <c r="Z784" s="3">
        <f>IF(Y784="","",(Y784-AVERAGE(Y6:Y1198))/(STDEV(Y6:Y1198)+1E-12))</f>
        <v/>
      </c>
    </row>
    <row r="785">
      <c r="A785" t="inlineStr">
        <is>
          <t>BBG000CHSS88</t>
        </is>
      </c>
      <c r="B785" s="3">
        <f>IF('3a Raw'!C785="","",MAX(-3,MIN(3,('3a Raw'!C785-$B3)/$B4)))</f>
        <v/>
      </c>
      <c r="C785" s="3">
        <f>IF(B785="","",(B785-AVERAGE(B6:B1198))/(STDEV(B6:B1198)+1E-12))</f>
        <v/>
      </c>
      <c r="D785" s="3">
        <f>IF('3a Raw'!D785="","",MAX(-3,MIN(3,('3a Raw'!D785-$D3)/$D4)))</f>
        <v/>
      </c>
      <c r="E785" s="3">
        <f>IF(D785="","",(D785-AVERAGE(D6:D1198))/(STDEV(D6:D1198)+1E-12))</f>
        <v/>
      </c>
      <c r="F785" s="3">
        <f>IF('3a Raw'!E785="","",MAX(-3,MIN(3,('3a Raw'!E785-$F3)/$F4)))</f>
        <v/>
      </c>
      <c r="G785" s="3">
        <f>IF(F785="","",(F785-AVERAGE(F6:F1198))/(STDEV(F6:F1198)+1E-12))</f>
        <v/>
      </c>
      <c r="H785" s="3">
        <f>IF('3a Raw'!F785="","",MAX(-3,MIN(3,('3a Raw'!F785-$H3)/$H4)))</f>
        <v/>
      </c>
      <c r="I785" s="3">
        <f>IF(H785="","",(H785-AVERAGE(H6:H1198))/(STDEV(H6:H1198)+1E-12))</f>
        <v/>
      </c>
      <c r="J785" s="3">
        <f>IF('3a Raw'!G785="","",MAX(-3,MIN(3,('3a Raw'!G785-$J3)/$J4)))</f>
        <v/>
      </c>
      <c r="K785" s="3">
        <f>IF(J785="","",(J785-AVERAGE(J6:J1198))/(STDEV(J6:J1198)+1E-12))</f>
        <v/>
      </c>
      <c r="L785" s="3">
        <f>IF('3a Raw'!H785="","",MAX(-3,MIN(3,('3a Raw'!H785-$L3)/$L4)))</f>
        <v/>
      </c>
      <c r="M785" s="3">
        <f>IF(L785="","",(L785-AVERAGE(L6:L1198))/(STDEV(L6:L1198)+1E-12))</f>
        <v/>
      </c>
      <c r="N785" s="3">
        <f>IF('3a Raw'!I785="","",MAX(-3,MIN(3,('3a Raw'!I785-$N3)/$N4)))</f>
        <v/>
      </c>
      <c r="O785" s="3">
        <f>IF(N785="","",(N785-AVERAGE(N6:N1198))/(STDEV(N6:N1198)+1E-12))</f>
        <v/>
      </c>
      <c r="P785" s="3">
        <f>IF('3a Raw'!J785="","",MAX(-3,MIN(3,('3a Raw'!J785-$P3)/$P4)))</f>
        <v/>
      </c>
      <c r="Q785" s="3">
        <f>IF(P785="","",(P785-AVERAGE(P6:P1198))/(STDEV(P6:P1198)+1E-12))</f>
        <v/>
      </c>
      <c r="R785" s="3">
        <f>IF('3a Raw'!K785="","",MAX(-3,MIN(3,('3a Raw'!K785-$R3)/$R4)))</f>
        <v/>
      </c>
      <c r="S785" s="3">
        <f>IF(R785="","",(R785-AVERAGE(R6:R1198))/(STDEV(R6:R1198)+1E-12))</f>
        <v/>
      </c>
      <c r="T785" s="3">
        <f>IF('3a Raw'!L785="","",MAX(-3,MIN(3,('3a Raw'!L785-$T3)/$T4)))</f>
        <v/>
      </c>
      <c r="U785" s="3">
        <f>IF(T785="","",(T785-AVERAGE(T6:T1198))/(STDEV(T6:T1198)+1E-12))</f>
        <v/>
      </c>
      <c r="X785" s="3">
        <f>IF(U785="","",U785-($V$3*G785+$W$3))</f>
        <v/>
      </c>
      <c r="Y785" s="3">
        <f>IF(X785="","",MAX(-3,MIN(3,(X785-$X3)/$X4)))</f>
        <v/>
      </c>
      <c r="Z785" s="3">
        <f>IF(Y785="","",(Y785-AVERAGE(Y6:Y1198))/(STDEV(Y6:Y1198)+1E-12))</f>
        <v/>
      </c>
    </row>
    <row r="786">
      <c r="A786" t="inlineStr">
        <is>
          <t>BBG00FY48ZN9</t>
        </is>
      </c>
      <c r="B786" s="3">
        <f>IF('3a Raw'!C786="","",MAX(-3,MIN(3,('3a Raw'!C786-$B3)/$B4)))</f>
        <v/>
      </c>
      <c r="C786" s="3">
        <f>IF(B786="","",(B786-AVERAGE(B6:B1198))/(STDEV(B6:B1198)+1E-12))</f>
        <v/>
      </c>
      <c r="D786" s="3">
        <f>IF('3a Raw'!D786="","",MAX(-3,MIN(3,('3a Raw'!D786-$D3)/$D4)))</f>
        <v/>
      </c>
      <c r="E786" s="3">
        <f>IF(D786="","",(D786-AVERAGE(D6:D1198))/(STDEV(D6:D1198)+1E-12))</f>
        <v/>
      </c>
      <c r="F786" s="3">
        <f>IF('3a Raw'!E786="","",MAX(-3,MIN(3,('3a Raw'!E786-$F3)/$F4)))</f>
        <v/>
      </c>
      <c r="G786" s="3">
        <f>IF(F786="","",(F786-AVERAGE(F6:F1198))/(STDEV(F6:F1198)+1E-12))</f>
        <v/>
      </c>
      <c r="H786" s="3">
        <f>IF('3a Raw'!F786="","",MAX(-3,MIN(3,('3a Raw'!F786-$H3)/$H4)))</f>
        <v/>
      </c>
      <c r="I786" s="3">
        <f>IF(H786="","",(H786-AVERAGE(H6:H1198))/(STDEV(H6:H1198)+1E-12))</f>
        <v/>
      </c>
      <c r="J786" s="3">
        <f>IF('3a Raw'!G786="","",MAX(-3,MIN(3,('3a Raw'!G786-$J3)/$J4)))</f>
        <v/>
      </c>
      <c r="K786" s="3">
        <f>IF(J786="","",(J786-AVERAGE(J6:J1198))/(STDEV(J6:J1198)+1E-12))</f>
        <v/>
      </c>
      <c r="L786" s="3">
        <f>IF('3a Raw'!H786="","",MAX(-3,MIN(3,('3a Raw'!H786-$L3)/$L4)))</f>
        <v/>
      </c>
      <c r="M786" s="3">
        <f>IF(L786="","",(L786-AVERAGE(L6:L1198))/(STDEV(L6:L1198)+1E-12))</f>
        <v/>
      </c>
      <c r="N786" s="3">
        <f>IF('3a Raw'!I786="","",MAX(-3,MIN(3,('3a Raw'!I786-$N3)/$N4)))</f>
        <v/>
      </c>
      <c r="O786" s="3">
        <f>IF(N786="","",(N786-AVERAGE(N6:N1198))/(STDEV(N6:N1198)+1E-12))</f>
        <v/>
      </c>
      <c r="P786" s="3">
        <f>IF('3a Raw'!J786="","",MAX(-3,MIN(3,('3a Raw'!J786-$P3)/$P4)))</f>
        <v/>
      </c>
      <c r="Q786" s="3">
        <f>IF(P786="","",(P786-AVERAGE(P6:P1198))/(STDEV(P6:P1198)+1E-12))</f>
        <v/>
      </c>
      <c r="R786" s="3">
        <f>IF('3a Raw'!K786="","",MAX(-3,MIN(3,('3a Raw'!K786-$R3)/$R4)))</f>
        <v/>
      </c>
      <c r="S786" s="3">
        <f>IF(R786="","",(R786-AVERAGE(R6:R1198))/(STDEV(R6:R1198)+1E-12))</f>
        <v/>
      </c>
      <c r="T786" s="3">
        <f>IF('3a Raw'!L786="","",MAX(-3,MIN(3,('3a Raw'!L786-$T3)/$T4)))</f>
        <v/>
      </c>
      <c r="U786" s="3">
        <f>IF(T786="","",(T786-AVERAGE(T6:T1198))/(STDEV(T6:T1198)+1E-12))</f>
        <v/>
      </c>
      <c r="X786" s="3">
        <f>IF(U786="","",U786-($V$3*G786+$W$3))</f>
        <v/>
      </c>
      <c r="Y786" s="3">
        <f>IF(X786="","",MAX(-3,MIN(3,(X786-$X3)/$X4)))</f>
        <v/>
      </c>
      <c r="Z786" s="3">
        <f>IF(Y786="","",(Y786-AVERAGE(Y6:Y1198))/(STDEV(Y6:Y1198)+1E-12))</f>
        <v/>
      </c>
    </row>
    <row r="787">
      <c r="A787" t="inlineStr">
        <is>
          <t>BBG000BQGLS5</t>
        </is>
      </c>
      <c r="B787" s="3">
        <f>IF('3a Raw'!C787="","",MAX(-3,MIN(3,('3a Raw'!C787-$B3)/$B4)))</f>
        <v/>
      </c>
      <c r="C787" s="3">
        <f>IF(B787="","",(B787-AVERAGE(B6:B1198))/(STDEV(B6:B1198)+1E-12))</f>
        <v/>
      </c>
      <c r="D787" s="3">
        <f>IF('3a Raw'!D787="","",MAX(-3,MIN(3,('3a Raw'!D787-$D3)/$D4)))</f>
        <v/>
      </c>
      <c r="E787" s="3">
        <f>IF(D787="","",(D787-AVERAGE(D6:D1198))/(STDEV(D6:D1198)+1E-12))</f>
        <v/>
      </c>
      <c r="F787" s="3">
        <f>IF('3a Raw'!E787="","",MAX(-3,MIN(3,('3a Raw'!E787-$F3)/$F4)))</f>
        <v/>
      </c>
      <c r="G787" s="3">
        <f>IF(F787="","",(F787-AVERAGE(F6:F1198))/(STDEV(F6:F1198)+1E-12))</f>
        <v/>
      </c>
      <c r="H787" s="3">
        <f>IF('3a Raw'!F787="","",MAX(-3,MIN(3,('3a Raw'!F787-$H3)/$H4)))</f>
        <v/>
      </c>
      <c r="I787" s="3">
        <f>IF(H787="","",(H787-AVERAGE(H6:H1198))/(STDEV(H6:H1198)+1E-12))</f>
        <v/>
      </c>
      <c r="J787" s="3">
        <f>IF('3a Raw'!G787="","",MAX(-3,MIN(3,('3a Raw'!G787-$J3)/$J4)))</f>
        <v/>
      </c>
      <c r="K787" s="3">
        <f>IF(J787="","",(J787-AVERAGE(J6:J1198))/(STDEV(J6:J1198)+1E-12))</f>
        <v/>
      </c>
      <c r="L787" s="3">
        <f>IF('3a Raw'!H787="","",MAX(-3,MIN(3,('3a Raw'!H787-$L3)/$L4)))</f>
        <v/>
      </c>
      <c r="M787" s="3">
        <f>IF(L787="","",(L787-AVERAGE(L6:L1198))/(STDEV(L6:L1198)+1E-12))</f>
        <v/>
      </c>
      <c r="N787" s="3">
        <f>IF('3a Raw'!I787="","",MAX(-3,MIN(3,('3a Raw'!I787-$N3)/$N4)))</f>
        <v/>
      </c>
      <c r="O787" s="3">
        <f>IF(N787="","",(N787-AVERAGE(N6:N1198))/(STDEV(N6:N1198)+1E-12))</f>
        <v/>
      </c>
      <c r="P787" s="3">
        <f>IF('3a Raw'!J787="","",MAX(-3,MIN(3,('3a Raw'!J787-$P3)/$P4)))</f>
        <v/>
      </c>
      <c r="Q787" s="3">
        <f>IF(P787="","",(P787-AVERAGE(P6:P1198))/(STDEV(P6:P1198)+1E-12))</f>
        <v/>
      </c>
      <c r="R787" s="3">
        <f>IF('3a Raw'!K787="","",MAX(-3,MIN(3,('3a Raw'!K787-$R3)/$R4)))</f>
        <v/>
      </c>
      <c r="S787" s="3">
        <f>IF(R787="","",(R787-AVERAGE(R6:R1198))/(STDEV(R6:R1198)+1E-12))</f>
        <v/>
      </c>
      <c r="T787" s="3">
        <f>IF('3a Raw'!L787="","",MAX(-3,MIN(3,('3a Raw'!L787-$T3)/$T4)))</f>
        <v/>
      </c>
      <c r="U787" s="3">
        <f>IF(T787="","",(T787-AVERAGE(T6:T1198))/(STDEV(T6:T1198)+1E-12))</f>
        <v/>
      </c>
      <c r="X787" s="3">
        <f>IF(U787="","",U787-($V$3*G787+$W$3))</f>
        <v/>
      </c>
      <c r="Y787" s="3">
        <f>IF(X787="","",MAX(-3,MIN(3,(X787-$X3)/$X4)))</f>
        <v/>
      </c>
      <c r="Z787" s="3">
        <f>IF(Y787="","",(Y787-AVERAGE(Y6:Y1198))/(STDEV(Y6:Y1198)+1E-12))</f>
        <v/>
      </c>
    </row>
    <row r="788">
      <c r="A788" t="inlineStr">
        <is>
          <t>BBG000BGBTC2</t>
        </is>
      </c>
      <c r="B788" s="3">
        <f>IF('3a Raw'!C788="","",MAX(-3,MIN(3,('3a Raw'!C788-$B3)/$B4)))</f>
        <v/>
      </c>
      <c r="C788" s="3">
        <f>IF(B788="","",(B788-AVERAGE(B6:B1198))/(STDEV(B6:B1198)+1E-12))</f>
        <v/>
      </c>
      <c r="D788" s="3">
        <f>IF('3a Raw'!D788="","",MAX(-3,MIN(3,('3a Raw'!D788-$D3)/$D4)))</f>
        <v/>
      </c>
      <c r="E788" s="3">
        <f>IF(D788="","",(D788-AVERAGE(D6:D1198))/(STDEV(D6:D1198)+1E-12))</f>
        <v/>
      </c>
      <c r="F788" s="3">
        <f>IF('3a Raw'!E788="","",MAX(-3,MIN(3,('3a Raw'!E788-$F3)/$F4)))</f>
        <v/>
      </c>
      <c r="G788" s="3">
        <f>IF(F788="","",(F788-AVERAGE(F6:F1198))/(STDEV(F6:F1198)+1E-12))</f>
        <v/>
      </c>
      <c r="H788" s="3">
        <f>IF('3a Raw'!F788="","",MAX(-3,MIN(3,('3a Raw'!F788-$H3)/$H4)))</f>
        <v/>
      </c>
      <c r="I788" s="3">
        <f>IF(H788="","",(H788-AVERAGE(H6:H1198))/(STDEV(H6:H1198)+1E-12))</f>
        <v/>
      </c>
      <c r="J788" s="3">
        <f>IF('3a Raw'!G788="","",MAX(-3,MIN(3,('3a Raw'!G788-$J3)/$J4)))</f>
        <v/>
      </c>
      <c r="K788" s="3">
        <f>IF(J788="","",(J788-AVERAGE(J6:J1198))/(STDEV(J6:J1198)+1E-12))</f>
        <v/>
      </c>
      <c r="L788" s="3">
        <f>IF('3a Raw'!H788="","",MAX(-3,MIN(3,('3a Raw'!H788-$L3)/$L4)))</f>
        <v/>
      </c>
      <c r="M788" s="3">
        <f>IF(L788="","",(L788-AVERAGE(L6:L1198))/(STDEV(L6:L1198)+1E-12))</f>
        <v/>
      </c>
      <c r="N788" s="3">
        <f>IF('3a Raw'!I788="","",MAX(-3,MIN(3,('3a Raw'!I788-$N3)/$N4)))</f>
        <v/>
      </c>
      <c r="O788" s="3">
        <f>IF(N788="","",(N788-AVERAGE(N6:N1198))/(STDEV(N6:N1198)+1E-12))</f>
        <v/>
      </c>
      <c r="P788" s="3">
        <f>IF('3a Raw'!J788="","",MAX(-3,MIN(3,('3a Raw'!J788-$P3)/$P4)))</f>
        <v/>
      </c>
      <c r="Q788" s="3">
        <f>IF(P788="","",(P788-AVERAGE(P6:P1198))/(STDEV(P6:P1198)+1E-12))</f>
        <v/>
      </c>
      <c r="R788" s="3">
        <f>IF('3a Raw'!K788="","",MAX(-3,MIN(3,('3a Raw'!K788-$R3)/$R4)))</f>
        <v/>
      </c>
      <c r="S788" s="3">
        <f>IF(R788="","",(R788-AVERAGE(R6:R1198))/(STDEV(R6:R1198)+1E-12))</f>
        <v/>
      </c>
      <c r="T788" s="3">
        <f>IF('3a Raw'!L788="","",MAX(-3,MIN(3,('3a Raw'!L788-$T3)/$T4)))</f>
        <v/>
      </c>
      <c r="U788" s="3">
        <f>IF(T788="","",(T788-AVERAGE(T6:T1198))/(STDEV(T6:T1198)+1E-12))</f>
        <v/>
      </c>
      <c r="X788" s="3">
        <f>IF(U788="","",U788-($V$3*G788+$W$3))</f>
        <v/>
      </c>
      <c r="Y788" s="3">
        <f>IF(X788="","",MAX(-3,MIN(3,(X788-$X3)/$X4)))</f>
        <v/>
      </c>
      <c r="Z788" s="3">
        <f>IF(Y788="","",(Y788-AVERAGE(Y6:Y1198))/(STDEV(Y6:Y1198)+1E-12))</f>
        <v/>
      </c>
    </row>
    <row r="789">
      <c r="A789" t="inlineStr">
        <is>
          <t>BBG000BQHGR6</t>
        </is>
      </c>
      <c r="B789" s="3">
        <f>IF('3a Raw'!C789="","",MAX(-3,MIN(3,('3a Raw'!C789-$B3)/$B4)))</f>
        <v/>
      </c>
      <c r="C789" s="3">
        <f>IF(B789="","",(B789-AVERAGE(B6:B1198))/(STDEV(B6:B1198)+1E-12))</f>
        <v/>
      </c>
      <c r="D789" s="3">
        <f>IF('3a Raw'!D789="","",MAX(-3,MIN(3,('3a Raw'!D789-$D3)/$D4)))</f>
        <v/>
      </c>
      <c r="E789" s="3">
        <f>IF(D789="","",(D789-AVERAGE(D6:D1198))/(STDEV(D6:D1198)+1E-12))</f>
        <v/>
      </c>
      <c r="F789" s="3">
        <f>IF('3a Raw'!E789="","",MAX(-3,MIN(3,('3a Raw'!E789-$F3)/$F4)))</f>
        <v/>
      </c>
      <c r="G789" s="3">
        <f>IF(F789="","",(F789-AVERAGE(F6:F1198))/(STDEV(F6:F1198)+1E-12))</f>
        <v/>
      </c>
      <c r="H789" s="3">
        <f>IF('3a Raw'!F789="","",MAX(-3,MIN(3,('3a Raw'!F789-$H3)/$H4)))</f>
        <v/>
      </c>
      <c r="I789" s="3">
        <f>IF(H789="","",(H789-AVERAGE(H6:H1198))/(STDEV(H6:H1198)+1E-12))</f>
        <v/>
      </c>
      <c r="J789" s="3">
        <f>IF('3a Raw'!G789="","",MAX(-3,MIN(3,('3a Raw'!G789-$J3)/$J4)))</f>
        <v/>
      </c>
      <c r="K789" s="3">
        <f>IF(J789="","",(J789-AVERAGE(J6:J1198))/(STDEV(J6:J1198)+1E-12))</f>
        <v/>
      </c>
      <c r="L789" s="3">
        <f>IF('3a Raw'!H789="","",MAX(-3,MIN(3,('3a Raw'!H789-$L3)/$L4)))</f>
        <v/>
      </c>
      <c r="M789" s="3">
        <f>IF(L789="","",(L789-AVERAGE(L6:L1198))/(STDEV(L6:L1198)+1E-12))</f>
        <v/>
      </c>
      <c r="N789" s="3">
        <f>IF('3a Raw'!I789="","",MAX(-3,MIN(3,('3a Raw'!I789-$N3)/$N4)))</f>
        <v/>
      </c>
      <c r="O789" s="3">
        <f>IF(N789="","",(N789-AVERAGE(N6:N1198))/(STDEV(N6:N1198)+1E-12))</f>
        <v/>
      </c>
      <c r="P789" s="3">
        <f>IF('3a Raw'!J789="","",MAX(-3,MIN(3,('3a Raw'!J789-$P3)/$P4)))</f>
        <v/>
      </c>
      <c r="Q789" s="3">
        <f>IF(P789="","",(P789-AVERAGE(P6:P1198))/(STDEV(P6:P1198)+1E-12))</f>
        <v/>
      </c>
      <c r="R789" s="3">
        <f>IF('3a Raw'!K789="","",MAX(-3,MIN(3,('3a Raw'!K789-$R3)/$R4)))</f>
        <v/>
      </c>
      <c r="S789" s="3">
        <f>IF(R789="","",(R789-AVERAGE(R6:R1198))/(STDEV(R6:R1198)+1E-12))</f>
        <v/>
      </c>
      <c r="T789" s="3">
        <f>IF('3a Raw'!L789="","",MAX(-3,MIN(3,('3a Raw'!L789-$T3)/$T4)))</f>
        <v/>
      </c>
      <c r="U789" s="3">
        <f>IF(T789="","",(T789-AVERAGE(T6:T1198))/(STDEV(T6:T1198)+1E-12))</f>
        <v/>
      </c>
      <c r="X789" s="3">
        <f>IF(U789="","",U789-($V$3*G789+$W$3))</f>
        <v/>
      </c>
      <c r="Y789" s="3">
        <f>IF(X789="","",MAX(-3,MIN(3,(X789-$X3)/$X4)))</f>
        <v/>
      </c>
      <c r="Z789" s="3">
        <f>IF(Y789="","",(Y789-AVERAGE(Y6:Y1198))/(STDEV(Y6:Y1198)+1E-12))</f>
        <v/>
      </c>
    </row>
    <row r="790">
      <c r="A790" t="inlineStr">
        <is>
          <t>BBG0112CBLW3</t>
        </is>
      </c>
      <c r="B790" s="3">
        <f>IF('3a Raw'!C790="","",MAX(-3,MIN(3,('3a Raw'!C790-$B3)/$B4)))</f>
        <v/>
      </c>
      <c r="C790" s="3">
        <f>IF(B790="","",(B790-AVERAGE(B6:B1198))/(STDEV(B6:B1198)+1E-12))</f>
        <v/>
      </c>
      <c r="D790" s="3">
        <f>IF('3a Raw'!D790="","",MAX(-3,MIN(3,('3a Raw'!D790-$D3)/$D4)))</f>
        <v/>
      </c>
      <c r="E790" s="3">
        <f>IF(D790="","",(D790-AVERAGE(D6:D1198))/(STDEV(D6:D1198)+1E-12))</f>
        <v/>
      </c>
      <c r="F790" s="3">
        <f>IF('3a Raw'!E790="","",MAX(-3,MIN(3,('3a Raw'!E790-$F3)/$F4)))</f>
        <v/>
      </c>
      <c r="G790" s="3">
        <f>IF(F790="","",(F790-AVERAGE(F6:F1198))/(STDEV(F6:F1198)+1E-12))</f>
        <v/>
      </c>
      <c r="H790" s="3">
        <f>IF('3a Raw'!F790="","",MAX(-3,MIN(3,('3a Raw'!F790-$H3)/$H4)))</f>
        <v/>
      </c>
      <c r="I790" s="3">
        <f>IF(H790="","",(H790-AVERAGE(H6:H1198))/(STDEV(H6:H1198)+1E-12))</f>
        <v/>
      </c>
      <c r="J790" s="3">
        <f>IF('3a Raw'!G790="","",MAX(-3,MIN(3,('3a Raw'!G790-$J3)/$J4)))</f>
        <v/>
      </c>
      <c r="K790" s="3">
        <f>IF(J790="","",(J790-AVERAGE(J6:J1198))/(STDEV(J6:J1198)+1E-12))</f>
        <v/>
      </c>
      <c r="L790" s="3">
        <f>IF('3a Raw'!H790="","",MAX(-3,MIN(3,('3a Raw'!H790-$L3)/$L4)))</f>
        <v/>
      </c>
      <c r="M790" s="3">
        <f>IF(L790="","",(L790-AVERAGE(L6:L1198))/(STDEV(L6:L1198)+1E-12))</f>
        <v/>
      </c>
      <c r="N790" s="3">
        <f>IF('3a Raw'!I790="","",MAX(-3,MIN(3,('3a Raw'!I790-$N3)/$N4)))</f>
        <v/>
      </c>
      <c r="O790" s="3">
        <f>IF(N790="","",(N790-AVERAGE(N6:N1198))/(STDEV(N6:N1198)+1E-12))</f>
        <v/>
      </c>
      <c r="P790" s="3">
        <f>IF('3a Raw'!J790="","",MAX(-3,MIN(3,('3a Raw'!J790-$P3)/$P4)))</f>
        <v/>
      </c>
      <c r="Q790" s="3">
        <f>IF(P790="","",(P790-AVERAGE(P6:P1198))/(STDEV(P6:P1198)+1E-12))</f>
        <v/>
      </c>
      <c r="R790" s="3">
        <f>IF('3a Raw'!K790="","",MAX(-3,MIN(3,('3a Raw'!K790-$R3)/$R4)))</f>
        <v/>
      </c>
      <c r="S790" s="3">
        <f>IF(R790="","",(R790-AVERAGE(R6:R1198))/(STDEV(R6:R1198)+1E-12))</f>
        <v/>
      </c>
      <c r="T790" s="3">
        <f>IF('3a Raw'!L790="","",MAX(-3,MIN(3,('3a Raw'!L790-$T3)/$T4)))</f>
        <v/>
      </c>
      <c r="U790" s="3">
        <f>IF(T790="","",(T790-AVERAGE(T6:T1198))/(STDEV(T6:T1198)+1E-12))</f>
        <v/>
      </c>
      <c r="X790" s="3">
        <f>IF(U790="","",U790-($V$3*G790+$W$3))</f>
        <v/>
      </c>
      <c r="Y790" s="3">
        <f>IF(X790="","",MAX(-3,MIN(3,(X790-$X3)/$X4)))</f>
        <v/>
      </c>
      <c r="Z790" s="3">
        <f>IF(Y790="","",(Y790-AVERAGE(Y6:Y1198))/(STDEV(Y6:Y1198)+1E-12))</f>
        <v/>
      </c>
    </row>
    <row r="791">
      <c r="A791" t="inlineStr">
        <is>
          <t>BBG001YV1SM4</t>
        </is>
      </c>
      <c r="B791" s="3">
        <f>IF('3a Raw'!C791="","",MAX(-3,MIN(3,('3a Raw'!C791-$B3)/$B4)))</f>
        <v/>
      </c>
      <c r="C791" s="3">
        <f>IF(B791="","",(B791-AVERAGE(B6:B1198))/(STDEV(B6:B1198)+1E-12))</f>
        <v/>
      </c>
      <c r="D791" s="3">
        <f>IF('3a Raw'!D791="","",MAX(-3,MIN(3,('3a Raw'!D791-$D3)/$D4)))</f>
        <v/>
      </c>
      <c r="E791" s="3">
        <f>IF(D791="","",(D791-AVERAGE(D6:D1198))/(STDEV(D6:D1198)+1E-12))</f>
        <v/>
      </c>
      <c r="F791" s="3">
        <f>IF('3a Raw'!E791="","",MAX(-3,MIN(3,('3a Raw'!E791-$F3)/$F4)))</f>
        <v/>
      </c>
      <c r="G791" s="3">
        <f>IF(F791="","",(F791-AVERAGE(F6:F1198))/(STDEV(F6:F1198)+1E-12))</f>
        <v/>
      </c>
      <c r="H791" s="3">
        <f>IF('3a Raw'!F791="","",MAX(-3,MIN(3,('3a Raw'!F791-$H3)/$H4)))</f>
        <v/>
      </c>
      <c r="I791" s="3">
        <f>IF(H791="","",(H791-AVERAGE(H6:H1198))/(STDEV(H6:H1198)+1E-12))</f>
        <v/>
      </c>
      <c r="J791" s="3">
        <f>IF('3a Raw'!G791="","",MAX(-3,MIN(3,('3a Raw'!G791-$J3)/$J4)))</f>
        <v/>
      </c>
      <c r="K791" s="3">
        <f>IF(J791="","",(J791-AVERAGE(J6:J1198))/(STDEV(J6:J1198)+1E-12))</f>
        <v/>
      </c>
      <c r="L791" s="3">
        <f>IF('3a Raw'!H791="","",MAX(-3,MIN(3,('3a Raw'!H791-$L3)/$L4)))</f>
        <v/>
      </c>
      <c r="M791" s="3">
        <f>IF(L791="","",(L791-AVERAGE(L6:L1198))/(STDEV(L6:L1198)+1E-12))</f>
        <v/>
      </c>
      <c r="N791" s="3">
        <f>IF('3a Raw'!I791="","",MAX(-3,MIN(3,('3a Raw'!I791-$N3)/$N4)))</f>
        <v/>
      </c>
      <c r="O791" s="3">
        <f>IF(N791="","",(N791-AVERAGE(N6:N1198))/(STDEV(N6:N1198)+1E-12))</f>
        <v/>
      </c>
      <c r="P791" s="3">
        <f>IF('3a Raw'!J791="","",MAX(-3,MIN(3,('3a Raw'!J791-$P3)/$P4)))</f>
        <v/>
      </c>
      <c r="Q791" s="3">
        <f>IF(P791="","",(P791-AVERAGE(P6:P1198))/(STDEV(P6:P1198)+1E-12))</f>
        <v/>
      </c>
      <c r="R791" s="3">
        <f>IF('3a Raw'!K791="","",MAX(-3,MIN(3,('3a Raw'!K791-$R3)/$R4)))</f>
        <v/>
      </c>
      <c r="S791" s="3">
        <f>IF(R791="","",(R791-AVERAGE(R6:R1198))/(STDEV(R6:R1198)+1E-12))</f>
        <v/>
      </c>
      <c r="T791" s="3">
        <f>IF('3a Raw'!L791="","",MAX(-3,MIN(3,('3a Raw'!L791-$T3)/$T4)))</f>
        <v/>
      </c>
      <c r="U791" s="3">
        <f>IF(T791="","",(T791-AVERAGE(T6:T1198))/(STDEV(T6:T1198)+1E-12))</f>
        <v/>
      </c>
      <c r="X791" s="3">
        <f>IF(U791="","",U791-($V$3*G791+$W$3))</f>
        <v/>
      </c>
      <c r="Y791" s="3">
        <f>IF(X791="","",MAX(-3,MIN(3,(X791-$X3)/$X4)))</f>
        <v/>
      </c>
      <c r="Z791" s="3">
        <f>IF(Y791="","",(Y791-AVERAGE(Y6:Y1198))/(STDEV(Y6:Y1198)+1E-12))</f>
        <v/>
      </c>
    </row>
    <row r="792">
      <c r="A792" t="inlineStr">
        <is>
          <t>BBG000BQHTV3</t>
        </is>
      </c>
      <c r="B792" s="3">
        <f>IF('3a Raw'!C792="","",MAX(-3,MIN(3,('3a Raw'!C792-$B3)/$B4)))</f>
        <v/>
      </c>
      <c r="C792" s="3">
        <f>IF(B792="","",(B792-AVERAGE(B6:B1198))/(STDEV(B6:B1198)+1E-12))</f>
        <v/>
      </c>
      <c r="D792" s="3">
        <f>IF('3a Raw'!D792="","",MAX(-3,MIN(3,('3a Raw'!D792-$D3)/$D4)))</f>
        <v/>
      </c>
      <c r="E792" s="3">
        <f>IF(D792="","",(D792-AVERAGE(D6:D1198))/(STDEV(D6:D1198)+1E-12))</f>
        <v/>
      </c>
      <c r="F792" s="3">
        <f>IF('3a Raw'!E792="","",MAX(-3,MIN(3,('3a Raw'!E792-$F3)/$F4)))</f>
        <v/>
      </c>
      <c r="G792" s="3">
        <f>IF(F792="","",(F792-AVERAGE(F6:F1198))/(STDEV(F6:F1198)+1E-12))</f>
        <v/>
      </c>
      <c r="H792" s="3">
        <f>IF('3a Raw'!F792="","",MAX(-3,MIN(3,('3a Raw'!F792-$H3)/$H4)))</f>
        <v/>
      </c>
      <c r="I792" s="3">
        <f>IF(H792="","",(H792-AVERAGE(H6:H1198))/(STDEV(H6:H1198)+1E-12))</f>
        <v/>
      </c>
      <c r="J792" s="3">
        <f>IF('3a Raw'!G792="","",MAX(-3,MIN(3,('3a Raw'!G792-$J3)/$J4)))</f>
        <v/>
      </c>
      <c r="K792" s="3">
        <f>IF(J792="","",(J792-AVERAGE(J6:J1198))/(STDEV(J6:J1198)+1E-12))</f>
        <v/>
      </c>
      <c r="L792" s="3">
        <f>IF('3a Raw'!H792="","",MAX(-3,MIN(3,('3a Raw'!H792-$L3)/$L4)))</f>
        <v/>
      </c>
      <c r="M792" s="3">
        <f>IF(L792="","",(L792-AVERAGE(L6:L1198))/(STDEV(L6:L1198)+1E-12))</f>
        <v/>
      </c>
      <c r="N792" s="3">
        <f>IF('3a Raw'!I792="","",MAX(-3,MIN(3,('3a Raw'!I792-$N3)/$N4)))</f>
        <v/>
      </c>
      <c r="O792" s="3">
        <f>IF(N792="","",(N792-AVERAGE(N6:N1198))/(STDEV(N6:N1198)+1E-12))</f>
        <v/>
      </c>
      <c r="P792" s="3">
        <f>IF('3a Raw'!J792="","",MAX(-3,MIN(3,('3a Raw'!J792-$P3)/$P4)))</f>
        <v/>
      </c>
      <c r="Q792" s="3">
        <f>IF(P792="","",(P792-AVERAGE(P6:P1198))/(STDEV(P6:P1198)+1E-12))</f>
        <v/>
      </c>
      <c r="R792" s="3">
        <f>IF('3a Raw'!K792="","",MAX(-3,MIN(3,('3a Raw'!K792-$R3)/$R4)))</f>
        <v/>
      </c>
      <c r="S792" s="3">
        <f>IF(R792="","",(R792-AVERAGE(R6:R1198))/(STDEV(R6:R1198)+1E-12))</f>
        <v/>
      </c>
      <c r="T792" s="3">
        <f>IF('3a Raw'!L792="","",MAX(-3,MIN(3,('3a Raw'!L792-$T3)/$T4)))</f>
        <v/>
      </c>
      <c r="U792" s="3">
        <f>IF(T792="","",(T792-AVERAGE(T6:T1198))/(STDEV(T6:T1198)+1E-12))</f>
        <v/>
      </c>
      <c r="X792" s="3">
        <f>IF(U792="","",U792-($V$3*G792+$W$3))</f>
        <v/>
      </c>
      <c r="Y792" s="3">
        <f>IF(X792="","",MAX(-3,MIN(3,(X792-$X3)/$X4)))</f>
        <v/>
      </c>
      <c r="Z792" s="3">
        <f>IF(Y792="","",(Y792-AVERAGE(Y6:Y1198))/(STDEV(Y6:Y1198)+1E-12))</f>
        <v/>
      </c>
    </row>
    <row r="793">
      <c r="A793" t="inlineStr">
        <is>
          <t>omc</t>
        </is>
      </c>
      <c r="B793" s="3">
        <f>IF('3a Raw'!C793="","",MAX(-3,MIN(3,('3a Raw'!C793-$B3)/$B4)))</f>
        <v/>
      </c>
      <c r="C793" s="3">
        <f>IF(B793="","",(B793-AVERAGE(B6:B1198))/(STDEV(B6:B1198)+1E-12))</f>
        <v/>
      </c>
      <c r="D793" s="3">
        <f>IF('3a Raw'!D793="","",MAX(-3,MIN(3,('3a Raw'!D793-$D3)/$D4)))</f>
        <v/>
      </c>
      <c r="E793" s="3">
        <f>IF(D793="","",(D793-AVERAGE(D6:D1198))/(STDEV(D6:D1198)+1E-12))</f>
        <v/>
      </c>
      <c r="F793" s="3">
        <f>IF('3a Raw'!E793="","",MAX(-3,MIN(3,('3a Raw'!E793-$F3)/$F4)))</f>
        <v/>
      </c>
      <c r="G793" s="3">
        <f>IF(F793="","",(F793-AVERAGE(F6:F1198))/(STDEV(F6:F1198)+1E-12))</f>
        <v/>
      </c>
      <c r="H793" s="3">
        <f>IF('3a Raw'!F793="","",MAX(-3,MIN(3,('3a Raw'!F793-$H3)/$H4)))</f>
        <v/>
      </c>
      <c r="I793" s="3">
        <f>IF(H793="","",(H793-AVERAGE(H6:H1198))/(STDEV(H6:H1198)+1E-12))</f>
        <v/>
      </c>
      <c r="J793" s="3">
        <f>IF('3a Raw'!G793="","",MAX(-3,MIN(3,('3a Raw'!G793-$J3)/$J4)))</f>
        <v/>
      </c>
      <c r="K793" s="3">
        <f>IF(J793="","",(J793-AVERAGE(J6:J1198))/(STDEV(J6:J1198)+1E-12))</f>
        <v/>
      </c>
      <c r="L793" s="3">
        <f>IF('3a Raw'!H793="","",MAX(-3,MIN(3,('3a Raw'!H793-$L3)/$L4)))</f>
        <v/>
      </c>
      <c r="M793" s="3">
        <f>IF(L793="","",(L793-AVERAGE(L6:L1198))/(STDEV(L6:L1198)+1E-12))</f>
        <v/>
      </c>
      <c r="N793" s="3">
        <f>IF('3a Raw'!I793="","",MAX(-3,MIN(3,('3a Raw'!I793-$N3)/$N4)))</f>
        <v/>
      </c>
      <c r="O793" s="3">
        <f>IF(N793="","",(N793-AVERAGE(N6:N1198))/(STDEV(N6:N1198)+1E-12))</f>
        <v/>
      </c>
      <c r="P793" s="3">
        <f>IF('3a Raw'!J793="","",MAX(-3,MIN(3,('3a Raw'!J793-$P3)/$P4)))</f>
        <v/>
      </c>
      <c r="Q793" s="3">
        <f>IF(P793="","",(P793-AVERAGE(P6:P1198))/(STDEV(P6:P1198)+1E-12))</f>
        <v/>
      </c>
      <c r="R793" s="3">
        <f>IF('3a Raw'!K793="","",MAX(-3,MIN(3,('3a Raw'!K793-$R3)/$R4)))</f>
        <v/>
      </c>
      <c r="S793" s="3">
        <f>IF(R793="","",(R793-AVERAGE(R6:R1198))/(STDEV(R6:R1198)+1E-12))</f>
        <v/>
      </c>
      <c r="T793" s="3">
        <f>IF('3a Raw'!L793="","",MAX(-3,MIN(3,('3a Raw'!L793-$T3)/$T4)))</f>
        <v/>
      </c>
      <c r="U793" s="3">
        <f>IF(T793="","",(T793-AVERAGE(T6:T1198))/(STDEV(T6:T1198)+1E-12))</f>
        <v/>
      </c>
      <c r="X793" s="3">
        <f>IF(U793="","",U793-($V$3*G793+$W$3))</f>
        <v/>
      </c>
      <c r="Y793" s="3">
        <f>IF(X793="","",MAX(-3,MIN(3,(X793-$X3)/$X4)))</f>
        <v/>
      </c>
      <c r="Z793" s="3">
        <f>IF(Y793="","",(Y793-AVERAGE(Y6:Y1198))/(STDEV(Y6:Y1198)+1E-12))</f>
        <v/>
      </c>
    </row>
    <row r="794">
      <c r="A794" t="inlineStr">
        <is>
          <t>BBG000BTNGZ4</t>
        </is>
      </c>
      <c r="B794" s="3">
        <f>IF('3a Raw'!C794="","",MAX(-3,MIN(3,('3a Raw'!C794-$B3)/$B4)))</f>
        <v/>
      </c>
      <c r="C794" s="3">
        <f>IF(B794="","",(B794-AVERAGE(B6:B1198))/(STDEV(B6:B1198)+1E-12))</f>
        <v/>
      </c>
      <c r="D794" s="3">
        <f>IF('3a Raw'!D794="","",MAX(-3,MIN(3,('3a Raw'!D794-$D3)/$D4)))</f>
        <v/>
      </c>
      <c r="E794" s="3">
        <f>IF(D794="","",(D794-AVERAGE(D6:D1198))/(STDEV(D6:D1198)+1E-12))</f>
        <v/>
      </c>
      <c r="F794" s="3">
        <f>IF('3a Raw'!E794="","",MAX(-3,MIN(3,('3a Raw'!E794-$F3)/$F4)))</f>
        <v/>
      </c>
      <c r="G794" s="3">
        <f>IF(F794="","",(F794-AVERAGE(F6:F1198))/(STDEV(F6:F1198)+1E-12))</f>
        <v/>
      </c>
      <c r="H794" s="3">
        <f>IF('3a Raw'!F794="","",MAX(-3,MIN(3,('3a Raw'!F794-$H3)/$H4)))</f>
        <v/>
      </c>
      <c r="I794" s="3">
        <f>IF(H794="","",(H794-AVERAGE(H6:H1198))/(STDEV(H6:H1198)+1E-12))</f>
        <v/>
      </c>
      <c r="J794" s="3">
        <f>IF('3a Raw'!G794="","",MAX(-3,MIN(3,('3a Raw'!G794-$J3)/$J4)))</f>
        <v/>
      </c>
      <c r="K794" s="3">
        <f>IF(J794="","",(J794-AVERAGE(J6:J1198))/(STDEV(J6:J1198)+1E-12))</f>
        <v/>
      </c>
      <c r="L794" s="3">
        <f>IF('3a Raw'!H794="","",MAX(-3,MIN(3,('3a Raw'!H794-$L3)/$L4)))</f>
        <v/>
      </c>
      <c r="M794" s="3">
        <f>IF(L794="","",(L794-AVERAGE(L6:L1198))/(STDEV(L6:L1198)+1E-12))</f>
        <v/>
      </c>
      <c r="N794" s="3">
        <f>IF('3a Raw'!I794="","",MAX(-3,MIN(3,('3a Raw'!I794-$N3)/$N4)))</f>
        <v/>
      </c>
      <c r="O794" s="3">
        <f>IF(N794="","",(N794-AVERAGE(N6:N1198))/(STDEV(N6:N1198)+1E-12))</f>
        <v/>
      </c>
      <c r="P794" s="3">
        <f>IF('3a Raw'!J794="","",MAX(-3,MIN(3,('3a Raw'!J794-$P3)/$P4)))</f>
        <v/>
      </c>
      <c r="Q794" s="3">
        <f>IF(P794="","",(P794-AVERAGE(P6:P1198))/(STDEV(P6:P1198)+1E-12))</f>
        <v/>
      </c>
      <c r="R794" s="3">
        <f>IF('3a Raw'!K794="","",MAX(-3,MIN(3,('3a Raw'!K794-$R3)/$R4)))</f>
        <v/>
      </c>
      <c r="S794" s="3">
        <f>IF(R794="","",(R794-AVERAGE(R6:R1198))/(STDEV(R6:R1198)+1E-12))</f>
        <v/>
      </c>
      <c r="T794" s="3">
        <f>IF('3a Raw'!L794="","",MAX(-3,MIN(3,('3a Raw'!L794-$T3)/$T4)))</f>
        <v/>
      </c>
      <c r="U794" s="3">
        <f>IF(T794="","",(T794-AVERAGE(T6:T1198))/(STDEV(T6:T1198)+1E-12))</f>
        <v/>
      </c>
      <c r="X794" s="3">
        <f>IF(U794="","",U794-($V$3*G794+$W$3))</f>
        <v/>
      </c>
      <c r="Y794" s="3">
        <f>IF(X794="","",MAX(-3,MIN(3,(X794-$X3)/$X4)))</f>
        <v/>
      </c>
      <c r="Z794" s="3">
        <f>IF(Y794="","",(Y794-AVERAGE(Y6:Y1198))/(STDEV(Y6:Y1198)+1E-12))</f>
        <v/>
      </c>
    </row>
    <row r="795">
      <c r="A795" t="inlineStr">
        <is>
          <t>BBG005TP6Y82</t>
        </is>
      </c>
      <c r="B795" s="3">
        <f>IF('3a Raw'!C795="","",MAX(-3,MIN(3,('3a Raw'!C795-$B3)/$B4)))</f>
        <v/>
      </c>
      <c r="C795" s="3">
        <f>IF(B795="","",(B795-AVERAGE(B6:B1198))/(STDEV(B6:B1198)+1E-12))</f>
        <v/>
      </c>
      <c r="D795" s="3">
        <f>IF('3a Raw'!D795="","",MAX(-3,MIN(3,('3a Raw'!D795-$D3)/$D4)))</f>
        <v/>
      </c>
      <c r="E795" s="3">
        <f>IF(D795="","",(D795-AVERAGE(D6:D1198))/(STDEV(D6:D1198)+1E-12))</f>
        <v/>
      </c>
      <c r="F795" s="3">
        <f>IF('3a Raw'!E795="","",MAX(-3,MIN(3,('3a Raw'!E795-$F3)/$F4)))</f>
        <v/>
      </c>
      <c r="G795" s="3">
        <f>IF(F795="","",(F795-AVERAGE(F6:F1198))/(STDEV(F6:F1198)+1E-12))</f>
        <v/>
      </c>
      <c r="H795" s="3">
        <f>IF('3a Raw'!F795="","",MAX(-3,MIN(3,('3a Raw'!F795-$H3)/$H4)))</f>
        <v/>
      </c>
      <c r="I795" s="3">
        <f>IF(H795="","",(H795-AVERAGE(H6:H1198))/(STDEV(H6:H1198)+1E-12))</f>
        <v/>
      </c>
      <c r="J795" s="3">
        <f>IF('3a Raw'!G795="","",MAX(-3,MIN(3,('3a Raw'!G795-$J3)/$J4)))</f>
        <v/>
      </c>
      <c r="K795" s="3">
        <f>IF(J795="","",(J795-AVERAGE(J6:J1198))/(STDEV(J6:J1198)+1E-12))</f>
        <v/>
      </c>
      <c r="L795" s="3">
        <f>IF('3a Raw'!H795="","",MAX(-3,MIN(3,('3a Raw'!H795-$L3)/$L4)))</f>
        <v/>
      </c>
      <c r="M795" s="3">
        <f>IF(L795="","",(L795-AVERAGE(L6:L1198))/(STDEV(L6:L1198)+1E-12))</f>
        <v/>
      </c>
      <c r="N795" s="3">
        <f>IF('3a Raw'!I795="","",MAX(-3,MIN(3,('3a Raw'!I795-$N3)/$N4)))</f>
        <v/>
      </c>
      <c r="O795" s="3">
        <f>IF(N795="","",(N795-AVERAGE(N6:N1198))/(STDEV(N6:N1198)+1E-12))</f>
        <v/>
      </c>
      <c r="P795" s="3">
        <f>IF('3a Raw'!J795="","",MAX(-3,MIN(3,('3a Raw'!J795-$P3)/$P4)))</f>
        <v/>
      </c>
      <c r="Q795" s="3">
        <f>IF(P795="","",(P795-AVERAGE(P6:P1198))/(STDEV(P6:P1198)+1E-12))</f>
        <v/>
      </c>
      <c r="R795" s="3">
        <f>IF('3a Raw'!K795="","",MAX(-3,MIN(3,('3a Raw'!K795-$R3)/$R4)))</f>
        <v/>
      </c>
      <c r="S795" s="3">
        <f>IF(R795="","",(R795-AVERAGE(R6:R1198))/(STDEV(R6:R1198)+1E-12))</f>
        <v/>
      </c>
      <c r="T795" s="3">
        <f>IF('3a Raw'!L795="","",MAX(-3,MIN(3,('3a Raw'!L795-$T3)/$T4)))</f>
        <v/>
      </c>
      <c r="U795" s="3">
        <f>IF(T795="","",(T795-AVERAGE(T6:T1198))/(STDEV(T6:T1198)+1E-12))</f>
        <v/>
      </c>
      <c r="X795" s="3">
        <f>IF(U795="","",U795-($V$3*G795+$W$3))</f>
        <v/>
      </c>
      <c r="Y795" s="3">
        <f>IF(X795="","",MAX(-3,MIN(3,(X795-$X3)/$X4)))</f>
        <v/>
      </c>
      <c r="Z795" s="3">
        <f>IF(Y795="","",(Y795-AVERAGE(Y6:Y1198))/(STDEV(Y6:Y1198)+1E-12))</f>
        <v/>
      </c>
    </row>
    <row r="796">
      <c r="A796" t="inlineStr">
        <is>
          <t>BBG005497GZ3</t>
        </is>
      </c>
      <c r="B796" s="3">
        <f>IF('3a Raw'!C796="","",MAX(-3,MIN(3,('3a Raw'!C796-$B3)/$B4)))</f>
        <v/>
      </c>
      <c r="C796" s="3">
        <f>IF(B796="","",(B796-AVERAGE(B6:B1198))/(STDEV(B6:B1198)+1E-12))</f>
        <v/>
      </c>
      <c r="D796" s="3">
        <f>IF('3a Raw'!D796="","",MAX(-3,MIN(3,('3a Raw'!D796-$D3)/$D4)))</f>
        <v/>
      </c>
      <c r="E796" s="3">
        <f>IF(D796="","",(D796-AVERAGE(D6:D1198))/(STDEV(D6:D1198)+1E-12))</f>
        <v/>
      </c>
      <c r="F796" s="3">
        <f>IF('3a Raw'!E796="","",MAX(-3,MIN(3,('3a Raw'!E796-$F3)/$F4)))</f>
        <v/>
      </c>
      <c r="G796" s="3">
        <f>IF(F796="","",(F796-AVERAGE(F6:F1198))/(STDEV(F6:F1198)+1E-12))</f>
        <v/>
      </c>
      <c r="H796" s="3">
        <f>IF('3a Raw'!F796="","",MAX(-3,MIN(3,('3a Raw'!F796-$H3)/$H4)))</f>
        <v/>
      </c>
      <c r="I796" s="3">
        <f>IF(H796="","",(H796-AVERAGE(H6:H1198))/(STDEV(H6:H1198)+1E-12))</f>
        <v/>
      </c>
      <c r="J796" s="3">
        <f>IF('3a Raw'!G796="","",MAX(-3,MIN(3,('3a Raw'!G796-$J3)/$J4)))</f>
        <v/>
      </c>
      <c r="K796" s="3">
        <f>IF(J796="","",(J796-AVERAGE(J6:J1198))/(STDEV(J6:J1198)+1E-12))</f>
        <v/>
      </c>
      <c r="L796" s="3">
        <f>IF('3a Raw'!H796="","",MAX(-3,MIN(3,('3a Raw'!H796-$L3)/$L4)))</f>
        <v/>
      </c>
      <c r="M796" s="3">
        <f>IF(L796="","",(L796-AVERAGE(L6:L1198))/(STDEV(L6:L1198)+1E-12))</f>
        <v/>
      </c>
      <c r="N796" s="3">
        <f>IF('3a Raw'!I796="","",MAX(-3,MIN(3,('3a Raw'!I796-$N3)/$N4)))</f>
        <v/>
      </c>
      <c r="O796" s="3">
        <f>IF(N796="","",(N796-AVERAGE(N6:N1198))/(STDEV(N6:N1198)+1E-12))</f>
        <v/>
      </c>
      <c r="P796" s="3">
        <f>IF('3a Raw'!J796="","",MAX(-3,MIN(3,('3a Raw'!J796-$P3)/$P4)))</f>
        <v/>
      </c>
      <c r="Q796" s="3">
        <f>IF(P796="","",(P796-AVERAGE(P6:P1198))/(STDEV(P6:P1198)+1E-12))</f>
        <v/>
      </c>
      <c r="R796" s="3">
        <f>IF('3a Raw'!K796="","",MAX(-3,MIN(3,('3a Raw'!K796-$R3)/$R4)))</f>
        <v/>
      </c>
      <c r="S796" s="3">
        <f>IF(R796="","",(R796-AVERAGE(R6:R1198))/(STDEV(R6:R1198)+1E-12))</f>
        <v/>
      </c>
      <c r="T796" s="3">
        <f>IF('3a Raw'!L796="","",MAX(-3,MIN(3,('3a Raw'!L796-$T3)/$T4)))</f>
        <v/>
      </c>
      <c r="U796" s="3">
        <f>IF(T796="","",(T796-AVERAGE(T6:T1198))/(STDEV(T6:T1198)+1E-12))</f>
        <v/>
      </c>
      <c r="X796" s="3">
        <f>IF(U796="","",U796-($V$3*G796+$W$3))</f>
        <v/>
      </c>
      <c r="Y796" s="3">
        <f>IF(X796="","",MAX(-3,MIN(3,(X796-$X3)/$X4)))</f>
        <v/>
      </c>
      <c r="Z796" s="3">
        <f>IF(Y796="","",(Y796-AVERAGE(Y6:Y1198))/(STDEV(Y6:Y1198)+1E-12))</f>
        <v/>
      </c>
    </row>
    <row r="797">
      <c r="A797" t="inlineStr">
        <is>
          <t>BBG000DV7MX4</t>
        </is>
      </c>
      <c r="B797" s="3">
        <f>IF('3a Raw'!C797="","",MAX(-3,MIN(3,('3a Raw'!C797-$B3)/$B4)))</f>
        <v/>
      </c>
      <c r="C797" s="3">
        <f>IF(B797="","",(B797-AVERAGE(B6:B1198))/(STDEV(B6:B1198)+1E-12))</f>
        <v/>
      </c>
      <c r="D797" s="3">
        <f>IF('3a Raw'!D797="","",MAX(-3,MIN(3,('3a Raw'!D797-$D3)/$D4)))</f>
        <v/>
      </c>
      <c r="E797" s="3">
        <f>IF(D797="","",(D797-AVERAGE(D6:D1198))/(STDEV(D6:D1198)+1E-12))</f>
        <v/>
      </c>
      <c r="F797" s="3">
        <f>IF('3a Raw'!E797="","",MAX(-3,MIN(3,('3a Raw'!E797-$F3)/$F4)))</f>
        <v/>
      </c>
      <c r="G797" s="3">
        <f>IF(F797="","",(F797-AVERAGE(F6:F1198))/(STDEV(F6:F1198)+1E-12))</f>
        <v/>
      </c>
      <c r="H797" s="3">
        <f>IF('3a Raw'!F797="","",MAX(-3,MIN(3,('3a Raw'!F797-$H3)/$H4)))</f>
        <v/>
      </c>
      <c r="I797" s="3">
        <f>IF(H797="","",(H797-AVERAGE(H6:H1198))/(STDEV(H6:H1198)+1E-12))</f>
        <v/>
      </c>
      <c r="J797" s="3">
        <f>IF('3a Raw'!G797="","",MAX(-3,MIN(3,('3a Raw'!G797-$J3)/$J4)))</f>
        <v/>
      </c>
      <c r="K797" s="3">
        <f>IF(J797="","",(J797-AVERAGE(J6:J1198))/(STDEV(J6:J1198)+1E-12))</f>
        <v/>
      </c>
      <c r="L797" s="3">
        <f>IF('3a Raw'!H797="","",MAX(-3,MIN(3,('3a Raw'!H797-$L3)/$L4)))</f>
        <v/>
      </c>
      <c r="M797" s="3">
        <f>IF(L797="","",(L797-AVERAGE(L6:L1198))/(STDEV(L6:L1198)+1E-12))</f>
        <v/>
      </c>
      <c r="N797" s="3">
        <f>IF('3a Raw'!I797="","",MAX(-3,MIN(3,('3a Raw'!I797-$N3)/$N4)))</f>
        <v/>
      </c>
      <c r="O797" s="3">
        <f>IF(N797="","",(N797-AVERAGE(N6:N1198))/(STDEV(N6:N1198)+1E-12))</f>
        <v/>
      </c>
      <c r="P797" s="3">
        <f>IF('3a Raw'!J797="","",MAX(-3,MIN(3,('3a Raw'!J797-$P3)/$P4)))</f>
        <v/>
      </c>
      <c r="Q797" s="3">
        <f>IF(P797="","",(P797-AVERAGE(P6:P1198))/(STDEV(P6:P1198)+1E-12))</f>
        <v/>
      </c>
      <c r="R797" s="3">
        <f>IF('3a Raw'!K797="","",MAX(-3,MIN(3,('3a Raw'!K797-$R3)/$R4)))</f>
        <v/>
      </c>
      <c r="S797" s="3">
        <f>IF(R797="","",(R797-AVERAGE(R6:R1198))/(STDEV(R6:R1198)+1E-12))</f>
        <v/>
      </c>
      <c r="T797" s="3">
        <f>IF('3a Raw'!L797="","",MAX(-3,MIN(3,('3a Raw'!L797-$T3)/$T4)))</f>
        <v/>
      </c>
      <c r="U797" s="3">
        <f>IF(T797="","",(T797-AVERAGE(T6:T1198))/(STDEV(T6:T1198)+1E-12))</f>
        <v/>
      </c>
      <c r="X797" s="3">
        <f>IF(U797="","",U797-($V$3*G797+$W$3))</f>
        <v/>
      </c>
      <c r="Y797" s="3">
        <f>IF(X797="","",MAX(-3,MIN(3,(X797-$X3)/$X4)))</f>
        <v/>
      </c>
      <c r="Z797" s="3">
        <f>IF(Y797="","",(Y797-AVERAGE(Y6:Y1198))/(STDEV(Y6:Y1198)+1E-12))</f>
        <v/>
      </c>
    </row>
    <row r="798">
      <c r="A798" t="inlineStr">
        <is>
          <t>BBG000KFW1C2</t>
        </is>
      </c>
      <c r="B798" s="3">
        <f>IF('3a Raw'!C798="","",MAX(-3,MIN(3,('3a Raw'!C798-$B3)/$B4)))</f>
        <v/>
      </c>
      <c r="C798" s="3">
        <f>IF(B798="","",(B798-AVERAGE(B6:B1198))/(STDEV(B6:B1198)+1E-12))</f>
        <v/>
      </c>
      <c r="D798" s="3">
        <f>IF('3a Raw'!D798="","",MAX(-3,MIN(3,('3a Raw'!D798-$D3)/$D4)))</f>
        <v/>
      </c>
      <c r="E798" s="3">
        <f>IF(D798="","",(D798-AVERAGE(D6:D1198))/(STDEV(D6:D1198)+1E-12))</f>
        <v/>
      </c>
      <c r="F798" s="3">
        <f>IF('3a Raw'!E798="","",MAX(-3,MIN(3,('3a Raw'!E798-$F3)/$F4)))</f>
        <v/>
      </c>
      <c r="G798" s="3">
        <f>IF(F798="","",(F798-AVERAGE(F6:F1198))/(STDEV(F6:F1198)+1E-12))</f>
        <v/>
      </c>
      <c r="H798" s="3">
        <f>IF('3a Raw'!F798="","",MAX(-3,MIN(3,('3a Raw'!F798-$H3)/$H4)))</f>
        <v/>
      </c>
      <c r="I798" s="3">
        <f>IF(H798="","",(H798-AVERAGE(H6:H1198))/(STDEV(H6:H1198)+1E-12))</f>
        <v/>
      </c>
      <c r="J798" s="3">
        <f>IF('3a Raw'!G798="","",MAX(-3,MIN(3,('3a Raw'!G798-$J3)/$J4)))</f>
        <v/>
      </c>
      <c r="K798" s="3">
        <f>IF(J798="","",(J798-AVERAGE(J6:J1198))/(STDEV(J6:J1198)+1E-12))</f>
        <v/>
      </c>
      <c r="L798" s="3">
        <f>IF('3a Raw'!H798="","",MAX(-3,MIN(3,('3a Raw'!H798-$L3)/$L4)))</f>
        <v/>
      </c>
      <c r="M798" s="3">
        <f>IF(L798="","",(L798-AVERAGE(L6:L1198))/(STDEV(L6:L1198)+1E-12))</f>
        <v/>
      </c>
      <c r="N798" s="3">
        <f>IF('3a Raw'!I798="","",MAX(-3,MIN(3,('3a Raw'!I798-$N3)/$N4)))</f>
        <v/>
      </c>
      <c r="O798" s="3">
        <f>IF(N798="","",(N798-AVERAGE(N6:N1198))/(STDEV(N6:N1198)+1E-12))</f>
        <v/>
      </c>
      <c r="P798" s="3">
        <f>IF('3a Raw'!J798="","",MAX(-3,MIN(3,('3a Raw'!J798-$P3)/$P4)))</f>
        <v/>
      </c>
      <c r="Q798" s="3">
        <f>IF(P798="","",(P798-AVERAGE(P6:P1198))/(STDEV(P6:P1198)+1E-12))</f>
        <v/>
      </c>
      <c r="R798" s="3">
        <f>IF('3a Raw'!K798="","",MAX(-3,MIN(3,('3a Raw'!K798-$R3)/$R4)))</f>
        <v/>
      </c>
      <c r="S798" s="3">
        <f>IF(R798="","",(R798-AVERAGE(R6:R1198))/(STDEV(R6:R1198)+1E-12))</f>
        <v/>
      </c>
      <c r="T798" s="3">
        <f>IF('3a Raw'!L798="","",MAX(-3,MIN(3,('3a Raw'!L798-$T3)/$T4)))</f>
        <v/>
      </c>
      <c r="U798" s="3">
        <f>IF(T798="","",(T798-AVERAGE(T6:T1198))/(STDEV(T6:T1198)+1E-12))</f>
        <v/>
      </c>
      <c r="X798" s="3">
        <f>IF(U798="","",U798-($V$3*G798+$W$3))</f>
        <v/>
      </c>
      <c r="Y798" s="3">
        <f>IF(X798="","",MAX(-3,MIN(3,(X798-$X3)/$X4)))</f>
        <v/>
      </c>
      <c r="Z798" s="3">
        <f>IF(Y798="","",(Y798-AVERAGE(Y6:Y1198))/(STDEV(Y6:Y1198)+1E-12))</f>
        <v/>
      </c>
    </row>
    <row r="799">
      <c r="A799" t="inlineStr">
        <is>
          <t>BBG00SHY8ZQ1</t>
        </is>
      </c>
      <c r="B799" s="3">
        <f>IF('3a Raw'!C799="","",MAX(-3,MIN(3,('3a Raw'!C799-$B3)/$B4)))</f>
        <v/>
      </c>
      <c r="C799" s="3">
        <f>IF(B799="","",(B799-AVERAGE(B6:B1198))/(STDEV(B6:B1198)+1E-12))</f>
        <v/>
      </c>
      <c r="D799" s="3">
        <f>IF('3a Raw'!D799="","",MAX(-3,MIN(3,('3a Raw'!D799-$D3)/$D4)))</f>
        <v/>
      </c>
      <c r="E799" s="3">
        <f>IF(D799="","",(D799-AVERAGE(D6:D1198))/(STDEV(D6:D1198)+1E-12))</f>
        <v/>
      </c>
      <c r="F799" s="3">
        <f>IF('3a Raw'!E799="","",MAX(-3,MIN(3,('3a Raw'!E799-$F3)/$F4)))</f>
        <v/>
      </c>
      <c r="G799" s="3">
        <f>IF(F799="","",(F799-AVERAGE(F6:F1198))/(STDEV(F6:F1198)+1E-12))</f>
        <v/>
      </c>
      <c r="H799" s="3">
        <f>IF('3a Raw'!F799="","",MAX(-3,MIN(3,('3a Raw'!F799-$H3)/$H4)))</f>
        <v/>
      </c>
      <c r="I799" s="3">
        <f>IF(H799="","",(H799-AVERAGE(H6:H1198))/(STDEV(H6:H1198)+1E-12))</f>
        <v/>
      </c>
      <c r="J799" s="3">
        <f>IF('3a Raw'!G799="","",MAX(-3,MIN(3,('3a Raw'!G799-$J3)/$J4)))</f>
        <v/>
      </c>
      <c r="K799" s="3">
        <f>IF(J799="","",(J799-AVERAGE(J6:J1198))/(STDEV(J6:J1198)+1E-12))</f>
        <v/>
      </c>
      <c r="L799" s="3">
        <f>IF('3a Raw'!H799="","",MAX(-3,MIN(3,('3a Raw'!H799-$L3)/$L4)))</f>
        <v/>
      </c>
      <c r="M799" s="3">
        <f>IF(L799="","",(L799-AVERAGE(L6:L1198))/(STDEV(L6:L1198)+1E-12))</f>
        <v/>
      </c>
      <c r="N799" s="3">
        <f>IF('3a Raw'!I799="","",MAX(-3,MIN(3,('3a Raw'!I799-$N3)/$N4)))</f>
        <v/>
      </c>
      <c r="O799" s="3">
        <f>IF(N799="","",(N799-AVERAGE(N6:N1198))/(STDEV(N6:N1198)+1E-12))</f>
        <v/>
      </c>
      <c r="P799" s="3">
        <f>IF('3a Raw'!J799="","",MAX(-3,MIN(3,('3a Raw'!J799-$P3)/$P4)))</f>
        <v/>
      </c>
      <c r="Q799" s="3">
        <f>IF(P799="","",(P799-AVERAGE(P6:P1198))/(STDEV(P6:P1198)+1E-12))</f>
        <v/>
      </c>
      <c r="R799" s="3">
        <f>IF('3a Raw'!K799="","",MAX(-3,MIN(3,('3a Raw'!K799-$R3)/$R4)))</f>
        <v/>
      </c>
      <c r="S799" s="3">
        <f>IF(R799="","",(R799-AVERAGE(R6:R1198))/(STDEV(R6:R1198)+1E-12))</f>
        <v/>
      </c>
      <c r="T799" s="3">
        <f>IF('3a Raw'!L799="","",MAX(-3,MIN(3,('3a Raw'!L799-$T3)/$T4)))</f>
        <v/>
      </c>
      <c r="U799" s="3">
        <f>IF(T799="","",(T799-AVERAGE(T6:T1198))/(STDEV(T6:T1198)+1E-12))</f>
        <v/>
      </c>
      <c r="X799" s="3">
        <f>IF(U799="","",U799-($V$3*G799+$W$3))</f>
        <v/>
      </c>
      <c r="Y799" s="3">
        <f>IF(X799="","",MAX(-3,MIN(3,(X799-$X3)/$X4)))</f>
        <v/>
      </c>
      <c r="Z799" s="3">
        <f>IF(Y799="","",(Y799-AVERAGE(Y6:Y1198))/(STDEV(Y6:Y1198)+1E-12))</f>
        <v/>
      </c>
    </row>
    <row r="800">
      <c r="A800" t="inlineStr">
        <is>
          <t>BBG01YKH1ZM1</t>
        </is>
      </c>
      <c r="B800" s="3">
        <f>IF('3a Raw'!C800="","",MAX(-3,MIN(3,('3a Raw'!C800-$B3)/$B4)))</f>
        <v/>
      </c>
      <c r="C800" s="3">
        <f>IF(B800="","",(B800-AVERAGE(B6:B1198))/(STDEV(B6:B1198)+1E-12))</f>
        <v/>
      </c>
      <c r="D800" s="3">
        <f>IF('3a Raw'!D800="","",MAX(-3,MIN(3,('3a Raw'!D800-$D3)/$D4)))</f>
        <v/>
      </c>
      <c r="E800" s="3">
        <f>IF(D800="","",(D800-AVERAGE(D6:D1198))/(STDEV(D6:D1198)+1E-12))</f>
        <v/>
      </c>
      <c r="F800" s="3">
        <f>IF('3a Raw'!E800="","",MAX(-3,MIN(3,('3a Raw'!E800-$F3)/$F4)))</f>
        <v/>
      </c>
      <c r="G800" s="3">
        <f>IF(F800="","",(F800-AVERAGE(F6:F1198))/(STDEV(F6:F1198)+1E-12))</f>
        <v/>
      </c>
      <c r="H800" s="3">
        <f>IF('3a Raw'!F800="","",MAX(-3,MIN(3,('3a Raw'!F800-$H3)/$H4)))</f>
        <v/>
      </c>
      <c r="I800" s="3">
        <f>IF(H800="","",(H800-AVERAGE(H6:H1198))/(STDEV(H6:H1198)+1E-12))</f>
        <v/>
      </c>
      <c r="J800" s="3">
        <f>IF('3a Raw'!G800="","",MAX(-3,MIN(3,('3a Raw'!G800-$J3)/$J4)))</f>
        <v/>
      </c>
      <c r="K800" s="3">
        <f>IF(J800="","",(J800-AVERAGE(J6:J1198))/(STDEV(J6:J1198)+1E-12))</f>
        <v/>
      </c>
      <c r="L800" s="3">
        <f>IF('3a Raw'!H800="","",MAX(-3,MIN(3,('3a Raw'!H800-$L3)/$L4)))</f>
        <v/>
      </c>
      <c r="M800" s="3">
        <f>IF(L800="","",(L800-AVERAGE(L6:L1198))/(STDEV(L6:L1198)+1E-12))</f>
        <v/>
      </c>
      <c r="N800" s="3">
        <f>IF('3a Raw'!I800="","",MAX(-3,MIN(3,('3a Raw'!I800-$N3)/$N4)))</f>
        <v/>
      </c>
      <c r="O800" s="3">
        <f>IF(N800="","",(N800-AVERAGE(N6:N1198))/(STDEV(N6:N1198)+1E-12))</f>
        <v/>
      </c>
      <c r="P800" s="3">
        <f>IF('3a Raw'!J800="","",MAX(-3,MIN(3,('3a Raw'!J800-$P3)/$P4)))</f>
        <v/>
      </c>
      <c r="Q800" s="3">
        <f>IF(P800="","",(P800-AVERAGE(P6:P1198))/(STDEV(P6:P1198)+1E-12))</f>
        <v/>
      </c>
      <c r="R800" s="3">
        <f>IF('3a Raw'!K800="","",MAX(-3,MIN(3,('3a Raw'!K800-$R3)/$R4)))</f>
        <v/>
      </c>
      <c r="S800" s="3">
        <f>IF(R800="","",(R800-AVERAGE(R6:R1198))/(STDEV(R6:R1198)+1E-12))</f>
        <v/>
      </c>
      <c r="T800" s="3">
        <f>IF('3a Raw'!L800="","",MAX(-3,MIN(3,('3a Raw'!L800-$T3)/$T4)))</f>
        <v/>
      </c>
      <c r="U800" s="3">
        <f>IF(T800="","",(T800-AVERAGE(T6:T1198))/(STDEV(T6:T1198)+1E-12))</f>
        <v/>
      </c>
      <c r="X800" s="3">
        <f>IF(U800="","",U800-($V$3*G800+$W$3))</f>
        <v/>
      </c>
      <c r="Y800" s="3">
        <f>IF(X800="","",MAX(-3,MIN(3,(X800-$X3)/$X4)))</f>
        <v/>
      </c>
      <c r="Z800" s="3">
        <f>IF(Y800="","",(Y800-AVERAGE(Y6:Y1198))/(STDEV(Y6:Y1198)+1E-12))</f>
        <v/>
      </c>
    </row>
    <row r="801">
      <c r="A801" t="inlineStr">
        <is>
          <t>BBG01YKH5T05</t>
        </is>
      </c>
      <c r="B801" s="3">
        <f>IF('3a Raw'!C801="","",MAX(-3,MIN(3,('3a Raw'!C801-$B3)/$B4)))</f>
        <v/>
      </c>
      <c r="C801" s="3">
        <f>IF(B801="","",(B801-AVERAGE(B6:B1198))/(STDEV(B6:B1198)+1E-12))</f>
        <v/>
      </c>
      <c r="D801" s="3">
        <f>IF('3a Raw'!D801="","",MAX(-3,MIN(3,('3a Raw'!D801-$D3)/$D4)))</f>
        <v/>
      </c>
      <c r="E801" s="3">
        <f>IF(D801="","",(D801-AVERAGE(D6:D1198))/(STDEV(D6:D1198)+1E-12))</f>
        <v/>
      </c>
      <c r="F801" s="3">
        <f>IF('3a Raw'!E801="","",MAX(-3,MIN(3,('3a Raw'!E801-$F3)/$F4)))</f>
        <v/>
      </c>
      <c r="G801" s="3">
        <f>IF(F801="","",(F801-AVERAGE(F6:F1198))/(STDEV(F6:F1198)+1E-12))</f>
        <v/>
      </c>
      <c r="H801" s="3">
        <f>IF('3a Raw'!F801="","",MAX(-3,MIN(3,('3a Raw'!F801-$H3)/$H4)))</f>
        <v/>
      </c>
      <c r="I801" s="3">
        <f>IF(H801="","",(H801-AVERAGE(H6:H1198))/(STDEV(H6:H1198)+1E-12))</f>
        <v/>
      </c>
      <c r="J801" s="3">
        <f>IF('3a Raw'!G801="","",MAX(-3,MIN(3,('3a Raw'!G801-$J3)/$J4)))</f>
        <v/>
      </c>
      <c r="K801" s="3">
        <f>IF(J801="","",(J801-AVERAGE(J6:J1198))/(STDEV(J6:J1198)+1E-12))</f>
        <v/>
      </c>
      <c r="L801" s="3">
        <f>IF('3a Raw'!H801="","",MAX(-3,MIN(3,('3a Raw'!H801-$L3)/$L4)))</f>
        <v/>
      </c>
      <c r="M801" s="3">
        <f>IF(L801="","",(L801-AVERAGE(L6:L1198))/(STDEV(L6:L1198)+1E-12))</f>
        <v/>
      </c>
      <c r="N801" s="3">
        <f>IF('3a Raw'!I801="","",MAX(-3,MIN(3,('3a Raw'!I801-$N3)/$N4)))</f>
        <v/>
      </c>
      <c r="O801" s="3">
        <f>IF(N801="","",(N801-AVERAGE(N6:N1198))/(STDEV(N6:N1198)+1E-12))</f>
        <v/>
      </c>
      <c r="P801" s="3">
        <f>IF('3a Raw'!J801="","",MAX(-3,MIN(3,('3a Raw'!J801-$P3)/$P4)))</f>
        <v/>
      </c>
      <c r="Q801" s="3">
        <f>IF(P801="","",(P801-AVERAGE(P6:P1198))/(STDEV(P6:P1198)+1E-12))</f>
        <v/>
      </c>
      <c r="R801" s="3">
        <f>IF('3a Raw'!K801="","",MAX(-3,MIN(3,('3a Raw'!K801-$R3)/$R4)))</f>
        <v/>
      </c>
      <c r="S801" s="3">
        <f>IF(R801="","",(R801-AVERAGE(R6:R1198))/(STDEV(R6:R1198)+1E-12))</f>
        <v/>
      </c>
      <c r="T801" s="3">
        <f>IF('3a Raw'!L801="","",MAX(-3,MIN(3,('3a Raw'!L801-$T3)/$T4)))</f>
        <v/>
      </c>
      <c r="U801" s="3">
        <f>IF(T801="","",(T801-AVERAGE(T6:T1198))/(STDEV(T6:T1198)+1E-12))</f>
        <v/>
      </c>
      <c r="X801" s="3">
        <f>IF(U801="","",U801-($V$3*G801+$W$3))</f>
        <v/>
      </c>
      <c r="Y801" s="3">
        <f>IF(X801="","",MAX(-3,MIN(3,(X801-$X3)/$X4)))</f>
        <v/>
      </c>
      <c r="Z801" s="3">
        <f>IF(Y801="","",(Y801-AVERAGE(Y6:Y1198))/(STDEV(Y6:Y1198)+1E-12))</f>
        <v/>
      </c>
    </row>
    <row r="802">
      <c r="A802" t="inlineStr">
        <is>
          <t>BBG000N49069</t>
        </is>
      </c>
      <c r="B802" s="3">
        <f>IF('3a Raw'!C802="","",MAX(-3,MIN(3,('3a Raw'!C802-$B3)/$B4)))</f>
        <v/>
      </c>
      <c r="C802" s="3">
        <f>IF(B802="","",(B802-AVERAGE(B6:B1198))/(STDEV(B6:B1198)+1E-12))</f>
        <v/>
      </c>
      <c r="D802" s="3">
        <f>IF('3a Raw'!D802="","",MAX(-3,MIN(3,('3a Raw'!D802-$D3)/$D4)))</f>
        <v/>
      </c>
      <c r="E802" s="3">
        <f>IF(D802="","",(D802-AVERAGE(D6:D1198))/(STDEV(D6:D1198)+1E-12))</f>
        <v/>
      </c>
      <c r="F802" s="3">
        <f>IF('3a Raw'!E802="","",MAX(-3,MIN(3,('3a Raw'!E802-$F3)/$F4)))</f>
        <v/>
      </c>
      <c r="G802" s="3">
        <f>IF(F802="","",(F802-AVERAGE(F6:F1198))/(STDEV(F6:F1198)+1E-12))</f>
        <v/>
      </c>
      <c r="H802" s="3">
        <f>IF('3a Raw'!F802="","",MAX(-3,MIN(3,('3a Raw'!F802-$H3)/$H4)))</f>
        <v/>
      </c>
      <c r="I802" s="3">
        <f>IF(H802="","",(H802-AVERAGE(H6:H1198))/(STDEV(H6:H1198)+1E-12))</f>
        <v/>
      </c>
      <c r="J802" s="3">
        <f>IF('3a Raw'!G802="","",MAX(-3,MIN(3,('3a Raw'!G802-$J3)/$J4)))</f>
        <v/>
      </c>
      <c r="K802" s="3">
        <f>IF(J802="","",(J802-AVERAGE(J6:J1198))/(STDEV(J6:J1198)+1E-12))</f>
        <v/>
      </c>
      <c r="L802" s="3">
        <f>IF('3a Raw'!H802="","",MAX(-3,MIN(3,('3a Raw'!H802-$L3)/$L4)))</f>
        <v/>
      </c>
      <c r="M802" s="3">
        <f>IF(L802="","",(L802-AVERAGE(L6:L1198))/(STDEV(L6:L1198)+1E-12))</f>
        <v/>
      </c>
      <c r="N802" s="3">
        <f>IF('3a Raw'!I802="","",MAX(-3,MIN(3,('3a Raw'!I802-$N3)/$N4)))</f>
        <v/>
      </c>
      <c r="O802" s="3">
        <f>IF(N802="","",(N802-AVERAGE(N6:N1198))/(STDEV(N6:N1198)+1E-12))</f>
        <v/>
      </c>
      <c r="P802" s="3">
        <f>IF('3a Raw'!J802="","",MAX(-3,MIN(3,('3a Raw'!J802-$P3)/$P4)))</f>
        <v/>
      </c>
      <c r="Q802" s="3">
        <f>IF(P802="","",(P802-AVERAGE(P6:P1198))/(STDEV(P6:P1198)+1E-12))</f>
        <v/>
      </c>
      <c r="R802" s="3">
        <f>IF('3a Raw'!K802="","",MAX(-3,MIN(3,('3a Raw'!K802-$R3)/$R4)))</f>
        <v/>
      </c>
      <c r="S802" s="3">
        <f>IF(R802="","",(R802-AVERAGE(R6:R1198))/(STDEV(R6:R1198)+1E-12))</f>
        <v/>
      </c>
      <c r="T802" s="3">
        <f>IF('3a Raw'!L802="","",MAX(-3,MIN(3,('3a Raw'!L802-$T3)/$T4)))</f>
        <v/>
      </c>
      <c r="U802" s="3">
        <f>IF(T802="","",(T802-AVERAGE(T6:T1198))/(STDEV(T6:T1198)+1E-12))</f>
        <v/>
      </c>
      <c r="X802" s="3">
        <f>IF(U802="","",U802-($V$3*G802+$W$3))</f>
        <v/>
      </c>
      <c r="Y802" s="3">
        <f>IF(X802="","",MAX(-3,MIN(3,(X802-$X3)/$X4)))</f>
        <v/>
      </c>
      <c r="Z802" s="3">
        <f>IF(Y802="","",(Y802-AVERAGE(Y6:Y1198))/(STDEV(Y6:Y1198)+1E-12))</f>
        <v/>
      </c>
    </row>
    <row r="803">
      <c r="A803" t="inlineStr">
        <is>
          <t>BBG000VZHLL9</t>
        </is>
      </c>
      <c r="B803" s="3">
        <f>IF('3a Raw'!C803="","",MAX(-3,MIN(3,('3a Raw'!C803-$B3)/$B4)))</f>
        <v/>
      </c>
      <c r="C803" s="3">
        <f>IF(B803="","",(B803-AVERAGE(B6:B1198))/(STDEV(B6:B1198)+1E-12))</f>
        <v/>
      </c>
      <c r="D803" s="3">
        <f>IF('3a Raw'!D803="","",MAX(-3,MIN(3,('3a Raw'!D803-$D3)/$D4)))</f>
        <v/>
      </c>
      <c r="E803" s="3">
        <f>IF(D803="","",(D803-AVERAGE(D6:D1198))/(STDEV(D6:D1198)+1E-12))</f>
        <v/>
      </c>
      <c r="F803" s="3">
        <f>IF('3a Raw'!E803="","",MAX(-3,MIN(3,('3a Raw'!E803-$F3)/$F4)))</f>
        <v/>
      </c>
      <c r="G803" s="3">
        <f>IF(F803="","",(F803-AVERAGE(F6:F1198))/(STDEV(F6:F1198)+1E-12))</f>
        <v/>
      </c>
      <c r="H803" s="3">
        <f>IF('3a Raw'!F803="","",MAX(-3,MIN(3,('3a Raw'!F803-$H3)/$H4)))</f>
        <v/>
      </c>
      <c r="I803" s="3">
        <f>IF(H803="","",(H803-AVERAGE(H6:H1198))/(STDEV(H6:H1198)+1E-12))</f>
        <v/>
      </c>
      <c r="J803" s="3">
        <f>IF('3a Raw'!G803="","",MAX(-3,MIN(3,('3a Raw'!G803-$J3)/$J4)))</f>
        <v/>
      </c>
      <c r="K803" s="3">
        <f>IF(J803="","",(J803-AVERAGE(J6:J1198))/(STDEV(J6:J1198)+1E-12))</f>
        <v/>
      </c>
      <c r="L803" s="3">
        <f>IF('3a Raw'!H803="","",MAX(-3,MIN(3,('3a Raw'!H803-$L3)/$L4)))</f>
        <v/>
      </c>
      <c r="M803" s="3">
        <f>IF(L803="","",(L803-AVERAGE(L6:L1198))/(STDEV(L6:L1198)+1E-12))</f>
        <v/>
      </c>
      <c r="N803" s="3">
        <f>IF('3a Raw'!I803="","",MAX(-3,MIN(3,('3a Raw'!I803-$N3)/$N4)))</f>
        <v/>
      </c>
      <c r="O803" s="3">
        <f>IF(N803="","",(N803-AVERAGE(N6:N1198))/(STDEV(N6:N1198)+1E-12))</f>
        <v/>
      </c>
      <c r="P803" s="3">
        <f>IF('3a Raw'!J803="","",MAX(-3,MIN(3,('3a Raw'!J803-$P3)/$P4)))</f>
        <v/>
      </c>
      <c r="Q803" s="3">
        <f>IF(P803="","",(P803-AVERAGE(P6:P1198))/(STDEV(P6:P1198)+1E-12))</f>
        <v/>
      </c>
      <c r="R803" s="3">
        <f>IF('3a Raw'!K803="","",MAX(-3,MIN(3,('3a Raw'!K803-$R3)/$R4)))</f>
        <v/>
      </c>
      <c r="S803" s="3">
        <f>IF(R803="","",(R803-AVERAGE(R6:R1198))/(STDEV(R6:R1198)+1E-12))</f>
        <v/>
      </c>
      <c r="T803" s="3">
        <f>IF('3a Raw'!L803="","",MAX(-3,MIN(3,('3a Raw'!L803-$T3)/$T4)))</f>
        <v/>
      </c>
      <c r="U803" s="3">
        <f>IF(T803="","",(T803-AVERAGE(T6:T1198))/(STDEV(T6:T1198)+1E-12))</f>
        <v/>
      </c>
      <c r="X803" s="3">
        <f>IF(U803="","",U803-($V$3*G803+$W$3))</f>
        <v/>
      </c>
      <c r="Y803" s="3">
        <f>IF(X803="","",MAX(-3,MIN(3,(X803-$X3)/$X4)))</f>
        <v/>
      </c>
      <c r="Z803" s="3">
        <f>IF(Y803="","",(Y803-AVERAGE(Y6:Y1198))/(STDEV(Y6:Y1198)+1E-12))</f>
        <v/>
      </c>
    </row>
    <row r="804">
      <c r="A804" t="inlineStr">
        <is>
          <t>BBG00LBLDHJ2</t>
        </is>
      </c>
      <c r="B804" s="3">
        <f>IF('3a Raw'!C804="","",MAX(-3,MIN(3,('3a Raw'!C804-$B3)/$B4)))</f>
        <v/>
      </c>
      <c r="C804" s="3">
        <f>IF(B804="","",(B804-AVERAGE(B6:B1198))/(STDEV(B6:B1198)+1E-12))</f>
        <v/>
      </c>
      <c r="D804" s="3">
        <f>IF('3a Raw'!D804="","",MAX(-3,MIN(3,('3a Raw'!D804-$D3)/$D4)))</f>
        <v/>
      </c>
      <c r="E804" s="3">
        <f>IF(D804="","",(D804-AVERAGE(D6:D1198))/(STDEV(D6:D1198)+1E-12))</f>
        <v/>
      </c>
      <c r="F804" s="3">
        <f>IF('3a Raw'!E804="","",MAX(-3,MIN(3,('3a Raw'!E804-$F3)/$F4)))</f>
        <v/>
      </c>
      <c r="G804" s="3">
        <f>IF(F804="","",(F804-AVERAGE(F6:F1198))/(STDEV(F6:F1198)+1E-12))</f>
        <v/>
      </c>
      <c r="H804" s="3">
        <f>IF('3a Raw'!F804="","",MAX(-3,MIN(3,('3a Raw'!F804-$H3)/$H4)))</f>
        <v/>
      </c>
      <c r="I804" s="3">
        <f>IF(H804="","",(H804-AVERAGE(H6:H1198))/(STDEV(H6:H1198)+1E-12))</f>
        <v/>
      </c>
      <c r="J804" s="3">
        <f>IF('3a Raw'!G804="","",MAX(-3,MIN(3,('3a Raw'!G804-$J3)/$J4)))</f>
        <v/>
      </c>
      <c r="K804" s="3">
        <f>IF(J804="","",(J804-AVERAGE(J6:J1198))/(STDEV(J6:J1198)+1E-12))</f>
        <v/>
      </c>
      <c r="L804" s="3">
        <f>IF('3a Raw'!H804="","",MAX(-3,MIN(3,('3a Raw'!H804-$L3)/$L4)))</f>
        <v/>
      </c>
      <c r="M804" s="3">
        <f>IF(L804="","",(L804-AVERAGE(L6:L1198))/(STDEV(L6:L1198)+1E-12))</f>
        <v/>
      </c>
      <c r="N804" s="3">
        <f>IF('3a Raw'!I804="","",MAX(-3,MIN(3,('3a Raw'!I804-$N3)/$N4)))</f>
        <v/>
      </c>
      <c r="O804" s="3">
        <f>IF(N804="","",(N804-AVERAGE(N6:N1198))/(STDEV(N6:N1198)+1E-12))</f>
        <v/>
      </c>
      <c r="P804" s="3">
        <f>IF('3a Raw'!J804="","",MAX(-3,MIN(3,('3a Raw'!J804-$P3)/$P4)))</f>
        <v/>
      </c>
      <c r="Q804" s="3">
        <f>IF(P804="","",(P804-AVERAGE(P6:P1198))/(STDEV(P6:P1198)+1E-12))</f>
        <v/>
      </c>
      <c r="R804" s="3">
        <f>IF('3a Raw'!K804="","",MAX(-3,MIN(3,('3a Raw'!K804-$R3)/$R4)))</f>
        <v/>
      </c>
      <c r="S804" s="3">
        <f>IF(R804="","",(R804-AVERAGE(R6:R1198))/(STDEV(R6:R1198)+1E-12))</f>
        <v/>
      </c>
      <c r="T804" s="3">
        <f>IF('3a Raw'!L804="","",MAX(-3,MIN(3,('3a Raw'!L804-$T3)/$T4)))</f>
        <v/>
      </c>
      <c r="U804" s="3">
        <f>IF(T804="","",(T804-AVERAGE(T6:T1198))/(STDEV(T6:T1198)+1E-12))</f>
        <v/>
      </c>
      <c r="X804" s="3">
        <f>IF(U804="","",U804-($V$3*G804+$W$3))</f>
        <v/>
      </c>
      <c r="Y804" s="3">
        <f>IF(X804="","",MAX(-3,MIN(3,(X804-$X3)/$X4)))</f>
        <v/>
      </c>
      <c r="Z804" s="3">
        <f>IF(Y804="","",(Y804-AVERAGE(Y6:Y1198))/(STDEV(Y6:Y1198)+1E-12))</f>
        <v/>
      </c>
    </row>
    <row r="805">
      <c r="A805" t="inlineStr">
        <is>
          <t>BBG00GFMPRK0</t>
        </is>
      </c>
      <c r="B805" s="3">
        <f>IF('3a Raw'!C805="","",MAX(-3,MIN(3,('3a Raw'!C805-$B3)/$B4)))</f>
        <v/>
      </c>
      <c r="C805" s="3">
        <f>IF(B805="","",(B805-AVERAGE(B6:B1198))/(STDEV(B6:B1198)+1E-12))</f>
        <v/>
      </c>
      <c r="D805" s="3">
        <f>IF('3a Raw'!D805="","",MAX(-3,MIN(3,('3a Raw'!D805-$D3)/$D4)))</f>
        <v/>
      </c>
      <c r="E805" s="3">
        <f>IF(D805="","",(D805-AVERAGE(D6:D1198))/(STDEV(D6:D1198)+1E-12))</f>
        <v/>
      </c>
      <c r="F805" s="3">
        <f>IF('3a Raw'!E805="","",MAX(-3,MIN(3,('3a Raw'!E805-$F3)/$F4)))</f>
        <v/>
      </c>
      <c r="G805" s="3">
        <f>IF(F805="","",(F805-AVERAGE(F6:F1198))/(STDEV(F6:F1198)+1E-12))</f>
        <v/>
      </c>
      <c r="H805" s="3">
        <f>IF('3a Raw'!F805="","",MAX(-3,MIN(3,('3a Raw'!F805-$H3)/$H4)))</f>
        <v/>
      </c>
      <c r="I805" s="3">
        <f>IF(H805="","",(H805-AVERAGE(H6:H1198))/(STDEV(H6:H1198)+1E-12))</f>
        <v/>
      </c>
      <c r="J805" s="3">
        <f>IF('3a Raw'!G805="","",MAX(-3,MIN(3,('3a Raw'!G805-$J3)/$J4)))</f>
        <v/>
      </c>
      <c r="K805" s="3">
        <f>IF(J805="","",(J805-AVERAGE(J6:J1198))/(STDEV(J6:J1198)+1E-12))</f>
        <v/>
      </c>
      <c r="L805" s="3">
        <f>IF('3a Raw'!H805="","",MAX(-3,MIN(3,('3a Raw'!H805-$L3)/$L4)))</f>
        <v/>
      </c>
      <c r="M805" s="3">
        <f>IF(L805="","",(L805-AVERAGE(L6:L1198))/(STDEV(L6:L1198)+1E-12))</f>
        <v/>
      </c>
      <c r="N805" s="3">
        <f>IF('3a Raw'!I805="","",MAX(-3,MIN(3,('3a Raw'!I805-$N3)/$N4)))</f>
        <v/>
      </c>
      <c r="O805" s="3">
        <f>IF(N805="","",(N805-AVERAGE(N6:N1198))/(STDEV(N6:N1198)+1E-12))</f>
        <v/>
      </c>
      <c r="P805" s="3">
        <f>IF('3a Raw'!J805="","",MAX(-3,MIN(3,('3a Raw'!J805-$P3)/$P4)))</f>
        <v/>
      </c>
      <c r="Q805" s="3">
        <f>IF(P805="","",(P805-AVERAGE(P6:P1198))/(STDEV(P6:P1198)+1E-12))</f>
        <v/>
      </c>
      <c r="R805" s="3">
        <f>IF('3a Raw'!K805="","",MAX(-3,MIN(3,('3a Raw'!K805-$R3)/$R4)))</f>
        <v/>
      </c>
      <c r="S805" s="3">
        <f>IF(R805="","",(R805-AVERAGE(R6:R1198))/(STDEV(R6:R1198)+1E-12))</f>
        <v/>
      </c>
      <c r="T805" s="3">
        <f>IF('3a Raw'!L805="","",MAX(-3,MIN(3,('3a Raw'!L805-$T3)/$T4)))</f>
        <v/>
      </c>
      <c r="U805" s="3">
        <f>IF(T805="","",(T805-AVERAGE(T6:T1198))/(STDEV(T6:T1198)+1E-12))</f>
        <v/>
      </c>
      <c r="X805" s="3">
        <f>IF(U805="","",U805-($V$3*G805+$W$3))</f>
        <v/>
      </c>
      <c r="Y805" s="3">
        <f>IF(X805="","",MAX(-3,MIN(3,(X805-$X3)/$X4)))</f>
        <v/>
      </c>
      <c r="Z805" s="3">
        <f>IF(Y805="","",(Y805-AVERAGE(Y6:Y1198))/(STDEV(Y6:Y1198)+1E-12))</f>
        <v/>
      </c>
    </row>
    <row r="806">
      <c r="A806" t="inlineStr">
        <is>
          <t>BBG000Q5BQ63</t>
        </is>
      </c>
      <c r="B806" s="3">
        <f>IF('3a Raw'!C806="","",MAX(-3,MIN(3,('3a Raw'!C806-$B3)/$B4)))</f>
        <v/>
      </c>
      <c r="C806" s="3">
        <f>IF(B806="","",(B806-AVERAGE(B6:B1198))/(STDEV(B6:B1198)+1E-12))</f>
        <v/>
      </c>
      <c r="D806" s="3">
        <f>IF('3a Raw'!D806="","",MAX(-3,MIN(3,('3a Raw'!D806-$D3)/$D4)))</f>
        <v/>
      </c>
      <c r="E806" s="3">
        <f>IF(D806="","",(D806-AVERAGE(D6:D1198))/(STDEV(D6:D1198)+1E-12))</f>
        <v/>
      </c>
      <c r="F806" s="3">
        <f>IF('3a Raw'!E806="","",MAX(-3,MIN(3,('3a Raw'!E806-$F3)/$F4)))</f>
        <v/>
      </c>
      <c r="G806" s="3">
        <f>IF(F806="","",(F806-AVERAGE(F6:F1198))/(STDEV(F6:F1198)+1E-12))</f>
        <v/>
      </c>
      <c r="H806" s="3">
        <f>IF('3a Raw'!F806="","",MAX(-3,MIN(3,('3a Raw'!F806-$H3)/$H4)))</f>
        <v/>
      </c>
      <c r="I806" s="3">
        <f>IF(H806="","",(H806-AVERAGE(H6:H1198))/(STDEV(H6:H1198)+1E-12))</f>
        <v/>
      </c>
      <c r="J806" s="3">
        <f>IF('3a Raw'!G806="","",MAX(-3,MIN(3,('3a Raw'!G806-$J3)/$J4)))</f>
        <v/>
      </c>
      <c r="K806" s="3">
        <f>IF(J806="","",(J806-AVERAGE(J6:J1198))/(STDEV(J6:J1198)+1E-12))</f>
        <v/>
      </c>
      <c r="L806" s="3">
        <f>IF('3a Raw'!H806="","",MAX(-3,MIN(3,('3a Raw'!H806-$L3)/$L4)))</f>
        <v/>
      </c>
      <c r="M806" s="3">
        <f>IF(L806="","",(L806-AVERAGE(L6:L1198))/(STDEV(L6:L1198)+1E-12))</f>
        <v/>
      </c>
      <c r="N806" s="3">
        <f>IF('3a Raw'!I806="","",MAX(-3,MIN(3,('3a Raw'!I806-$N3)/$N4)))</f>
        <v/>
      </c>
      <c r="O806" s="3">
        <f>IF(N806="","",(N806-AVERAGE(N6:N1198))/(STDEV(N6:N1198)+1E-12))</f>
        <v/>
      </c>
      <c r="P806" s="3">
        <f>IF('3a Raw'!J806="","",MAX(-3,MIN(3,('3a Raw'!J806-$P3)/$P4)))</f>
        <v/>
      </c>
      <c r="Q806" s="3">
        <f>IF(P806="","",(P806-AVERAGE(P6:P1198))/(STDEV(P6:P1198)+1E-12))</f>
        <v/>
      </c>
      <c r="R806" s="3">
        <f>IF('3a Raw'!K806="","",MAX(-3,MIN(3,('3a Raw'!K806-$R3)/$R4)))</f>
        <v/>
      </c>
      <c r="S806" s="3">
        <f>IF(R806="","",(R806-AVERAGE(R6:R1198))/(STDEV(R6:R1198)+1E-12))</f>
        <v/>
      </c>
      <c r="T806" s="3">
        <f>IF('3a Raw'!L806="","",MAX(-3,MIN(3,('3a Raw'!L806-$T3)/$T4)))</f>
        <v/>
      </c>
      <c r="U806" s="3">
        <f>IF(T806="","",(T806-AVERAGE(T6:T1198))/(STDEV(T6:T1198)+1E-12))</f>
        <v/>
      </c>
      <c r="X806" s="3">
        <f>IF(U806="","",U806-($V$3*G806+$W$3))</f>
        <v/>
      </c>
      <c r="Y806" s="3">
        <f>IF(X806="","",MAX(-3,MIN(3,(X806-$X3)/$X4)))</f>
        <v/>
      </c>
      <c r="Z806" s="3">
        <f>IF(Y806="","",(Y806-AVERAGE(Y6:Y1198))/(STDEV(Y6:Y1198)+1E-12))</f>
        <v/>
      </c>
    </row>
    <row r="807">
      <c r="A807" t="inlineStr">
        <is>
          <t>BBG000BQLTW7</t>
        </is>
      </c>
      <c r="B807" s="3">
        <f>IF('3a Raw'!C807="","",MAX(-3,MIN(3,('3a Raw'!C807-$B3)/$B4)))</f>
        <v/>
      </c>
      <c r="C807" s="3">
        <f>IF(B807="","",(B807-AVERAGE(B6:B1198))/(STDEV(B6:B1198)+1E-12))</f>
        <v/>
      </c>
      <c r="D807" s="3">
        <f>IF('3a Raw'!D807="","",MAX(-3,MIN(3,('3a Raw'!D807-$D3)/$D4)))</f>
        <v/>
      </c>
      <c r="E807" s="3">
        <f>IF(D807="","",(D807-AVERAGE(D6:D1198))/(STDEV(D6:D1198)+1E-12))</f>
        <v/>
      </c>
      <c r="F807" s="3">
        <f>IF('3a Raw'!E807="","",MAX(-3,MIN(3,('3a Raw'!E807-$F3)/$F4)))</f>
        <v/>
      </c>
      <c r="G807" s="3">
        <f>IF(F807="","",(F807-AVERAGE(F6:F1198))/(STDEV(F6:F1198)+1E-12))</f>
        <v/>
      </c>
      <c r="H807" s="3">
        <f>IF('3a Raw'!F807="","",MAX(-3,MIN(3,('3a Raw'!F807-$H3)/$H4)))</f>
        <v/>
      </c>
      <c r="I807" s="3">
        <f>IF(H807="","",(H807-AVERAGE(H6:H1198))/(STDEV(H6:H1198)+1E-12))</f>
        <v/>
      </c>
      <c r="J807" s="3">
        <f>IF('3a Raw'!G807="","",MAX(-3,MIN(3,('3a Raw'!G807-$J3)/$J4)))</f>
        <v/>
      </c>
      <c r="K807" s="3">
        <f>IF(J807="","",(J807-AVERAGE(J6:J1198))/(STDEV(J6:J1198)+1E-12))</f>
        <v/>
      </c>
      <c r="L807" s="3">
        <f>IF('3a Raw'!H807="","",MAX(-3,MIN(3,('3a Raw'!H807-$L3)/$L4)))</f>
        <v/>
      </c>
      <c r="M807" s="3">
        <f>IF(L807="","",(L807-AVERAGE(L6:L1198))/(STDEV(L6:L1198)+1E-12))</f>
        <v/>
      </c>
      <c r="N807" s="3">
        <f>IF('3a Raw'!I807="","",MAX(-3,MIN(3,('3a Raw'!I807-$N3)/$N4)))</f>
        <v/>
      </c>
      <c r="O807" s="3">
        <f>IF(N807="","",(N807-AVERAGE(N6:N1198))/(STDEV(N6:N1198)+1E-12))</f>
        <v/>
      </c>
      <c r="P807" s="3">
        <f>IF('3a Raw'!J807="","",MAX(-3,MIN(3,('3a Raw'!J807-$P3)/$P4)))</f>
        <v/>
      </c>
      <c r="Q807" s="3">
        <f>IF(P807="","",(P807-AVERAGE(P6:P1198))/(STDEV(P6:P1198)+1E-12))</f>
        <v/>
      </c>
      <c r="R807" s="3">
        <f>IF('3a Raw'!K807="","",MAX(-3,MIN(3,('3a Raw'!K807-$R3)/$R4)))</f>
        <v/>
      </c>
      <c r="S807" s="3">
        <f>IF(R807="","",(R807-AVERAGE(R6:R1198))/(STDEV(R6:R1198)+1E-12))</f>
        <v/>
      </c>
      <c r="T807" s="3">
        <f>IF('3a Raw'!L807="","",MAX(-3,MIN(3,('3a Raw'!L807-$T3)/$T4)))</f>
        <v/>
      </c>
      <c r="U807" s="3">
        <f>IF(T807="","",(T807-AVERAGE(T6:T1198))/(STDEV(T6:T1198)+1E-12))</f>
        <v/>
      </c>
      <c r="X807" s="3">
        <f>IF(U807="","",U807-($V$3*G807+$W$3))</f>
        <v/>
      </c>
      <c r="Y807" s="3">
        <f>IF(X807="","",MAX(-3,MIN(3,(X807-$X3)/$X4)))</f>
        <v/>
      </c>
      <c r="Z807" s="3">
        <f>IF(Y807="","",(Y807-AVERAGE(Y6:Y1198))/(STDEV(Y6:Y1198)+1E-12))</f>
        <v/>
      </c>
    </row>
    <row r="808">
      <c r="A808" t="inlineStr">
        <is>
          <t>BBG000BGYWY6</t>
        </is>
      </c>
      <c r="B808" s="3">
        <f>IF('3a Raw'!C808="","",MAX(-3,MIN(3,('3a Raw'!C808-$B3)/$B4)))</f>
        <v/>
      </c>
      <c r="C808" s="3">
        <f>IF(B808="","",(B808-AVERAGE(B6:B1198))/(STDEV(B6:B1198)+1E-12))</f>
        <v/>
      </c>
      <c r="D808" s="3">
        <f>IF('3a Raw'!D808="","",MAX(-3,MIN(3,('3a Raw'!D808-$D3)/$D4)))</f>
        <v/>
      </c>
      <c r="E808" s="3">
        <f>IF(D808="","",(D808-AVERAGE(D6:D1198))/(STDEV(D6:D1198)+1E-12))</f>
        <v/>
      </c>
      <c r="F808" s="3">
        <f>IF('3a Raw'!E808="","",MAX(-3,MIN(3,('3a Raw'!E808-$F3)/$F4)))</f>
        <v/>
      </c>
      <c r="G808" s="3">
        <f>IF(F808="","",(F808-AVERAGE(F6:F1198))/(STDEV(F6:F1198)+1E-12))</f>
        <v/>
      </c>
      <c r="H808" s="3">
        <f>IF('3a Raw'!F808="","",MAX(-3,MIN(3,('3a Raw'!F808-$H3)/$H4)))</f>
        <v/>
      </c>
      <c r="I808" s="3">
        <f>IF(H808="","",(H808-AVERAGE(H6:H1198))/(STDEV(H6:H1198)+1E-12))</f>
        <v/>
      </c>
      <c r="J808" s="3">
        <f>IF('3a Raw'!G808="","",MAX(-3,MIN(3,('3a Raw'!G808-$J3)/$J4)))</f>
        <v/>
      </c>
      <c r="K808" s="3">
        <f>IF(J808="","",(J808-AVERAGE(J6:J1198))/(STDEV(J6:J1198)+1E-12))</f>
        <v/>
      </c>
      <c r="L808" s="3">
        <f>IF('3a Raw'!H808="","",MAX(-3,MIN(3,('3a Raw'!H808-$L3)/$L4)))</f>
        <v/>
      </c>
      <c r="M808" s="3">
        <f>IF(L808="","",(L808-AVERAGE(L6:L1198))/(STDEV(L6:L1198)+1E-12))</f>
        <v/>
      </c>
      <c r="N808" s="3">
        <f>IF('3a Raw'!I808="","",MAX(-3,MIN(3,('3a Raw'!I808-$N3)/$N4)))</f>
        <v/>
      </c>
      <c r="O808" s="3">
        <f>IF(N808="","",(N808-AVERAGE(N6:N1198))/(STDEV(N6:N1198)+1E-12))</f>
        <v/>
      </c>
      <c r="P808" s="3">
        <f>IF('3a Raw'!J808="","",MAX(-3,MIN(3,('3a Raw'!J808-$P3)/$P4)))</f>
        <v/>
      </c>
      <c r="Q808" s="3">
        <f>IF(P808="","",(P808-AVERAGE(P6:P1198))/(STDEV(P6:P1198)+1E-12))</f>
        <v/>
      </c>
      <c r="R808" s="3">
        <f>IF('3a Raw'!K808="","",MAX(-3,MIN(3,('3a Raw'!K808-$R3)/$R4)))</f>
        <v/>
      </c>
      <c r="S808" s="3">
        <f>IF(R808="","",(R808-AVERAGE(R6:R1198))/(STDEV(R6:R1198)+1E-12))</f>
        <v/>
      </c>
      <c r="T808" s="3">
        <f>IF('3a Raw'!L808="","",MAX(-3,MIN(3,('3a Raw'!L808-$T3)/$T4)))</f>
        <v/>
      </c>
      <c r="U808" s="3">
        <f>IF(T808="","",(T808-AVERAGE(T6:T1198))/(STDEV(T6:T1198)+1E-12))</f>
        <v/>
      </c>
      <c r="X808" s="3">
        <f>IF(U808="","",U808-($V$3*G808+$W$3))</f>
        <v/>
      </c>
      <c r="Y808" s="3">
        <f>IF(X808="","",MAX(-3,MIN(3,(X808-$X3)/$X4)))</f>
        <v/>
      </c>
      <c r="Z808" s="3">
        <f>IF(Y808="","",(Y808-AVERAGE(Y6:Y1198))/(STDEV(Y6:Y1198)+1E-12))</f>
        <v/>
      </c>
    </row>
    <row r="809">
      <c r="A809" t="inlineStr">
        <is>
          <t>BBG00YMWFTZ2</t>
        </is>
      </c>
      <c r="B809" s="3">
        <f>IF('3a Raw'!C809="","",MAX(-3,MIN(3,('3a Raw'!C809-$B3)/$B4)))</f>
        <v/>
      </c>
      <c r="C809" s="3">
        <f>IF(B809="","",(B809-AVERAGE(B6:B1198))/(STDEV(B6:B1198)+1E-12))</f>
        <v/>
      </c>
      <c r="D809" s="3">
        <f>IF('3a Raw'!D809="","",MAX(-3,MIN(3,('3a Raw'!D809-$D3)/$D4)))</f>
        <v/>
      </c>
      <c r="E809" s="3">
        <f>IF(D809="","",(D809-AVERAGE(D6:D1198))/(STDEV(D6:D1198)+1E-12))</f>
        <v/>
      </c>
      <c r="F809" s="3">
        <f>IF('3a Raw'!E809="","",MAX(-3,MIN(3,('3a Raw'!E809-$F3)/$F4)))</f>
        <v/>
      </c>
      <c r="G809" s="3">
        <f>IF(F809="","",(F809-AVERAGE(F6:F1198))/(STDEV(F6:F1198)+1E-12))</f>
        <v/>
      </c>
      <c r="H809" s="3">
        <f>IF('3a Raw'!F809="","",MAX(-3,MIN(3,('3a Raw'!F809-$H3)/$H4)))</f>
        <v/>
      </c>
      <c r="I809" s="3">
        <f>IF(H809="","",(H809-AVERAGE(H6:H1198))/(STDEV(H6:H1198)+1E-12))</f>
        <v/>
      </c>
      <c r="J809" s="3">
        <f>IF('3a Raw'!G809="","",MAX(-3,MIN(3,('3a Raw'!G809-$J3)/$J4)))</f>
        <v/>
      </c>
      <c r="K809" s="3">
        <f>IF(J809="","",(J809-AVERAGE(J6:J1198))/(STDEV(J6:J1198)+1E-12))</f>
        <v/>
      </c>
      <c r="L809" s="3">
        <f>IF('3a Raw'!H809="","",MAX(-3,MIN(3,('3a Raw'!H809-$L3)/$L4)))</f>
        <v/>
      </c>
      <c r="M809" s="3">
        <f>IF(L809="","",(L809-AVERAGE(L6:L1198))/(STDEV(L6:L1198)+1E-12))</f>
        <v/>
      </c>
      <c r="N809" s="3">
        <f>IF('3a Raw'!I809="","",MAX(-3,MIN(3,('3a Raw'!I809-$N3)/$N4)))</f>
        <v/>
      </c>
      <c r="O809" s="3">
        <f>IF(N809="","",(N809-AVERAGE(N6:N1198))/(STDEV(N6:N1198)+1E-12))</f>
        <v/>
      </c>
      <c r="P809" s="3">
        <f>IF('3a Raw'!J809="","",MAX(-3,MIN(3,('3a Raw'!J809-$P3)/$P4)))</f>
        <v/>
      </c>
      <c r="Q809" s="3">
        <f>IF(P809="","",(P809-AVERAGE(P6:P1198))/(STDEV(P6:P1198)+1E-12))</f>
        <v/>
      </c>
      <c r="R809" s="3">
        <f>IF('3a Raw'!K809="","",MAX(-3,MIN(3,('3a Raw'!K809-$R3)/$R4)))</f>
        <v/>
      </c>
      <c r="S809" s="3">
        <f>IF(R809="","",(R809-AVERAGE(R6:R1198))/(STDEV(R6:R1198)+1E-12))</f>
        <v/>
      </c>
      <c r="T809" s="3">
        <f>IF('3a Raw'!L809="","",MAX(-3,MIN(3,('3a Raw'!L809-$T3)/$T4)))</f>
        <v/>
      </c>
      <c r="U809" s="3">
        <f>IF(T809="","",(T809-AVERAGE(T6:T1198))/(STDEV(T6:T1198)+1E-12))</f>
        <v/>
      </c>
      <c r="X809" s="3">
        <f>IF(U809="","",U809-($V$3*G809+$W$3))</f>
        <v/>
      </c>
      <c r="Y809" s="3">
        <f>IF(X809="","",MAX(-3,MIN(3,(X809-$X3)/$X4)))</f>
        <v/>
      </c>
      <c r="Z809" s="3">
        <f>IF(Y809="","",(Y809-AVERAGE(Y6:Y1198))/(STDEV(Y6:Y1198)+1E-12))</f>
        <v/>
      </c>
    </row>
    <row r="810">
      <c r="A810" t="inlineStr">
        <is>
          <t>BBG000CC53X1</t>
        </is>
      </c>
      <c r="B810" s="3">
        <f>IF('3a Raw'!C810="","",MAX(-3,MIN(3,('3a Raw'!C810-$B3)/$B4)))</f>
        <v/>
      </c>
      <c r="C810" s="3">
        <f>IF(B810="","",(B810-AVERAGE(B6:B1198))/(STDEV(B6:B1198)+1E-12))</f>
        <v/>
      </c>
      <c r="D810" s="3">
        <f>IF('3a Raw'!D810="","",MAX(-3,MIN(3,('3a Raw'!D810-$D3)/$D4)))</f>
        <v/>
      </c>
      <c r="E810" s="3">
        <f>IF(D810="","",(D810-AVERAGE(D6:D1198))/(STDEV(D6:D1198)+1E-12))</f>
        <v/>
      </c>
      <c r="F810" s="3">
        <f>IF('3a Raw'!E810="","",MAX(-3,MIN(3,('3a Raw'!E810-$F3)/$F4)))</f>
        <v/>
      </c>
      <c r="G810" s="3">
        <f>IF(F810="","",(F810-AVERAGE(F6:F1198))/(STDEV(F6:F1198)+1E-12))</f>
        <v/>
      </c>
      <c r="H810" s="3">
        <f>IF('3a Raw'!F810="","",MAX(-3,MIN(3,('3a Raw'!F810-$H3)/$H4)))</f>
        <v/>
      </c>
      <c r="I810" s="3">
        <f>IF(H810="","",(H810-AVERAGE(H6:H1198))/(STDEV(H6:H1198)+1E-12))</f>
        <v/>
      </c>
      <c r="J810" s="3">
        <f>IF('3a Raw'!G810="","",MAX(-3,MIN(3,('3a Raw'!G810-$J3)/$J4)))</f>
        <v/>
      </c>
      <c r="K810" s="3">
        <f>IF(J810="","",(J810-AVERAGE(J6:J1198))/(STDEV(J6:J1198)+1E-12))</f>
        <v/>
      </c>
      <c r="L810" s="3">
        <f>IF('3a Raw'!H810="","",MAX(-3,MIN(3,('3a Raw'!H810-$L3)/$L4)))</f>
        <v/>
      </c>
      <c r="M810" s="3">
        <f>IF(L810="","",(L810-AVERAGE(L6:L1198))/(STDEV(L6:L1198)+1E-12))</f>
        <v/>
      </c>
      <c r="N810" s="3">
        <f>IF('3a Raw'!I810="","",MAX(-3,MIN(3,('3a Raw'!I810-$N3)/$N4)))</f>
        <v/>
      </c>
      <c r="O810" s="3">
        <f>IF(N810="","",(N810-AVERAGE(N6:N1198))/(STDEV(N6:N1198)+1E-12))</f>
        <v/>
      </c>
      <c r="P810" s="3">
        <f>IF('3a Raw'!J810="","",MAX(-3,MIN(3,('3a Raw'!J810-$P3)/$P4)))</f>
        <v/>
      </c>
      <c r="Q810" s="3">
        <f>IF(P810="","",(P810-AVERAGE(P6:P1198))/(STDEV(P6:P1198)+1E-12))</f>
        <v/>
      </c>
      <c r="R810" s="3">
        <f>IF('3a Raw'!K810="","",MAX(-3,MIN(3,('3a Raw'!K810-$R3)/$R4)))</f>
        <v/>
      </c>
      <c r="S810" s="3">
        <f>IF(R810="","",(R810-AVERAGE(R6:R1198))/(STDEV(R6:R1198)+1E-12))</f>
        <v/>
      </c>
      <c r="T810" s="3">
        <f>IF('3a Raw'!L810="","",MAX(-3,MIN(3,('3a Raw'!L810-$T3)/$T4)))</f>
        <v/>
      </c>
      <c r="U810" s="3">
        <f>IF(T810="","",(T810-AVERAGE(T6:T1198))/(STDEV(T6:T1198)+1E-12))</f>
        <v/>
      </c>
      <c r="X810" s="3">
        <f>IF(U810="","",U810-($V$3*G810+$W$3))</f>
        <v/>
      </c>
      <c r="Y810" s="3">
        <f>IF(X810="","",MAX(-3,MIN(3,(X810-$X3)/$X4)))</f>
        <v/>
      </c>
      <c r="Z810" s="3">
        <f>IF(Y810="","",(Y810-AVERAGE(Y6:Y1198))/(STDEV(Y6:Y1198)+1E-12))</f>
        <v/>
      </c>
    </row>
    <row r="811">
      <c r="A811" t="inlineStr">
        <is>
          <t>BBG00MXMSTD8</t>
        </is>
      </c>
      <c r="B811" s="3">
        <f>IF('3a Raw'!C811="","",MAX(-3,MIN(3,('3a Raw'!C811-$B3)/$B4)))</f>
        <v/>
      </c>
      <c r="C811" s="3">
        <f>IF(B811="","",(B811-AVERAGE(B6:B1198))/(STDEV(B6:B1198)+1E-12))</f>
        <v/>
      </c>
      <c r="D811" s="3">
        <f>IF('3a Raw'!D811="","",MAX(-3,MIN(3,('3a Raw'!D811-$D3)/$D4)))</f>
        <v/>
      </c>
      <c r="E811" s="3">
        <f>IF(D811="","",(D811-AVERAGE(D6:D1198))/(STDEV(D6:D1198)+1E-12))</f>
        <v/>
      </c>
      <c r="F811" s="3">
        <f>IF('3a Raw'!E811="","",MAX(-3,MIN(3,('3a Raw'!E811-$F3)/$F4)))</f>
        <v/>
      </c>
      <c r="G811" s="3">
        <f>IF(F811="","",(F811-AVERAGE(F6:F1198))/(STDEV(F6:F1198)+1E-12))</f>
        <v/>
      </c>
      <c r="H811" s="3">
        <f>IF('3a Raw'!F811="","",MAX(-3,MIN(3,('3a Raw'!F811-$H3)/$H4)))</f>
        <v/>
      </c>
      <c r="I811" s="3">
        <f>IF(H811="","",(H811-AVERAGE(H6:H1198))/(STDEV(H6:H1198)+1E-12))</f>
        <v/>
      </c>
      <c r="J811" s="3">
        <f>IF('3a Raw'!G811="","",MAX(-3,MIN(3,('3a Raw'!G811-$J3)/$J4)))</f>
        <v/>
      </c>
      <c r="K811" s="3">
        <f>IF(J811="","",(J811-AVERAGE(J6:J1198))/(STDEV(J6:J1198)+1E-12))</f>
        <v/>
      </c>
      <c r="L811" s="3">
        <f>IF('3a Raw'!H811="","",MAX(-3,MIN(3,('3a Raw'!H811-$L3)/$L4)))</f>
        <v/>
      </c>
      <c r="M811" s="3">
        <f>IF(L811="","",(L811-AVERAGE(L6:L1198))/(STDEV(L6:L1198)+1E-12))</f>
        <v/>
      </c>
      <c r="N811" s="3">
        <f>IF('3a Raw'!I811="","",MAX(-3,MIN(3,('3a Raw'!I811-$N3)/$N4)))</f>
        <v/>
      </c>
      <c r="O811" s="3">
        <f>IF(N811="","",(N811-AVERAGE(N6:N1198))/(STDEV(N6:N1198)+1E-12))</f>
        <v/>
      </c>
      <c r="P811" s="3">
        <f>IF('3a Raw'!J811="","",MAX(-3,MIN(3,('3a Raw'!J811-$P3)/$P4)))</f>
        <v/>
      </c>
      <c r="Q811" s="3">
        <f>IF(P811="","",(P811-AVERAGE(P6:P1198))/(STDEV(P6:P1198)+1E-12))</f>
        <v/>
      </c>
      <c r="R811" s="3">
        <f>IF('3a Raw'!K811="","",MAX(-3,MIN(3,('3a Raw'!K811-$R3)/$R4)))</f>
        <v/>
      </c>
      <c r="S811" s="3">
        <f>IF(R811="","",(R811-AVERAGE(R6:R1198))/(STDEV(R6:R1198)+1E-12))</f>
        <v/>
      </c>
      <c r="T811" s="3">
        <f>IF('3a Raw'!L811="","",MAX(-3,MIN(3,('3a Raw'!L811-$T3)/$T4)))</f>
        <v/>
      </c>
      <c r="U811" s="3">
        <f>IF(T811="","",(T811-AVERAGE(T6:T1198))/(STDEV(T6:T1198)+1E-12))</f>
        <v/>
      </c>
      <c r="X811" s="3">
        <f>IF(U811="","",U811-($V$3*G811+$W$3))</f>
        <v/>
      </c>
      <c r="Y811" s="3">
        <f>IF(X811="","",MAX(-3,MIN(3,(X811-$X3)/$X4)))</f>
        <v/>
      </c>
      <c r="Z811" s="3">
        <f>IF(Y811="","",(Y811-AVERAGE(Y6:Y1198))/(STDEV(Y6:Y1198)+1E-12))</f>
        <v/>
      </c>
    </row>
    <row r="812">
      <c r="A812" t="inlineStr">
        <is>
          <t>BBG00RP60KV0</t>
        </is>
      </c>
      <c r="B812" s="3">
        <f>IF('3a Raw'!C812="","",MAX(-3,MIN(3,('3a Raw'!C812-$B3)/$B4)))</f>
        <v/>
      </c>
      <c r="C812" s="3">
        <f>IF(B812="","",(B812-AVERAGE(B6:B1198))/(STDEV(B6:B1198)+1E-12))</f>
        <v/>
      </c>
      <c r="D812" s="3">
        <f>IF('3a Raw'!D812="","",MAX(-3,MIN(3,('3a Raw'!D812-$D3)/$D4)))</f>
        <v/>
      </c>
      <c r="E812" s="3">
        <f>IF(D812="","",(D812-AVERAGE(D6:D1198))/(STDEV(D6:D1198)+1E-12))</f>
        <v/>
      </c>
      <c r="F812" s="3">
        <f>IF('3a Raw'!E812="","",MAX(-3,MIN(3,('3a Raw'!E812-$F3)/$F4)))</f>
        <v/>
      </c>
      <c r="G812" s="3">
        <f>IF(F812="","",(F812-AVERAGE(F6:F1198))/(STDEV(F6:F1198)+1E-12))</f>
        <v/>
      </c>
      <c r="H812" s="3">
        <f>IF('3a Raw'!F812="","",MAX(-3,MIN(3,('3a Raw'!F812-$H3)/$H4)))</f>
        <v/>
      </c>
      <c r="I812" s="3">
        <f>IF(H812="","",(H812-AVERAGE(H6:H1198))/(STDEV(H6:H1198)+1E-12))</f>
        <v/>
      </c>
      <c r="J812" s="3">
        <f>IF('3a Raw'!G812="","",MAX(-3,MIN(3,('3a Raw'!G812-$J3)/$J4)))</f>
        <v/>
      </c>
      <c r="K812" s="3">
        <f>IF(J812="","",(J812-AVERAGE(J6:J1198))/(STDEV(J6:J1198)+1E-12))</f>
        <v/>
      </c>
      <c r="L812" s="3">
        <f>IF('3a Raw'!H812="","",MAX(-3,MIN(3,('3a Raw'!H812-$L3)/$L4)))</f>
        <v/>
      </c>
      <c r="M812" s="3">
        <f>IF(L812="","",(L812-AVERAGE(L6:L1198))/(STDEV(L6:L1198)+1E-12))</f>
        <v/>
      </c>
      <c r="N812" s="3">
        <f>IF('3a Raw'!I812="","",MAX(-3,MIN(3,('3a Raw'!I812-$N3)/$N4)))</f>
        <v/>
      </c>
      <c r="O812" s="3">
        <f>IF(N812="","",(N812-AVERAGE(N6:N1198))/(STDEV(N6:N1198)+1E-12))</f>
        <v/>
      </c>
      <c r="P812" s="3">
        <f>IF('3a Raw'!J812="","",MAX(-3,MIN(3,('3a Raw'!J812-$P3)/$P4)))</f>
        <v/>
      </c>
      <c r="Q812" s="3">
        <f>IF(P812="","",(P812-AVERAGE(P6:P1198))/(STDEV(P6:P1198)+1E-12))</f>
        <v/>
      </c>
      <c r="R812" s="3">
        <f>IF('3a Raw'!K812="","",MAX(-3,MIN(3,('3a Raw'!K812-$R3)/$R4)))</f>
        <v/>
      </c>
      <c r="S812" s="3">
        <f>IF(R812="","",(R812-AVERAGE(R6:R1198))/(STDEV(R6:R1198)+1E-12))</f>
        <v/>
      </c>
      <c r="T812" s="3">
        <f>IF('3a Raw'!L812="","",MAX(-3,MIN(3,('3a Raw'!L812-$T3)/$T4)))</f>
        <v/>
      </c>
      <c r="U812" s="3">
        <f>IF(T812="","",(T812-AVERAGE(T6:T1198))/(STDEV(T6:T1198)+1E-12))</f>
        <v/>
      </c>
      <c r="X812" s="3">
        <f>IF(U812="","",U812-($V$3*G812+$W$3))</f>
        <v/>
      </c>
      <c r="Y812" s="3">
        <f>IF(X812="","",MAX(-3,MIN(3,(X812-$X3)/$X4)))</f>
        <v/>
      </c>
      <c r="Z812" s="3">
        <f>IF(Y812="","",(Y812-AVERAGE(Y6:Y1198))/(STDEV(Y6:Y1198)+1E-12))</f>
        <v/>
      </c>
    </row>
    <row r="813">
      <c r="A813" t="inlineStr">
        <is>
          <t>BBG00XV417R8</t>
        </is>
      </c>
      <c r="B813" s="3">
        <f>IF('3a Raw'!C813="","",MAX(-3,MIN(3,('3a Raw'!C813-$B3)/$B4)))</f>
        <v/>
      </c>
      <c r="C813" s="3">
        <f>IF(B813="","",(B813-AVERAGE(B6:B1198))/(STDEV(B6:B1198)+1E-12))</f>
        <v/>
      </c>
      <c r="D813" s="3">
        <f>IF('3a Raw'!D813="","",MAX(-3,MIN(3,('3a Raw'!D813-$D3)/$D4)))</f>
        <v/>
      </c>
      <c r="E813" s="3">
        <f>IF(D813="","",(D813-AVERAGE(D6:D1198))/(STDEV(D6:D1198)+1E-12))</f>
        <v/>
      </c>
      <c r="F813" s="3">
        <f>IF('3a Raw'!E813="","",MAX(-3,MIN(3,('3a Raw'!E813-$F3)/$F4)))</f>
        <v/>
      </c>
      <c r="G813" s="3">
        <f>IF(F813="","",(F813-AVERAGE(F6:F1198))/(STDEV(F6:F1198)+1E-12))</f>
        <v/>
      </c>
      <c r="H813" s="3">
        <f>IF('3a Raw'!F813="","",MAX(-3,MIN(3,('3a Raw'!F813-$H3)/$H4)))</f>
        <v/>
      </c>
      <c r="I813" s="3">
        <f>IF(H813="","",(H813-AVERAGE(H6:H1198))/(STDEV(H6:H1198)+1E-12))</f>
        <v/>
      </c>
      <c r="J813" s="3">
        <f>IF('3a Raw'!G813="","",MAX(-3,MIN(3,('3a Raw'!G813-$J3)/$J4)))</f>
        <v/>
      </c>
      <c r="K813" s="3">
        <f>IF(J813="","",(J813-AVERAGE(J6:J1198))/(STDEV(J6:J1198)+1E-12))</f>
        <v/>
      </c>
      <c r="L813" s="3">
        <f>IF('3a Raw'!H813="","",MAX(-3,MIN(3,('3a Raw'!H813-$L3)/$L4)))</f>
        <v/>
      </c>
      <c r="M813" s="3">
        <f>IF(L813="","",(L813-AVERAGE(L6:L1198))/(STDEV(L6:L1198)+1E-12))</f>
        <v/>
      </c>
      <c r="N813" s="3">
        <f>IF('3a Raw'!I813="","",MAX(-3,MIN(3,('3a Raw'!I813-$N3)/$N4)))</f>
        <v/>
      </c>
      <c r="O813" s="3">
        <f>IF(N813="","",(N813-AVERAGE(N6:N1198))/(STDEV(N6:N1198)+1E-12))</f>
        <v/>
      </c>
      <c r="P813" s="3">
        <f>IF('3a Raw'!J813="","",MAX(-3,MIN(3,('3a Raw'!J813-$P3)/$P4)))</f>
        <v/>
      </c>
      <c r="Q813" s="3">
        <f>IF(P813="","",(P813-AVERAGE(P6:P1198))/(STDEV(P6:P1198)+1E-12))</f>
        <v/>
      </c>
      <c r="R813" s="3">
        <f>IF('3a Raw'!K813="","",MAX(-3,MIN(3,('3a Raw'!K813-$R3)/$R4)))</f>
        <v/>
      </c>
      <c r="S813" s="3">
        <f>IF(R813="","",(R813-AVERAGE(R6:R1198))/(STDEV(R6:R1198)+1E-12))</f>
        <v/>
      </c>
      <c r="T813" s="3">
        <f>IF('3a Raw'!L813="","",MAX(-3,MIN(3,('3a Raw'!L813-$T3)/$T4)))</f>
        <v/>
      </c>
      <c r="U813" s="3">
        <f>IF(T813="","",(T813-AVERAGE(T6:T1198))/(STDEV(T6:T1198)+1E-12))</f>
        <v/>
      </c>
      <c r="X813" s="3">
        <f>IF(U813="","",U813-($V$3*G813+$W$3))</f>
        <v/>
      </c>
      <c r="Y813" s="3">
        <f>IF(X813="","",MAX(-3,MIN(3,(X813-$X3)/$X4)))</f>
        <v/>
      </c>
      <c r="Z813" s="3">
        <f>IF(Y813="","",(Y813-AVERAGE(Y6:Y1198))/(STDEV(Y6:Y1198)+1E-12))</f>
        <v/>
      </c>
    </row>
    <row r="814">
      <c r="A814" t="inlineStr">
        <is>
          <t>BBG000BQQ2S6</t>
        </is>
      </c>
      <c r="B814" s="3">
        <f>IF('3a Raw'!C814="","",MAX(-3,MIN(3,('3a Raw'!C814-$B3)/$B4)))</f>
        <v/>
      </c>
      <c r="C814" s="3">
        <f>IF(B814="","",(B814-AVERAGE(B6:B1198))/(STDEV(B6:B1198)+1E-12))</f>
        <v/>
      </c>
      <c r="D814" s="3">
        <f>IF('3a Raw'!D814="","",MAX(-3,MIN(3,('3a Raw'!D814-$D3)/$D4)))</f>
        <v/>
      </c>
      <c r="E814" s="3">
        <f>IF(D814="","",(D814-AVERAGE(D6:D1198))/(STDEV(D6:D1198)+1E-12))</f>
        <v/>
      </c>
      <c r="F814" s="3">
        <f>IF('3a Raw'!E814="","",MAX(-3,MIN(3,('3a Raw'!E814-$F3)/$F4)))</f>
        <v/>
      </c>
      <c r="G814" s="3">
        <f>IF(F814="","",(F814-AVERAGE(F6:F1198))/(STDEV(F6:F1198)+1E-12))</f>
        <v/>
      </c>
      <c r="H814" s="3">
        <f>IF('3a Raw'!F814="","",MAX(-3,MIN(3,('3a Raw'!F814-$H3)/$H4)))</f>
        <v/>
      </c>
      <c r="I814" s="3">
        <f>IF(H814="","",(H814-AVERAGE(H6:H1198))/(STDEV(H6:H1198)+1E-12))</f>
        <v/>
      </c>
      <c r="J814" s="3">
        <f>IF('3a Raw'!G814="","",MAX(-3,MIN(3,('3a Raw'!G814-$J3)/$J4)))</f>
        <v/>
      </c>
      <c r="K814" s="3">
        <f>IF(J814="","",(J814-AVERAGE(J6:J1198))/(STDEV(J6:J1198)+1E-12))</f>
        <v/>
      </c>
      <c r="L814" s="3">
        <f>IF('3a Raw'!H814="","",MAX(-3,MIN(3,('3a Raw'!H814-$L3)/$L4)))</f>
        <v/>
      </c>
      <c r="M814" s="3">
        <f>IF(L814="","",(L814-AVERAGE(L6:L1198))/(STDEV(L6:L1198)+1E-12))</f>
        <v/>
      </c>
      <c r="N814" s="3">
        <f>IF('3a Raw'!I814="","",MAX(-3,MIN(3,('3a Raw'!I814-$N3)/$N4)))</f>
        <v/>
      </c>
      <c r="O814" s="3">
        <f>IF(N814="","",(N814-AVERAGE(N6:N1198))/(STDEV(N6:N1198)+1E-12))</f>
        <v/>
      </c>
      <c r="P814" s="3">
        <f>IF('3a Raw'!J814="","",MAX(-3,MIN(3,('3a Raw'!J814-$P3)/$P4)))</f>
        <v/>
      </c>
      <c r="Q814" s="3">
        <f>IF(P814="","",(P814-AVERAGE(P6:P1198))/(STDEV(P6:P1198)+1E-12))</f>
        <v/>
      </c>
      <c r="R814" s="3">
        <f>IF('3a Raw'!K814="","",MAX(-3,MIN(3,('3a Raw'!K814-$R3)/$R4)))</f>
        <v/>
      </c>
      <c r="S814" s="3">
        <f>IF(R814="","",(R814-AVERAGE(R6:R1198))/(STDEV(R6:R1198)+1E-12))</f>
        <v/>
      </c>
      <c r="T814" s="3">
        <f>IF('3a Raw'!L814="","",MAX(-3,MIN(3,('3a Raw'!L814-$T3)/$T4)))</f>
        <v/>
      </c>
      <c r="U814" s="3">
        <f>IF(T814="","",(T814-AVERAGE(T6:T1198))/(STDEV(T6:T1198)+1E-12))</f>
        <v/>
      </c>
      <c r="X814" s="3">
        <f>IF(U814="","",U814-($V$3*G814+$W$3))</f>
        <v/>
      </c>
      <c r="Y814" s="3">
        <f>IF(X814="","",MAX(-3,MIN(3,(X814-$X3)/$X4)))</f>
        <v/>
      </c>
      <c r="Z814" s="3">
        <f>IF(Y814="","",(Y814-AVERAGE(Y6:Y1198))/(STDEV(Y6:Y1198)+1E-12))</f>
        <v/>
      </c>
    </row>
    <row r="815">
      <c r="A815" t="inlineStr">
        <is>
          <t>BBG00212PVZ5</t>
        </is>
      </c>
      <c r="B815" s="3">
        <f>IF('3a Raw'!C815="","",MAX(-3,MIN(3,('3a Raw'!C815-$B3)/$B4)))</f>
        <v/>
      </c>
      <c r="C815" s="3">
        <f>IF(B815="","",(B815-AVERAGE(B6:B1198))/(STDEV(B6:B1198)+1E-12))</f>
        <v/>
      </c>
      <c r="D815" s="3">
        <f>IF('3a Raw'!D815="","",MAX(-3,MIN(3,('3a Raw'!D815-$D3)/$D4)))</f>
        <v/>
      </c>
      <c r="E815" s="3">
        <f>IF(D815="","",(D815-AVERAGE(D6:D1198))/(STDEV(D6:D1198)+1E-12))</f>
        <v/>
      </c>
      <c r="F815" s="3">
        <f>IF('3a Raw'!E815="","",MAX(-3,MIN(3,('3a Raw'!E815-$F3)/$F4)))</f>
        <v/>
      </c>
      <c r="G815" s="3">
        <f>IF(F815="","",(F815-AVERAGE(F6:F1198))/(STDEV(F6:F1198)+1E-12))</f>
        <v/>
      </c>
      <c r="H815" s="3">
        <f>IF('3a Raw'!F815="","",MAX(-3,MIN(3,('3a Raw'!F815-$H3)/$H4)))</f>
        <v/>
      </c>
      <c r="I815" s="3">
        <f>IF(H815="","",(H815-AVERAGE(H6:H1198))/(STDEV(H6:H1198)+1E-12))</f>
        <v/>
      </c>
      <c r="J815" s="3">
        <f>IF('3a Raw'!G815="","",MAX(-3,MIN(3,('3a Raw'!G815-$J3)/$J4)))</f>
        <v/>
      </c>
      <c r="K815" s="3">
        <f>IF(J815="","",(J815-AVERAGE(J6:J1198))/(STDEV(J6:J1198)+1E-12))</f>
        <v/>
      </c>
      <c r="L815" s="3">
        <f>IF('3a Raw'!H815="","",MAX(-3,MIN(3,('3a Raw'!H815-$L3)/$L4)))</f>
        <v/>
      </c>
      <c r="M815" s="3">
        <f>IF(L815="","",(L815-AVERAGE(L6:L1198))/(STDEV(L6:L1198)+1E-12))</f>
        <v/>
      </c>
      <c r="N815" s="3">
        <f>IF('3a Raw'!I815="","",MAX(-3,MIN(3,('3a Raw'!I815-$N3)/$N4)))</f>
        <v/>
      </c>
      <c r="O815" s="3">
        <f>IF(N815="","",(N815-AVERAGE(N6:N1198))/(STDEV(N6:N1198)+1E-12))</f>
        <v/>
      </c>
      <c r="P815" s="3">
        <f>IF('3a Raw'!J815="","",MAX(-3,MIN(3,('3a Raw'!J815-$P3)/$P4)))</f>
        <v/>
      </c>
      <c r="Q815" s="3">
        <f>IF(P815="","",(P815-AVERAGE(P6:P1198))/(STDEV(P6:P1198)+1E-12))</f>
        <v/>
      </c>
      <c r="R815" s="3">
        <f>IF('3a Raw'!K815="","",MAX(-3,MIN(3,('3a Raw'!K815-$R3)/$R4)))</f>
        <v/>
      </c>
      <c r="S815" s="3">
        <f>IF(R815="","",(R815-AVERAGE(R6:R1198))/(STDEV(R6:R1198)+1E-12))</f>
        <v/>
      </c>
      <c r="T815" s="3">
        <f>IF('3a Raw'!L815="","",MAX(-3,MIN(3,('3a Raw'!L815-$T3)/$T4)))</f>
        <v/>
      </c>
      <c r="U815" s="3">
        <f>IF(T815="","",(T815-AVERAGE(T6:T1198))/(STDEV(T6:T1198)+1E-12))</f>
        <v/>
      </c>
      <c r="X815" s="3">
        <f>IF(U815="","",U815-($V$3*G815+$W$3))</f>
        <v/>
      </c>
      <c r="Y815" s="3">
        <f>IF(X815="","",MAX(-3,MIN(3,(X815-$X3)/$X4)))</f>
        <v/>
      </c>
      <c r="Z815" s="3">
        <f>IF(Y815="","",(Y815-AVERAGE(Y6:Y1198))/(STDEV(Y6:Y1198)+1E-12))</f>
        <v/>
      </c>
    </row>
    <row r="816">
      <c r="A816" t="inlineStr">
        <is>
          <t>BBG000C0RGY3</t>
        </is>
      </c>
      <c r="B816" s="3">
        <f>IF('3a Raw'!C816="","",MAX(-3,MIN(3,('3a Raw'!C816-$B3)/$B4)))</f>
        <v/>
      </c>
      <c r="C816" s="3">
        <f>IF(B816="","",(B816-AVERAGE(B6:B1198))/(STDEV(B6:B1198)+1E-12))</f>
        <v/>
      </c>
      <c r="D816" s="3">
        <f>IF('3a Raw'!D816="","",MAX(-3,MIN(3,('3a Raw'!D816-$D3)/$D4)))</f>
        <v/>
      </c>
      <c r="E816" s="3">
        <f>IF(D816="","",(D816-AVERAGE(D6:D1198))/(STDEV(D6:D1198)+1E-12))</f>
        <v/>
      </c>
      <c r="F816" s="3">
        <f>IF('3a Raw'!E816="","",MAX(-3,MIN(3,('3a Raw'!E816-$F3)/$F4)))</f>
        <v/>
      </c>
      <c r="G816" s="3">
        <f>IF(F816="","",(F816-AVERAGE(F6:F1198))/(STDEV(F6:F1198)+1E-12))</f>
        <v/>
      </c>
      <c r="H816" s="3">
        <f>IF('3a Raw'!F816="","",MAX(-3,MIN(3,('3a Raw'!F816-$H3)/$H4)))</f>
        <v/>
      </c>
      <c r="I816" s="3">
        <f>IF(H816="","",(H816-AVERAGE(H6:H1198))/(STDEV(H6:H1198)+1E-12))</f>
        <v/>
      </c>
      <c r="J816" s="3">
        <f>IF('3a Raw'!G816="","",MAX(-3,MIN(3,('3a Raw'!G816-$J3)/$J4)))</f>
        <v/>
      </c>
      <c r="K816" s="3">
        <f>IF(J816="","",(J816-AVERAGE(J6:J1198))/(STDEV(J6:J1198)+1E-12))</f>
        <v/>
      </c>
      <c r="L816" s="3">
        <f>IF('3a Raw'!H816="","",MAX(-3,MIN(3,('3a Raw'!H816-$L3)/$L4)))</f>
        <v/>
      </c>
      <c r="M816" s="3">
        <f>IF(L816="","",(L816-AVERAGE(L6:L1198))/(STDEV(L6:L1198)+1E-12))</f>
        <v/>
      </c>
      <c r="N816" s="3">
        <f>IF('3a Raw'!I816="","",MAX(-3,MIN(3,('3a Raw'!I816-$N3)/$N4)))</f>
        <v/>
      </c>
      <c r="O816" s="3">
        <f>IF(N816="","",(N816-AVERAGE(N6:N1198))/(STDEV(N6:N1198)+1E-12))</f>
        <v/>
      </c>
      <c r="P816" s="3">
        <f>IF('3a Raw'!J816="","",MAX(-3,MIN(3,('3a Raw'!J816-$P3)/$P4)))</f>
        <v/>
      </c>
      <c r="Q816" s="3">
        <f>IF(P816="","",(P816-AVERAGE(P6:P1198))/(STDEV(P6:P1198)+1E-12))</f>
        <v/>
      </c>
      <c r="R816" s="3">
        <f>IF('3a Raw'!K816="","",MAX(-3,MIN(3,('3a Raw'!K816-$R3)/$R4)))</f>
        <v/>
      </c>
      <c r="S816" s="3">
        <f>IF(R816="","",(R816-AVERAGE(R6:R1198))/(STDEV(R6:R1198)+1E-12))</f>
        <v/>
      </c>
      <c r="T816" s="3">
        <f>IF('3a Raw'!L816="","",MAX(-3,MIN(3,('3a Raw'!L816-$T3)/$T4)))</f>
        <v/>
      </c>
      <c r="U816" s="3">
        <f>IF(T816="","",(T816-AVERAGE(T6:T1198))/(STDEV(T6:T1198)+1E-12))</f>
        <v/>
      </c>
      <c r="X816" s="3">
        <f>IF(U816="","",U816-($V$3*G816+$W$3))</f>
        <v/>
      </c>
      <c r="Y816" s="3">
        <f>IF(X816="","",MAX(-3,MIN(3,(X816-$X3)/$X4)))</f>
        <v/>
      </c>
      <c r="Z816" s="3">
        <f>IF(Y816="","",(Y816-AVERAGE(Y6:Y1198))/(STDEV(Y6:Y1198)+1E-12))</f>
        <v/>
      </c>
    </row>
    <row r="817">
      <c r="A817" t="inlineStr">
        <is>
          <t>BBG000QKXH20</t>
        </is>
      </c>
      <c r="B817" s="3">
        <f>IF('3a Raw'!C817="","",MAX(-3,MIN(3,('3a Raw'!C817-$B3)/$B4)))</f>
        <v/>
      </c>
      <c r="C817" s="3">
        <f>IF(B817="","",(B817-AVERAGE(B6:B1198))/(STDEV(B6:B1198)+1E-12))</f>
        <v/>
      </c>
      <c r="D817" s="3">
        <f>IF('3a Raw'!D817="","",MAX(-3,MIN(3,('3a Raw'!D817-$D3)/$D4)))</f>
        <v/>
      </c>
      <c r="E817" s="3">
        <f>IF(D817="","",(D817-AVERAGE(D6:D1198))/(STDEV(D6:D1198)+1E-12))</f>
        <v/>
      </c>
      <c r="F817" s="3">
        <f>IF('3a Raw'!E817="","",MAX(-3,MIN(3,('3a Raw'!E817-$F3)/$F4)))</f>
        <v/>
      </c>
      <c r="G817" s="3">
        <f>IF(F817="","",(F817-AVERAGE(F6:F1198))/(STDEV(F6:F1198)+1E-12))</f>
        <v/>
      </c>
      <c r="H817" s="3">
        <f>IF('3a Raw'!F817="","",MAX(-3,MIN(3,('3a Raw'!F817-$H3)/$H4)))</f>
        <v/>
      </c>
      <c r="I817" s="3">
        <f>IF(H817="","",(H817-AVERAGE(H6:H1198))/(STDEV(H6:H1198)+1E-12))</f>
        <v/>
      </c>
      <c r="J817" s="3">
        <f>IF('3a Raw'!G817="","",MAX(-3,MIN(3,('3a Raw'!G817-$J3)/$J4)))</f>
        <v/>
      </c>
      <c r="K817" s="3">
        <f>IF(J817="","",(J817-AVERAGE(J6:J1198))/(STDEV(J6:J1198)+1E-12))</f>
        <v/>
      </c>
      <c r="L817" s="3">
        <f>IF('3a Raw'!H817="","",MAX(-3,MIN(3,('3a Raw'!H817-$L3)/$L4)))</f>
        <v/>
      </c>
      <c r="M817" s="3">
        <f>IF(L817="","",(L817-AVERAGE(L6:L1198))/(STDEV(L6:L1198)+1E-12))</f>
        <v/>
      </c>
      <c r="N817" s="3">
        <f>IF('3a Raw'!I817="","",MAX(-3,MIN(3,('3a Raw'!I817-$N3)/$N4)))</f>
        <v/>
      </c>
      <c r="O817" s="3">
        <f>IF(N817="","",(N817-AVERAGE(N6:N1198))/(STDEV(N6:N1198)+1E-12))</f>
        <v/>
      </c>
      <c r="P817" s="3">
        <f>IF('3a Raw'!J817="","",MAX(-3,MIN(3,('3a Raw'!J817-$P3)/$P4)))</f>
        <v/>
      </c>
      <c r="Q817" s="3">
        <f>IF(P817="","",(P817-AVERAGE(P6:P1198))/(STDEV(P6:P1198)+1E-12))</f>
        <v/>
      </c>
      <c r="R817" s="3">
        <f>IF('3a Raw'!K817="","",MAX(-3,MIN(3,('3a Raw'!K817-$R3)/$R4)))</f>
        <v/>
      </c>
      <c r="S817" s="3">
        <f>IF(R817="","",(R817-AVERAGE(R6:R1198))/(STDEV(R6:R1198)+1E-12))</f>
        <v/>
      </c>
      <c r="T817" s="3">
        <f>IF('3a Raw'!L817="","",MAX(-3,MIN(3,('3a Raw'!L817-$T3)/$T4)))</f>
        <v/>
      </c>
      <c r="U817" s="3">
        <f>IF(T817="","",(T817-AVERAGE(T6:T1198))/(STDEV(T6:T1198)+1E-12))</f>
        <v/>
      </c>
      <c r="X817" s="3">
        <f>IF(U817="","",U817-($V$3*G817+$W$3))</f>
        <v/>
      </c>
      <c r="Y817" s="3">
        <f>IF(X817="","",MAX(-3,MIN(3,(X817-$X3)/$X4)))</f>
        <v/>
      </c>
      <c r="Z817" s="3">
        <f>IF(Y817="","",(Y817-AVERAGE(Y6:Y1198))/(STDEV(Y6:Y1198)+1E-12))</f>
        <v/>
      </c>
    </row>
    <row r="818">
      <c r="A818" t="inlineStr">
        <is>
          <t>BBG01LYPSDK8</t>
        </is>
      </c>
      <c r="B818" s="3">
        <f>IF('3a Raw'!C818="","",MAX(-3,MIN(3,('3a Raw'!C818-$B3)/$B4)))</f>
        <v/>
      </c>
      <c r="C818" s="3">
        <f>IF(B818="","",(B818-AVERAGE(B6:B1198))/(STDEV(B6:B1198)+1E-12))</f>
        <v/>
      </c>
      <c r="D818" s="3">
        <f>IF('3a Raw'!D818="","",MAX(-3,MIN(3,('3a Raw'!D818-$D3)/$D4)))</f>
        <v/>
      </c>
      <c r="E818" s="3">
        <f>IF(D818="","",(D818-AVERAGE(D6:D1198))/(STDEV(D6:D1198)+1E-12))</f>
        <v/>
      </c>
      <c r="F818" s="3">
        <f>IF('3a Raw'!E818="","",MAX(-3,MIN(3,('3a Raw'!E818-$F3)/$F4)))</f>
        <v/>
      </c>
      <c r="G818" s="3">
        <f>IF(F818="","",(F818-AVERAGE(F6:F1198))/(STDEV(F6:F1198)+1E-12))</f>
        <v/>
      </c>
      <c r="H818" s="3">
        <f>IF('3a Raw'!F818="","",MAX(-3,MIN(3,('3a Raw'!F818-$H3)/$H4)))</f>
        <v/>
      </c>
      <c r="I818" s="3">
        <f>IF(H818="","",(H818-AVERAGE(H6:H1198))/(STDEV(H6:H1198)+1E-12))</f>
        <v/>
      </c>
      <c r="J818" s="3">
        <f>IF('3a Raw'!G818="","",MAX(-3,MIN(3,('3a Raw'!G818-$J3)/$J4)))</f>
        <v/>
      </c>
      <c r="K818" s="3">
        <f>IF(J818="","",(J818-AVERAGE(J6:J1198))/(STDEV(J6:J1198)+1E-12))</f>
        <v/>
      </c>
      <c r="L818" s="3">
        <f>IF('3a Raw'!H818="","",MAX(-3,MIN(3,('3a Raw'!H818-$L3)/$L4)))</f>
        <v/>
      </c>
      <c r="M818" s="3">
        <f>IF(L818="","",(L818-AVERAGE(L6:L1198))/(STDEV(L6:L1198)+1E-12))</f>
        <v/>
      </c>
      <c r="N818" s="3">
        <f>IF('3a Raw'!I818="","",MAX(-3,MIN(3,('3a Raw'!I818-$N3)/$N4)))</f>
        <v/>
      </c>
      <c r="O818" s="3">
        <f>IF(N818="","",(N818-AVERAGE(N6:N1198))/(STDEV(N6:N1198)+1E-12))</f>
        <v/>
      </c>
      <c r="P818" s="3">
        <f>IF('3a Raw'!J818="","",MAX(-3,MIN(3,('3a Raw'!J818-$P3)/$P4)))</f>
        <v/>
      </c>
      <c r="Q818" s="3">
        <f>IF(P818="","",(P818-AVERAGE(P6:P1198))/(STDEV(P6:P1198)+1E-12))</f>
        <v/>
      </c>
      <c r="R818" s="3">
        <f>IF('3a Raw'!K818="","",MAX(-3,MIN(3,('3a Raw'!K818-$R3)/$R4)))</f>
        <v/>
      </c>
      <c r="S818" s="3">
        <f>IF(R818="","",(R818-AVERAGE(R6:R1198))/(STDEV(R6:R1198)+1E-12))</f>
        <v/>
      </c>
      <c r="T818" s="3">
        <f>IF('3a Raw'!L818="","",MAX(-3,MIN(3,('3a Raw'!L818-$T3)/$T4)))</f>
        <v/>
      </c>
      <c r="U818" s="3">
        <f>IF(T818="","",(T818-AVERAGE(T6:T1198))/(STDEV(T6:T1198)+1E-12))</f>
        <v/>
      </c>
      <c r="X818" s="3">
        <f>IF(U818="","",U818-($V$3*G818+$W$3))</f>
        <v/>
      </c>
      <c r="Y818" s="3">
        <f>IF(X818="","",MAX(-3,MIN(3,(X818-$X3)/$X4)))</f>
        <v/>
      </c>
      <c r="Z818" s="3">
        <f>IF(Y818="","",(Y818-AVERAGE(Y6:Y1198))/(STDEV(Y6:Y1198)+1E-12))</f>
        <v/>
      </c>
    </row>
    <row r="819">
      <c r="A819" t="inlineStr">
        <is>
          <t>BBG000H6K1B0</t>
        </is>
      </c>
      <c r="B819" s="3">
        <f>IF('3a Raw'!C819="","",MAX(-3,MIN(3,('3a Raw'!C819-$B3)/$B4)))</f>
        <v/>
      </c>
      <c r="C819" s="3">
        <f>IF(B819="","",(B819-AVERAGE(B6:B1198))/(STDEV(B6:B1198)+1E-12))</f>
        <v/>
      </c>
      <c r="D819" s="3">
        <f>IF('3a Raw'!D819="","",MAX(-3,MIN(3,('3a Raw'!D819-$D3)/$D4)))</f>
        <v/>
      </c>
      <c r="E819" s="3">
        <f>IF(D819="","",(D819-AVERAGE(D6:D1198))/(STDEV(D6:D1198)+1E-12))</f>
        <v/>
      </c>
      <c r="F819" s="3">
        <f>IF('3a Raw'!E819="","",MAX(-3,MIN(3,('3a Raw'!E819-$F3)/$F4)))</f>
        <v/>
      </c>
      <c r="G819" s="3">
        <f>IF(F819="","",(F819-AVERAGE(F6:F1198))/(STDEV(F6:F1198)+1E-12))</f>
        <v/>
      </c>
      <c r="H819" s="3">
        <f>IF('3a Raw'!F819="","",MAX(-3,MIN(3,('3a Raw'!F819-$H3)/$H4)))</f>
        <v/>
      </c>
      <c r="I819" s="3">
        <f>IF(H819="","",(H819-AVERAGE(H6:H1198))/(STDEV(H6:H1198)+1E-12))</f>
        <v/>
      </c>
      <c r="J819" s="3">
        <f>IF('3a Raw'!G819="","",MAX(-3,MIN(3,('3a Raw'!G819-$J3)/$J4)))</f>
        <v/>
      </c>
      <c r="K819" s="3">
        <f>IF(J819="","",(J819-AVERAGE(J6:J1198))/(STDEV(J6:J1198)+1E-12))</f>
        <v/>
      </c>
      <c r="L819" s="3">
        <f>IF('3a Raw'!H819="","",MAX(-3,MIN(3,('3a Raw'!H819-$L3)/$L4)))</f>
        <v/>
      </c>
      <c r="M819" s="3">
        <f>IF(L819="","",(L819-AVERAGE(L6:L1198))/(STDEV(L6:L1198)+1E-12))</f>
        <v/>
      </c>
      <c r="N819" s="3">
        <f>IF('3a Raw'!I819="","",MAX(-3,MIN(3,('3a Raw'!I819-$N3)/$N4)))</f>
        <v/>
      </c>
      <c r="O819" s="3">
        <f>IF(N819="","",(N819-AVERAGE(N6:N1198))/(STDEV(N6:N1198)+1E-12))</f>
        <v/>
      </c>
      <c r="P819" s="3">
        <f>IF('3a Raw'!J819="","",MAX(-3,MIN(3,('3a Raw'!J819-$P3)/$P4)))</f>
        <v/>
      </c>
      <c r="Q819" s="3">
        <f>IF(P819="","",(P819-AVERAGE(P6:P1198))/(STDEV(P6:P1198)+1E-12))</f>
        <v/>
      </c>
      <c r="R819" s="3">
        <f>IF('3a Raw'!K819="","",MAX(-3,MIN(3,('3a Raw'!K819-$R3)/$R4)))</f>
        <v/>
      </c>
      <c r="S819" s="3">
        <f>IF(R819="","",(R819-AVERAGE(R6:R1198))/(STDEV(R6:R1198)+1E-12))</f>
        <v/>
      </c>
      <c r="T819" s="3">
        <f>IF('3a Raw'!L819="","",MAX(-3,MIN(3,('3a Raw'!L819-$T3)/$T4)))</f>
        <v/>
      </c>
      <c r="U819" s="3">
        <f>IF(T819="","",(T819-AVERAGE(T6:T1198))/(STDEV(T6:T1198)+1E-12))</f>
        <v/>
      </c>
      <c r="X819" s="3">
        <f>IF(U819="","",U819-($V$3*G819+$W$3))</f>
        <v/>
      </c>
      <c r="Y819" s="3">
        <f>IF(X819="","",MAX(-3,MIN(3,(X819-$X3)/$X4)))</f>
        <v/>
      </c>
      <c r="Z819" s="3">
        <f>IF(Y819="","",(Y819-AVERAGE(Y6:Y1198))/(STDEV(Y6:Y1198)+1E-12))</f>
        <v/>
      </c>
    </row>
    <row r="820">
      <c r="A820" t="inlineStr">
        <is>
          <t>BBG000TBYFR3</t>
        </is>
      </c>
      <c r="B820" s="3">
        <f>IF('3a Raw'!C820="","",MAX(-3,MIN(3,('3a Raw'!C820-$B3)/$B4)))</f>
        <v/>
      </c>
      <c r="C820" s="3">
        <f>IF(B820="","",(B820-AVERAGE(B6:B1198))/(STDEV(B6:B1198)+1E-12))</f>
        <v/>
      </c>
      <c r="D820" s="3">
        <f>IF('3a Raw'!D820="","",MAX(-3,MIN(3,('3a Raw'!D820-$D3)/$D4)))</f>
        <v/>
      </c>
      <c r="E820" s="3">
        <f>IF(D820="","",(D820-AVERAGE(D6:D1198))/(STDEV(D6:D1198)+1E-12))</f>
        <v/>
      </c>
      <c r="F820" s="3">
        <f>IF('3a Raw'!E820="","",MAX(-3,MIN(3,('3a Raw'!E820-$F3)/$F4)))</f>
        <v/>
      </c>
      <c r="G820" s="3">
        <f>IF(F820="","",(F820-AVERAGE(F6:F1198))/(STDEV(F6:F1198)+1E-12))</f>
        <v/>
      </c>
      <c r="H820" s="3">
        <f>IF('3a Raw'!F820="","",MAX(-3,MIN(3,('3a Raw'!F820-$H3)/$H4)))</f>
        <v/>
      </c>
      <c r="I820" s="3">
        <f>IF(H820="","",(H820-AVERAGE(H6:H1198))/(STDEV(H6:H1198)+1E-12))</f>
        <v/>
      </c>
      <c r="J820" s="3">
        <f>IF('3a Raw'!G820="","",MAX(-3,MIN(3,('3a Raw'!G820-$J3)/$J4)))</f>
        <v/>
      </c>
      <c r="K820" s="3">
        <f>IF(J820="","",(J820-AVERAGE(J6:J1198))/(STDEV(J6:J1198)+1E-12))</f>
        <v/>
      </c>
      <c r="L820" s="3">
        <f>IF('3a Raw'!H820="","",MAX(-3,MIN(3,('3a Raw'!H820-$L3)/$L4)))</f>
        <v/>
      </c>
      <c r="M820" s="3">
        <f>IF(L820="","",(L820-AVERAGE(L6:L1198))/(STDEV(L6:L1198)+1E-12))</f>
        <v/>
      </c>
      <c r="N820" s="3">
        <f>IF('3a Raw'!I820="","",MAX(-3,MIN(3,('3a Raw'!I820-$N3)/$N4)))</f>
        <v/>
      </c>
      <c r="O820" s="3">
        <f>IF(N820="","",(N820-AVERAGE(N6:N1198))/(STDEV(N6:N1198)+1E-12))</f>
        <v/>
      </c>
      <c r="P820" s="3">
        <f>IF('3a Raw'!J820="","",MAX(-3,MIN(3,('3a Raw'!J820-$P3)/$P4)))</f>
        <v/>
      </c>
      <c r="Q820" s="3">
        <f>IF(P820="","",(P820-AVERAGE(P6:P1198))/(STDEV(P6:P1198)+1E-12))</f>
        <v/>
      </c>
      <c r="R820" s="3">
        <f>IF('3a Raw'!K820="","",MAX(-3,MIN(3,('3a Raw'!K820-$R3)/$R4)))</f>
        <v/>
      </c>
      <c r="S820" s="3">
        <f>IF(R820="","",(R820-AVERAGE(R6:R1198))/(STDEV(R6:R1198)+1E-12))</f>
        <v/>
      </c>
      <c r="T820" s="3">
        <f>IF('3a Raw'!L820="","",MAX(-3,MIN(3,('3a Raw'!L820-$T3)/$T4)))</f>
        <v/>
      </c>
      <c r="U820" s="3">
        <f>IF(T820="","",(T820-AVERAGE(T6:T1198))/(STDEV(T6:T1198)+1E-12))</f>
        <v/>
      </c>
      <c r="X820" s="3">
        <f>IF(U820="","",U820-($V$3*G820+$W$3))</f>
        <v/>
      </c>
      <c r="Y820" s="3">
        <f>IF(X820="","",MAX(-3,MIN(3,(X820-$X3)/$X4)))</f>
        <v/>
      </c>
      <c r="Z820" s="3">
        <f>IF(Y820="","",(Y820-AVERAGE(Y6:Y1198))/(STDEV(Y6:Y1198)+1E-12))</f>
        <v/>
      </c>
    </row>
    <row r="821">
      <c r="A821" t="inlineStr">
        <is>
          <t>BBG000C31ZH2</t>
        </is>
      </c>
      <c r="B821" s="3">
        <f>IF('3a Raw'!C821="","",MAX(-3,MIN(3,('3a Raw'!C821-$B3)/$B4)))</f>
        <v/>
      </c>
      <c r="C821" s="3">
        <f>IF(B821="","",(B821-AVERAGE(B6:B1198))/(STDEV(B6:B1198)+1E-12))</f>
        <v/>
      </c>
      <c r="D821" s="3">
        <f>IF('3a Raw'!D821="","",MAX(-3,MIN(3,('3a Raw'!D821-$D3)/$D4)))</f>
        <v/>
      </c>
      <c r="E821" s="3">
        <f>IF(D821="","",(D821-AVERAGE(D6:D1198))/(STDEV(D6:D1198)+1E-12))</f>
        <v/>
      </c>
      <c r="F821" s="3">
        <f>IF('3a Raw'!E821="","",MAX(-3,MIN(3,('3a Raw'!E821-$F3)/$F4)))</f>
        <v/>
      </c>
      <c r="G821" s="3">
        <f>IF(F821="","",(F821-AVERAGE(F6:F1198))/(STDEV(F6:F1198)+1E-12))</f>
        <v/>
      </c>
      <c r="H821" s="3">
        <f>IF('3a Raw'!F821="","",MAX(-3,MIN(3,('3a Raw'!F821-$H3)/$H4)))</f>
        <v/>
      </c>
      <c r="I821" s="3">
        <f>IF(H821="","",(H821-AVERAGE(H6:H1198))/(STDEV(H6:H1198)+1E-12))</f>
        <v/>
      </c>
      <c r="J821" s="3">
        <f>IF('3a Raw'!G821="","",MAX(-3,MIN(3,('3a Raw'!G821-$J3)/$J4)))</f>
        <v/>
      </c>
      <c r="K821" s="3">
        <f>IF(J821="","",(J821-AVERAGE(J6:J1198))/(STDEV(J6:J1198)+1E-12))</f>
        <v/>
      </c>
      <c r="L821" s="3">
        <f>IF('3a Raw'!H821="","",MAX(-3,MIN(3,('3a Raw'!H821-$L3)/$L4)))</f>
        <v/>
      </c>
      <c r="M821" s="3">
        <f>IF(L821="","",(L821-AVERAGE(L6:L1198))/(STDEV(L6:L1198)+1E-12))</f>
        <v/>
      </c>
      <c r="N821" s="3">
        <f>IF('3a Raw'!I821="","",MAX(-3,MIN(3,('3a Raw'!I821-$N3)/$N4)))</f>
        <v/>
      </c>
      <c r="O821" s="3">
        <f>IF(N821="","",(N821-AVERAGE(N6:N1198))/(STDEV(N6:N1198)+1E-12))</f>
        <v/>
      </c>
      <c r="P821" s="3">
        <f>IF('3a Raw'!J821="","",MAX(-3,MIN(3,('3a Raw'!J821-$P3)/$P4)))</f>
        <v/>
      </c>
      <c r="Q821" s="3">
        <f>IF(P821="","",(P821-AVERAGE(P6:P1198))/(STDEV(P6:P1198)+1E-12))</f>
        <v/>
      </c>
      <c r="R821" s="3">
        <f>IF('3a Raw'!K821="","",MAX(-3,MIN(3,('3a Raw'!K821-$R3)/$R4)))</f>
        <v/>
      </c>
      <c r="S821" s="3">
        <f>IF(R821="","",(R821-AVERAGE(R6:R1198))/(STDEV(R6:R1198)+1E-12))</f>
        <v/>
      </c>
      <c r="T821" s="3">
        <f>IF('3a Raw'!L821="","",MAX(-3,MIN(3,('3a Raw'!L821-$T3)/$T4)))</f>
        <v/>
      </c>
      <c r="U821" s="3">
        <f>IF(T821="","",(T821-AVERAGE(T6:T1198))/(STDEV(T6:T1198)+1E-12))</f>
        <v/>
      </c>
      <c r="X821" s="3">
        <f>IF(U821="","",U821-($V$3*G821+$W$3))</f>
        <v/>
      </c>
      <c r="Y821" s="3">
        <f>IF(X821="","",MAX(-3,MIN(3,(X821-$X3)/$X4)))</f>
        <v/>
      </c>
      <c r="Z821" s="3">
        <f>IF(Y821="","",(Y821-AVERAGE(Y6:Y1198))/(STDEV(Y6:Y1198)+1E-12))</f>
        <v/>
      </c>
    </row>
    <row r="822">
      <c r="A822" t="inlineStr">
        <is>
          <t>BBG000S7QCQ0</t>
        </is>
      </c>
      <c r="B822" s="3">
        <f>IF('3a Raw'!C822="","",MAX(-3,MIN(3,('3a Raw'!C822-$B3)/$B4)))</f>
        <v/>
      </c>
      <c r="C822" s="3">
        <f>IF(B822="","",(B822-AVERAGE(B6:B1198))/(STDEV(B6:B1198)+1E-12))</f>
        <v/>
      </c>
      <c r="D822" s="3">
        <f>IF('3a Raw'!D822="","",MAX(-3,MIN(3,('3a Raw'!D822-$D3)/$D4)))</f>
        <v/>
      </c>
      <c r="E822" s="3">
        <f>IF(D822="","",(D822-AVERAGE(D6:D1198))/(STDEV(D6:D1198)+1E-12))</f>
        <v/>
      </c>
      <c r="F822" s="3">
        <f>IF('3a Raw'!E822="","",MAX(-3,MIN(3,('3a Raw'!E822-$F3)/$F4)))</f>
        <v/>
      </c>
      <c r="G822" s="3">
        <f>IF(F822="","",(F822-AVERAGE(F6:F1198))/(STDEV(F6:F1198)+1E-12))</f>
        <v/>
      </c>
      <c r="H822" s="3">
        <f>IF('3a Raw'!F822="","",MAX(-3,MIN(3,('3a Raw'!F822-$H3)/$H4)))</f>
        <v/>
      </c>
      <c r="I822" s="3">
        <f>IF(H822="","",(H822-AVERAGE(H6:H1198))/(STDEV(H6:H1198)+1E-12))</f>
        <v/>
      </c>
      <c r="J822" s="3">
        <f>IF('3a Raw'!G822="","",MAX(-3,MIN(3,('3a Raw'!G822-$J3)/$J4)))</f>
        <v/>
      </c>
      <c r="K822" s="3">
        <f>IF(J822="","",(J822-AVERAGE(J6:J1198))/(STDEV(J6:J1198)+1E-12))</f>
        <v/>
      </c>
      <c r="L822" s="3">
        <f>IF('3a Raw'!H822="","",MAX(-3,MIN(3,('3a Raw'!H822-$L3)/$L4)))</f>
        <v/>
      </c>
      <c r="M822" s="3">
        <f>IF(L822="","",(L822-AVERAGE(L6:L1198))/(STDEV(L6:L1198)+1E-12))</f>
        <v/>
      </c>
      <c r="N822" s="3">
        <f>IF('3a Raw'!I822="","",MAX(-3,MIN(3,('3a Raw'!I822-$N3)/$N4)))</f>
        <v/>
      </c>
      <c r="O822" s="3">
        <f>IF(N822="","",(N822-AVERAGE(N6:N1198))/(STDEV(N6:N1198)+1E-12))</f>
        <v/>
      </c>
      <c r="P822" s="3">
        <f>IF('3a Raw'!J822="","",MAX(-3,MIN(3,('3a Raw'!J822-$P3)/$P4)))</f>
        <v/>
      </c>
      <c r="Q822" s="3">
        <f>IF(P822="","",(P822-AVERAGE(P6:P1198))/(STDEV(P6:P1198)+1E-12))</f>
        <v/>
      </c>
      <c r="R822" s="3">
        <f>IF('3a Raw'!K822="","",MAX(-3,MIN(3,('3a Raw'!K822-$R3)/$R4)))</f>
        <v/>
      </c>
      <c r="S822" s="3">
        <f>IF(R822="","",(R822-AVERAGE(R6:R1198))/(STDEV(R6:R1198)+1E-12))</f>
        <v/>
      </c>
      <c r="T822" s="3">
        <f>IF('3a Raw'!L822="","",MAX(-3,MIN(3,('3a Raw'!L822-$T3)/$T4)))</f>
        <v/>
      </c>
      <c r="U822" s="3">
        <f>IF(T822="","",(T822-AVERAGE(T6:T1198))/(STDEV(T6:T1198)+1E-12))</f>
        <v/>
      </c>
      <c r="X822" s="3">
        <f>IF(U822="","",U822-($V$3*G822+$W$3))</f>
        <v/>
      </c>
      <c r="Y822" s="3">
        <f>IF(X822="","",MAX(-3,MIN(3,(X822-$X3)/$X4)))</f>
        <v/>
      </c>
      <c r="Z822" s="3">
        <f>IF(Y822="","",(Y822-AVERAGE(Y6:Y1198))/(STDEV(Y6:Y1198)+1E-12))</f>
        <v/>
      </c>
    </row>
    <row r="823">
      <c r="A823" t="inlineStr">
        <is>
          <t>BBG0014GJCT9</t>
        </is>
      </c>
      <c r="B823" s="3">
        <f>IF('3a Raw'!C823="","",MAX(-3,MIN(3,('3a Raw'!C823-$B3)/$B4)))</f>
        <v/>
      </c>
      <c r="C823" s="3">
        <f>IF(B823="","",(B823-AVERAGE(B6:B1198))/(STDEV(B6:B1198)+1E-12))</f>
        <v/>
      </c>
      <c r="D823" s="3">
        <f>IF('3a Raw'!D823="","",MAX(-3,MIN(3,('3a Raw'!D823-$D3)/$D4)))</f>
        <v/>
      </c>
      <c r="E823" s="3">
        <f>IF(D823="","",(D823-AVERAGE(D6:D1198))/(STDEV(D6:D1198)+1E-12))</f>
        <v/>
      </c>
      <c r="F823" s="3">
        <f>IF('3a Raw'!E823="","",MAX(-3,MIN(3,('3a Raw'!E823-$F3)/$F4)))</f>
        <v/>
      </c>
      <c r="G823" s="3">
        <f>IF(F823="","",(F823-AVERAGE(F6:F1198))/(STDEV(F6:F1198)+1E-12))</f>
        <v/>
      </c>
      <c r="H823" s="3">
        <f>IF('3a Raw'!F823="","",MAX(-3,MIN(3,('3a Raw'!F823-$H3)/$H4)))</f>
        <v/>
      </c>
      <c r="I823" s="3">
        <f>IF(H823="","",(H823-AVERAGE(H6:H1198))/(STDEV(H6:H1198)+1E-12))</f>
        <v/>
      </c>
      <c r="J823" s="3">
        <f>IF('3a Raw'!G823="","",MAX(-3,MIN(3,('3a Raw'!G823-$J3)/$J4)))</f>
        <v/>
      </c>
      <c r="K823" s="3">
        <f>IF(J823="","",(J823-AVERAGE(J6:J1198))/(STDEV(J6:J1198)+1E-12))</f>
        <v/>
      </c>
      <c r="L823" s="3">
        <f>IF('3a Raw'!H823="","",MAX(-3,MIN(3,('3a Raw'!H823-$L3)/$L4)))</f>
        <v/>
      </c>
      <c r="M823" s="3">
        <f>IF(L823="","",(L823-AVERAGE(L6:L1198))/(STDEV(L6:L1198)+1E-12))</f>
        <v/>
      </c>
      <c r="N823" s="3">
        <f>IF('3a Raw'!I823="","",MAX(-3,MIN(3,('3a Raw'!I823-$N3)/$N4)))</f>
        <v/>
      </c>
      <c r="O823" s="3">
        <f>IF(N823="","",(N823-AVERAGE(N6:N1198))/(STDEV(N6:N1198)+1E-12))</f>
        <v/>
      </c>
      <c r="P823" s="3">
        <f>IF('3a Raw'!J823="","",MAX(-3,MIN(3,('3a Raw'!J823-$P3)/$P4)))</f>
        <v/>
      </c>
      <c r="Q823" s="3">
        <f>IF(P823="","",(P823-AVERAGE(P6:P1198))/(STDEV(P6:P1198)+1E-12))</f>
        <v/>
      </c>
      <c r="R823" s="3">
        <f>IF('3a Raw'!K823="","",MAX(-3,MIN(3,('3a Raw'!K823-$R3)/$R4)))</f>
        <v/>
      </c>
      <c r="S823" s="3">
        <f>IF(R823="","",(R823-AVERAGE(R6:R1198))/(STDEV(R6:R1198)+1E-12))</f>
        <v/>
      </c>
      <c r="T823" s="3">
        <f>IF('3a Raw'!L823="","",MAX(-3,MIN(3,('3a Raw'!L823-$T3)/$T4)))</f>
        <v/>
      </c>
      <c r="U823" s="3">
        <f>IF(T823="","",(T823-AVERAGE(T6:T1198))/(STDEV(T6:T1198)+1E-12))</f>
        <v/>
      </c>
      <c r="X823" s="3">
        <f>IF(U823="","",U823-($V$3*G823+$W$3))</f>
        <v/>
      </c>
      <c r="Y823" s="3">
        <f>IF(X823="","",MAX(-3,MIN(3,(X823-$X3)/$X4)))</f>
        <v/>
      </c>
      <c r="Z823" s="3">
        <f>IF(Y823="","",(Y823-AVERAGE(Y6:Y1198))/(STDEV(Y6:Y1198)+1E-12))</f>
        <v/>
      </c>
    </row>
    <row r="824">
      <c r="A824" t="inlineStr">
        <is>
          <t>BBG003C5DL16</t>
        </is>
      </c>
      <c r="B824" s="3">
        <f>IF('3a Raw'!C824="","",MAX(-3,MIN(3,('3a Raw'!C824-$B3)/$B4)))</f>
        <v/>
      </c>
      <c r="C824" s="3">
        <f>IF(B824="","",(B824-AVERAGE(B6:B1198))/(STDEV(B6:B1198)+1E-12))</f>
        <v/>
      </c>
      <c r="D824" s="3">
        <f>IF('3a Raw'!D824="","",MAX(-3,MIN(3,('3a Raw'!D824-$D3)/$D4)))</f>
        <v/>
      </c>
      <c r="E824" s="3">
        <f>IF(D824="","",(D824-AVERAGE(D6:D1198))/(STDEV(D6:D1198)+1E-12))</f>
        <v/>
      </c>
      <c r="F824" s="3">
        <f>IF('3a Raw'!E824="","",MAX(-3,MIN(3,('3a Raw'!E824-$F3)/$F4)))</f>
        <v/>
      </c>
      <c r="G824" s="3">
        <f>IF(F824="","",(F824-AVERAGE(F6:F1198))/(STDEV(F6:F1198)+1E-12))</f>
        <v/>
      </c>
      <c r="H824" s="3">
        <f>IF('3a Raw'!F824="","",MAX(-3,MIN(3,('3a Raw'!F824-$H3)/$H4)))</f>
        <v/>
      </c>
      <c r="I824" s="3">
        <f>IF(H824="","",(H824-AVERAGE(H6:H1198))/(STDEV(H6:H1198)+1E-12))</f>
        <v/>
      </c>
      <c r="J824" s="3">
        <f>IF('3a Raw'!G824="","",MAX(-3,MIN(3,('3a Raw'!G824-$J3)/$J4)))</f>
        <v/>
      </c>
      <c r="K824" s="3">
        <f>IF(J824="","",(J824-AVERAGE(J6:J1198))/(STDEV(J6:J1198)+1E-12))</f>
        <v/>
      </c>
      <c r="L824" s="3">
        <f>IF('3a Raw'!H824="","",MAX(-3,MIN(3,('3a Raw'!H824-$L3)/$L4)))</f>
        <v/>
      </c>
      <c r="M824" s="3">
        <f>IF(L824="","",(L824-AVERAGE(L6:L1198))/(STDEV(L6:L1198)+1E-12))</f>
        <v/>
      </c>
      <c r="N824" s="3">
        <f>IF('3a Raw'!I824="","",MAX(-3,MIN(3,('3a Raw'!I824-$N3)/$N4)))</f>
        <v/>
      </c>
      <c r="O824" s="3">
        <f>IF(N824="","",(N824-AVERAGE(N6:N1198))/(STDEV(N6:N1198)+1E-12))</f>
        <v/>
      </c>
      <c r="P824" s="3">
        <f>IF('3a Raw'!J824="","",MAX(-3,MIN(3,('3a Raw'!J824-$P3)/$P4)))</f>
        <v/>
      </c>
      <c r="Q824" s="3">
        <f>IF(P824="","",(P824-AVERAGE(P6:P1198))/(STDEV(P6:P1198)+1E-12))</f>
        <v/>
      </c>
      <c r="R824" s="3">
        <f>IF('3a Raw'!K824="","",MAX(-3,MIN(3,('3a Raw'!K824-$R3)/$R4)))</f>
        <v/>
      </c>
      <c r="S824" s="3">
        <f>IF(R824="","",(R824-AVERAGE(R6:R1198))/(STDEV(R6:R1198)+1E-12))</f>
        <v/>
      </c>
      <c r="T824" s="3">
        <f>IF('3a Raw'!L824="","",MAX(-3,MIN(3,('3a Raw'!L824-$T3)/$T4)))</f>
        <v/>
      </c>
      <c r="U824" s="3">
        <f>IF(T824="","",(T824-AVERAGE(T6:T1198))/(STDEV(T6:T1198)+1E-12))</f>
        <v/>
      </c>
      <c r="X824" s="3">
        <f>IF(U824="","",U824-($V$3*G824+$W$3))</f>
        <v/>
      </c>
      <c r="Y824" s="3">
        <f>IF(X824="","",MAX(-3,MIN(3,(X824-$X3)/$X4)))</f>
        <v/>
      </c>
      <c r="Z824" s="3">
        <f>IF(Y824="","",(Y824-AVERAGE(Y6:Y1198))/(STDEV(Y6:Y1198)+1E-12))</f>
        <v/>
      </c>
    </row>
    <row r="825">
      <c r="A825" t="inlineStr">
        <is>
          <t>BBG00GKS1G03</t>
        </is>
      </c>
      <c r="B825" s="3">
        <f>IF('3a Raw'!C825="","",MAX(-3,MIN(3,('3a Raw'!C825-$B3)/$B4)))</f>
        <v/>
      </c>
      <c r="C825" s="3">
        <f>IF(B825="","",(B825-AVERAGE(B6:B1198))/(STDEV(B6:B1198)+1E-12))</f>
        <v/>
      </c>
      <c r="D825" s="3">
        <f>IF('3a Raw'!D825="","",MAX(-3,MIN(3,('3a Raw'!D825-$D3)/$D4)))</f>
        <v/>
      </c>
      <c r="E825" s="3">
        <f>IF(D825="","",(D825-AVERAGE(D6:D1198))/(STDEV(D6:D1198)+1E-12))</f>
        <v/>
      </c>
      <c r="F825" s="3">
        <f>IF('3a Raw'!E825="","",MAX(-3,MIN(3,('3a Raw'!E825-$F3)/$F4)))</f>
        <v/>
      </c>
      <c r="G825" s="3">
        <f>IF(F825="","",(F825-AVERAGE(F6:F1198))/(STDEV(F6:F1198)+1E-12))</f>
        <v/>
      </c>
      <c r="H825" s="3">
        <f>IF('3a Raw'!F825="","",MAX(-3,MIN(3,('3a Raw'!F825-$H3)/$H4)))</f>
        <v/>
      </c>
      <c r="I825" s="3">
        <f>IF(H825="","",(H825-AVERAGE(H6:H1198))/(STDEV(H6:H1198)+1E-12))</f>
        <v/>
      </c>
      <c r="J825" s="3">
        <f>IF('3a Raw'!G825="","",MAX(-3,MIN(3,('3a Raw'!G825-$J3)/$J4)))</f>
        <v/>
      </c>
      <c r="K825" s="3">
        <f>IF(J825="","",(J825-AVERAGE(J6:J1198))/(STDEV(J6:J1198)+1E-12))</f>
        <v/>
      </c>
      <c r="L825" s="3">
        <f>IF('3a Raw'!H825="","",MAX(-3,MIN(3,('3a Raw'!H825-$L3)/$L4)))</f>
        <v/>
      </c>
      <c r="M825" s="3">
        <f>IF(L825="","",(L825-AVERAGE(L6:L1198))/(STDEV(L6:L1198)+1E-12))</f>
        <v/>
      </c>
      <c r="N825" s="3">
        <f>IF('3a Raw'!I825="","",MAX(-3,MIN(3,('3a Raw'!I825-$N3)/$N4)))</f>
        <v/>
      </c>
      <c r="O825" s="3">
        <f>IF(N825="","",(N825-AVERAGE(N6:N1198))/(STDEV(N6:N1198)+1E-12))</f>
        <v/>
      </c>
      <c r="P825" s="3">
        <f>IF('3a Raw'!J825="","",MAX(-3,MIN(3,('3a Raw'!J825-$P3)/$P4)))</f>
        <v/>
      </c>
      <c r="Q825" s="3">
        <f>IF(P825="","",(P825-AVERAGE(P6:P1198))/(STDEV(P6:P1198)+1E-12))</f>
        <v/>
      </c>
      <c r="R825" s="3">
        <f>IF('3a Raw'!K825="","",MAX(-3,MIN(3,('3a Raw'!K825-$R3)/$R4)))</f>
        <v/>
      </c>
      <c r="S825" s="3">
        <f>IF(R825="","",(R825-AVERAGE(R6:R1198))/(STDEV(R6:R1198)+1E-12))</f>
        <v/>
      </c>
      <c r="T825" s="3">
        <f>IF('3a Raw'!L825="","",MAX(-3,MIN(3,('3a Raw'!L825-$T3)/$T4)))</f>
        <v/>
      </c>
      <c r="U825" s="3">
        <f>IF(T825="","",(T825-AVERAGE(T6:T1198))/(STDEV(T6:T1198)+1E-12))</f>
        <v/>
      </c>
      <c r="X825" s="3">
        <f>IF(U825="","",U825-($V$3*G825+$W$3))</f>
        <v/>
      </c>
      <c r="Y825" s="3">
        <f>IF(X825="","",MAX(-3,MIN(3,(X825-$X3)/$X4)))</f>
        <v/>
      </c>
      <c r="Z825" s="3">
        <f>IF(Y825="","",(Y825-AVERAGE(Y6:Y1198))/(STDEV(Y6:Y1198)+1E-12))</f>
        <v/>
      </c>
    </row>
    <row r="826">
      <c r="A826" t="inlineStr">
        <is>
          <t>BBG0064N0ZZ5</t>
        </is>
      </c>
      <c r="B826" s="3">
        <f>IF('3a Raw'!C826="","",MAX(-3,MIN(3,('3a Raw'!C826-$B3)/$B4)))</f>
        <v/>
      </c>
      <c r="C826" s="3">
        <f>IF(B826="","",(B826-AVERAGE(B6:B1198))/(STDEV(B6:B1198)+1E-12))</f>
        <v/>
      </c>
      <c r="D826" s="3">
        <f>IF('3a Raw'!D826="","",MAX(-3,MIN(3,('3a Raw'!D826-$D3)/$D4)))</f>
        <v/>
      </c>
      <c r="E826" s="3">
        <f>IF(D826="","",(D826-AVERAGE(D6:D1198))/(STDEV(D6:D1198)+1E-12))</f>
        <v/>
      </c>
      <c r="F826" s="3">
        <f>IF('3a Raw'!E826="","",MAX(-3,MIN(3,('3a Raw'!E826-$F3)/$F4)))</f>
        <v/>
      </c>
      <c r="G826" s="3">
        <f>IF(F826="","",(F826-AVERAGE(F6:F1198))/(STDEV(F6:F1198)+1E-12))</f>
        <v/>
      </c>
      <c r="H826" s="3">
        <f>IF('3a Raw'!F826="","",MAX(-3,MIN(3,('3a Raw'!F826-$H3)/$H4)))</f>
        <v/>
      </c>
      <c r="I826" s="3">
        <f>IF(H826="","",(H826-AVERAGE(H6:H1198))/(STDEV(H6:H1198)+1E-12))</f>
        <v/>
      </c>
      <c r="J826" s="3">
        <f>IF('3a Raw'!G826="","",MAX(-3,MIN(3,('3a Raw'!G826-$J3)/$J4)))</f>
        <v/>
      </c>
      <c r="K826" s="3">
        <f>IF(J826="","",(J826-AVERAGE(J6:J1198))/(STDEV(J6:J1198)+1E-12))</f>
        <v/>
      </c>
      <c r="L826" s="3">
        <f>IF('3a Raw'!H826="","",MAX(-3,MIN(3,('3a Raw'!H826-$L3)/$L4)))</f>
        <v/>
      </c>
      <c r="M826" s="3">
        <f>IF(L826="","",(L826-AVERAGE(L6:L1198))/(STDEV(L6:L1198)+1E-12))</f>
        <v/>
      </c>
      <c r="N826" s="3">
        <f>IF('3a Raw'!I826="","",MAX(-3,MIN(3,('3a Raw'!I826-$N3)/$N4)))</f>
        <v/>
      </c>
      <c r="O826" s="3">
        <f>IF(N826="","",(N826-AVERAGE(N6:N1198))/(STDEV(N6:N1198)+1E-12))</f>
        <v/>
      </c>
      <c r="P826" s="3">
        <f>IF('3a Raw'!J826="","",MAX(-3,MIN(3,('3a Raw'!J826-$P3)/$P4)))</f>
        <v/>
      </c>
      <c r="Q826" s="3">
        <f>IF(P826="","",(P826-AVERAGE(P6:P1198))/(STDEV(P6:P1198)+1E-12))</f>
        <v/>
      </c>
      <c r="R826" s="3">
        <f>IF('3a Raw'!K826="","",MAX(-3,MIN(3,('3a Raw'!K826-$R3)/$R4)))</f>
        <v/>
      </c>
      <c r="S826" s="3">
        <f>IF(R826="","",(R826-AVERAGE(R6:R1198))/(STDEV(R6:R1198)+1E-12))</f>
        <v/>
      </c>
      <c r="T826" s="3">
        <f>IF('3a Raw'!L826="","",MAX(-3,MIN(3,('3a Raw'!L826-$T3)/$T4)))</f>
        <v/>
      </c>
      <c r="U826" s="3">
        <f>IF(T826="","",(T826-AVERAGE(T6:T1198))/(STDEV(T6:T1198)+1E-12))</f>
        <v/>
      </c>
      <c r="X826" s="3">
        <f>IF(U826="","",U826-($V$3*G826+$W$3))</f>
        <v/>
      </c>
      <c r="Y826" s="3">
        <f>IF(X826="","",MAX(-3,MIN(3,(X826-$X3)/$X4)))</f>
        <v/>
      </c>
      <c r="Z826" s="3">
        <f>IF(Y826="","",(Y826-AVERAGE(Y6:Y1198))/(STDEV(Y6:Y1198)+1E-12))</f>
        <v/>
      </c>
    </row>
    <row r="827">
      <c r="A827" t="inlineStr">
        <is>
          <t>BBG00Z5JLLB3</t>
        </is>
      </c>
      <c r="B827" s="3">
        <f>IF('3a Raw'!C827="","",MAX(-3,MIN(3,('3a Raw'!C827-$B3)/$B4)))</f>
        <v/>
      </c>
      <c r="C827" s="3">
        <f>IF(B827="","",(B827-AVERAGE(B6:B1198))/(STDEV(B6:B1198)+1E-12))</f>
        <v/>
      </c>
      <c r="D827" s="3">
        <f>IF('3a Raw'!D827="","",MAX(-3,MIN(3,('3a Raw'!D827-$D3)/$D4)))</f>
        <v/>
      </c>
      <c r="E827" s="3">
        <f>IF(D827="","",(D827-AVERAGE(D6:D1198))/(STDEV(D6:D1198)+1E-12))</f>
        <v/>
      </c>
      <c r="F827" s="3">
        <f>IF('3a Raw'!E827="","",MAX(-3,MIN(3,('3a Raw'!E827-$F3)/$F4)))</f>
        <v/>
      </c>
      <c r="G827" s="3">
        <f>IF(F827="","",(F827-AVERAGE(F6:F1198))/(STDEV(F6:F1198)+1E-12))</f>
        <v/>
      </c>
      <c r="H827" s="3">
        <f>IF('3a Raw'!F827="","",MAX(-3,MIN(3,('3a Raw'!F827-$H3)/$H4)))</f>
        <v/>
      </c>
      <c r="I827" s="3">
        <f>IF(H827="","",(H827-AVERAGE(H6:H1198))/(STDEV(H6:H1198)+1E-12))</f>
        <v/>
      </c>
      <c r="J827" s="3">
        <f>IF('3a Raw'!G827="","",MAX(-3,MIN(3,('3a Raw'!G827-$J3)/$J4)))</f>
        <v/>
      </c>
      <c r="K827" s="3">
        <f>IF(J827="","",(J827-AVERAGE(J6:J1198))/(STDEV(J6:J1198)+1E-12))</f>
        <v/>
      </c>
      <c r="L827" s="3">
        <f>IF('3a Raw'!H827="","",MAX(-3,MIN(3,('3a Raw'!H827-$L3)/$L4)))</f>
        <v/>
      </c>
      <c r="M827" s="3">
        <f>IF(L827="","",(L827-AVERAGE(L6:L1198))/(STDEV(L6:L1198)+1E-12))</f>
        <v/>
      </c>
      <c r="N827" s="3">
        <f>IF('3a Raw'!I827="","",MAX(-3,MIN(3,('3a Raw'!I827-$N3)/$N4)))</f>
        <v/>
      </c>
      <c r="O827" s="3">
        <f>IF(N827="","",(N827-AVERAGE(N6:N1198))/(STDEV(N6:N1198)+1E-12))</f>
        <v/>
      </c>
      <c r="P827" s="3">
        <f>IF('3a Raw'!J827="","",MAX(-3,MIN(3,('3a Raw'!J827-$P3)/$P4)))</f>
        <v/>
      </c>
      <c r="Q827" s="3">
        <f>IF(P827="","",(P827-AVERAGE(P6:P1198))/(STDEV(P6:P1198)+1E-12))</f>
        <v/>
      </c>
      <c r="R827" s="3">
        <f>IF('3a Raw'!K827="","",MAX(-3,MIN(3,('3a Raw'!K827-$R3)/$R4)))</f>
        <v/>
      </c>
      <c r="S827" s="3">
        <f>IF(R827="","",(R827-AVERAGE(R6:R1198))/(STDEV(R6:R1198)+1E-12))</f>
        <v/>
      </c>
      <c r="T827" s="3">
        <f>IF('3a Raw'!L827="","",MAX(-3,MIN(3,('3a Raw'!L827-$T3)/$T4)))</f>
        <v/>
      </c>
      <c r="U827" s="3">
        <f>IF(T827="","",(T827-AVERAGE(T6:T1198))/(STDEV(T6:T1198)+1E-12))</f>
        <v/>
      </c>
      <c r="X827" s="3">
        <f>IF(U827="","",U827-($V$3*G827+$W$3))</f>
        <v/>
      </c>
      <c r="Y827" s="3">
        <f>IF(X827="","",MAX(-3,MIN(3,(X827-$X3)/$X4)))</f>
        <v/>
      </c>
      <c r="Z827" s="3">
        <f>IF(Y827="","",(Y827-AVERAGE(Y6:Y1198))/(STDEV(Y6:Y1198)+1E-12))</f>
        <v/>
      </c>
    </row>
    <row r="828">
      <c r="A828" t="inlineStr">
        <is>
          <t>BBG000BQSQ38</t>
        </is>
      </c>
      <c r="B828" s="3">
        <f>IF('3a Raw'!C828="","",MAX(-3,MIN(3,('3a Raw'!C828-$B3)/$B4)))</f>
        <v/>
      </c>
      <c r="C828" s="3">
        <f>IF(B828="","",(B828-AVERAGE(B6:B1198))/(STDEV(B6:B1198)+1E-12))</f>
        <v/>
      </c>
      <c r="D828" s="3">
        <f>IF('3a Raw'!D828="","",MAX(-3,MIN(3,('3a Raw'!D828-$D3)/$D4)))</f>
        <v/>
      </c>
      <c r="E828" s="3">
        <f>IF(D828="","",(D828-AVERAGE(D6:D1198))/(STDEV(D6:D1198)+1E-12))</f>
        <v/>
      </c>
      <c r="F828" s="3">
        <f>IF('3a Raw'!E828="","",MAX(-3,MIN(3,('3a Raw'!E828-$F3)/$F4)))</f>
        <v/>
      </c>
      <c r="G828" s="3">
        <f>IF(F828="","",(F828-AVERAGE(F6:F1198))/(STDEV(F6:F1198)+1E-12))</f>
        <v/>
      </c>
      <c r="H828" s="3">
        <f>IF('3a Raw'!F828="","",MAX(-3,MIN(3,('3a Raw'!F828-$H3)/$H4)))</f>
        <v/>
      </c>
      <c r="I828" s="3">
        <f>IF(H828="","",(H828-AVERAGE(H6:H1198))/(STDEV(H6:H1198)+1E-12))</f>
        <v/>
      </c>
      <c r="J828" s="3">
        <f>IF('3a Raw'!G828="","",MAX(-3,MIN(3,('3a Raw'!G828-$J3)/$J4)))</f>
        <v/>
      </c>
      <c r="K828" s="3">
        <f>IF(J828="","",(J828-AVERAGE(J6:J1198))/(STDEV(J6:J1198)+1E-12))</f>
        <v/>
      </c>
      <c r="L828" s="3">
        <f>IF('3a Raw'!H828="","",MAX(-3,MIN(3,('3a Raw'!H828-$L3)/$L4)))</f>
        <v/>
      </c>
      <c r="M828" s="3">
        <f>IF(L828="","",(L828-AVERAGE(L6:L1198))/(STDEV(L6:L1198)+1E-12))</f>
        <v/>
      </c>
      <c r="N828" s="3">
        <f>IF('3a Raw'!I828="","",MAX(-3,MIN(3,('3a Raw'!I828-$N3)/$N4)))</f>
        <v/>
      </c>
      <c r="O828" s="3">
        <f>IF(N828="","",(N828-AVERAGE(N6:N1198))/(STDEV(N6:N1198)+1E-12))</f>
        <v/>
      </c>
      <c r="P828" s="3">
        <f>IF('3a Raw'!J828="","",MAX(-3,MIN(3,('3a Raw'!J828-$P3)/$P4)))</f>
        <v/>
      </c>
      <c r="Q828" s="3">
        <f>IF(P828="","",(P828-AVERAGE(P6:P1198))/(STDEV(P6:P1198)+1E-12))</f>
        <v/>
      </c>
      <c r="R828" s="3">
        <f>IF('3a Raw'!K828="","",MAX(-3,MIN(3,('3a Raw'!K828-$R3)/$R4)))</f>
        <v/>
      </c>
      <c r="S828" s="3">
        <f>IF(R828="","",(R828-AVERAGE(R6:R1198))/(STDEV(R6:R1198)+1E-12))</f>
        <v/>
      </c>
      <c r="T828" s="3">
        <f>IF('3a Raw'!L828="","",MAX(-3,MIN(3,('3a Raw'!L828-$T3)/$T4)))</f>
        <v/>
      </c>
      <c r="U828" s="3">
        <f>IF(T828="","",(T828-AVERAGE(T6:T1198))/(STDEV(T6:T1198)+1E-12))</f>
        <v/>
      </c>
      <c r="X828" s="3">
        <f>IF(U828="","",U828-($V$3*G828+$W$3))</f>
        <v/>
      </c>
      <c r="Y828" s="3">
        <f>IF(X828="","",MAX(-3,MIN(3,(X828-$X3)/$X4)))</f>
        <v/>
      </c>
      <c r="Z828" s="3">
        <f>IF(Y828="","",(Y828-AVERAGE(Y6:Y1198))/(STDEV(Y6:Y1198)+1E-12))</f>
        <v/>
      </c>
    </row>
    <row r="829">
      <c r="A829" t="inlineStr">
        <is>
          <t>BBG000BS6FX9</t>
        </is>
      </c>
      <c r="B829" s="3">
        <f>IF('3a Raw'!C829="","",MAX(-3,MIN(3,('3a Raw'!C829-$B3)/$B4)))</f>
        <v/>
      </c>
      <c r="C829" s="3">
        <f>IF(B829="","",(B829-AVERAGE(B6:B1198))/(STDEV(B6:B1198)+1E-12))</f>
        <v/>
      </c>
      <c r="D829" s="3">
        <f>IF('3a Raw'!D829="","",MAX(-3,MIN(3,('3a Raw'!D829-$D3)/$D4)))</f>
        <v/>
      </c>
      <c r="E829" s="3">
        <f>IF(D829="","",(D829-AVERAGE(D6:D1198))/(STDEV(D6:D1198)+1E-12))</f>
        <v/>
      </c>
      <c r="F829" s="3">
        <f>IF('3a Raw'!E829="","",MAX(-3,MIN(3,('3a Raw'!E829-$F3)/$F4)))</f>
        <v/>
      </c>
      <c r="G829" s="3">
        <f>IF(F829="","",(F829-AVERAGE(F6:F1198))/(STDEV(F6:F1198)+1E-12))</f>
        <v/>
      </c>
      <c r="H829" s="3">
        <f>IF('3a Raw'!F829="","",MAX(-3,MIN(3,('3a Raw'!F829-$H3)/$H4)))</f>
        <v/>
      </c>
      <c r="I829" s="3">
        <f>IF(H829="","",(H829-AVERAGE(H6:H1198))/(STDEV(H6:H1198)+1E-12))</f>
        <v/>
      </c>
      <c r="J829" s="3">
        <f>IF('3a Raw'!G829="","",MAX(-3,MIN(3,('3a Raw'!G829-$J3)/$J4)))</f>
        <v/>
      </c>
      <c r="K829" s="3">
        <f>IF(J829="","",(J829-AVERAGE(J6:J1198))/(STDEV(J6:J1198)+1E-12))</f>
        <v/>
      </c>
      <c r="L829" s="3">
        <f>IF('3a Raw'!H829="","",MAX(-3,MIN(3,('3a Raw'!H829-$L3)/$L4)))</f>
        <v/>
      </c>
      <c r="M829" s="3">
        <f>IF(L829="","",(L829-AVERAGE(L6:L1198))/(STDEV(L6:L1198)+1E-12))</f>
        <v/>
      </c>
      <c r="N829" s="3">
        <f>IF('3a Raw'!I829="","",MAX(-3,MIN(3,('3a Raw'!I829-$N3)/$N4)))</f>
        <v/>
      </c>
      <c r="O829" s="3">
        <f>IF(N829="","",(N829-AVERAGE(N6:N1198))/(STDEV(N6:N1198)+1E-12))</f>
        <v/>
      </c>
      <c r="P829" s="3">
        <f>IF('3a Raw'!J829="","",MAX(-3,MIN(3,('3a Raw'!J829-$P3)/$P4)))</f>
        <v/>
      </c>
      <c r="Q829" s="3">
        <f>IF(P829="","",(P829-AVERAGE(P6:P1198))/(STDEV(P6:P1198)+1E-12))</f>
        <v/>
      </c>
      <c r="R829" s="3">
        <f>IF('3a Raw'!K829="","",MAX(-3,MIN(3,('3a Raw'!K829-$R3)/$R4)))</f>
        <v/>
      </c>
      <c r="S829" s="3">
        <f>IF(R829="","",(R829-AVERAGE(R6:R1198))/(STDEV(R6:R1198)+1E-12))</f>
        <v/>
      </c>
      <c r="T829" s="3">
        <f>IF('3a Raw'!L829="","",MAX(-3,MIN(3,('3a Raw'!L829-$T3)/$T4)))</f>
        <v/>
      </c>
      <c r="U829" s="3">
        <f>IF(T829="","",(T829-AVERAGE(T6:T1198))/(STDEV(T6:T1198)+1E-12))</f>
        <v/>
      </c>
      <c r="X829" s="3">
        <f>IF(U829="","",U829-($V$3*G829+$W$3))</f>
        <v/>
      </c>
      <c r="Y829" s="3">
        <f>IF(X829="","",MAX(-3,MIN(3,(X829-$X3)/$X4)))</f>
        <v/>
      </c>
      <c r="Z829" s="3">
        <f>IF(Y829="","",(Y829-AVERAGE(Y6:Y1198))/(STDEV(Y6:Y1198)+1E-12))</f>
        <v/>
      </c>
    </row>
    <row r="830">
      <c r="A830" t="inlineStr">
        <is>
          <t>BBG0018YXYX7</t>
        </is>
      </c>
      <c r="B830" s="3">
        <f>IF('3a Raw'!C830="","",MAX(-3,MIN(3,('3a Raw'!C830-$B3)/$B4)))</f>
        <v/>
      </c>
      <c r="C830" s="3">
        <f>IF(B830="","",(B830-AVERAGE(B6:B1198))/(STDEV(B6:B1198)+1E-12))</f>
        <v/>
      </c>
      <c r="D830" s="3">
        <f>IF('3a Raw'!D830="","",MAX(-3,MIN(3,('3a Raw'!D830-$D3)/$D4)))</f>
        <v/>
      </c>
      <c r="E830" s="3">
        <f>IF(D830="","",(D830-AVERAGE(D6:D1198))/(STDEV(D6:D1198)+1E-12))</f>
        <v/>
      </c>
      <c r="F830" s="3">
        <f>IF('3a Raw'!E830="","",MAX(-3,MIN(3,('3a Raw'!E830-$F3)/$F4)))</f>
        <v/>
      </c>
      <c r="G830" s="3">
        <f>IF(F830="","",(F830-AVERAGE(F6:F1198))/(STDEV(F6:F1198)+1E-12))</f>
        <v/>
      </c>
      <c r="H830" s="3">
        <f>IF('3a Raw'!F830="","",MAX(-3,MIN(3,('3a Raw'!F830-$H3)/$H4)))</f>
        <v/>
      </c>
      <c r="I830" s="3">
        <f>IF(H830="","",(H830-AVERAGE(H6:H1198))/(STDEV(H6:H1198)+1E-12))</f>
        <v/>
      </c>
      <c r="J830" s="3">
        <f>IF('3a Raw'!G830="","",MAX(-3,MIN(3,('3a Raw'!G830-$J3)/$J4)))</f>
        <v/>
      </c>
      <c r="K830" s="3">
        <f>IF(J830="","",(J830-AVERAGE(J6:J1198))/(STDEV(J6:J1198)+1E-12))</f>
        <v/>
      </c>
      <c r="L830" s="3">
        <f>IF('3a Raw'!H830="","",MAX(-3,MIN(3,('3a Raw'!H830-$L3)/$L4)))</f>
        <v/>
      </c>
      <c r="M830" s="3">
        <f>IF(L830="","",(L830-AVERAGE(L6:L1198))/(STDEV(L6:L1198)+1E-12))</f>
        <v/>
      </c>
      <c r="N830" s="3">
        <f>IF('3a Raw'!I830="","",MAX(-3,MIN(3,('3a Raw'!I830-$N3)/$N4)))</f>
        <v/>
      </c>
      <c r="O830" s="3">
        <f>IF(N830="","",(N830-AVERAGE(N6:N1198))/(STDEV(N6:N1198)+1E-12))</f>
        <v/>
      </c>
      <c r="P830" s="3">
        <f>IF('3a Raw'!J830="","",MAX(-3,MIN(3,('3a Raw'!J830-$P3)/$P4)))</f>
        <v/>
      </c>
      <c r="Q830" s="3">
        <f>IF(P830="","",(P830-AVERAGE(P6:P1198))/(STDEV(P6:P1198)+1E-12))</f>
        <v/>
      </c>
      <c r="R830" s="3">
        <f>IF('3a Raw'!K830="","",MAX(-3,MIN(3,('3a Raw'!K830-$R3)/$R4)))</f>
        <v/>
      </c>
      <c r="S830" s="3">
        <f>IF(R830="","",(R830-AVERAGE(R6:R1198))/(STDEV(R6:R1198)+1E-12))</f>
        <v/>
      </c>
      <c r="T830" s="3">
        <f>IF('3a Raw'!L830="","",MAX(-3,MIN(3,('3a Raw'!L830-$T3)/$T4)))</f>
        <v/>
      </c>
      <c r="U830" s="3">
        <f>IF(T830="","",(T830-AVERAGE(T6:T1198))/(STDEV(T6:T1198)+1E-12))</f>
        <v/>
      </c>
      <c r="X830" s="3">
        <f>IF(U830="","",U830-($V$3*G830+$W$3))</f>
        <v/>
      </c>
      <c r="Y830" s="3">
        <f>IF(X830="","",MAX(-3,MIN(3,(X830-$X3)/$X4)))</f>
        <v/>
      </c>
      <c r="Z830" s="3">
        <f>IF(Y830="","",(Y830-AVERAGE(Y6:Y1198))/(STDEV(Y6:Y1198)+1E-12))</f>
        <v/>
      </c>
    </row>
    <row r="831">
      <c r="A831" t="inlineStr">
        <is>
          <t>pcar</t>
        </is>
      </c>
      <c r="B831" s="3">
        <f>IF('3a Raw'!C831="","",MAX(-3,MIN(3,('3a Raw'!C831-$B3)/$B4)))</f>
        <v/>
      </c>
      <c r="C831" s="3">
        <f>IF(B831="","",(B831-AVERAGE(B6:B1198))/(STDEV(B6:B1198)+1E-12))</f>
        <v/>
      </c>
      <c r="D831" s="3">
        <f>IF('3a Raw'!D831="","",MAX(-3,MIN(3,('3a Raw'!D831-$D3)/$D4)))</f>
        <v/>
      </c>
      <c r="E831" s="3">
        <f>IF(D831="","",(D831-AVERAGE(D6:D1198))/(STDEV(D6:D1198)+1E-12))</f>
        <v/>
      </c>
      <c r="F831" s="3">
        <f>IF('3a Raw'!E831="","",MAX(-3,MIN(3,('3a Raw'!E831-$F3)/$F4)))</f>
        <v/>
      </c>
      <c r="G831" s="3">
        <f>IF(F831="","",(F831-AVERAGE(F6:F1198))/(STDEV(F6:F1198)+1E-12))</f>
        <v/>
      </c>
      <c r="H831" s="3">
        <f>IF('3a Raw'!F831="","",MAX(-3,MIN(3,('3a Raw'!F831-$H3)/$H4)))</f>
        <v/>
      </c>
      <c r="I831" s="3">
        <f>IF(H831="","",(H831-AVERAGE(H6:H1198))/(STDEV(H6:H1198)+1E-12))</f>
        <v/>
      </c>
      <c r="J831" s="3">
        <f>IF('3a Raw'!G831="","",MAX(-3,MIN(3,('3a Raw'!G831-$J3)/$J4)))</f>
        <v/>
      </c>
      <c r="K831" s="3">
        <f>IF(J831="","",(J831-AVERAGE(J6:J1198))/(STDEV(J6:J1198)+1E-12))</f>
        <v/>
      </c>
      <c r="L831" s="3">
        <f>IF('3a Raw'!H831="","",MAX(-3,MIN(3,('3a Raw'!H831-$L3)/$L4)))</f>
        <v/>
      </c>
      <c r="M831" s="3">
        <f>IF(L831="","",(L831-AVERAGE(L6:L1198))/(STDEV(L6:L1198)+1E-12))</f>
        <v/>
      </c>
      <c r="N831" s="3">
        <f>IF('3a Raw'!I831="","",MAX(-3,MIN(3,('3a Raw'!I831-$N3)/$N4)))</f>
        <v/>
      </c>
      <c r="O831" s="3">
        <f>IF(N831="","",(N831-AVERAGE(N6:N1198))/(STDEV(N6:N1198)+1E-12))</f>
        <v/>
      </c>
      <c r="P831" s="3">
        <f>IF('3a Raw'!J831="","",MAX(-3,MIN(3,('3a Raw'!J831-$P3)/$P4)))</f>
        <v/>
      </c>
      <c r="Q831" s="3">
        <f>IF(P831="","",(P831-AVERAGE(P6:P1198))/(STDEV(P6:P1198)+1E-12))</f>
        <v/>
      </c>
      <c r="R831" s="3">
        <f>IF('3a Raw'!K831="","",MAX(-3,MIN(3,('3a Raw'!K831-$R3)/$R4)))</f>
        <v/>
      </c>
      <c r="S831" s="3">
        <f>IF(R831="","",(R831-AVERAGE(R6:R1198))/(STDEV(R6:R1198)+1E-12))</f>
        <v/>
      </c>
      <c r="T831" s="3">
        <f>IF('3a Raw'!L831="","",MAX(-3,MIN(3,('3a Raw'!L831-$T3)/$T4)))</f>
        <v/>
      </c>
      <c r="U831" s="3">
        <f>IF(T831="","",(T831-AVERAGE(T6:T1198))/(STDEV(T6:T1198)+1E-12))</f>
        <v/>
      </c>
      <c r="X831" s="3">
        <f>IF(U831="","",U831-($V$3*G831+$W$3))</f>
        <v/>
      </c>
      <c r="Y831" s="3">
        <f>IF(X831="","",MAX(-3,MIN(3,(X831-$X3)/$X4)))</f>
        <v/>
      </c>
      <c r="Z831" s="3">
        <f>IF(Y831="","",(Y831-AVERAGE(Y6:Y1198))/(STDEV(Y6:Y1198)+1E-12))</f>
        <v/>
      </c>
    </row>
    <row r="832">
      <c r="A832" t="inlineStr">
        <is>
          <t>BBG000BQWPC5</t>
        </is>
      </c>
      <c r="B832" s="3">
        <f>IF('3a Raw'!C832="","",MAX(-3,MIN(3,('3a Raw'!C832-$B3)/$B4)))</f>
        <v/>
      </c>
      <c r="C832" s="3">
        <f>IF(B832="","",(B832-AVERAGE(B6:B1198))/(STDEV(B6:B1198)+1E-12))</f>
        <v/>
      </c>
      <c r="D832" s="3">
        <f>IF('3a Raw'!D832="","",MAX(-3,MIN(3,('3a Raw'!D832-$D3)/$D4)))</f>
        <v/>
      </c>
      <c r="E832" s="3">
        <f>IF(D832="","",(D832-AVERAGE(D6:D1198))/(STDEV(D6:D1198)+1E-12))</f>
        <v/>
      </c>
      <c r="F832" s="3">
        <f>IF('3a Raw'!E832="","",MAX(-3,MIN(3,('3a Raw'!E832-$F3)/$F4)))</f>
        <v/>
      </c>
      <c r="G832" s="3">
        <f>IF(F832="","",(F832-AVERAGE(F6:F1198))/(STDEV(F6:F1198)+1E-12))</f>
        <v/>
      </c>
      <c r="H832" s="3">
        <f>IF('3a Raw'!F832="","",MAX(-3,MIN(3,('3a Raw'!F832-$H3)/$H4)))</f>
        <v/>
      </c>
      <c r="I832" s="3">
        <f>IF(H832="","",(H832-AVERAGE(H6:H1198))/(STDEV(H6:H1198)+1E-12))</f>
        <v/>
      </c>
      <c r="J832" s="3">
        <f>IF('3a Raw'!G832="","",MAX(-3,MIN(3,('3a Raw'!G832-$J3)/$J4)))</f>
        <v/>
      </c>
      <c r="K832" s="3">
        <f>IF(J832="","",(J832-AVERAGE(J6:J1198))/(STDEV(J6:J1198)+1E-12))</f>
        <v/>
      </c>
      <c r="L832" s="3">
        <f>IF('3a Raw'!H832="","",MAX(-3,MIN(3,('3a Raw'!H832-$L3)/$L4)))</f>
        <v/>
      </c>
      <c r="M832" s="3">
        <f>IF(L832="","",(L832-AVERAGE(L6:L1198))/(STDEV(L6:L1198)+1E-12))</f>
        <v/>
      </c>
      <c r="N832" s="3">
        <f>IF('3a Raw'!I832="","",MAX(-3,MIN(3,('3a Raw'!I832-$N3)/$N4)))</f>
        <v/>
      </c>
      <c r="O832" s="3">
        <f>IF(N832="","",(N832-AVERAGE(N6:N1198))/(STDEV(N6:N1198)+1E-12))</f>
        <v/>
      </c>
      <c r="P832" s="3">
        <f>IF('3a Raw'!J832="","",MAX(-3,MIN(3,('3a Raw'!J832-$P3)/$P4)))</f>
        <v/>
      </c>
      <c r="Q832" s="3">
        <f>IF(P832="","",(P832-AVERAGE(P6:P1198))/(STDEV(P6:P1198)+1E-12))</f>
        <v/>
      </c>
      <c r="R832" s="3">
        <f>IF('3a Raw'!K832="","",MAX(-3,MIN(3,('3a Raw'!K832-$R3)/$R4)))</f>
        <v/>
      </c>
      <c r="S832" s="3">
        <f>IF(R832="","",(R832-AVERAGE(R6:R1198))/(STDEV(R6:R1198)+1E-12))</f>
        <v/>
      </c>
      <c r="T832" s="3">
        <f>IF('3a Raw'!L832="","",MAX(-3,MIN(3,('3a Raw'!L832-$T3)/$T4)))</f>
        <v/>
      </c>
      <c r="U832" s="3">
        <f>IF(T832="","",(T832-AVERAGE(T6:T1198))/(STDEV(T6:T1198)+1E-12))</f>
        <v/>
      </c>
      <c r="X832" s="3">
        <f>IF(U832="","",U832-($V$3*G832+$W$3))</f>
        <v/>
      </c>
      <c r="Y832" s="3">
        <f>IF(X832="","",MAX(-3,MIN(3,(X832-$X3)/$X4)))</f>
        <v/>
      </c>
      <c r="Z832" s="3">
        <f>IF(Y832="","",(Y832-AVERAGE(Y6:Y1198))/(STDEV(Y6:Y1198)+1E-12))</f>
        <v/>
      </c>
    </row>
    <row r="833">
      <c r="A833" t="inlineStr">
        <is>
          <t>BBG0018FQNS6</t>
        </is>
      </c>
      <c r="B833" s="3">
        <f>IF('3a Raw'!C833="","",MAX(-3,MIN(3,('3a Raw'!C833-$B3)/$B4)))</f>
        <v/>
      </c>
      <c r="C833" s="3">
        <f>IF(B833="","",(B833-AVERAGE(B6:B1198))/(STDEV(B6:B1198)+1E-12))</f>
        <v/>
      </c>
      <c r="D833" s="3">
        <f>IF('3a Raw'!D833="","",MAX(-3,MIN(3,('3a Raw'!D833-$D3)/$D4)))</f>
        <v/>
      </c>
      <c r="E833" s="3">
        <f>IF(D833="","",(D833-AVERAGE(D6:D1198))/(STDEV(D6:D1198)+1E-12))</f>
        <v/>
      </c>
      <c r="F833" s="3">
        <f>IF('3a Raw'!E833="","",MAX(-3,MIN(3,('3a Raw'!E833-$F3)/$F4)))</f>
        <v/>
      </c>
      <c r="G833" s="3">
        <f>IF(F833="","",(F833-AVERAGE(F6:F1198))/(STDEV(F6:F1198)+1E-12))</f>
        <v/>
      </c>
      <c r="H833" s="3">
        <f>IF('3a Raw'!F833="","",MAX(-3,MIN(3,('3a Raw'!F833-$H3)/$H4)))</f>
        <v/>
      </c>
      <c r="I833" s="3">
        <f>IF(H833="","",(H833-AVERAGE(H6:H1198))/(STDEV(H6:H1198)+1E-12))</f>
        <v/>
      </c>
      <c r="J833" s="3">
        <f>IF('3a Raw'!G833="","",MAX(-3,MIN(3,('3a Raw'!G833-$J3)/$J4)))</f>
        <v/>
      </c>
      <c r="K833" s="3">
        <f>IF(J833="","",(J833-AVERAGE(J6:J1198))/(STDEV(J6:J1198)+1E-12))</f>
        <v/>
      </c>
      <c r="L833" s="3">
        <f>IF('3a Raw'!H833="","",MAX(-3,MIN(3,('3a Raw'!H833-$L3)/$L4)))</f>
        <v/>
      </c>
      <c r="M833" s="3">
        <f>IF(L833="","",(L833-AVERAGE(L6:L1198))/(STDEV(L6:L1198)+1E-12))</f>
        <v/>
      </c>
      <c r="N833" s="3">
        <f>IF('3a Raw'!I833="","",MAX(-3,MIN(3,('3a Raw'!I833-$N3)/$N4)))</f>
        <v/>
      </c>
      <c r="O833" s="3">
        <f>IF(N833="","",(N833-AVERAGE(N6:N1198))/(STDEV(N6:N1198)+1E-12))</f>
        <v/>
      </c>
      <c r="P833" s="3">
        <f>IF('3a Raw'!J833="","",MAX(-3,MIN(3,('3a Raw'!J833-$P3)/$P4)))</f>
        <v/>
      </c>
      <c r="Q833" s="3">
        <f>IF(P833="","",(P833-AVERAGE(P6:P1198))/(STDEV(P6:P1198)+1E-12))</f>
        <v/>
      </c>
      <c r="R833" s="3">
        <f>IF('3a Raw'!K833="","",MAX(-3,MIN(3,('3a Raw'!K833-$R3)/$R4)))</f>
        <v/>
      </c>
      <c r="S833" s="3">
        <f>IF(R833="","",(R833-AVERAGE(R6:R1198))/(STDEV(R6:R1198)+1E-12))</f>
        <v/>
      </c>
      <c r="T833" s="3">
        <f>IF('3a Raw'!L833="","",MAX(-3,MIN(3,('3a Raw'!L833-$T3)/$T4)))</f>
        <v/>
      </c>
      <c r="U833" s="3">
        <f>IF(T833="","",(T833-AVERAGE(T6:T1198))/(STDEV(T6:T1198)+1E-12))</f>
        <v/>
      </c>
      <c r="X833" s="3">
        <f>IF(U833="","",U833-($V$3*G833+$W$3))</f>
        <v/>
      </c>
      <c r="Y833" s="3">
        <f>IF(X833="","",MAX(-3,MIN(3,(X833-$X3)/$X4)))</f>
        <v/>
      </c>
      <c r="Z833" s="3">
        <f>IF(Y833="","",(Y833-AVERAGE(Y6:Y1198))/(STDEV(Y6:Y1198)+1E-12))</f>
        <v/>
      </c>
    </row>
    <row r="834">
      <c r="A834" t="inlineStr">
        <is>
          <t>BBG00YRJF1V1</t>
        </is>
      </c>
      <c r="B834" s="3">
        <f>IF('3a Raw'!C834="","",MAX(-3,MIN(3,('3a Raw'!C834-$B3)/$B4)))</f>
        <v/>
      </c>
      <c r="C834" s="3">
        <f>IF(B834="","",(B834-AVERAGE(B6:B1198))/(STDEV(B6:B1198)+1E-12))</f>
        <v/>
      </c>
      <c r="D834" s="3">
        <f>IF('3a Raw'!D834="","",MAX(-3,MIN(3,('3a Raw'!D834-$D3)/$D4)))</f>
        <v/>
      </c>
      <c r="E834" s="3">
        <f>IF(D834="","",(D834-AVERAGE(D6:D1198))/(STDEV(D6:D1198)+1E-12))</f>
        <v/>
      </c>
      <c r="F834" s="3">
        <f>IF('3a Raw'!E834="","",MAX(-3,MIN(3,('3a Raw'!E834-$F3)/$F4)))</f>
        <v/>
      </c>
      <c r="G834" s="3">
        <f>IF(F834="","",(F834-AVERAGE(F6:F1198))/(STDEV(F6:F1198)+1E-12))</f>
        <v/>
      </c>
      <c r="H834" s="3">
        <f>IF('3a Raw'!F834="","",MAX(-3,MIN(3,('3a Raw'!F834-$H3)/$H4)))</f>
        <v/>
      </c>
      <c r="I834" s="3">
        <f>IF(H834="","",(H834-AVERAGE(H6:H1198))/(STDEV(H6:H1198)+1E-12))</f>
        <v/>
      </c>
      <c r="J834" s="3">
        <f>IF('3a Raw'!G834="","",MAX(-3,MIN(3,('3a Raw'!G834-$J3)/$J4)))</f>
        <v/>
      </c>
      <c r="K834" s="3">
        <f>IF(J834="","",(J834-AVERAGE(J6:J1198))/(STDEV(J6:J1198)+1E-12))</f>
        <v/>
      </c>
      <c r="L834" s="3">
        <f>IF('3a Raw'!H834="","",MAX(-3,MIN(3,('3a Raw'!H834-$L3)/$L4)))</f>
        <v/>
      </c>
      <c r="M834" s="3">
        <f>IF(L834="","",(L834-AVERAGE(L6:L1198))/(STDEV(L6:L1198)+1E-12))</f>
        <v/>
      </c>
      <c r="N834" s="3">
        <f>IF('3a Raw'!I834="","",MAX(-3,MIN(3,('3a Raw'!I834-$N3)/$N4)))</f>
        <v/>
      </c>
      <c r="O834" s="3">
        <f>IF(N834="","",(N834-AVERAGE(N6:N1198))/(STDEV(N6:N1198)+1E-12))</f>
        <v/>
      </c>
      <c r="P834" s="3">
        <f>IF('3a Raw'!J834="","",MAX(-3,MIN(3,('3a Raw'!J834-$P3)/$P4)))</f>
        <v/>
      </c>
      <c r="Q834" s="3">
        <f>IF(P834="","",(P834-AVERAGE(P6:P1198))/(STDEV(P6:P1198)+1E-12))</f>
        <v/>
      </c>
      <c r="R834" s="3">
        <f>IF('3a Raw'!K834="","",MAX(-3,MIN(3,('3a Raw'!K834-$R3)/$R4)))</f>
        <v/>
      </c>
      <c r="S834" s="3">
        <f>IF(R834="","",(R834-AVERAGE(R6:R1198))/(STDEV(R6:R1198)+1E-12))</f>
        <v/>
      </c>
      <c r="T834" s="3">
        <f>IF('3a Raw'!L834="","",MAX(-3,MIN(3,('3a Raw'!L834-$T3)/$T4)))</f>
        <v/>
      </c>
      <c r="U834" s="3">
        <f>IF(T834="","",(T834-AVERAGE(T6:T1198))/(STDEV(T6:T1198)+1E-12))</f>
        <v/>
      </c>
      <c r="X834" s="3">
        <f>IF(U834="","",U834-($V$3*G834+$W$3))</f>
        <v/>
      </c>
      <c r="Y834" s="3">
        <f>IF(X834="","",MAX(-3,MIN(3,(X834-$X3)/$X4)))</f>
        <v/>
      </c>
      <c r="Z834" s="3">
        <f>IF(Y834="","",(Y834-AVERAGE(Y6:Y1198))/(STDEV(Y6:Y1198)+1E-12))</f>
        <v/>
      </c>
    </row>
    <row r="835">
      <c r="A835" t="inlineStr">
        <is>
          <t>BBG0043BYPB8</t>
        </is>
      </c>
      <c r="B835" s="3">
        <f>IF('3a Raw'!C835="","",MAX(-3,MIN(3,('3a Raw'!C835-$B3)/$B4)))</f>
        <v/>
      </c>
      <c r="C835" s="3">
        <f>IF(B835="","",(B835-AVERAGE(B6:B1198))/(STDEV(B6:B1198)+1E-12))</f>
        <v/>
      </c>
      <c r="D835" s="3">
        <f>IF('3a Raw'!D835="","",MAX(-3,MIN(3,('3a Raw'!D835-$D3)/$D4)))</f>
        <v/>
      </c>
      <c r="E835" s="3">
        <f>IF(D835="","",(D835-AVERAGE(D6:D1198))/(STDEV(D6:D1198)+1E-12))</f>
        <v/>
      </c>
      <c r="F835" s="3">
        <f>IF('3a Raw'!E835="","",MAX(-3,MIN(3,('3a Raw'!E835-$F3)/$F4)))</f>
        <v/>
      </c>
      <c r="G835" s="3">
        <f>IF(F835="","",(F835-AVERAGE(F6:F1198))/(STDEV(F6:F1198)+1E-12))</f>
        <v/>
      </c>
      <c r="H835" s="3">
        <f>IF('3a Raw'!F835="","",MAX(-3,MIN(3,('3a Raw'!F835-$H3)/$H4)))</f>
        <v/>
      </c>
      <c r="I835" s="3">
        <f>IF(H835="","",(H835-AVERAGE(H6:H1198))/(STDEV(H6:H1198)+1E-12))</f>
        <v/>
      </c>
      <c r="J835" s="3">
        <f>IF('3a Raw'!G835="","",MAX(-3,MIN(3,('3a Raw'!G835-$J3)/$J4)))</f>
        <v/>
      </c>
      <c r="K835" s="3">
        <f>IF(J835="","",(J835-AVERAGE(J6:J1198))/(STDEV(J6:J1198)+1E-12))</f>
        <v/>
      </c>
      <c r="L835" s="3">
        <f>IF('3a Raw'!H835="","",MAX(-3,MIN(3,('3a Raw'!H835-$L3)/$L4)))</f>
        <v/>
      </c>
      <c r="M835" s="3">
        <f>IF(L835="","",(L835-AVERAGE(L6:L1198))/(STDEV(L6:L1198)+1E-12))</f>
        <v/>
      </c>
      <c r="N835" s="3">
        <f>IF('3a Raw'!I835="","",MAX(-3,MIN(3,('3a Raw'!I835-$N3)/$N4)))</f>
        <v/>
      </c>
      <c r="O835" s="3">
        <f>IF(N835="","",(N835-AVERAGE(N6:N1198))/(STDEV(N6:N1198)+1E-12))</f>
        <v/>
      </c>
      <c r="P835" s="3">
        <f>IF('3a Raw'!J835="","",MAX(-3,MIN(3,('3a Raw'!J835-$P3)/$P4)))</f>
        <v/>
      </c>
      <c r="Q835" s="3">
        <f>IF(P835="","",(P835-AVERAGE(P6:P1198))/(STDEV(P6:P1198)+1E-12))</f>
        <v/>
      </c>
      <c r="R835" s="3">
        <f>IF('3a Raw'!K835="","",MAX(-3,MIN(3,('3a Raw'!K835-$R3)/$R4)))</f>
        <v/>
      </c>
      <c r="S835" s="3">
        <f>IF(R835="","",(R835-AVERAGE(R6:R1198))/(STDEV(R6:R1198)+1E-12))</f>
        <v/>
      </c>
      <c r="T835" s="3">
        <f>IF('3a Raw'!L835="","",MAX(-3,MIN(3,('3a Raw'!L835-$T3)/$T4)))</f>
        <v/>
      </c>
      <c r="U835" s="3">
        <f>IF(T835="","",(T835-AVERAGE(T6:T1198))/(STDEV(T6:T1198)+1E-12))</f>
        <v/>
      </c>
      <c r="X835" s="3">
        <f>IF(U835="","",U835-($V$3*G835+$W$3))</f>
        <v/>
      </c>
      <c r="Y835" s="3">
        <f>IF(X835="","",MAX(-3,MIN(3,(X835-$X3)/$X4)))</f>
        <v/>
      </c>
      <c r="Z835" s="3">
        <f>IF(Y835="","",(Y835-AVERAGE(Y6:Y1198))/(STDEV(Y6:Y1198)+1E-12))</f>
        <v/>
      </c>
    </row>
    <row r="836">
      <c r="A836" t="inlineStr">
        <is>
          <t>BBG00LBLDDR2</t>
        </is>
      </c>
      <c r="B836" s="3">
        <f>IF('3a Raw'!C836="","",MAX(-3,MIN(3,('3a Raw'!C836-$B3)/$B4)))</f>
        <v/>
      </c>
      <c r="C836" s="3">
        <f>IF(B836="","",(B836-AVERAGE(B6:B1198))/(STDEV(B6:B1198)+1E-12))</f>
        <v/>
      </c>
      <c r="D836" s="3">
        <f>IF('3a Raw'!D836="","",MAX(-3,MIN(3,('3a Raw'!D836-$D3)/$D4)))</f>
        <v/>
      </c>
      <c r="E836" s="3">
        <f>IF(D836="","",(D836-AVERAGE(D6:D1198))/(STDEV(D6:D1198)+1E-12))</f>
        <v/>
      </c>
      <c r="F836" s="3">
        <f>IF('3a Raw'!E836="","",MAX(-3,MIN(3,('3a Raw'!E836-$F3)/$F4)))</f>
        <v/>
      </c>
      <c r="G836" s="3">
        <f>IF(F836="","",(F836-AVERAGE(F6:F1198))/(STDEV(F6:F1198)+1E-12))</f>
        <v/>
      </c>
      <c r="H836" s="3">
        <f>IF('3a Raw'!F836="","",MAX(-3,MIN(3,('3a Raw'!F836-$H3)/$H4)))</f>
        <v/>
      </c>
      <c r="I836" s="3">
        <f>IF(H836="","",(H836-AVERAGE(H6:H1198))/(STDEV(H6:H1198)+1E-12))</f>
        <v/>
      </c>
      <c r="J836" s="3">
        <f>IF('3a Raw'!G836="","",MAX(-3,MIN(3,('3a Raw'!G836-$J3)/$J4)))</f>
        <v/>
      </c>
      <c r="K836" s="3">
        <f>IF(J836="","",(J836-AVERAGE(J6:J1198))/(STDEV(J6:J1198)+1E-12))</f>
        <v/>
      </c>
      <c r="L836" s="3">
        <f>IF('3a Raw'!H836="","",MAX(-3,MIN(3,('3a Raw'!H836-$L3)/$L4)))</f>
        <v/>
      </c>
      <c r="M836" s="3">
        <f>IF(L836="","",(L836-AVERAGE(L6:L1198))/(STDEV(L6:L1198)+1E-12))</f>
        <v/>
      </c>
      <c r="N836" s="3">
        <f>IF('3a Raw'!I836="","",MAX(-3,MIN(3,('3a Raw'!I836-$N3)/$N4)))</f>
        <v/>
      </c>
      <c r="O836" s="3">
        <f>IF(N836="","",(N836-AVERAGE(N6:N1198))/(STDEV(N6:N1198)+1E-12))</f>
        <v/>
      </c>
      <c r="P836" s="3">
        <f>IF('3a Raw'!J836="","",MAX(-3,MIN(3,('3a Raw'!J836-$P3)/$P4)))</f>
        <v/>
      </c>
      <c r="Q836" s="3">
        <f>IF(P836="","",(P836-AVERAGE(P6:P1198))/(STDEV(P6:P1198)+1E-12))</f>
        <v/>
      </c>
      <c r="R836" s="3">
        <f>IF('3a Raw'!K836="","",MAX(-3,MIN(3,('3a Raw'!K836-$R3)/$R4)))</f>
        <v/>
      </c>
      <c r="S836" s="3">
        <f>IF(R836="","",(R836-AVERAGE(R6:R1198))/(STDEV(R6:R1198)+1E-12))</f>
        <v/>
      </c>
      <c r="T836" s="3">
        <f>IF('3a Raw'!L836="","",MAX(-3,MIN(3,('3a Raw'!L836-$T3)/$T4)))</f>
        <v/>
      </c>
      <c r="U836" s="3">
        <f>IF(T836="","",(T836-AVERAGE(T6:T1198))/(STDEV(T6:T1198)+1E-12))</f>
        <v/>
      </c>
      <c r="X836" s="3">
        <f>IF(U836="","",U836-($V$3*G836+$W$3))</f>
        <v/>
      </c>
      <c r="Y836" s="3">
        <f>IF(X836="","",MAX(-3,MIN(3,(X836-$X3)/$X4)))</f>
        <v/>
      </c>
      <c r="Z836" s="3">
        <f>IF(Y836="","",(Y836-AVERAGE(Y6:Y1198))/(STDEV(Y6:Y1198)+1E-12))</f>
        <v/>
      </c>
    </row>
    <row r="837">
      <c r="A837" t="inlineStr">
        <is>
          <t>BBG000BQZMH4</t>
        </is>
      </c>
      <c r="B837" s="3">
        <f>IF('3a Raw'!C837="","",MAX(-3,MIN(3,('3a Raw'!C837-$B3)/$B4)))</f>
        <v/>
      </c>
      <c r="C837" s="3">
        <f>IF(B837="","",(B837-AVERAGE(B6:B1198))/(STDEV(B6:B1198)+1E-12))</f>
        <v/>
      </c>
      <c r="D837" s="3">
        <f>IF('3a Raw'!D837="","",MAX(-3,MIN(3,('3a Raw'!D837-$D3)/$D4)))</f>
        <v/>
      </c>
      <c r="E837" s="3">
        <f>IF(D837="","",(D837-AVERAGE(D6:D1198))/(STDEV(D6:D1198)+1E-12))</f>
        <v/>
      </c>
      <c r="F837" s="3">
        <f>IF('3a Raw'!E837="","",MAX(-3,MIN(3,('3a Raw'!E837-$F3)/$F4)))</f>
        <v/>
      </c>
      <c r="G837" s="3">
        <f>IF(F837="","",(F837-AVERAGE(F6:F1198))/(STDEV(F6:F1198)+1E-12))</f>
        <v/>
      </c>
      <c r="H837" s="3">
        <f>IF('3a Raw'!F837="","",MAX(-3,MIN(3,('3a Raw'!F837-$H3)/$H4)))</f>
        <v/>
      </c>
      <c r="I837" s="3">
        <f>IF(H837="","",(H837-AVERAGE(H6:H1198))/(STDEV(H6:H1198)+1E-12))</f>
        <v/>
      </c>
      <c r="J837" s="3">
        <f>IF('3a Raw'!G837="","",MAX(-3,MIN(3,('3a Raw'!G837-$J3)/$J4)))</f>
        <v/>
      </c>
      <c r="K837" s="3">
        <f>IF(J837="","",(J837-AVERAGE(J6:J1198))/(STDEV(J6:J1198)+1E-12))</f>
        <v/>
      </c>
      <c r="L837" s="3">
        <f>IF('3a Raw'!H837="","",MAX(-3,MIN(3,('3a Raw'!H837-$L3)/$L4)))</f>
        <v/>
      </c>
      <c r="M837" s="3">
        <f>IF(L837="","",(L837-AVERAGE(L6:L1198))/(STDEV(L6:L1198)+1E-12))</f>
        <v/>
      </c>
      <c r="N837" s="3">
        <f>IF('3a Raw'!I837="","",MAX(-3,MIN(3,('3a Raw'!I837-$N3)/$N4)))</f>
        <v/>
      </c>
      <c r="O837" s="3">
        <f>IF(N837="","",(N837-AVERAGE(N6:N1198))/(STDEV(N6:N1198)+1E-12))</f>
        <v/>
      </c>
      <c r="P837" s="3">
        <f>IF('3a Raw'!J837="","",MAX(-3,MIN(3,('3a Raw'!J837-$P3)/$P4)))</f>
        <v/>
      </c>
      <c r="Q837" s="3">
        <f>IF(P837="","",(P837-AVERAGE(P6:P1198))/(STDEV(P6:P1198)+1E-12))</f>
        <v/>
      </c>
      <c r="R837" s="3">
        <f>IF('3a Raw'!K837="","",MAX(-3,MIN(3,('3a Raw'!K837-$R3)/$R4)))</f>
        <v/>
      </c>
      <c r="S837" s="3">
        <f>IF(R837="","",(R837-AVERAGE(R6:R1198))/(STDEV(R6:R1198)+1E-12))</f>
        <v/>
      </c>
      <c r="T837" s="3">
        <f>IF('3a Raw'!L837="","",MAX(-3,MIN(3,('3a Raw'!L837-$T3)/$T4)))</f>
        <v/>
      </c>
      <c r="U837" s="3">
        <f>IF(T837="","",(T837-AVERAGE(T6:T1198))/(STDEV(T6:T1198)+1E-12))</f>
        <v/>
      </c>
      <c r="X837" s="3">
        <f>IF(U837="","",U837-($V$3*G837+$W$3))</f>
        <v/>
      </c>
      <c r="Y837" s="3">
        <f>IF(X837="","",MAX(-3,MIN(3,(X837-$X3)/$X4)))</f>
        <v/>
      </c>
      <c r="Z837" s="3">
        <f>IF(Y837="","",(Y837-AVERAGE(Y6:Y1198))/(STDEV(Y6:Y1198)+1E-12))</f>
        <v/>
      </c>
    </row>
    <row r="838">
      <c r="A838" t="inlineStr">
        <is>
          <t>BBG000H1RYG7</t>
        </is>
      </c>
      <c r="B838" s="3">
        <f>IF('3a Raw'!C838="","",MAX(-3,MIN(3,('3a Raw'!C838-$B3)/$B4)))</f>
        <v/>
      </c>
      <c r="C838" s="3">
        <f>IF(B838="","",(B838-AVERAGE(B6:B1198))/(STDEV(B6:B1198)+1E-12))</f>
        <v/>
      </c>
      <c r="D838" s="3">
        <f>IF('3a Raw'!D838="","",MAX(-3,MIN(3,('3a Raw'!D838-$D3)/$D4)))</f>
        <v/>
      </c>
      <c r="E838" s="3">
        <f>IF(D838="","",(D838-AVERAGE(D6:D1198))/(STDEV(D6:D1198)+1E-12))</f>
        <v/>
      </c>
      <c r="F838" s="3">
        <f>IF('3a Raw'!E838="","",MAX(-3,MIN(3,('3a Raw'!E838-$F3)/$F4)))</f>
        <v/>
      </c>
      <c r="G838" s="3">
        <f>IF(F838="","",(F838-AVERAGE(F6:F1198))/(STDEV(F6:F1198)+1E-12))</f>
        <v/>
      </c>
      <c r="H838" s="3">
        <f>IF('3a Raw'!F838="","",MAX(-3,MIN(3,('3a Raw'!F838-$H3)/$H4)))</f>
        <v/>
      </c>
      <c r="I838" s="3">
        <f>IF(H838="","",(H838-AVERAGE(H6:H1198))/(STDEV(H6:H1198)+1E-12))</f>
        <v/>
      </c>
      <c r="J838" s="3">
        <f>IF('3a Raw'!G838="","",MAX(-3,MIN(3,('3a Raw'!G838-$J3)/$J4)))</f>
        <v/>
      </c>
      <c r="K838" s="3">
        <f>IF(J838="","",(J838-AVERAGE(J6:J1198))/(STDEV(J6:J1198)+1E-12))</f>
        <v/>
      </c>
      <c r="L838" s="3">
        <f>IF('3a Raw'!H838="","",MAX(-3,MIN(3,('3a Raw'!H838-$L3)/$L4)))</f>
        <v/>
      </c>
      <c r="M838" s="3">
        <f>IF(L838="","",(L838-AVERAGE(L6:L1198))/(STDEV(L6:L1198)+1E-12))</f>
        <v/>
      </c>
      <c r="N838" s="3">
        <f>IF('3a Raw'!I838="","",MAX(-3,MIN(3,('3a Raw'!I838-$N3)/$N4)))</f>
        <v/>
      </c>
      <c r="O838" s="3">
        <f>IF(N838="","",(N838-AVERAGE(N6:N1198))/(STDEV(N6:N1198)+1E-12))</f>
        <v/>
      </c>
      <c r="P838" s="3">
        <f>IF('3a Raw'!J838="","",MAX(-3,MIN(3,('3a Raw'!J838-$P3)/$P4)))</f>
        <v/>
      </c>
      <c r="Q838" s="3">
        <f>IF(P838="","",(P838-AVERAGE(P6:P1198))/(STDEV(P6:P1198)+1E-12))</f>
        <v/>
      </c>
      <c r="R838" s="3">
        <f>IF('3a Raw'!K838="","",MAX(-3,MIN(3,('3a Raw'!K838-$R3)/$R4)))</f>
        <v/>
      </c>
      <c r="S838" s="3">
        <f>IF(R838="","",(R838-AVERAGE(R6:R1198))/(STDEV(R6:R1198)+1E-12))</f>
        <v/>
      </c>
      <c r="T838" s="3">
        <f>IF('3a Raw'!L838="","",MAX(-3,MIN(3,('3a Raw'!L838-$T3)/$T4)))</f>
        <v/>
      </c>
      <c r="U838" s="3">
        <f>IF(T838="","",(T838-AVERAGE(T6:T1198))/(STDEV(T6:T1198)+1E-12))</f>
        <v/>
      </c>
      <c r="X838" s="3">
        <f>IF(U838="","",U838-($V$3*G838+$W$3))</f>
        <v/>
      </c>
      <c r="Y838" s="3">
        <f>IF(X838="","",MAX(-3,MIN(3,(X838-$X3)/$X4)))</f>
        <v/>
      </c>
      <c r="Z838" s="3">
        <f>IF(Y838="","",(Y838-AVERAGE(Y6:Y1198))/(STDEV(Y6:Y1198)+1E-12))</f>
        <v/>
      </c>
    </row>
    <row r="839">
      <c r="A839" t="inlineStr">
        <is>
          <t>BBG001BP92V1</t>
        </is>
      </c>
      <c r="B839" s="3">
        <f>IF('3a Raw'!C839="","",MAX(-3,MIN(3,('3a Raw'!C839-$B3)/$B4)))</f>
        <v/>
      </c>
      <c r="C839" s="3">
        <f>IF(B839="","",(B839-AVERAGE(B6:B1198))/(STDEV(B6:B1198)+1E-12))</f>
        <v/>
      </c>
      <c r="D839" s="3">
        <f>IF('3a Raw'!D839="","",MAX(-3,MIN(3,('3a Raw'!D839-$D3)/$D4)))</f>
        <v/>
      </c>
      <c r="E839" s="3">
        <f>IF(D839="","",(D839-AVERAGE(D6:D1198))/(STDEV(D6:D1198)+1E-12))</f>
        <v/>
      </c>
      <c r="F839" s="3">
        <f>IF('3a Raw'!E839="","",MAX(-3,MIN(3,('3a Raw'!E839-$F3)/$F4)))</f>
        <v/>
      </c>
      <c r="G839" s="3">
        <f>IF(F839="","",(F839-AVERAGE(F6:F1198))/(STDEV(F6:F1198)+1E-12))</f>
        <v/>
      </c>
      <c r="H839" s="3">
        <f>IF('3a Raw'!F839="","",MAX(-3,MIN(3,('3a Raw'!F839-$H3)/$H4)))</f>
        <v/>
      </c>
      <c r="I839" s="3">
        <f>IF(H839="","",(H839-AVERAGE(H6:H1198))/(STDEV(H6:H1198)+1E-12))</f>
        <v/>
      </c>
      <c r="J839" s="3">
        <f>IF('3a Raw'!G839="","",MAX(-3,MIN(3,('3a Raw'!G839-$J3)/$J4)))</f>
        <v/>
      </c>
      <c r="K839" s="3">
        <f>IF(J839="","",(J839-AVERAGE(J6:J1198))/(STDEV(J6:J1198)+1E-12))</f>
        <v/>
      </c>
      <c r="L839" s="3">
        <f>IF('3a Raw'!H839="","",MAX(-3,MIN(3,('3a Raw'!H839-$L3)/$L4)))</f>
        <v/>
      </c>
      <c r="M839" s="3">
        <f>IF(L839="","",(L839-AVERAGE(L6:L1198))/(STDEV(L6:L1198)+1E-12))</f>
        <v/>
      </c>
      <c r="N839" s="3">
        <f>IF('3a Raw'!I839="","",MAX(-3,MIN(3,('3a Raw'!I839-$N3)/$N4)))</f>
        <v/>
      </c>
      <c r="O839" s="3">
        <f>IF(N839="","",(N839-AVERAGE(N6:N1198))/(STDEV(N6:N1198)+1E-12))</f>
        <v/>
      </c>
      <c r="P839" s="3">
        <f>IF('3a Raw'!J839="","",MAX(-3,MIN(3,('3a Raw'!J839-$P3)/$P4)))</f>
        <v/>
      </c>
      <c r="Q839" s="3">
        <f>IF(P839="","",(P839-AVERAGE(P6:P1198))/(STDEV(P6:P1198)+1E-12))</f>
        <v/>
      </c>
      <c r="R839" s="3">
        <f>IF('3a Raw'!K839="","",MAX(-3,MIN(3,('3a Raw'!K839-$R3)/$R4)))</f>
        <v/>
      </c>
      <c r="S839" s="3">
        <f>IF(R839="","",(R839-AVERAGE(R6:R1198))/(STDEV(R6:R1198)+1E-12))</f>
        <v/>
      </c>
      <c r="T839" s="3">
        <f>IF('3a Raw'!L839="","",MAX(-3,MIN(3,('3a Raw'!L839-$T3)/$T4)))</f>
        <v/>
      </c>
      <c r="U839" s="3">
        <f>IF(T839="","",(T839-AVERAGE(T6:T1198))/(STDEV(T6:T1198)+1E-12))</f>
        <v/>
      </c>
      <c r="X839" s="3">
        <f>IF(U839="","",U839-($V$3*G839+$W$3))</f>
        <v/>
      </c>
      <c r="Y839" s="3">
        <f>IF(X839="","",MAX(-3,MIN(3,(X839-$X3)/$X4)))</f>
        <v/>
      </c>
      <c r="Z839" s="3">
        <f>IF(Y839="","",(Y839-AVERAGE(Y6:Y1198))/(STDEV(Y6:Y1198)+1E-12))</f>
        <v/>
      </c>
    </row>
    <row r="840">
      <c r="A840" t="inlineStr">
        <is>
          <t>BBG000CDZLV8</t>
        </is>
      </c>
      <c r="B840" s="3">
        <f>IF('3a Raw'!C840="","",MAX(-3,MIN(3,('3a Raw'!C840-$B3)/$B4)))</f>
        <v/>
      </c>
      <c r="C840" s="3">
        <f>IF(B840="","",(B840-AVERAGE(B6:B1198))/(STDEV(B6:B1198)+1E-12))</f>
        <v/>
      </c>
      <c r="D840" s="3">
        <f>IF('3a Raw'!D840="","",MAX(-3,MIN(3,('3a Raw'!D840-$D3)/$D4)))</f>
        <v/>
      </c>
      <c r="E840" s="3">
        <f>IF(D840="","",(D840-AVERAGE(D6:D1198))/(STDEV(D6:D1198)+1E-12))</f>
        <v/>
      </c>
      <c r="F840" s="3">
        <f>IF('3a Raw'!E840="","",MAX(-3,MIN(3,('3a Raw'!E840-$F3)/$F4)))</f>
        <v/>
      </c>
      <c r="G840" s="3">
        <f>IF(F840="","",(F840-AVERAGE(F6:F1198))/(STDEV(F6:F1198)+1E-12))</f>
        <v/>
      </c>
      <c r="H840" s="3">
        <f>IF('3a Raw'!F840="","",MAX(-3,MIN(3,('3a Raw'!F840-$H3)/$H4)))</f>
        <v/>
      </c>
      <c r="I840" s="3">
        <f>IF(H840="","",(H840-AVERAGE(H6:H1198))/(STDEV(H6:H1198)+1E-12))</f>
        <v/>
      </c>
      <c r="J840" s="3">
        <f>IF('3a Raw'!G840="","",MAX(-3,MIN(3,('3a Raw'!G840-$J3)/$J4)))</f>
        <v/>
      </c>
      <c r="K840" s="3">
        <f>IF(J840="","",(J840-AVERAGE(J6:J1198))/(STDEV(J6:J1198)+1E-12))</f>
        <v/>
      </c>
      <c r="L840" s="3">
        <f>IF('3a Raw'!H840="","",MAX(-3,MIN(3,('3a Raw'!H840-$L3)/$L4)))</f>
        <v/>
      </c>
      <c r="M840" s="3">
        <f>IF(L840="","",(L840-AVERAGE(L6:L1198))/(STDEV(L6:L1198)+1E-12))</f>
        <v/>
      </c>
      <c r="N840" s="3">
        <f>IF('3a Raw'!I840="","",MAX(-3,MIN(3,('3a Raw'!I840-$N3)/$N4)))</f>
        <v/>
      </c>
      <c r="O840" s="3">
        <f>IF(N840="","",(N840-AVERAGE(N6:N1198))/(STDEV(N6:N1198)+1E-12))</f>
        <v/>
      </c>
      <c r="P840" s="3">
        <f>IF('3a Raw'!J840="","",MAX(-3,MIN(3,('3a Raw'!J840-$P3)/$P4)))</f>
        <v/>
      </c>
      <c r="Q840" s="3">
        <f>IF(P840="","",(P840-AVERAGE(P6:P1198))/(STDEV(P6:P1198)+1E-12))</f>
        <v/>
      </c>
      <c r="R840" s="3">
        <f>IF('3a Raw'!K840="","",MAX(-3,MIN(3,('3a Raw'!K840-$R3)/$R4)))</f>
        <v/>
      </c>
      <c r="S840" s="3">
        <f>IF(R840="","",(R840-AVERAGE(R6:R1198))/(STDEV(R6:R1198)+1E-12))</f>
        <v/>
      </c>
      <c r="T840" s="3">
        <f>IF('3a Raw'!L840="","",MAX(-3,MIN(3,('3a Raw'!L840-$T3)/$T4)))</f>
        <v/>
      </c>
      <c r="U840" s="3">
        <f>IF(T840="","",(T840-AVERAGE(T6:T1198))/(STDEV(T6:T1198)+1E-12))</f>
        <v/>
      </c>
      <c r="X840" s="3">
        <f>IF(U840="","",U840-($V$3*G840+$W$3))</f>
        <v/>
      </c>
      <c r="Y840" s="3">
        <f>IF(X840="","",MAX(-3,MIN(3,(X840-$X3)/$X4)))</f>
        <v/>
      </c>
      <c r="Z840" s="3">
        <f>IF(Y840="","",(Y840-AVERAGE(Y6:Y1198))/(STDEV(Y6:Y1198)+1E-12))</f>
        <v/>
      </c>
    </row>
    <row r="841">
      <c r="A841" t="inlineStr">
        <is>
          <t>BBG000DH7JK6</t>
        </is>
      </c>
      <c r="B841" s="3">
        <f>IF('3a Raw'!C841="","",MAX(-3,MIN(3,('3a Raw'!C841-$B3)/$B4)))</f>
        <v/>
      </c>
      <c r="C841" s="3">
        <f>IF(B841="","",(B841-AVERAGE(B6:B1198))/(STDEV(B6:B1198)+1E-12))</f>
        <v/>
      </c>
      <c r="D841" s="3">
        <f>IF('3a Raw'!D841="","",MAX(-3,MIN(3,('3a Raw'!D841-$D3)/$D4)))</f>
        <v/>
      </c>
      <c r="E841" s="3">
        <f>IF(D841="","",(D841-AVERAGE(D6:D1198))/(STDEV(D6:D1198)+1E-12))</f>
        <v/>
      </c>
      <c r="F841" s="3">
        <f>IF('3a Raw'!E841="","",MAX(-3,MIN(3,('3a Raw'!E841-$F3)/$F4)))</f>
        <v/>
      </c>
      <c r="G841" s="3">
        <f>IF(F841="","",(F841-AVERAGE(F6:F1198))/(STDEV(F6:F1198)+1E-12))</f>
        <v/>
      </c>
      <c r="H841" s="3">
        <f>IF('3a Raw'!F841="","",MAX(-3,MIN(3,('3a Raw'!F841-$H3)/$H4)))</f>
        <v/>
      </c>
      <c r="I841" s="3">
        <f>IF(H841="","",(H841-AVERAGE(H6:H1198))/(STDEV(H6:H1198)+1E-12))</f>
        <v/>
      </c>
      <c r="J841" s="3">
        <f>IF('3a Raw'!G841="","",MAX(-3,MIN(3,('3a Raw'!G841-$J3)/$J4)))</f>
        <v/>
      </c>
      <c r="K841" s="3">
        <f>IF(J841="","",(J841-AVERAGE(J6:J1198))/(STDEV(J6:J1198)+1E-12))</f>
        <v/>
      </c>
      <c r="L841" s="3">
        <f>IF('3a Raw'!H841="","",MAX(-3,MIN(3,('3a Raw'!H841-$L3)/$L4)))</f>
        <v/>
      </c>
      <c r="M841" s="3">
        <f>IF(L841="","",(L841-AVERAGE(L6:L1198))/(STDEV(L6:L1198)+1E-12))</f>
        <v/>
      </c>
      <c r="N841" s="3">
        <f>IF('3a Raw'!I841="","",MAX(-3,MIN(3,('3a Raw'!I841-$N3)/$N4)))</f>
        <v/>
      </c>
      <c r="O841" s="3">
        <f>IF(N841="","",(N841-AVERAGE(N6:N1198))/(STDEV(N6:N1198)+1E-12))</f>
        <v/>
      </c>
      <c r="P841" s="3">
        <f>IF('3a Raw'!J841="","",MAX(-3,MIN(3,('3a Raw'!J841-$P3)/$P4)))</f>
        <v/>
      </c>
      <c r="Q841" s="3">
        <f>IF(P841="","",(P841-AVERAGE(P6:P1198))/(STDEV(P6:P1198)+1E-12))</f>
        <v/>
      </c>
      <c r="R841" s="3">
        <f>IF('3a Raw'!K841="","",MAX(-3,MIN(3,('3a Raw'!K841-$R3)/$R4)))</f>
        <v/>
      </c>
      <c r="S841" s="3">
        <f>IF(R841="","",(R841-AVERAGE(R6:R1198))/(STDEV(R6:R1198)+1E-12))</f>
        <v/>
      </c>
      <c r="T841" s="3">
        <f>IF('3a Raw'!L841="","",MAX(-3,MIN(3,('3a Raw'!L841-$T3)/$T4)))</f>
        <v/>
      </c>
      <c r="U841" s="3">
        <f>IF(T841="","",(T841-AVERAGE(T6:T1198))/(STDEV(T6:T1198)+1E-12))</f>
        <v/>
      </c>
      <c r="X841" s="3">
        <f>IF(U841="","",U841-($V$3*G841+$W$3))</f>
        <v/>
      </c>
      <c r="Y841" s="3">
        <f>IF(X841="","",MAX(-3,MIN(3,(X841-$X3)/$X4)))</f>
        <v/>
      </c>
      <c r="Z841" s="3">
        <f>IF(Y841="","",(Y841-AVERAGE(Y6:Y1198))/(STDEV(Y6:Y1198)+1E-12))</f>
        <v/>
      </c>
    </row>
    <row r="842">
      <c r="A842" t="inlineStr">
        <is>
          <t>BBG000BR2B91</t>
        </is>
      </c>
      <c r="B842" s="3">
        <f>IF('3a Raw'!C842="","",MAX(-3,MIN(3,('3a Raw'!C842-$B3)/$B4)))</f>
        <v/>
      </c>
      <c r="C842" s="3">
        <f>IF(B842="","",(B842-AVERAGE(B6:B1198))/(STDEV(B6:B1198)+1E-12))</f>
        <v/>
      </c>
      <c r="D842" s="3">
        <f>IF('3a Raw'!D842="","",MAX(-3,MIN(3,('3a Raw'!D842-$D3)/$D4)))</f>
        <v/>
      </c>
      <c r="E842" s="3">
        <f>IF(D842="","",(D842-AVERAGE(D6:D1198))/(STDEV(D6:D1198)+1E-12))</f>
        <v/>
      </c>
      <c r="F842" s="3">
        <f>IF('3a Raw'!E842="","",MAX(-3,MIN(3,('3a Raw'!E842-$F3)/$F4)))</f>
        <v/>
      </c>
      <c r="G842" s="3">
        <f>IF(F842="","",(F842-AVERAGE(F6:F1198))/(STDEV(F6:F1198)+1E-12))</f>
        <v/>
      </c>
      <c r="H842" s="3">
        <f>IF('3a Raw'!F842="","",MAX(-3,MIN(3,('3a Raw'!F842-$H3)/$H4)))</f>
        <v/>
      </c>
      <c r="I842" s="3">
        <f>IF(H842="","",(H842-AVERAGE(H6:H1198))/(STDEV(H6:H1198)+1E-12))</f>
        <v/>
      </c>
      <c r="J842" s="3">
        <f>IF('3a Raw'!G842="","",MAX(-3,MIN(3,('3a Raw'!G842-$J3)/$J4)))</f>
        <v/>
      </c>
      <c r="K842" s="3">
        <f>IF(J842="","",(J842-AVERAGE(J6:J1198))/(STDEV(J6:J1198)+1E-12))</f>
        <v/>
      </c>
      <c r="L842" s="3">
        <f>IF('3a Raw'!H842="","",MAX(-3,MIN(3,('3a Raw'!H842-$L3)/$L4)))</f>
        <v/>
      </c>
      <c r="M842" s="3">
        <f>IF(L842="","",(L842-AVERAGE(L6:L1198))/(STDEV(L6:L1198)+1E-12))</f>
        <v/>
      </c>
      <c r="N842" s="3">
        <f>IF('3a Raw'!I842="","",MAX(-3,MIN(3,('3a Raw'!I842-$N3)/$N4)))</f>
        <v/>
      </c>
      <c r="O842" s="3">
        <f>IF(N842="","",(N842-AVERAGE(N6:N1198))/(STDEV(N6:N1198)+1E-12))</f>
        <v/>
      </c>
      <c r="P842" s="3">
        <f>IF('3a Raw'!J842="","",MAX(-3,MIN(3,('3a Raw'!J842-$P3)/$P4)))</f>
        <v/>
      </c>
      <c r="Q842" s="3">
        <f>IF(P842="","",(P842-AVERAGE(P6:P1198))/(STDEV(P6:P1198)+1E-12))</f>
        <v/>
      </c>
      <c r="R842" s="3">
        <f>IF('3a Raw'!K842="","",MAX(-3,MIN(3,('3a Raw'!K842-$R3)/$R4)))</f>
        <v/>
      </c>
      <c r="S842" s="3">
        <f>IF(R842="","",(R842-AVERAGE(R6:R1198))/(STDEV(R6:R1198)+1E-12))</f>
        <v/>
      </c>
      <c r="T842" s="3">
        <f>IF('3a Raw'!L842="","",MAX(-3,MIN(3,('3a Raw'!L842-$T3)/$T4)))</f>
        <v/>
      </c>
      <c r="U842" s="3">
        <f>IF(T842="","",(T842-AVERAGE(T6:T1198))/(STDEV(T6:T1198)+1E-12))</f>
        <v/>
      </c>
      <c r="X842" s="3">
        <f>IF(U842="","",U842-($V$3*G842+$W$3))</f>
        <v/>
      </c>
      <c r="Y842" s="3">
        <f>IF(X842="","",MAX(-3,MIN(3,(X842-$X3)/$X4)))</f>
        <v/>
      </c>
      <c r="Z842" s="3">
        <f>IF(Y842="","",(Y842-AVERAGE(Y6:Y1198))/(STDEV(Y6:Y1198)+1E-12))</f>
        <v/>
      </c>
    </row>
    <row r="843">
      <c r="A843" t="inlineStr">
        <is>
          <t>pfg</t>
        </is>
      </c>
      <c r="B843" s="3">
        <f>IF('3a Raw'!C843="","",MAX(-3,MIN(3,('3a Raw'!C843-$B3)/$B4)))</f>
        <v/>
      </c>
      <c r="C843" s="3">
        <f>IF(B843="","",(B843-AVERAGE(B6:B1198))/(STDEV(B6:B1198)+1E-12))</f>
        <v/>
      </c>
      <c r="D843" s="3">
        <f>IF('3a Raw'!D843="","",MAX(-3,MIN(3,('3a Raw'!D843-$D3)/$D4)))</f>
        <v/>
      </c>
      <c r="E843" s="3">
        <f>IF(D843="","",(D843-AVERAGE(D6:D1198))/(STDEV(D6:D1198)+1E-12))</f>
        <v/>
      </c>
      <c r="F843" s="3">
        <f>IF('3a Raw'!E843="","",MAX(-3,MIN(3,('3a Raw'!E843-$F3)/$F4)))</f>
        <v/>
      </c>
      <c r="G843" s="3">
        <f>IF(F843="","",(F843-AVERAGE(F6:F1198))/(STDEV(F6:F1198)+1E-12))</f>
        <v/>
      </c>
      <c r="H843" s="3">
        <f>IF('3a Raw'!F843="","",MAX(-3,MIN(3,('3a Raw'!F843-$H3)/$H4)))</f>
        <v/>
      </c>
      <c r="I843" s="3">
        <f>IF(H843="","",(H843-AVERAGE(H6:H1198))/(STDEV(H6:H1198)+1E-12))</f>
        <v/>
      </c>
      <c r="J843" s="3">
        <f>IF('3a Raw'!G843="","",MAX(-3,MIN(3,('3a Raw'!G843-$J3)/$J4)))</f>
        <v/>
      </c>
      <c r="K843" s="3">
        <f>IF(J843="","",(J843-AVERAGE(J6:J1198))/(STDEV(J6:J1198)+1E-12))</f>
        <v/>
      </c>
      <c r="L843" s="3">
        <f>IF('3a Raw'!H843="","",MAX(-3,MIN(3,('3a Raw'!H843-$L3)/$L4)))</f>
        <v/>
      </c>
      <c r="M843" s="3">
        <f>IF(L843="","",(L843-AVERAGE(L6:L1198))/(STDEV(L6:L1198)+1E-12))</f>
        <v/>
      </c>
      <c r="N843" s="3">
        <f>IF('3a Raw'!I843="","",MAX(-3,MIN(3,('3a Raw'!I843-$N3)/$N4)))</f>
        <v/>
      </c>
      <c r="O843" s="3">
        <f>IF(N843="","",(N843-AVERAGE(N6:N1198))/(STDEV(N6:N1198)+1E-12))</f>
        <v/>
      </c>
      <c r="P843" s="3">
        <f>IF('3a Raw'!J843="","",MAX(-3,MIN(3,('3a Raw'!J843-$P3)/$P4)))</f>
        <v/>
      </c>
      <c r="Q843" s="3">
        <f>IF(P843="","",(P843-AVERAGE(P6:P1198))/(STDEV(P6:P1198)+1E-12))</f>
        <v/>
      </c>
      <c r="R843" s="3">
        <f>IF('3a Raw'!K843="","",MAX(-3,MIN(3,('3a Raw'!K843-$R3)/$R4)))</f>
        <v/>
      </c>
      <c r="S843" s="3">
        <f>IF(R843="","",(R843-AVERAGE(R6:R1198))/(STDEV(R6:R1198)+1E-12))</f>
        <v/>
      </c>
      <c r="T843" s="3">
        <f>IF('3a Raw'!L843="","",MAX(-3,MIN(3,('3a Raw'!L843-$T3)/$T4)))</f>
        <v/>
      </c>
      <c r="U843" s="3">
        <f>IF(T843="","",(T843-AVERAGE(T6:T1198))/(STDEV(T6:T1198)+1E-12))</f>
        <v/>
      </c>
      <c r="X843" s="3">
        <f>IF(U843="","",U843-($V$3*G843+$W$3))</f>
        <v/>
      </c>
      <c r="Y843" s="3">
        <f>IF(X843="","",MAX(-3,MIN(3,(X843-$X3)/$X4)))</f>
        <v/>
      </c>
      <c r="Z843" s="3">
        <f>IF(Y843="","",(Y843-AVERAGE(Y6:Y1198))/(STDEV(Y6:Y1198)+1E-12))</f>
        <v/>
      </c>
    </row>
    <row r="844">
      <c r="A844" t="inlineStr">
        <is>
          <t>BBG001LV74X3</t>
        </is>
      </c>
      <c r="B844" s="3">
        <f>IF('3a Raw'!C844="","",MAX(-3,MIN(3,('3a Raw'!C844-$B3)/$B4)))</f>
        <v/>
      </c>
      <c r="C844" s="3">
        <f>IF(B844="","",(B844-AVERAGE(B6:B1198))/(STDEV(B6:B1198)+1E-12))</f>
        <v/>
      </c>
      <c r="D844" s="3">
        <f>IF('3a Raw'!D844="","",MAX(-3,MIN(3,('3a Raw'!D844-$D3)/$D4)))</f>
        <v/>
      </c>
      <c r="E844" s="3">
        <f>IF(D844="","",(D844-AVERAGE(D6:D1198))/(STDEV(D6:D1198)+1E-12))</f>
        <v/>
      </c>
      <c r="F844" s="3">
        <f>IF('3a Raw'!E844="","",MAX(-3,MIN(3,('3a Raw'!E844-$F3)/$F4)))</f>
        <v/>
      </c>
      <c r="G844" s="3">
        <f>IF(F844="","",(F844-AVERAGE(F6:F1198))/(STDEV(F6:F1198)+1E-12))</f>
        <v/>
      </c>
      <c r="H844" s="3">
        <f>IF('3a Raw'!F844="","",MAX(-3,MIN(3,('3a Raw'!F844-$H3)/$H4)))</f>
        <v/>
      </c>
      <c r="I844" s="3">
        <f>IF(H844="","",(H844-AVERAGE(H6:H1198))/(STDEV(H6:H1198)+1E-12))</f>
        <v/>
      </c>
      <c r="J844" s="3">
        <f>IF('3a Raw'!G844="","",MAX(-3,MIN(3,('3a Raw'!G844-$J3)/$J4)))</f>
        <v/>
      </c>
      <c r="K844" s="3">
        <f>IF(J844="","",(J844-AVERAGE(J6:J1198))/(STDEV(J6:J1198)+1E-12))</f>
        <v/>
      </c>
      <c r="L844" s="3">
        <f>IF('3a Raw'!H844="","",MAX(-3,MIN(3,('3a Raw'!H844-$L3)/$L4)))</f>
        <v/>
      </c>
      <c r="M844" s="3">
        <f>IF(L844="","",(L844-AVERAGE(L6:L1198))/(STDEV(L6:L1198)+1E-12))</f>
        <v/>
      </c>
      <c r="N844" s="3">
        <f>IF('3a Raw'!I844="","",MAX(-3,MIN(3,('3a Raw'!I844-$N3)/$N4)))</f>
        <v/>
      </c>
      <c r="O844" s="3">
        <f>IF(N844="","",(N844-AVERAGE(N6:N1198))/(STDEV(N6:N1198)+1E-12))</f>
        <v/>
      </c>
      <c r="P844" s="3">
        <f>IF('3a Raw'!J844="","",MAX(-3,MIN(3,('3a Raw'!J844-$P3)/$P4)))</f>
        <v/>
      </c>
      <c r="Q844" s="3">
        <f>IF(P844="","",(P844-AVERAGE(P6:P1198))/(STDEV(P6:P1198)+1E-12))</f>
        <v/>
      </c>
      <c r="R844" s="3">
        <f>IF('3a Raw'!K844="","",MAX(-3,MIN(3,('3a Raw'!K844-$R3)/$R4)))</f>
        <v/>
      </c>
      <c r="S844" s="3">
        <f>IF(R844="","",(R844-AVERAGE(R6:R1198))/(STDEV(R6:R1198)+1E-12))</f>
        <v/>
      </c>
      <c r="T844" s="3">
        <f>IF('3a Raw'!L844="","",MAX(-3,MIN(3,('3a Raw'!L844-$T3)/$T4)))</f>
        <v/>
      </c>
      <c r="U844" s="3">
        <f>IF(T844="","",(T844-AVERAGE(T6:T1198))/(STDEV(T6:T1198)+1E-12))</f>
        <v/>
      </c>
      <c r="X844" s="3">
        <f>IF(U844="","",U844-($V$3*G844+$W$3))</f>
        <v/>
      </c>
      <c r="Y844" s="3">
        <f>IF(X844="","",MAX(-3,MIN(3,(X844-$X3)/$X4)))</f>
        <v/>
      </c>
      <c r="Z844" s="3">
        <f>IF(Y844="","",(Y844-AVERAGE(Y6:Y1198))/(STDEV(Y6:Y1198)+1E-12))</f>
        <v/>
      </c>
    </row>
    <row r="845">
      <c r="A845" t="inlineStr">
        <is>
          <t>BBG00LMYX123</t>
        </is>
      </c>
      <c r="B845" s="3">
        <f>IF('3a Raw'!C845="","",MAX(-3,MIN(3,('3a Raw'!C845-$B3)/$B4)))</f>
        <v/>
      </c>
      <c r="C845" s="3">
        <f>IF(B845="","",(B845-AVERAGE(B6:B1198))/(STDEV(B6:B1198)+1E-12))</f>
        <v/>
      </c>
      <c r="D845" s="3">
        <f>IF('3a Raw'!D845="","",MAX(-3,MIN(3,('3a Raw'!D845-$D3)/$D4)))</f>
        <v/>
      </c>
      <c r="E845" s="3">
        <f>IF(D845="","",(D845-AVERAGE(D6:D1198))/(STDEV(D6:D1198)+1E-12))</f>
        <v/>
      </c>
      <c r="F845" s="3">
        <f>IF('3a Raw'!E845="","",MAX(-3,MIN(3,('3a Raw'!E845-$F3)/$F4)))</f>
        <v/>
      </c>
      <c r="G845" s="3">
        <f>IF(F845="","",(F845-AVERAGE(F6:F1198))/(STDEV(F6:F1198)+1E-12))</f>
        <v/>
      </c>
      <c r="H845" s="3">
        <f>IF('3a Raw'!F845="","",MAX(-3,MIN(3,('3a Raw'!F845-$H3)/$H4)))</f>
        <v/>
      </c>
      <c r="I845" s="3">
        <f>IF(H845="","",(H845-AVERAGE(H6:H1198))/(STDEV(H6:H1198)+1E-12))</f>
        <v/>
      </c>
      <c r="J845" s="3">
        <f>IF('3a Raw'!G845="","",MAX(-3,MIN(3,('3a Raw'!G845-$J3)/$J4)))</f>
        <v/>
      </c>
      <c r="K845" s="3">
        <f>IF(J845="","",(J845-AVERAGE(J6:J1198))/(STDEV(J6:J1198)+1E-12))</f>
        <v/>
      </c>
      <c r="L845" s="3">
        <f>IF('3a Raw'!H845="","",MAX(-3,MIN(3,('3a Raw'!H845-$L3)/$L4)))</f>
        <v/>
      </c>
      <c r="M845" s="3">
        <f>IF(L845="","",(L845-AVERAGE(L6:L1198))/(STDEV(L6:L1198)+1E-12))</f>
        <v/>
      </c>
      <c r="N845" s="3">
        <f>IF('3a Raw'!I845="","",MAX(-3,MIN(3,('3a Raw'!I845-$N3)/$N4)))</f>
        <v/>
      </c>
      <c r="O845" s="3">
        <f>IF(N845="","",(N845-AVERAGE(N6:N1198))/(STDEV(N6:N1198)+1E-12))</f>
        <v/>
      </c>
      <c r="P845" s="3">
        <f>IF('3a Raw'!J845="","",MAX(-3,MIN(3,('3a Raw'!J845-$P3)/$P4)))</f>
        <v/>
      </c>
      <c r="Q845" s="3">
        <f>IF(P845="","",(P845-AVERAGE(P6:P1198))/(STDEV(P6:P1198)+1E-12))</f>
        <v/>
      </c>
      <c r="R845" s="3">
        <f>IF('3a Raw'!K845="","",MAX(-3,MIN(3,('3a Raw'!K845-$R3)/$R4)))</f>
        <v/>
      </c>
      <c r="S845" s="3">
        <f>IF(R845="","",(R845-AVERAGE(R6:R1198))/(STDEV(R6:R1198)+1E-12))</f>
        <v/>
      </c>
      <c r="T845" s="3">
        <f>IF('3a Raw'!L845="","",MAX(-3,MIN(3,('3a Raw'!L845-$T3)/$T4)))</f>
        <v/>
      </c>
      <c r="U845" s="3">
        <f>IF(T845="","",(T845-AVERAGE(T6:T1198))/(STDEV(T6:T1198)+1E-12))</f>
        <v/>
      </c>
      <c r="X845" s="3">
        <f>IF(U845="","",U845-($V$3*G845+$W$3))</f>
        <v/>
      </c>
      <c r="Y845" s="3">
        <f>IF(X845="","",MAX(-3,MIN(3,(X845-$X3)/$X4)))</f>
        <v/>
      </c>
      <c r="Z845" s="3">
        <f>IF(Y845="","",(Y845-AVERAGE(Y6:Y1198))/(STDEV(Y6:Y1198)+1E-12))</f>
        <v/>
      </c>
    </row>
    <row r="846">
      <c r="A846" t="inlineStr">
        <is>
          <t>BBG000BR2TH3</t>
        </is>
      </c>
      <c r="B846" s="3">
        <f>IF('3a Raw'!C846="","",MAX(-3,MIN(3,('3a Raw'!C846-$B3)/$B4)))</f>
        <v/>
      </c>
      <c r="C846" s="3">
        <f>IF(B846="","",(B846-AVERAGE(B6:B1198))/(STDEV(B6:B1198)+1E-12))</f>
        <v/>
      </c>
      <c r="D846" s="3">
        <f>IF('3a Raw'!D846="","",MAX(-3,MIN(3,('3a Raw'!D846-$D3)/$D4)))</f>
        <v/>
      </c>
      <c r="E846" s="3">
        <f>IF(D846="","",(D846-AVERAGE(D6:D1198))/(STDEV(D6:D1198)+1E-12))</f>
        <v/>
      </c>
      <c r="F846" s="3">
        <f>IF('3a Raw'!E846="","",MAX(-3,MIN(3,('3a Raw'!E846-$F3)/$F4)))</f>
        <v/>
      </c>
      <c r="G846" s="3">
        <f>IF(F846="","",(F846-AVERAGE(F6:F1198))/(STDEV(F6:F1198)+1E-12))</f>
        <v/>
      </c>
      <c r="H846" s="3">
        <f>IF('3a Raw'!F846="","",MAX(-3,MIN(3,('3a Raw'!F846-$H3)/$H4)))</f>
        <v/>
      </c>
      <c r="I846" s="3">
        <f>IF(H846="","",(H846-AVERAGE(H6:H1198))/(STDEV(H6:H1198)+1E-12))</f>
        <v/>
      </c>
      <c r="J846" s="3">
        <f>IF('3a Raw'!G846="","",MAX(-3,MIN(3,('3a Raw'!G846-$J3)/$J4)))</f>
        <v/>
      </c>
      <c r="K846" s="3">
        <f>IF(J846="","",(J846-AVERAGE(J6:J1198))/(STDEV(J6:J1198)+1E-12))</f>
        <v/>
      </c>
      <c r="L846" s="3">
        <f>IF('3a Raw'!H846="","",MAX(-3,MIN(3,('3a Raw'!H846-$L3)/$L4)))</f>
        <v/>
      </c>
      <c r="M846" s="3">
        <f>IF(L846="","",(L846-AVERAGE(L6:L1198))/(STDEV(L6:L1198)+1E-12))</f>
        <v/>
      </c>
      <c r="N846" s="3">
        <f>IF('3a Raw'!I846="","",MAX(-3,MIN(3,('3a Raw'!I846-$N3)/$N4)))</f>
        <v/>
      </c>
      <c r="O846" s="3">
        <f>IF(N846="","",(N846-AVERAGE(N6:N1198))/(STDEV(N6:N1198)+1E-12))</f>
        <v/>
      </c>
      <c r="P846" s="3">
        <f>IF('3a Raw'!J846="","",MAX(-3,MIN(3,('3a Raw'!J846-$P3)/$P4)))</f>
        <v/>
      </c>
      <c r="Q846" s="3">
        <f>IF(P846="","",(P846-AVERAGE(P6:P1198))/(STDEV(P6:P1198)+1E-12))</f>
        <v/>
      </c>
      <c r="R846" s="3">
        <f>IF('3a Raw'!K846="","",MAX(-3,MIN(3,('3a Raw'!K846-$R3)/$R4)))</f>
        <v/>
      </c>
      <c r="S846" s="3">
        <f>IF(R846="","",(R846-AVERAGE(R6:R1198))/(STDEV(R6:R1198)+1E-12))</f>
        <v/>
      </c>
      <c r="T846" s="3">
        <f>IF('3a Raw'!L846="","",MAX(-3,MIN(3,('3a Raw'!L846-$T3)/$T4)))</f>
        <v/>
      </c>
      <c r="U846" s="3">
        <f>IF(T846="","",(T846-AVERAGE(T6:T1198))/(STDEV(T6:T1198)+1E-12))</f>
        <v/>
      </c>
      <c r="X846" s="3">
        <f>IF(U846="","",U846-($V$3*G846+$W$3))</f>
        <v/>
      </c>
      <c r="Y846" s="3">
        <f>IF(X846="","",MAX(-3,MIN(3,(X846-$X3)/$X4)))</f>
        <v/>
      </c>
      <c r="Z846" s="3">
        <f>IF(Y846="","",(Y846-AVERAGE(Y6:Y1198))/(STDEV(Y6:Y1198)+1E-12))</f>
        <v/>
      </c>
    </row>
    <row r="847">
      <c r="A847" t="inlineStr">
        <is>
          <t>BBG000BR37X2</t>
        </is>
      </c>
      <c r="B847" s="3">
        <f>IF('3a Raw'!C847="","",MAX(-3,MIN(3,('3a Raw'!C847-$B3)/$B4)))</f>
        <v/>
      </c>
      <c r="C847" s="3">
        <f>IF(B847="","",(B847-AVERAGE(B6:B1198))/(STDEV(B6:B1198)+1E-12))</f>
        <v/>
      </c>
      <c r="D847" s="3">
        <f>IF('3a Raw'!D847="","",MAX(-3,MIN(3,('3a Raw'!D847-$D3)/$D4)))</f>
        <v/>
      </c>
      <c r="E847" s="3">
        <f>IF(D847="","",(D847-AVERAGE(D6:D1198))/(STDEV(D6:D1198)+1E-12))</f>
        <v/>
      </c>
      <c r="F847" s="3">
        <f>IF('3a Raw'!E847="","",MAX(-3,MIN(3,('3a Raw'!E847-$F3)/$F4)))</f>
        <v/>
      </c>
      <c r="G847" s="3">
        <f>IF(F847="","",(F847-AVERAGE(F6:F1198))/(STDEV(F6:F1198)+1E-12))</f>
        <v/>
      </c>
      <c r="H847" s="3">
        <f>IF('3a Raw'!F847="","",MAX(-3,MIN(3,('3a Raw'!F847-$H3)/$H4)))</f>
        <v/>
      </c>
      <c r="I847" s="3">
        <f>IF(H847="","",(H847-AVERAGE(H6:H1198))/(STDEV(H6:H1198)+1E-12))</f>
        <v/>
      </c>
      <c r="J847" s="3">
        <f>IF('3a Raw'!G847="","",MAX(-3,MIN(3,('3a Raw'!G847-$J3)/$J4)))</f>
        <v/>
      </c>
      <c r="K847" s="3">
        <f>IF(J847="","",(J847-AVERAGE(J6:J1198))/(STDEV(J6:J1198)+1E-12))</f>
        <v/>
      </c>
      <c r="L847" s="3">
        <f>IF('3a Raw'!H847="","",MAX(-3,MIN(3,('3a Raw'!H847-$L3)/$L4)))</f>
        <v/>
      </c>
      <c r="M847" s="3">
        <f>IF(L847="","",(L847-AVERAGE(L6:L1198))/(STDEV(L6:L1198)+1E-12))</f>
        <v/>
      </c>
      <c r="N847" s="3">
        <f>IF('3a Raw'!I847="","",MAX(-3,MIN(3,('3a Raw'!I847-$N3)/$N4)))</f>
        <v/>
      </c>
      <c r="O847" s="3">
        <f>IF(N847="","",(N847-AVERAGE(N6:N1198))/(STDEV(N6:N1198)+1E-12))</f>
        <v/>
      </c>
      <c r="P847" s="3">
        <f>IF('3a Raw'!J847="","",MAX(-3,MIN(3,('3a Raw'!J847-$P3)/$P4)))</f>
        <v/>
      </c>
      <c r="Q847" s="3">
        <f>IF(P847="","",(P847-AVERAGE(P6:P1198))/(STDEV(P6:P1198)+1E-12))</f>
        <v/>
      </c>
      <c r="R847" s="3">
        <f>IF('3a Raw'!K847="","",MAX(-3,MIN(3,('3a Raw'!K847-$R3)/$R4)))</f>
        <v/>
      </c>
      <c r="S847" s="3">
        <f>IF(R847="","",(R847-AVERAGE(R6:R1198))/(STDEV(R6:R1198)+1E-12))</f>
        <v/>
      </c>
      <c r="T847" s="3">
        <f>IF('3a Raw'!L847="","",MAX(-3,MIN(3,('3a Raw'!L847-$T3)/$T4)))</f>
        <v/>
      </c>
      <c r="U847" s="3">
        <f>IF(T847="","",(T847-AVERAGE(T6:T1198))/(STDEV(T6:T1198)+1E-12))</f>
        <v/>
      </c>
      <c r="X847" s="3">
        <f>IF(U847="","",U847-($V$3*G847+$W$3))</f>
        <v/>
      </c>
      <c r="Y847" s="3">
        <f>IF(X847="","",MAX(-3,MIN(3,(X847-$X3)/$X4)))</f>
        <v/>
      </c>
      <c r="Z847" s="3">
        <f>IF(Y847="","",(Y847-AVERAGE(Y6:Y1198))/(STDEV(Y6:Y1198)+1E-12))</f>
        <v/>
      </c>
    </row>
    <row r="848">
      <c r="A848" t="inlineStr">
        <is>
          <t>ph</t>
        </is>
      </c>
      <c r="B848" s="3">
        <f>IF('3a Raw'!C848="","",MAX(-3,MIN(3,('3a Raw'!C848-$B3)/$B4)))</f>
        <v/>
      </c>
      <c r="C848" s="3">
        <f>IF(B848="","",(B848-AVERAGE(B6:B1198))/(STDEV(B6:B1198)+1E-12))</f>
        <v/>
      </c>
      <c r="D848" s="3">
        <f>IF('3a Raw'!D848="","",MAX(-3,MIN(3,('3a Raw'!D848-$D3)/$D4)))</f>
        <v/>
      </c>
      <c r="E848" s="3">
        <f>IF(D848="","",(D848-AVERAGE(D6:D1198))/(STDEV(D6:D1198)+1E-12))</f>
        <v/>
      </c>
      <c r="F848" s="3">
        <f>IF('3a Raw'!E848="","",MAX(-3,MIN(3,('3a Raw'!E848-$F3)/$F4)))</f>
        <v/>
      </c>
      <c r="G848" s="3">
        <f>IF(F848="","",(F848-AVERAGE(F6:F1198))/(STDEV(F6:F1198)+1E-12))</f>
        <v/>
      </c>
      <c r="H848" s="3">
        <f>IF('3a Raw'!F848="","",MAX(-3,MIN(3,('3a Raw'!F848-$H3)/$H4)))</f>
        <v/>
      </c>
      <c r="I848" s="3">
        <f>IF(H848="","",(H848-AVERAGE(H6:H1198))/(STDEV(H6:H1198)+1E-12))</f>
        <v/>
      </c>
      <c r="J848" s="3">
        <f>IF('3a Raw'!G848="","",MAX(-3,MIN(3,('3a Raw'!G848-$J3)/$J4)))</f>
        <v/>
      </c>
      <c r="K848" s="3">
        <f>IF(J848="","",(J848-AVERAGE(J6:J1198))/(STDEV(J6:J1198)+1E-12))</f>
        <v/>
      </c>
      <c r="L848" s="3">
        <f>IF('3a Raw'!H848="","",MAX(-3,MIN(3,('3a Raw'!H848-$L3)/$L4)))</f>
        <v/>
      </c>
      <c r="M848" s="3">
        <f>IF(L848="","",(L848-AVERAGE(L6:L1198))/(STDEV(L6:L1198)+1E-12))</f>
        <v/>
      </c>
      <c r="N848" s="3">
        <f>IF('3a Raw'!I848="","",MAX(-3,MIN(3,('3a Raw'!I848-$N3)/$N4)))</f>
        <v/>
      </c>
      <c r="O848" s="3">
        <f>IF(N848="","",(N848-AVERAGE(N6:N1198))/(STDEV(N6:N1198)+1E-12))</f>
        <v/>
      </c>
      <c r="P848" s="3">
        <f>IF('3a Raw'!J848="","",MAX(-3,MIN(3,('3a Raw'!J848-$P3)/$P4)))</f>
        <v/>
      </c>
      <c r="Q848" s="3">
        <f>IF(P848="","",(P848-AVERAGE(P6:P1198))/(STDEV(P6:P1198)+1E-12))</f>
        <v/>
      </c>
      <c r="R848" s="3">
        <f>IF('3a Raw'!K848="","",MAX(-3,MIN(3,('3a Raw'!K848-$R3)/$R4)))</f>
        <v/>
      </c>
      <c r="S848" s="3">
        <f>IF(R848="","",(R848-AVERAGE(R6:R1198))/(STDEV(R6:R1198)+1E-12))</f>
        <v/>
      </c>
      <c r="T848" s="3">
        <f>IF('3a Raw'!L848="","",MAX(-3,MIN(3,('3a Raw'!L848-$T3)/$T4)))</f>
        <v/>
      </c>
      <c r="U848" s="3">
        <f>IF(T848="","",(T848-AVERAGE(T6:T1198))/(STDEV(T6:T1198)+1E-12))</f>
        <v/>
      </c>
      <c r="X848" s="3">
        <f>IF(U848="","",U848-($V$3*G848+$W$3))</f>
        <v/>
      </c>
      <c r="Y848" s="3">
        <f>IF(X848="","",MAX(-3,MIN(3,(X848-$X3)/$X4)))</f>
        <v/>
      </c>
      <c r="Z848" s="3">
        <f>IF(Y848="","",(Y848-AVERAGE(Y6:Y1198))/(STDEV(Y6:Y1198)+1E-12))</f>
        <v/>
      </c>
    </row>
    <row r="849">
      <c r="A849" t="inlineStr">
        <is>
          <t>BBG000BR54L0</t>
        </is>
      </c>
      <c r="B849" s="3">
        <f>IF('3a Raw'!C849="","",MAX(-3,MIN(3,('3a Raw'!C849-$B3)/$B4)))</f>
        <v/>
      </c>
      <c r="C849" s="3">
        <f>IF(B849="","",(B849-AVERAGE(B6:B1198))/(STDEV(B6:B1198)+1E-12))</f>
        <v/>
      </c>
      <c r="D849" s="3">
        <f>IF('3a Raw'!D849="","",MAX(-3,MIN(3,('3a Raw'!D849-$D3)/$D4)))</f>
        <v/>
      </c>
      <c r="E849" s="3">
        <f>IF(D849="","",(D849-AVERAGE(D6:D1198))/(STDEV(D6:D1198)+1E-12))</f>
        <v/>
      </c>
      <c r="F849" s="3">
        <f>IF('3a Raw'!E849="","",MAX(-3,MIN(3,('3a Raw'!E849-$F3)/$F4)))</f>
        <v/>
      </c>
      <c r="G849" s="3">
        <f>IF(F849="","",(F849-AVERAGE(F6:F1198))/(STDEV(F6:F1198)+1E-12))</f>
        <v/>
      </c>
      <c r="H849" s="3">
        <f>IF('3a Raw'!F849="","",MAX(-3,MIN(3,('3a Raw'!F849-$H3)/$H4)))</f>
        <v/>
      </c>
      <c r="I849" s="3">
        <f>IF(H849="","",(H849-AVERAGE(H6:H1198))/(STDEV(H6:H1198)+1E-12))</f>
        <v/>
      </c>
      <c r="J849" s="3">
        <f>IF('3a Raw'!G849="","",MAX(-3,MIN(3,('3a Raw'!G849-$J3)/$J4)))</f>
        <v/>
      </c>
      <c r="K849" s="3">
        <f>IF(J849="","",(J849-AVERAGE(J6:J1198))/(STDEV(J6:J1198)+1E-12))</f>
        <v/>
      </c>
      <c r="L849" s="3">
        <f>IF('3a Raw'!H849="","",MAX(-3,MIN(3,('3a Raw'!H849-$L3)/$L4)))</f>
        <v/>
      </c>
      <c r="M849" s="3">
        <f>IF(L849="","",(L849-AVERAGE(L6:L1198))/(STDEV(L6:L1198)+1E-12))</f>
        <v/>
      </c>
      <c r="N849" s="3">
        <f>IF('3a Raw'!I849="","",MAX(-3,MIN(3,('3a Raw'!I849-$N3)/$N4)))</f>
        <v/>
      </c>
      <c r="O849" s="3">
        <f>IF(N849="","",(N849-AVERAGE(N6:N1198))/(STDEV(N6:N1198)+1E-12))</f>
        <v/>
      </c>
      <c r="P849" s="3">
        <f>IF('3a Raw'!J849="","",MAX(-3,MIN(3,('3a Raw'!J849-$P3)/$P4)))</f>
        <v/>
      </c>
      <c r="Q849" s="3">
        <f>IF(P849="","",(P849-AVERAGE(P6:P1198))/(STDEV(P6:P1198)+1E-12))</f>
        <v/>
      </c>
      <c r="R849" s="3">
        <f>IF('3a Raw'!K849="","",MAX(-3,MIN(3,('3a Raw'!K849-$R3)/$R4)))</f>
        <v/>
      </c>
      <c r="S849" s="3">
        <f>IF(R849="","",(R849-AVERAGE(R6:R1198))/(STDEV(R6:R1198)+1E-12))</f>
        <v/>
      </c>
      <c r="T849" s="3">
        <f>IF('3a Raw'!L849="","",MAX(-3,MIN(3,('3a Raw'!L849-$T3)/$T4)))</f>
        <v/>
      </c>
      <c r="U849" s="3">
        <f>IF(T849="","",(T849-AVERAGE(T6:T1198))/(STDEV(T6:T1198)+1E-12))</f>
        <v/>
      </c>
      <c r="X849" s="3">
        <f>IF(U849="","",U849-($V$3*G849+$W$3))</f>
        <v/>
      </c>
      <c r="Y849" s="3">
        <f>IF(X849="","",MAX(-3,MIN(3,(X849-$X3)/$X4)))</f>
        <v/>
      </c>
      <c r="Z849" s="3">
        <f>IF(Y849="","",(Y849-AVERAGE(Y6:Y1198))/(STDEV(Y6:Y1198)+1E-12))</f>
        <v/>
      </c>
    </row>
    <row r="850">
      <c r="A850" t="inlineStr">
        <is>
          <t>BBG000GRK2Z7</t>
        </is>
      </c>
      <c r="B850" s="3">
        <f>IF('3a Raw'!C850="","",MAX(-3,MIN(3,('3a Raw'!C850-$B3)/$B4)))</f>
        <v/>
      </c>
      <c r="C850" s="3">
        <f>IF(B850="","",(B850-AVERAGE(B6:B1198))/(STDEV(B6:B1198)+1E-12))</f>
        <v/>
      </c>
      <c r="D850" s="3">
        <f>IF('3a Raw'!D850="","",MAX(-3,MIN(3,('3a Raw'!D850-$D3)/$D4)))</f>
        <v/>
      </c>
      <c r="E850" s="3">
        <f>IF(D850="","",(D850-AVERAGE(D6:D1198))/(STDEV(D6:D1198)+1E-12))</f>
        <v/>
      </c>
      <c r="F850" s="3">
        <f>IF('3a Raw'!E850="","",MAX(-3,MIN(3,('3a Raw'!E850-$F3)/$F4)))</f>
        <v/>
      </c>
      <c r="G850" s="3">
        <f>IF(F850="","",(F850-AVERAGE(F6:F1198))/(STDEV(F6:F1198)+1E-12))</f>
        <v/>
      </c>
      <c r="H850" s="3">
        <f>IF('3a Raw'!F850="","",MAX(-3,MIN(3,('3a Raw'!F850-$H3)/$H4)))</f>
        <v/>
      </c>
      <c r="I850" s="3">
        <f>IF(H850="","",(H850-AVERAGE(H6:H1198))/(STDEV(H6:H1198)+1E-12))</f>
        <v/>
      </c>
      <c r="J850" s="3">
        <f>IF('3a Raw'!G850="","",MAX(-3,MIN(3,('3a Raw'!G850-$J3)/$J4)))</f>
        <v/>
      </c>
      <c r="K850" s="3">
        <f>IF(J850="","",(J850-AVERAGE(J6:J1198))/(STDEV(J6:J1198)+1E-12))</f>
        <v/>
      </c>
      <c r="L850" s="3">
        <f>IF('3a Raw'!H850="","",MAX(-3,MIN(3,('3a Raw'!H850-$L3)/$L4)))</f>
        <v/>
      </c>
      <c r="M850" s="3">
        <f>IF(L850="","",(L850-AVERAGE(L6:L1198))/(STDEV(L6:L1198)+1E-12))</f>
        <v/>
      </c>
      <c r="N850" s="3">
        <f>IF('3a Raw'!I850="","",MAX(-3,MIN(3,('3a Raw'!I850-$N3)/$N4)))</f>
        <v/>
      </c>
      <c r="O850" s="3">
        <f>IF(N850="","",(N850-AVERAGE(N6:N1198))/(STDEV(N6:N1198)+1E-12))</f>
        <v/>
      </c>
      <c r="P850" s="3">
        <f>IF('3a Raw'!J850="","",MAX(-3,MIN(3,('3a Raw'!J850-$P3)/$P4)))</f>
        <v/>
      </c>
      <c r="Q850" s="3">
        <f>IF(P850="","",(P850-AVERAGE(P6:P1198))/(STDEV(P6:P1198)+1E-12))</f>
        <v/>
      </c>
      <c r="R850" s="3">
        <f>IF('3a Raw'!K850="","",MAX(-3,MIN(3,('3a Raw'!K850-$R3)/$R4)))</f>
        <v/>
      </c>
      <c r="S850" s="3">
        <f>IF(R850="","",(R850-AVERAGE(R6:R1198))/(STDEV(R6:R1198)+1E-12))</f>
        <v/>
      </c>
      <c r="T850" s="3">
        <f>IF('3a Raw'!L850="","",MAX(-3,MIN(3,('3a Raw'!L850-$T3)/$T4)))</f>
        <v/>
      </c>
      <c r="U850" s="3">
        <f>IF(T850="","",(T850-AVERAGE(T6:T1198))/(STDEV(T6:T1198)+1E-12))</f>
        <v/>
      </c>
      <c r="X850" s="3">
        <f>IF(U850="","",U850-($V$3*G850+$W$3))</f>
        <v/>
      </c>
      <c r="Y850" s="3">
        <f>IF(X850="","",MAX(-3,MIN(3,(X850-$X3)/$X4)))</f>
        <v/>
      </c>
      <c r="Z850" s="3">
        <f>IF(Y850="","",(Y850-AVERAGE(Y6:Y1198))/(STDEV(Y6:Y1198)+1E-12))</f>
        <v/>
      </c>
    </row>
    <row r="851">
      <c r="A851" t="inlineStr">
        <is>
          <t>BBG000D5S4M0</t>
        </is>
      </c>
      <c r="B851" s="3">
        <f>IF('3a Raw'!C851="","",MAX(-3,MIN(3,('3a Raw'!C851-$B3)/$B4)))</f>
        <v/>
      </c>
      <c r="C851" s="3">
        <f>IF(B851="","",(B851-AVERAGE(B6:B1198))/(STDEV(B6:B1198)+1E-12))</f>
        <v/>
      </c>
      <c r="D851" s="3">
        <f>IF('3a Raw'!D851="","",MAX(-3,MIN(3,('3a Raw'!D851-$D3)/$D4)))</f>
        <v/>
      </c>
      <c r="E851" s="3">
        <f>IF(D851="","",(D851-AVERAGE(D6:D1198))/(STDEV(D6:D1198)+1E-12))</f>
        <v/>
      </c>
      <c r="F851" s="3">
        <f>IF('3a Raw'!E851="","",MAX(-3,MIN(3,('3a Raw'!E851-$F3)/$F4)))</f>
        <v/>
      </c>
      <c r="G851" s="3">
        <f>IF(F851="","",(F851-AVERAGE(F6:F1198))/(STDEV(F6:F1198)+1E-12))</f>
        <v/>
      </c>
      <c r="H851" s="3">
        <f>IF('3a Raw'!F851="","",MAX(-3,MIN(3,('3a Raw'!F851-$H3)/$H4)))</f>
        <v/>
      </c>
      <c r="I851" s="3">
        <f>IF(H851="","",(H851-AVERAGE(H6:H1198))/(STDEV(H6:H1198)+1E-12))</f>
        <v/>
      </c>
      <c r="J851" s="3">
        <f>IF('3a Raw'!G851="","",MAX(-3,MIN(3,('3a Raw'!G851-$J3)/$J4)))</f>
        <v/>
      </c>
      <c r="K851" s="3">
        <f>IF(J851="","",(J851-AVERAGE(J6:J1198))/(STDEV(J6:J1198)+1E-12))</f>
        <v/>
      </c>
      <c r="L851" s="3">
        <f>IF('3a Raw'!H851="","",MAX(-3,MIN(3,('3a Raw'!H851-$L3)/$L4)))</f>
        <v/>
      </c>
      <c r="M851" s="3">
        <f>IF(L851="","",(L851-AVERAGE(L6:L1198))/(STDEV(L6:L1198)+1E-12))</f>
        <v/>
      </c>
      <c r="N851" s="3">
        <f>IF('3a Raw'!I851="","",MAX(-3,MIN(3,('3a Raw'!I851-$N3)/$N4)))</f>
        <v/>
      </c>
      <c r="O851" s="3">
        <f>IF(N851="","",(N851-AVERAGE(N6:N1198))/(STDEV(N6:N1198)+1E-12))</f>
        <v/>
      </c>
      <c r="P851" s="3">
        <f>IF('3a Raw'!J851="","",MAX(-3,MIN(3,('3a Raw'!J851-$P3)/$P4)))</f>
        <v/>
      </c>
      <c r="Q851" s="3">
        <f>IF(P851="","",(P851-AVERAGE(P6:P1198))/(STDEV(P6:P1198)+1E-12))</f>
        <v/>
      </c>
      <c r="R851" s="3">
        <f>IF('3a Raw'!K851="","",MAX(-3,MIN(3,('3a Raw'!K851-$R3)/$R4)))</f>
        <v/>
      </c>
      <c r="S851" s="3">
        <f>IF(R851="","",(R851-AVERAGE(R6:R1198))/(STDEV(R6:R1198)+1E-12))</f>
        <v/>
      </c>
      <c r="T851" s="3">
        <f>IF('3a Raw'!L851="","",MAX(-3,MIN(3,('3a Raw'!L851-$T3)/$T4)))</f>
        <v/>
      </c>
      <c r="U851" s="3">
        <f>IF(T851="","",(T851-AVERAGE(T6:T1198))/(STDEV(T6:T1198)+1E-12))</f>
        <v/>
      </c>
      <c r="X851" s="3">
        <f>IF(U851="","",U851-($V$3*G851+$W$3))</f>
        <v/>
      </c>
      <c r="Y851" s="3">
        <f>IF(X851="","",MAX(-3,MIN(3,(X851-$X3)/$X4)))</f>
        <v/>
      </c>
      <c r="Z851" s="3">
        <f>IF(Y851="","",(Y851-AVERAGE(Y6:Y1198))/(STDEV(Y6:Y1198)+1E-12))</f>
        <v/>
      </c>
    </row>
    <row r="852">
      <c r="A852" t="inlineStr">
        <is>
          <t>BBG0079T1PZ6</t>
        </is>
      </c>
      <c r="B852" s="3">
        <f>IF('3a Raw'!C852="","",MAX(-3,MIN(3,('3a Raw'!C852-$B3)/$B4)))</f>
        <v/>
      </c>
      <c r="C852" s="3">
        <f>IF(B852="","",(B852-AVERAGE(B6:B1198))/(STDEV(B6:B1198)+1E-12))</f>
        <v/>
      </c>
      <c r="D852" s="3">
        <f>IF('3a Raw'!D852="","",MAX(-3,MIN(3,('3a Raw'!D852-$D3)/$D4)))</f>
        <v/>
      </c>
      <c r="E852" s="3">
        <f>IF(D852="","",(D852-AVERAGE(D6:D1198))/(STDEV(D6:D1198)+1E-12))</f>
        <v/>
      </c>
      <c r="F852" s="3">
        <f>IF('3a Raw'!E852="","",MAX(-3,MIN(3,('3a Raw'!E852-$F3)/$F4)))</f>
        <v/>
      </c>
      <c r="G852" s="3">
        <f>IF(F852="","",(F852-AVERAGE(F6:F1198))/(STDEV(F6:F1198)+1E-12))</f>
        <v/>
      </c>
      <c r="H852" s="3">
        <f>IF('3a Raw'!F852="","",MAX(-3,MIN(3,('3a Raw'!F852-$H3)/$H4)))</f>
        <v/>
      </c>
      <c r="I852" s="3">
        <f>IF(H852="","",(H852-AVERAGE(H6:H1198))/(STDEV(H6:H1198)+1E-12))</f>
        <v/>
      </c>
      <c r="J852" s="3">
        <f>IF('3a Raw'!G852="","",MAX(-3,MIN(3,('3a Raw'!G852-$J3)/$J4)))</f>
        <v/>
      </c>
      <c r="K852" s="3">
        <f>IF(J852="","",(J852-AVERAGE(J6:J1198))/(STDEV(J6:J1198)+1E-12))</f>
        <v/>
      </c>
      <c r="L852" s="3">
        <f>IF('3a Raw'!H852="","",MAX(-3,MIN(3,('3a Raw'!H852-$L3)/$L4)))</f>
        <v/>
      </c>
      <c r="M852" s="3">
        <f>IF(L852="","",(L852-AVERAGE(L6:L1198))/(STDEV(L6:L1198)+1E-12))</f>
        <v/>
      </c>
      <c r="N852" s="3">
        <f>IF('3a Raw'!I852="","",MAX(-3,MIN(3,('3a Raw'!I852-$N3)/$N4)))</f>
        <v/>
      </c>
      <c r="O852" s="3">
        <f>IF(N852="","",(N852-AVERAGE(N6:N1198))/(STDEV(N6:N1198)+1E-12))</f>
        <v/>
      </c>
      <c r="P852" s="3">
        <f>IF('3a Raw'!J852="","",MAX(-3,MIN(3,('3a Raw'!J852-$P3)/$P4)))</f>
        <v/>
      </c>
      <c r="Q852" s="3">
        <f>IF(P852="","",(P852-AVERAGE(P6:P1198))/(STDEV(P6:P1198)+1E-12))</f>
        <v/>
      </c>
      <c r="R852" s="3">
        <f>IF('3a Raw'!K852="","",MAX(-3,MIN(3,('3a Raw'!K852-$R3)/$R4)))</f>
        <v/>
      </c>
      <c r="S852" s="3">
        <f>IF(R852="","",(R852-AVERAGE(R6:R1198))/(STDEV(R6:R1198)+1E-12))</f>
        <v/>
      </c>
      <c r="T852" s="3">
        <f>IF('3a Raw'!L852="","",MAX(-3,MIN(3,('3a Raw'!L852-$T3)/$T4)))</f>
        <v/>
      </c>
      <c r="U852" s="3">
        <f>IF(T852="","",(T852-AVERAGE(T6:T1198))/(STDEV(T6:T1198)+1E-12))</f>
        <v/>
      </c>
      <c r="X852" s="3">
        <f>IF(U852="","",U852-($V$3*G852+$W$3))</f>
        <v/>
      </c>
      <c r="Y852" s="3">
        <f>IF(X852="","",MAX(-3,MIN(3,(X852-$X3)/$X4)))</f>
        <v/>
      </c>
      <c r="Z852" s="3">
        <f>IF(Y852="","",(Y852-AVERAGE(Y6:Y1198))/(STDEV(Y6:Y1198)+1E-12))</f>
        <v/>
      </c>
    </row>
    <row r="853">
      <c r="A853" t="inlineStr">
        <is>
          <t>BBG00FGXCJX5</t>
        </is>
      </c>
      <c r="B853" s="3">
        <f>IF('3a Raw'!C853="","",MAX(-3,MIN(3,('3a Raw'!C853-$B3)/$B4)))</f>
        <v/>
      </c>
      <c r="C853" s="3">
        <f>IF(B853="","",(B853-AVERAGE(B6:B1198))/(STDEV(B6:B1198)+1E-12))</f>
        <v/>
      </c>
      <c r="D853" s="3">
        <f>IF('3a Raw'!D853="","",MAX(-3,MIN(3,('3a Raw'!D853-$D3)/$D4)))</f>
        <v/>
      </c>
      <c r="E853" s="3">
        <f>IF(D853="","",(D853-AVERAGE(D6:D1198))/(STDEV(D6:D1198)+1E-12))</f>
        <v/>
      </c>
      <c r="F853" s="3">
        <f>IF('3a Raw'!E853="","",MAX(-3,MIN(3,('3a Raw'!E853-$F3)/$F4)))</f>
        <v/>
      </c>
      <c r="G853" s="3">
        <f>IF(F853="","",(F853-AVERAGE(F6:F1198))/(STDEV(F6:F1198)+1E-12))</f>
        <v/>
      </c>
      <c r="H853" s="3">
        <f>IF('3a Raw'!F853="","",MAX(-3,MIN(3,('3a Raw'!F853-$H3)/$H4)))</f>
        <v/>
      </c>
      <c r="I853" s="3">
        <f>IF(H853="","",(H853-AVERAGE(H6:H1198))/(STDEV(H6:H1198)+1E-12))</f>
        <v/>
      </c>
      <c r="J853" s="3">
        <f>IF('3a Raw'!G853="","",MAX(-3,MIN(3,('3a Raw'!G853-$J3)/$J4)))</f>
        <v/>
      </c>
      <c r="K853" s="3">
        <f>IF(J853="","",(J853-AVERAGE(J6:J1198))/(STDEV(J6:J1198)+1E-12))</f>
        <v/>
      </c>
      <c r="L853" s="3">
        <f>IF('3a Raw'!H853="","",MAX(-3,MIN(3,('3a Raw'!H853-$L3)/$L4)))</f>
        <v/>
      </c>
      <c r="M853" s="3">
        <f>IF(L853="","",(L853-AVERAGE(L6:L1198))/(STDEV(L6:L1198)+1E-12))</f>
        <v/>
      </c>
      <c r="N853" s="3">
        <f>IF('3a Raw'!I853="","",MAX(-3,MIN(3,('3a Raw'!I853-$N3)/$N4)))</f>
        <v/>
      </c>
      <c r="O853" s="3">
        <f>IF(N853="","",(N853-AVERAGE(N6:N1198))/(STDEV(N6:N1198)+1E-12))</f>
        <v/>
      </c>
      <c r="P853" s="3">
        <f>IF('3a Raw'!J853="","",MAX(-3,MIN(3,('3a Raw'!J853-$P3)/$P4)))</f>
        <v/>
      </c>
      <c r="Q853" s="3">
        <f>IF(P853="","",(P853-AVERAGE(P6:P1198))/(STDEV(P6:P1198)+1E-12))</f>
        <v/>
      </c>
      <c r="R853" s="3">
        <f>IF('3a Raw'!K853="","",MAX(-3,MIN(3,('3a Raw'!K853-$R3)/$R4)))</f>
        <v/>
      </c>
      <c r="S853" s="3">
        <f>IF(R853="","",(R853-AVERAGE(R6:R1198))/(STDEV(R6:R1198)+1E-12))</f>
        <v/>
      </c>
      <c r="T853" s="3">
        <f>IF('3a Raw'!L853="","",MAX(-3,MIN(3,('3a Raw'!L853-$T3)/$T4)))</f>
        <v/>
      </c>
      <c r="U853" s="3">
        <f>IF(T853="","",(T853-AVERAGE(T6:T1198))/(STDEV(T6:T1198)+1E-12))</f>
        <v/>
      </c>
      <c r="X853" s="3">
        <f>IF(U853="","",U853-($V$3*G853+$W$3))</f>
        <v/>
      </c>
      <c r="Y853" s="3">
        <f>IF(X853="","",MAX(-3,MIN(3,(X853-$X3)/$X4)))</f>
        <v/>
      </c>
      <c r="Z853" s="3">
        <f>IF(Y853="","",(Y853-AVERAGE(Y6:Y1198))/(STDEV(Y6:Y1198)+1E-12))</f>
        <v/>
      </c>
    </row>
    <row r="854">
      <c r="A854" t="inlineStr">
        <is>
          <t>BBG000BB8SW7</t>
        </is>
      </c>
      <c r="B854" s="3">
        <f>IF('3a Raw'!C854="","",MAX(-3,MIN(3,('3a Raw'!C854-$B3)/$B4)))</f>
        <v/>
      </c>
      <c r="C854" s="3">
        <f>IF(B854="","",(B854-AVERAGE(B6:B1198))/(STDEV(B6:B1198)+1E-12))</f>
        <v/>
      </c>
      <c r="D854" s="3">
        <f>IF('3a Raw'!D854="","",MAX(-3,MIN(3,('3a Raw'!D854-$D3)/$D4)))</f>
        <v/>
      </c>
      <c r="E854" s="3">
        <f>IF(D854="","",(D854-AVERAGE(D6:D1198))/(STDEV(D6:D1198)+1E-12))</f>
        <v/>
      </c>
      <c r="F854" s="3">
        <f>IF('3a Raw'!E854="","",MAX(-3,MIN(3,('3a Raw'!E854-$F3)/$F4)))</f>
        <v/>
      </c>
      <c r="G854" s="3">
        <f>IF(F854="","",(F854-AVERAGE(F6:F1198))/(STDEV(F6:F1198)+1E-12))</f>
        <v/>
      </c>
      <c r="H854" s="3">
        <f>IF('3a Raw'!F854="","",MAX(-3,MIN(3,('3a Raw'!F854-$H3)/$H4)))</f>
        <v/>
      </c>
      <c r="I854" s="3">
        <f>IF(H854="","",(H854-AVERAGE(H6:H1198))/(STDEV(H6:H1198)+1E-12))</f>
        <v/>
      </c>
      <c r="J854" s="3">
        <f>IF('3a Raw'!G854="","",MAX(-3,MIN(3,('3a Raw'!G854-$J3)/$J4)))</f>
        <v/>
      </c>
      <c r="K854" s="3">
        <f>IF(J854="","",(J854-AVERAGE(J6:J1198))/(STDEV(J6:J1198)+1E-12))</f>
        <v/>
      </c>
      <c r="L854" s="3">
        <f>IF('3a Raw'!H854="","",MAX(-3,MIN(3,('3a Raw'!H854-$L3)/$L4)))</f>
        <v/>
      </c>
      <c r="M854" s="3">
        <f>IF(L854="","",(L854-AVERAGE(L6:L1198))/(STDEV(L6:L1198)+1E-12))</f>
        <v/>
      </c>
      <c r="N854" s="3">
        <f>IF('3a Raw'!I854="","",MAX(-3,MIN(3,('3a Raw'!I854-$N3)/$N4)))</f>
        <v/>
      </c>
      <c r="O854" s="3">
        <f>IF(N854="","",(N854-AVERAGE(N6:N1198))/(STDEV(N6:N1198)+1E-12))</f>
        <v/>
      </c>
      <c r="P854" s="3">
        <f>IF('3a Raw'!J854="","",MAX(-3,MIN(3,('3a Raw'!J854-$P3)/$P4)))</f>
        <v/>
      </c>
      <c r="Q854" s="3">
        <f>IF(P854="","",(P854-AVERAGE(P6:P1198))/(STDEV(P6:P1198)+1E-12))</f>
        <v/>
      </c>
      <c r="R854" s="3">
        <f>IF('3a Raw'!K854="","",MAX(-3,MIN(3,('3a Raw'!K854-$R3)/$R4)))</f>
        <v/>
      </c>
      <c r="S854" s="3">
        <f>IF(R854="","",(R854-AVERAGE(R6:R1198))/(STDEV(R6:R1198)+1E-12))</f>
        <v/>
      </c>
      <c r="T854" s="3">
        <f>IF('3a Raw'!L854="","",MAX(-3,MIN(3,('3a Raw'!L854-$T3)/$T4)))</f>
        <v/>
      </c>
      <c r="U854" s="3">
        <f>IF(T854="","",(T854-AVERAGE(T6:T1198))/(STDEV(T6:T1198)+1E-12))</f>
        <v/>
      </c>
      <c r="X854" s="3">
        <f>IF(U854="","",U854-($V$3*G854+$W$3))</f>
        <v/>
      </c>
      <c r="Y854" s="3">
        <f>IF(X854="","",MAX(-3,MIN(3,(X854-$X3)/$X4)))</f>
        <v/>
      </c>
      <c r="Z854" s="3">
        <f>IF(Y854="","",(Y854-AVERAGE(Y6:Y1198))/(STDEV(Y6:Y1198)+1E-12))</f>
        <v/>
      </c>
    </row>
    <row r="855">
      <c r="A855" t="inlineStr">
        <is>
          <t>BBG000BR9JS6</t>
        </is>
      </c>
      <c r="B855" s="3">
        <f>IF('3a Raw'!C855="","",MAX(-3,MIN(3,('3a Raw'!C855-$B3)/$B4)))</f>
        <v/>
      </c>
      <c r="C855" s="3">
        <f>IF(B855="","",(B855-AVERAGE(B6:B1198))/(STDEV(B6:B1198)+1E-12))</f>
        <v/>
      </c>
      <c r="D855" s="3">
        <f>IF('3a Raw'!D855="","",MAX(-3,MIN(3,('3a Raw'!D855-$D3)/$D4)))</f>
        <v/>
      </c>
      <c r="E855" s="3">
        <f>IF(D855="","",(D855-AVERAGE(D6:D1198))/(STDEV(D6:D1198)+1E-12))</f>
        <v/>
      </c>
      <c r="F855" s="3">
        <f>IF('3a Raw'!E855="","",MAX(-3,MIN(3,('3a Raw'!E855-$F3)/$F4)))</f>
        <v/>
      </c>
      <c r="G855" s="3">
        <f>IF(F855="","",(F855-AVERAGE(F6:F1198))/(STDEV(F6:F1198)+1E-12))</f>
        <v/>
      </c>
      <c r="H855" s="3">
        <f>IF('3a Raw'!F855="","",MAX(-3,MIN(3,('3a Raw'!F855-$H3)/$H4)))</f>
        <v/>
      </c>
      <c r="I855" s="3">
        <f>IF(H855="","",(H855-AVERAGE(H6:H1198))/(STDEV(H6:H1198)+1E-12))</f>
        <v/>
      </c>
      <c r="J855" s="3">
        <f>IF('3a Raw'!G855="","",MAX(-3,MIN(3,('3a Raw'!G855-$J3)/$J4)))</f>
        <v/>
      </c>
      <c r="K855" s="3">
        <f>IF(J855="","",(J855-AVERAGE(J6:J1198))/(STDEV(J6:J1198)+1E-12))</f>
        <v/>
      </c>
      <c r="L855" s="3">
        <f>IF('3a Raw'!H855="","",MAX(-3,MIN(3,('3a Raw'!H855-$L3)/$L4)))</f>
        <v/>
      </c>
      <c r="M855" s="3">
        <f>IF(L855="","",(L855-AVERAGE(L6:L1198))/(STDEV(L6:L1198)+1E-12))</f>
        <v/>
      </c>
      <c r="N855" s="3">
        <f>IF('3a Raw'!I855="","",MAX(-3,MIN(3,('3a Raw'!I855-$N3)/$N4)))</f>
        <v/>
      </c>
      <c r="O855" s="3">
        <f>IF(N855="","",(N855-AVERAGE(N6:N1198))/(STDEV(N6:N1198)+1E-12))</f>
        <v/>
      </c>
      <c r="P855" s="3">
        <f>IF('3a Raw'!J855="","",MAX(-3,MIN(3,('3a Raw'!J855-$P3)/$P4)))</f>
        <v/>
      </c>
      <c r="Q855" s="3">
        <f>IF(P855="","",(P855-AVERAGE(P6:P1198))/(STDEV(P6:P1198)+1E-12))</f>
        <v/>
      </c>
      <c r="R855" s="3">
        <f>IF('3a Raw'!K855="","",MAX(-3,MIN(3,('3a Raw'!K855-$R3)/$R4)))</f>
        <v/>
      </c>
      <c r="S855" s="3">
        <f>IF(R855="","",(R855-AVERAGE(R6:R1198))/(STDEV(R6:R1198)+1E-12))</f>
        <v/>
      </c>
      <c r="T855" s="3">
        <f>IF('3a Raw'!L855="","",MAX(-3,MIN(3,('3a Raw'!L855-$T3)/$T4)))</f>
        <v/>
      </c>
      <c r="U855" s="3">
        <f>IF(T855="","",(T855-AVERAGE(T6:T1198))/(STDEV(T6:T1198)+1E-12))</f>
        <v/>
      </c>
      <c r="X855" s="3">
        <f>IF(U855="","",U855-($V$3*G855+$W$3))</f>
        <v/>
      </c>
      <c r="Y855" s="3">
        <f>IF(X855="","",MAX(-3,MIN(3,(X855-$X3)/$X4)))</f>
        <v/>
      </c>
      <c r="Z855" s="3">
        <f>IF(Y855="","",(Y855-AVERAGE(Y6:Y1198))/(STDEV(Y6:Y1198)+1E-12))</f>
        <v/>
      </c>
    </row>
    <row r="856">
      <c r="A856" t="inlineStr">
        <is>
          <t>BBG001WWJTK5</t>
        </is>
      </c>
      <c r="B856" s="3">
        <f>IF('3a Raw'!C856="","",MAX(-3,MIN(3,('3a Raw'!C856-$B3)/$B4)))</f>
        <v/>
      </c>
      <c r="C856" s="3">
        <f>IF(B856="","",(B856-AVERAGE(B6:B1198))/(STDEV(B6:B1198)+1E-12))</f>
        <v/>
      </c>
      <c r="D856" s="3">
        <f>IF('3a Raw'!D856="","",MAX(-3,MIN(3,('3a Raw'!D856-$D3)/$D4)))</f>
        <v/>
      </c>
      <c r="E856" s="3">
        <f>IF(D856="","",(D856-AVERAGE(D6:D1198))/(STDEV(D6:D1198)+1E-12))</f>
        <v/>
      </c>
      <c r="F856" s="3">
        <f>IF('3a Raw'!E856="","",MAX(-3,MIN(3,('3a Raw'!E856-$F3)/$F4)))</f>
        <v/>
      </c>
      <c r="G856" s="3">
        <f>IF(F856="","",(F856-AVERAGE(F6:F1198))/(STDEV(F6:F1198)+1E-12))</f>
        <v/>
      </c>
      <c r="H856" s="3">
        <f>IF('3a Raw'!F856="","",MAX(-3,MIN(3,('3a Raw'!F856-$H3)/$H4)))</f>
        <v/>
      </c>
      <c r="I856" s="3">
        <f>IF(H856="","",(H856-AVERAGE(H6:H1198))/(STDEV(H6:H1198)+1E-12))</f>
        <v/>
      </c>
      <c r="J856" s="3">
        <f>IF('3a Raw'!G856="","",MAX(-3,MIN(3,('3a Raw'!G856-$J3)/$J4)))</f>
        <v/>
      </c>
      <c r="K856" s="3">
        <f>IF(J856="","",(J856-AVERAGE(J6:J1198))/(STDEV(J6:J1198)+1E-12))</f>
        <v/>
      </c>
      <c r="L856" s="3">
        <f>IF('3a Raw'!H856="","",MAX(-3,MIN(3,('3a Raw'!H856-$L3)/$L4)))</f>
        <v/>
      </c>
      <c r="M856" s="3">
        <f>IF(L856="","",(L856-AVERAGE(L6:L1198))/(STDEV(L6:L1198)+1E-12))</f>
        <v/>
      </c>
      <c r="N856" s="3">
        <f>IF('3a Raw'!I856="","",MAX(-3,MIN(3,('3a Raw'!I856-$N3)/$N4)))</f>
        <v/>
      </c>
      <c r="O856" s="3">
        <f>IF(N856="","",(N856-AVERAGE(N6:N1198))/(STDEV(N6:N1198)+1E-12))</f>
        <v/>
      </c>
      <c r="P856" s="3">
        <f>IF('3a Raw'!J856="","",MAX(-3,MIN(3,('3a Raw'!J856-$P3)/$P4)))</f>
        <v/>
      </c>
      <c r="Q856" s="3">
        <f>IF(P856="","",(P856-AVERAGE(P6:P1198))/(STDEV(P6:P1198)+1E-12))</f>
        <v/>
      </c>
      <c r="R856" s="3">
        <f>IF('3a Raw'!K856="","",MAX(-3,MIN(3,('3a Raw'!K856-$R3)/$R4)))</f>
        <v/>
      </c>
      <c r="S856" s="3">
        <f>IF(R856="","",(R856-AVERAGE(R6:R1198))/(STDEV(R6:R1198)+1E-12))</f>
        <v/>
      </c>
      <c r="T856" s="3">
        <f>IF('3a Raw'!L856="","",MAX(-3,MIN(3,('3a Raw'!L856-$T3)/$T4)))</f>
        <v/>
      </c>
      <c r="U856" s="3">
        <f>IF(T856="","",(T856-AVERAGE(T6:T1198))/(STDEV(T6:T1198)+1E-12))</f>
        <v/>
      </c>
      <c r="X856" s="3">
        <f>IF(U856="","",U856-($V$3*G856+$W$3))</f>
        <v/>
      </c>
      <c r="Y856" s="3">
        <f>IF(X856="","",MAX(-3,MIN(3,(X856-$X3)/$X4)))</f>
        <v/>
      </c>
      <c r="Z856" s="3">
        <f>IF(Y856="","",(Y856-AVERAGE(Y6:Y1198))/(STDEV(Y6:Y1198)+1E-12))</f>
        <v/>
      </c>
    </row>
    <row r="857">
      <c r="A857" t="inlineStr">
        <is>
          <t>pld</t>
        </is>
      </c>
      <c r="B857" s="3">
        <f>IF('3a Raw'!C857="","",MAX(-3,MIN(3,('3a Raw'!C857-$B3)/$B4)))</f>
        <v/>
      </c>
      <c r="C857" s="3">
        <f>IF(B857="","",(B857-AVERAGE(B6:B1198))/(STDEV(B6:B1198)+1E-12))</f>
        <v/>
      </c>
      <c r="D857" s="3">
        <f>IF('3a Raw'!D857="","",MAX(-3,MIN(3,('3a Raw'!D857-$D3)/$D4)))</f>
        <v/>
      </c>
      <c r="E857" s="3">
        <f>IF(D857="","",(D857-AVERAGE(D6:D1198))/(STDEV(D6:D1198)+1E-12))</f>
        <v/>
      </c>
      <c r="F857" s="3">
        <f>IF('3a Raw'!E857="","",MAX(-3,MIN(3,('3a Raw'!E857-$F3)/$F4)))</f>
        <v/>
      </c>
      <c r="G857" s="3">
        <f>IF(F857="","",(F857-AVERAGE(F6:F1198))/(STDEV(F6:F1198)+1E-12))</f>
        <v/>
      </c>
      <c r="H857" s="3">
        <f>IF('3a Raw'!F857="","",MAX(-3,MIN(3,('3a Raw'!F857-$H3)/$H4)))</f>
        <v/>
      </c>
      <c r="I857" s="3">
        <f>IF(H857="","",(H857-AVERAGE(H6:H1198))/(STDEV(H6:H1198)+1E-12))</f>
        <v/>
      </c>
      <c r="J857" s="3">
        <f>IF('3a Raw'!G857="","",MAX(-3,MIN(3,('3a Raw'!G857-$J3)/$J4)))</f>
        <v/>
      </c>
      <c r="K857" s="3">
        <f>IF(J857="","",(J857-AVERAGE(J6:J1198))/(STDEV(J6:J1198)+1E-12))</f>
        <v/>
      </c>
      <c r="L857" s="3">
        <f>IF('3a Raw'!H857="","",MAX(-3,MIN(3,('3a Raw'!H857-$L3)/$L4)))</f>
        <v/>
      </c>
      <c r="M857" s="3">
        <f>IF(L857="","",(L857-AVERAGE(L6:L1198))/(STDEV(L6:L1198)+1E-12))</f>
        <v/>
      </c>
      <c r="N857" s="3">
        <f>IF('3a Raw'!I857="","",MAX(-3,MIN(3,('3a Raw'!I857-$N3)/$N4)))</f>
        <v/>
      </c>
      <c r="O857" s="3">
        <f>IF(N857="","",(N857-AVERAGE(N6:N1198))/(STDEV(N6:N1198)+1E-12))</f>
        <v/>
      </c>
      <c r="P857" s="3">
        <f>IF('3a Raw'!J857="","",MAX(-3,MIN(3,('3a Raw'!J857-$P3)/$P4)))</f>
        <v/>
      </c>
      <c r="Q857" s="3">
        <f>IF(P857="","",(P857-AVERAGE(P6:P1198))/(STDEV(P6:P1198)+1E-12))</f>
        <v/>
      </c>
      <c r="R857" s="3">
        <f>IF('3a Raw'!K857="","",MAX(-3,MIN(3,('3a Raw'!K857-$R3)/$R4)))</f>
        <v/>
      </c>
      <c r="S857" s="3">
        <f>IF(R857="","",(R857-AVERAGE(R6:R1198))/(STDEV(R6:R1198)+1E-12))</f>
        <v/>
      </c>
      <c r="T857" s="3">
        <f>IF('3a Raw'!L857="","",MAX(-3,MIN(3,('3a Raw'!L857-$T3)/$T4)))</f>
        <v/>
      </c>
      <c r="U857" s="3">
        <f>IF(T857="","",(T857-AVERAGE(T6:T1198))/(STDEV(T6:T1198)+1E-12))</f>
        <v/>
      </c>
      <c r="X857" s="3">
        <f>IF(U857="","",U857-($V$3*G857+$W$3))</f>
        <v/>
      </c>
      <c r="Y857" s="3">
        <f>IF(X857="","",MAX(-3,MIN(3,(X857-$X3)/$X4)))</f>
        <v/>
      </c>
      <c r="Z857" s="3">
        <f>IF(Y857="","",(Y857-AVERAGE(Y6:Y1198))/(STDEV(Y6:Y1198)+1E-12))</f>
        <v/>
      </c>
    </row>
    <row r="858">
      <c r="A858" t="inlineStr">
        <is>
          <t>BBG00NLMRY30</t>
        </is>
      </c>
      <c r="B858" s="3">
        <f>IF('3a Raw'!C858="","",MAX(-3,MIN(3,('3a Raw'!C858-$B3)/$B4)))</f>
        <v/>
      </c>
      <c r="C858" s="3">
        <f>IF(B858="","",(B858-AVERAGE(B6:B1198))/(STDEV(B6:B1198)+1E-12))</f>
        <v/>
      </c>
      <c r="D858" s="3">
        <f>IF('3a Raw'!D858="","",MAX(-3,MIN(3,('3a Raw'!D858-$D3)/$D4)))</f>
        <v/>
      </c>
      <c r="E858" s="3">
        <f>IF(D858="","",(D858-AVERAGE(D6:D1198))/(STDEV(D6:D1198)+1E-12))</f>
        <v/>
      </c>
      <c r="F858" s="3">
        <f>IF('3a Raw'!E858="","",MAX(-3,MIN(3,('3a Raw'!E858-$F3)/$F4)))</f>
        <v/>
      </c>
      <c r="G858" s="3">
        <f>IF(F858="","",(F858-AVERAGE(F6:F1198))/(STDEV(F6:F1198)+1E-12))</f>
        <v/>
      </c>
      <c r="H858" s="3">
        <f>IF('3a Raw'!F858="","",MAX(-3,MIN(3,('3a Raw'!F858-$H3)/$H4)))</f>
        <v/>
      </c>
      <c r="I858" s="3">
        <f>IF(H858="","",(H858-AVERAGE(H6:H1198))/(STDEV(H6:H1198)+1E-12))</f>
        <v/>
      </c>
      <c r="J858" s="3">
        <f>IF('3a Raw'!G858="","",MAX(-3,MIN(3,('3a Raw'!G858-$J3)/$J4)))</f>
        <v/>
      </c>
      <c r="K858" s="3">
        <f>IF(J858="","",(J858-AVERAGE(J6:J1198))/(STDEV(J6:J1198)+1E-12))</f>
        <v/>
      </c>
      <c r="L858" s="3">
        <f>IF('3a Raw'!H858="","",MAX(-3,MIN(3,('3a Raw'!H858-$L3)/$L4)))</f>
        <v/>
      </c>
      <c r="M858" s="3">
        <f>IF(L858="","",(L858-AVERAGE(L6:L1198))/(STDEV(L6:L1198)+1E-12))</f>
        <v/>
      </c>
      <c r="N858" s="3">
        <f>IF('3a Raw'!I858="","",MAX(-3,MIN(3,('3a Raw'!I858-$N3)/$N4)))</f>
        <v/>
      </c>
      <c r="O858" s="3">
        <f>IF(N858="","",(N858-AVERAGE(N6:N1198))/(STDEV(N6:N1198)+1E-12))</f>
        <v/>
      </c>
      <c r="P858" s="3">
        <f>IF('3a Raw'!J858="","",MAX(-3,MIN(3,('3a Raw'!J858-$P3)/$P4)))</f>
        <v/>
      </c>
      <c r="Q858" s="3">
        <f>IF(P858="","",(P858-AVERAGE(P6:P1198))/(STDEV(P6:P1198)+1E-12))</f>
        <v/>
      </c>
      <c r="R858" s="3">
        <f>IF('3a Raw'!K858="","",MAX(-3,MIN(3,('3a Raw'!K858-$R3)/$R4)))</f>
        <v/>
      </c>
      <c r="S858" s="3">
        <f>IF(R858="","",(R858-AVERAGE(R6:R1198))/(STDEV(R6:R1198)+1E-12))</f>
        <v/>
      </c>
      <c r="T858" s="3">
        <f>IF('3a Raw'!L858="","",MAX(-3,MIN(3,('3a Raw'!L858-$T3)/$T4)))</f>
        <v/>
      </c>
      <c r="U858" s="3">
        <f>IF(T858="","",(T858-AVERAGE(T6:T1198))/(STDEV(T6:T1198)+1E-12))</f>
        <v/>
      </c>
      <c r="X858" s="3">
        <f>IF(U858="","",U858-($V$3*G858+$W$3))</f>
        <v/>
      </c>
      <c r="Y858" s="3">
        <f>IF(X858="","",MAX(-3,MIN(3,(X858-$X3)/$X4)))</f>
        <v/>
      </c>
      <c r="Z858" s="3">
        <f>IF(Y858="","",(Y858-AVERAGE(Y6:Y1198))/(STDEV(Y6:Y1198)+1E-12))</f>
        <v/>
      </c>
    </row>
    <row r="859">
      <c r="A859" t="inlineStr">
        <is>
          <t>BBG000N7QR55</t>
        </is>
      </c>
      <c r="B859" s="3">
        <f>IF('3a Raw'!C859="","",MAX(-3,MIN(3,('3a Raw'!C859-$B3)/$B4)))</f>
        <v/>
      </c>
      <c r="C859" s="3">
        <f>IF(B859="","",(B859-AVERAGE(B6:B1198))/(STDEV(B6:B1198)+1E-12))</f>
        <v/>
      </c>
      <c r="D859" s="3">
        <f>IF('3a Raw'!D859="","",MAX(-3,MIN(3,('3a Raw'!D859-$D3)/$D4)))</f>
        <v/>
      </c>
      <c r="E859" s="3">
        <f>IF(D859="","",(D859-AVERAGE(D6:D1198))/(STDEV(D6:D1198)+1E-12))</f>
        <v/>
      </c>
      <c r="F859" s="3">
        <f>IF('3a Raw'!E859="","",MAX(-3,MIN(3,('3a Raw'!E859-$F3)/$F4)))</f>
        <v/>
      </c>
      <c r="G859" s="3">
        <f>IF(F859="","",(F859-AVERAGE(F6:F1198))/(STDEV(F6:F1198)+1E-12))</f>
        <v/>
      </c>
      <c r="H859" s="3">
        <f>IF('3a Raw'!F859="","",MAX(-3,MIN(3,('3a Raw'!F859-$H3)/$H4)))</f>
        <v/>
      </c>
      <c r="I859" s="3">
        <f>IF(H859="","",(H859-AVERAGE(H6:H1198))/(STDEV(H6:H1198)+1E-12))</f>
        <v/>
      </c>
      <c r="J859" s="3">
        <f>IF('3a Raw'!G859="","",MAX(-3,MIN(3,('3a Raw'!G859-$J3)/$J4)))</f>
        <v/>
      </c>
      <c r="K859" s="3">
        <f>IF(J859="","",(J859-AVERAGE(J6:J1198))/(STDEV(J6:J1198)+1E-12))</f>
        <v/>
      </c>
      <c r="L859" s="3">
        <f>IF('3a Raw'!H859="","",MAX(-3,MIN(3,('3a Raw'!H859-$L3)/$L4)))</f>
        <v/>
      </c>
      <c r="M859" s="3">
        <f>IF(L859="","",(L859-AVERAGE(L6:L1198))/(STDEV(L6:L1198)+1E-12))</f>
        <v/>
      </c>
      <c r="N859" s="3">
        <f>IF('3a Raw'!I859="","",MAX(-3,MIN(3,('3a Raw'!I859-$N3)/$N4)))</f>
        <v/>
      </c>
      <c r="O859" s="3">
        <f>IF(N859="","",(N859-AVERAGE(N6:N1198))/(STDEV(N6:N1198)+1E-12))</f>
        <v/>
      </c>
      <c r="P859" s="3">
        <f>IF('3a Raw'!J859="","",MAX(-3,MIN(3,('3a Raw'!J859-$P3)/$P4)))</f>
        <v/>
      </c>
      <c r="Q859" s="3">
        <f>IF(P859="","",(P859-AVERAGE(P6:P1198))/(STDEV(P6:P1198)+1E-12))</f>
        <v/>
      </c>
      <c r="R859" s="3">
        <f>IF('3a Raw'!K859="","",MAX(-3,MIN(3,('3a Raw'!K859-$R3)/$R4)))</f>
        <v/>
      </c>
      <c r="S859" s="3">
        <f>IF(R859="","",(R859-AVERAGE(R6:R1198))/(STDEV(R6:R1198)+1E-12))</f>
        <v/>
      </c>
      <c r="T859" s="3">
        <f>IF('3a Raw'!L859="","",MAX(-3,MIN(3,('3a Raw'!L859-$T3)/$T4)))</f>
        <v/>
      </c>
      <c r="U859" s="3">
        <f>IF(T859="","",(T859-AVERAGE(T6:T1198))/(STDEV(T6:T1198)+1E-12))</f>
        <v/>
      </c>
      <c r="X859" s="3">
        <f>IF(U859="","",U859-($V$3*G859+$W$3))</f>
        <v/>
      </c>
      <c r="Y859" s="3">
        <f>IF(X859="","",MAX(-3,MIN(3,(X859-$X3)/$X4)))</f>
        <v/>
      </c>
      <c r="Z859" s="3">
        <f>IF(Y859="","",(Y859-AVERAGE(Y6:Y1198))/(STDEV(Y6:Y1198)+1E-12))</f>
        <v/>
      </c>
    </row>
    <row r="860">
      <c r="A860" t="inlineStr">
        <is>
          <t>BBG000J2XL74</t>
        </is>
      </c>
      <c r="B860" s="3">
        <f>IF('3a Raw'!C860="","",MAX(-3,MIN(3,('3a Raw'!C860-$B3)/$B4)))</f>
        <v/>
      </c>
      <c r="C860" s="3">
        <f>IF(B860="","",(B860-AVERAGE(B6:B1198))/(STDEV(B6:B1198)+1E-12))</f>
        <v/>
      </c>
      <c r="D860" s="3">
        <f>IF('3a Raw'!D860="","",MAX(-3,MIN(3,('3a Raw'!D860-$D3)/$D4)))</f>
        <v/>
      </c>
      <c r="E860" s="3">
        <f>IF(D860="","",(D860-AVERAGE(D6:D1198))/(STDEV(D6:D1198)+1E-12))</f>
        <v/>
      </c>
      <c r="F860" s="3">
        <f>IF('3a Raw'!E860="","",MAX(-3,MIN(3,('3a Raw'!E860-$F3)/$F4)))</f>
        <v/>
      </c>
      <c r="G860" s="3">
        <f>IF(F860="","",(F860-AVERAGE(F6:F1198))/(STDEV(F6:F1198)+1E-12))</f>
        <v/>
      </c>
      <c r="H860" s="3">
        <f>IF('3a Raw'!F860="","",MAX(-3,MIN(3,('3a Raw'!F860-$H3)/$H4)))</f>
        <v/>
      </c>
      <c r="I860" s="3">
        <f>IF(H860="","",(H860-AVERAGE(H6:H1198))/(STDEV(H6:H1198)+1E-12))</f>
        <v/>
      </c>
      <c r="J860" s="3">
        <f>IF('3a Raw'!G860="","",MAX(-3,MIN(3,('3a Raw'!G860-$J3)/$J4)))</f>
        <v/>
      </c>
      <c r="K860" s="3">
        <f>IF(J860="","",(J860-AVERAGE(J6:J1198))/(STDEV(J6:J1198)+1E-12))</f>
        <v/>
      </c>
      <c r="L860" s="3">
        <f>IF('3a Raw'!H860="","",MAX(-3,MIN(3,('3a Raw'!H860-$L3)/$L4)))</f>
        <v/>
      </c>
      <c r="M860" s="3">
        <f>IF(L860="","",(L860-AVERAGE(L6:L1198))/(STDEV(L6:L1198)+1E-12))</f>
        <v/>
      </c>
      <c r="N860" s="3">
        <f>IF('3a Raw'!I860="","",MAX(-3,MIN(3,('3a Raw'!I860-$N3)/$N4)))</f>
        <v/>
      </c>
      <c r="O860" s="3">
        <f>IF(N860="","",(N860-AVERAGE(N6:N1198))/(STDEV(N6:N1198)+1E-12))</f>
        <v/>
      </c>
      <c r="P860" s="3">
        <f>IF('3a Raw'!J860="","",MAX(-3,MIN(3,('3a Raw'!J860-$P3)/$P4)))</f>
        <v/>
      </c>
      <c r="Q860" s="3">
        <f>IF(P860="","",(P860-AVERAGE(P6:P1198))/(STDEV(P6:P1198)+1E-12))</f>
        <v/>
      </c>
      <c r="R860" s="3">
        <f>IF('3a Raw'!K860="","",MAX(-3,MIN(3,('3a Raw'!K860-$R3)/$R4)))</f>
        <v/>
      </c>
      <c r="S860" s="3">
        <f>IF(R860="","",(R860-AVERAGE(R6:R1198))/(STDEV(R6:R1198)+1E-12))</f>
        <v/>
      </c>
      <c r="T860" s="3">
        <f>IF('3a Raw'!L860="","",MAX(-3,MIN(3,('3a Raw'!L860-$T3)/$T4)))</f>
        <v/>
      </c>
      <c r="U860" s="3">
        <f>IF(T860="","",(T860-AVERAGE(T6:T1198))/(STDEV(T6:T1198)+1E-12))</f>
        <v/>
      </c>
      <c r="X860" s="3">
        <f>IF(U860="","",U860-($V$3*G860+$W$3))</f>
        <v/>
      </c>
      <c r="Y860" s="3">
        <f>IF(X860="","",MAX(-3,MIN(3,(X860-$X3)/$X4)))</f>
        <v/>
      </c>
      <c r="Z860" s="3">
        <f>IF(Y860="","",(Y860-AVERAGE(Y6:Y1198))/(STDEV(Y6:Y1198)+1E-12))</f>
        <v/>
      </c>
    </row>
    <row r="861">
      <c r="A861" t="inlineStr">
        <is>
          <t>BBG000BRD0D8</t>
        </is>
      </c>
      <c r="B861" s="3">
        <f>IF('3a Raw'!C861="","",MAX(-3,MIN(3,('3a Raw'!C861-$B3)/$B4)))</f>
        <v/>
      </c>
      <c r="C861" s="3">
        <f>IF(B861="","",(B861-AVERAGE(B6:B1198))/(STDEV(B6:B1198)+1E-12))</f>
        <v/>
      </c>
      <c r="D861" s="3">
        <f>IF('3a Raw'!D861="","",MAX(-3,MIN(3,('3a Raw'!D861-$D3)/$D4)))</f>
        <v/>
      </c>
      <c r="E861" s="3">
        <f>IF(D861="","",(D861-AVERAGE(D6:D1198))/(STDEV(D6:D1198)+1E-12))</f>
        <v/>
      </c>
      <c r="F861" s="3">
        <f>IF('3a Raw'!E861="","",MAX(-3,MIN(3,('3a Raw'!E861-$F3)/$F4)))</f>
        <v/>
      </c>
      <c r="G861" s="3">
        <f>IF(F861="","",(F861-AVERAGE(F6:F1198))/(STDEV(F6:F1198)+1E-12))</f>
        <v/>
      </c>
      <c r="H861" s="3">
        <f>IF('3a Raw'!F861="","",MAX(-3,MIN(3,('3a Raw'!F861-$H3)/$H4)))</f>
        <v/>
      </c>
      <c r="I861" s="3">
        <f>IF(H861="","",(H861-AVERAGE(H6:H1198))/(STDEV(H6:H1198)+1E-12))</f>
        <v/>
      </c>
      <c r="J861" s="3">
        <f>IF('3a Raw'!G861="","",MAX(-3,MIN(3,('3a Raw'!G861-$J3)/$J4)))</f>
        <v/>
      </c>
      <c r="K861" s="3">
        <f>IF(J861="","",(J861-AVERAGE(J6:J1198))/(STDEV(J6:J1198)+1E-12))</f>
        <v/>
      </c>
      <c r="L861" s="3">
        <f>IF('3a Raw'!H861="","",MAX(-3,MIN(3,('3a Raw'!H861-$L3)/$L4)))</f>
        <v/>
      </c>
      <c r="M861" s="3">
        <f>IF(L861="","",(L861-AVERAGE(L6:L1198))/(STDEV(L6:L1198)+1E-12))</f>
        <v/>
      </c>
      <c r="N861" s="3">
        <f>IF('3a Raw'!I861="","",MAX(-3,MIN(3,('3a Raw'!I861-$N3)/$N4)))</f>
        <v/>
      </c>
      <c r="O861" s="3">
        <f>IF(N861="","",(N861-AVERAGE(N6:N1198))/(STDEV(N6:N1198)+1E-12))</f>
        <v/>
      </c>
      <c r="P861" s="3">
        <f>IF('3a Raw'!J861="","",MAX(-3,MIN(3,('3a Raw'!J861-$P3)/$P4)))</f>
        <v/>
      </c>
      <c r="Q861" s="3">
        <f>IF(P861="","",(P861-AVERAGE(P6:P1198))/(STDEV(P6:P1198)+1E-12))</f>
        <v/>
      </c>
      <c r="R861" s="3">
        <f>IF('3a Raw'!K861="","",MAX(-3,MIN(3,('3a Raw'!K861-$R3)/$R4)))</f>
        <v/>
      </c>
      <c r="S861" s="3">
        <f>IF(R861="","",(R861-AVERAGE(R6:R1198))/(STDEV(R6:R1198)+1E-12))</f>
        <v/>
      </c>
      <c r="T861" s="3">
        <f>IF('3a Raw'!L861="","",MAX(-3,MIN(3,('3a Raw'!L861-$T3)/$T4)))</f>
        <v/>
      </c>
      <c r="U861" s="3">
        <f>IF(T861="","",(T861-AVERAGE(T6:T1198))/(STDEV(T6:T1198)+1E-12))</f>
        <v/>
      </c>
      <c r="X861" s="3">
        <f>IF(U861="","",U861-($V$3*G861+$W$3))</f>
        <v/>
      </c>
      <c r="Y861" s="3">
        <f>IF(X861="","",MAX(-3,MIN(3,(X861-$X3)/$X4)))</f>
        <v/>
      </c>
      <c r="Z861" s="3">
        <f>IF(Y861="","",(Y861-AVERAGE(Y6:Y1198))/(STDEV(Y6:Y1198)+1E-12))</f>
        <v/>
      </c>
    </row>
    <row r="862">
      <c r="A862" t="inlineStr">
        <is>
          <t>BBG000QVWX13</t>
        </is>
      </c>
      <c r="B862" s="3">
        <f>IF('3a Raw'!C862="","",MAX(-3,MIN(3,('3a Raw'!C862-$B3)/$B4)))</f>
        <v/>
      </c>
      <c r="C862" s="3">
        <f>IF(B862="","",(B862-AVERAGE(B6:B1198))/(STDEV(B6:B1198)+1E-12))</f>
        <v/>
      </c>
      <c r="D862" s="3">
        <f>IF('3a Raw'!D862="","",MAX(-3,MIN(3,('3a Raw'!D862-$D3)/$D4)))</f>
        <v/>
      </c>
      <c r="E862" s="3">
        <f>IF(D862="","",(D862-AVERAGE(D6:D1198))/(STDEV(D6:D1198)+1E-12))</f>
        <v/>
      </c>
      <c r="F862" s="3">
        <f>IF('3a Raw'!E862="","",MAX(-3,MIN(3,('3a Raw'!E862-$F3)/$F4)))</f>
        <v/>
      </c>
      <c r="G862" s="3">
        <f>IF(F862="","",(F862-AVERAGE(F6:F1198))/(STDEV(F6:F1198)+1E-12))</f>
        <v/>
      </c>
      <c r="H862" s="3">
        <f>IF('3a Raw'!F862="","",MAX(-3,MIN(3,('3a Raw'!F862-$H3)/$H4)))</f>
        <v/>
      </c>
      <c r="I862" s="3">
        <f>IF(H862="","",(H862-AVERAGE(H6:H1198))/(STDEV(H6:H1198)+1E-12))</f>
        <v/>
      </c>
      <c r="J862" s="3">
        <f>IF('3a Raw'!G862="","",MAX(-3,MIN(3,('3a Raw'!G862-$J3)/$J4)))</f>
        <v/>
      </c>
      <c r="K862" s="3">
        <f>IF(J862="","",(J862-AVERAGE(J6:J1198))/(STDEV(J6:J1198)+1E-12))</f>
        <v/>
      </c>
      <c r="L862" s="3">
        <f>IF('3a Raw'!H862="","",MAX(-3,MIN(3,('3a Raw'!H862-$L3)/$L4)))</f>
        <v/>
      </c>
      <c r="M862" s="3">
        <f>IF(L862="","",(L862-AVERAGE(L6:L1198))/(STDEV(L6:L1198)+1E-12))</f>
        <v/>
      </c>
      <c r="N862" s="3">
        <f>IF('3a Raw'!I862="","",MAX(-3,MIN(3,('3a Raw'!I862-$N3)/$N4)))</f>
        <v/>
      </c>
      <c r="O862" s="3">
        <f>IF(N862="","",(N862-AVERAGE(N6:N1198))/(STDEV(N6:N1198)+1E-12))</f>
        <v/>
      </c>
      <c r="P862" s="3">
        <f>IF('3a Raw'!J862="","",MAX(-3,MIN(3,('3a Raw'!J862-$P3)/$P4)))</f>
        <v/>
      </c>
      <c r="Q862" s="3">
        <f>IF(P862="","",(P862-AVERAGE(P6:P1198))/(STDEV(P6:P1198)+1E-12))</f>
        <v/>
      </c>
      <c r="R862" s="3">
        <f>IF('3a Raw'!K862="","",MAX(-3,MIN(3,('3a Raw'!K862-$R3)/$R4)))</f>
        <v/>
      </c>
      <c r="S862" s="3">
        <f>IF(R862="","",(R862-AVERAGE(R6:R1198))/(STDEV(R6:R1198)+1E-12))</f>
        <v/>
      </c>
      <c r="T862" s="3">
        <f>IF('3a Raw'!L862="","",MAX(-3,MIN(3,('3a Raw'!L862-$T3)/$T4)))</f>
        <v/>
      </c>
      <c r="U862" s="3">
        <f>IF(T862="","",(T862-AVERAGE(T6:T1198))/(STDEV(T6:T1198)+1E-12))</f>
        <v/>
      </c>
      <c r="X862" s="3">
        <f>IF(U862="","",U862-($V$3*G862+$W$3))</f>
        <v/>
      </c>
      <c r="Y862" s="3">
        <f>IF(X862="","",MAX(-3,MIN(3,(X862-$X3)/$X4)))</f>
        <v/>
      </c>
      <c r="Z862" s="3">
        <f>IF(Y862="","",(Y862-AVERAGE(Y6:Y1198))/(STDEV(Y6:Y1198)+1E-12))</f>
        <v/>
      </c>
    </row>
    <row r="863">
      <c r="A863" t="inlineStr">
        <is>
          <t>pnr</t>
        </is>
      </c>
      <c r="B863" s="3">
        <f>IF('3a Raw'!C863="","",MAX(-3,MIN(3,('3a Raw'!C863-$B3)/$B4)))</f>
        <v/>
      </c>
      <c r="C863" s="3">
        <f>IF(B863="","",(B863-AVERAGE(B6:B1198))/(STDEV(B6:B1198)+1E-12))</f>
        <v/>
      </c>
      <c r="D863" s="3">
        <f>IF('3a Raw'!D863="","",MAX(-3,MIN(3,('3a Raw'!D863-$D3)/$D4)))</f>
        <v/>
      </c>
      <c r="E863" s="3">
        <f>IF(D863="","",(D863-AVERAGE(D6:D1198))/(STDEV(D6:D1198)+1E-12))</f>
        <v/>
      </c>
      <c r="F863" s="3">
        <f>IF('3a Raw'!E863="","",MAX(-3,MIN(3,('3a Raw'!E863-$F3)/$F4)))</f>
        <v/>
      </c>
      <c r="G863" s="3">
        <f>IF(F863="","",(F863-AVERAGE(F6:F1198))/(STDEV(F6:F1198)+1E-12))</f>
        <v/>
      </c>
      <c r="H863" s="3">
        <f>IF('3a Raw'!F863="","",MAX(-3,MIN(3,('3a Raw'!F863-$H3)/$H4)))</f>
        <v/>
      </c>
      <c r="I863" s="3">
        <f>IF(H863="","",(H863-AVERAGE(H6:H1198))/(STDEV(H6:H1198)+1E-12))</f>
        <v/>
      </c>
      <c r="J863" s="3">
        <f>IF('3a Raw'!G863="","",MAX(-3,MIN(3,('3a Raw'!G863-$J3)/$J4)))</f>
        <v/>
      </c>
      <c r="K863" s="3">
        <f>IF(J863="","",(J863-AVERAGE(J6:J1198))/(STDEV(J6:J1198)+1E-12))</f>
        <v/>
      </c>
      <c r="L863" s="3">
        <f>IF('3a Raw'!H863="","",MAX(-3,MIN(3,('3a Raw'!H863-$L3)/$L4)))</f>
        <v/>
      </c>
      <c r="M863" s="3">
        <f>IF(L863="","",(L863-AVERAGE(L6:L1198))/(STDEV(L6:L1198)+1E-12))</f>
        <v/>
      </c>
      <c r="N863" s="3">
        <f>IF('3a Raw'!I863="","",MAX(-3,MIN(3,('3a Raw'!I863-$N3)/$N4)))</f>
        <v/>
      </c>
      <c r="O863" s="3">
        <f>IF(N863="","",(N863-AVERAGE(N6:N1198))/(STDEV(N6:N1198)+1E-12))</f>
        <v/>
      </c>
      <c r="P863" s="3">
        <f>IF('3a Raw'!J863="","",MAX(-3,MIN(3,('3a Raw'!J863-$P3)/$P4)))</f>
        <v/>
      </c>
      <c r="Q863" s="3">
        <f>IF(P863="","",(P863-AVERAGE(P6:P1198))/(STDEV(P6:P1198)+1E-12))</f>
        <v/>
      </c>
      <c r="R863" s="3">
        <f>IF('3a Raw'!K863="","",MAX(-3,MIN(3,('3a Raw'!K863-$R3)/$R4)))</f>
        <v/>
      </c>
      <c r="S863" s="3">
        <f>IF(R863="","",(R863-AVERAGE(R6:R1198))/(STDEV(R6:R1198)+1E-12))</f>
        <v/>
      </c>
      <c r="T863" s="3">
        <f>IF('3a Raw'!L863="","",MAX(-3,MIN(3,('3a Raw'!L863-$T3)/$T4)))</f>
        <v/>
      </c>
      <c r="U863" s="3">
        <f>IF(T863="","",(T863-AVERAGE(T6:T1198))/(STDEV(T6:T1198)+1E-12))</f>
        <v/>
      </c>
      <c r="X863" s="3">
        <f>IF(U863="","",U863-($V$3*G863+$W$3))</f>
        <v/>
      </c>
      <c r="Y863" s="3">
        <f>IF(X863="","",MAX(-3,MIN(3,(X863-$X3)/$X4)))</f>
        <v/>
      </c>
      <c r="Z863" s="3">
        <f>IF(Y863="","",(Y863-AVERAGE(Y6:Y1198))/(STDEV(Y6:Y1198)+1E-12))</f>
        <v/>
      </c>
    </row>
    <row r="864">
      <c r="A864" t="inlineStr">
        <is>
          <t>pnw</t>
        </is>
      </c>
      <c r="B864" s="3">
        <f>IF('3a Raw'!C864="","",MAX(-3,MIN(3,('3a Raw'!C864-$B3)/$B4)))</f>
        <v/>
      </c>
      <c r="C864" s="3">
        <f>IF(B864="","",(B864-AVERAGE(B6:B1198))/(STDEV(B6:B1198)+1E-12))</f>
        <v/>
      </c>
      <c r="D864" s="3">
        <f>IF('3a Raw'!D864="","",MAX(-3,MIN(3,('3a Raw'!D864-$D3)/$D4)))</f>
        <v/>
      </c>
      <c r="E864" s="3">
        <f>IF(D864="","",(D864-AVERAGE(D6:D1198))/(STDEV(D6:D1198)+1E-12))</f>
        <v/>
      </c>
      <c r="F864" s="3">
        <f>IF('3a Raw'!E864="","",MAX(-3,MIN(3,('3a Raw'!E864-$F3)/$F4)))</f>
        <v/>
      </c>
      <c r="G864" s="3">
        <f>IF(F864="","",(F864-AVERAGE(F6:F1198))/(STDEV(F6:F1198)+1E-12))</f>
        <v/>
      </c>
      <c r="H864" s="3">
        <f>IF('3a Raw'!F864="","",MAX(-3,MIN(3,('3a Raw'!F864-$H3)/$H4)))</f>
        <v/>
      </c>
      <c r="I864" s="3">
        <f>IF(H864="","",(H864-AVERAGE(H6:H1198))/(STDEV(H6:H1198)+1E-12))</f>
        <v/>
      </c>
      <c r="J864" s="3">
        <f>IF('3a Raw'!G864="","",MAX(-3,MIN(3,('3a Raw'!G864-$J3)/$J4)))</f>
        <v/>
      </c>
      <c r="K864" s="3">
        <f>IF(J864="","",(J864-AVERAGE(J6:J1198))/(STDEV(J6:J1198)+1E-12))</f>
        <v/>
      </c>
      <c r="L864" s="3">
        <f>IF('3a Raw'!H864="","",MAX(-3,MIN(3,('3a Raw'!H864-$L3)/$L4)))</f>
        <v/>
      </c>
      <c r="M864" s="3">
        <f>IF(L864="","",(L864-AVERAGE(L6:L1198))/(STDEV(L6:L1198)+1E-12))</f>
        <v/>
      </c>
      <c r="N864" s="3">
        <f>IF('3a Raw'!I864="","",MAX(-3,MIN(3,('3a Raw'!I864-$N3)/$N4)))</f>
        <v/>
      </c>
      <c r="O864" s="3">
        <f>IF(N864="","",(N864-AVERAGE(N6:N1198))/(STDEV(N6:N1198)+1E-12))</f>
        <v/>
      </c>
      <c r="P864" s="3">
        <f>IF('3a Raw'!J864="","",MAX(-3,MIN(3,('3a Raw'!J864-$P3)/$P4)))</f>
        <v/>
      </c>
      <c r="Q864" s="3">
        <f>IF(P864="","",(P864-AVERAGE(P6:P1198))/(STDEV(P6:P1198)+1E-12))</f>
        <v/>
      </c>
      <c r="R864" s="3">
        <f>IF('3a Raw'!K864="","",MAX(-3,MIN(3,('3a Raw'!K864-$R3)/$R4)))</f>
        <v/>
      </c>
      <c r="S864" s="3">
        <f>IF(R864="","",(R864-AVERAGE(R6:R1198))/(STDEV(R6:R1198)+1E-12))</f>
        <v/>
      </c>
      <c r="T864" s="3">
        <f>IF('3a Raw'!L864="","",MAX(-3,MIN(3,('3a Raw'!L864-$T3)/$T4)))</f>
        <v/>
      </c>
      <c r="U864" s="3">
        <f>IF(T864="","",(T864-AVERAGE(T6:T1198))/(STDEV(T6:T1198)+1E-12))</f>
        <v/>
      </c>
      <c r="X864" s="3">
        <f>IF(U864="","",U864-($V$3*G864+$W$3))</f>
        <v/>
      </c>
      <c r="Y864" s="3">
        <f>IF(X864="","",MAX(-3,MIN(3,(X864-$X3)/$X4)))</f>
        <v/>
      </c>
      <c r="Z864" s="3">
        <f>IF(Y864="","",(Y864-AVERAGE(Y6:Y1198))/(STDEV(Y6:Y1198)+1E-12))</f>
        <v/>
      </c>
    </row>
    <row r="865">
      <c r="A865" t="inlineStr">
        <is>
          <t>podd</t>
        </is>
      </c>
      <c r="B865" s="3">
        <f>IF('3a Raw'!C865="","",MAX(-3,MIN(3,('3a Raw'!C865-$B3)/$B4)))</f>
        <v/>
      </c>
      <c r="C865" s="3">
        <f>IF(B865="","",(B865-AVERAGE(B6:B1198))/(STDEV(B6:B1198)+1E-12))</f>
        <v/>
      </c>
      <c r="D865" s="3">
        <f>IF('3a Raw'!D865="","",MAX(-3,MIN(3,('3a Raw'!D865-$D3)/$D4)))</f>
        <v/>
      </c>
      <c r="E865" s="3">
        <f>IF(D865="","",(D865-AVERAGE(D6:D1198))/(STDEV(D6:D1198)+1E-12))</f>
        <v/>
      </c>
      <c r="F865" s="3">
        <f>IF('3a Raw'!E865="","",MAX(-3,MIN(3,('3a Raw'!E865-$F3)/$F4)))</f>
        <v/>
      </c>
      <c r="G865" s="3">
        <f>IF(F865="","",(F865-AVERAGE(F6:F1198))/(STDEV(F6:F1198)+1E-12))</f>
        <v/>
      </c>
      <c r="H865" s="3">
        <f>IF('3a Raw'!F865="","",MAX(-3,MIN(3,('3a Raw'!F865-$H3)/$H4)))</f>
        <v/>
      </c>
      <c r="I865" s="3">
        <f>IF(H865="","",(H865-AVERAGE(H6:H1198))/(STDEV(H6:H1198)+1E-12))</f>
        <v/>
      </c>
      <c r="J865" s="3">
        <f>IF('3a Raw'!G865="","",MAX(-3,MIN(3,('3a Raw'!G865-$J3)/$J4)))</f>
        <v/>
      </c>
      <c r="K865" s="3">
        <f>IF(J865="","",(J865-AVERAGE(J6:J1198))/(STDEV(J6:J1198)+1E-12))</f>
        <v/>
      </c>
      <c r="L865" s="3">
        <f>IF('3a Raw'!H865="","",MAX(-3,MIN(3,('3a Raw'!H865-$L3)/$L4)))</f>
        <v/>
      </c>
      <c r="M865" s="3">
        <f>IF(L865="","",(L865-AVERAGE(L6:L1198))/(STDEV(L6:L1198)+1E-12))</f>
        <v/>
      </c>
      <c r="N865" s="3">
        <f>IF('3a Raw'!I865="","",MAX(-3,MIN(3,('3a Raw'!I865-$N3)/$N4)))</f>
        <v/>
      </c>
      <c r="O865" s="3">
        <f>IF(N865="","",(N865-AVERAGE(N6:N1198))/(STDEV(N6:N1198)+1E-12))</f>
        <v/>
      </c>
      <c r="P865" s="3">
        <f>IF('3a Raw'!J865="","",MAX(-3,MIN(3,('3a Raw'!J865-$P3)/$P4)))</f>
        <v/>
      </c>
      <c r="Q865" s="3">
        <f>IF(P865="","",(P865-AVERAGE(P6:P1198))/(STDEV(P6:P1198)+1E-12))</f>
        <v/>
      </c>
      <c r="R865" s="3">
        <f>IF('3a Raw'!K865="","",MAX(-3,MIN(3,('3a Raw'!K865-$R3)/$R4)))</f>
        <v/>
      </c>
      <c r="S865" s="3">
        <f>IF(R865="","",(R865-AVERAGE(R6:R1198))/(STDEV(R6:R1198)+1E-12))</f>
        <v/>
      </c>
      <c r="T865" s="3">
        <f>IF('3a Raw'!L865="","",MAX(-3,MIN(3,('3a Raw'!L865-$T3)/$T4)))</f>
        <v/>
      </c>
      <c r="U865" s="3">
        <f>IF(T865="","",(T865-AVERAGE(T6:T1198))/(STDEV(T6:T1198)+1E-12))</f>
        <v/>
      </c>
      <c r="X865" s="3">
        <f>IF(U865="","",U865-($V$3*G865+$W$3))</f>
        <v/>
      </c>
      <c r="Y865" s="3">
        <f>IF(X865="","",MAX(-3,MIN(3,(X865-$X3)/$X4)))</f>
        <v/>
      </c>
      <c r="Z865" s="3">
        <f>IF(Y865="","",(Y865-AVERAGE(Y6:Y1198))/(STDEV(Y6:Y1198)+1E-12))</f>
        <v/>
      </c>
    </row>
    <row r="866">
      <c r="A866" t="inlineStr">
        <is>
          <t>BBG01QDDKJ40</t>
        </is>
      </c>
      <c r="B866" s="3">
        <f>IF('3a Raw'!C866="","",MAX(-3,MIN(3,('3a Raw'!C866-$B3)/$B4)))</f>
        <v/>
      </c>
      <c r="C866" s="3">
        <f>IF(B866="","",(B866-AVERAGE(B6:B1198))/(STDEV(B6:B1198)+1E-12))</f>
        <v/>
      </c>
      <c r="D866" s="3">
        <f>IF('3a Raw'!D866="","",MAX(-3,MIN(3,('3a Raw'!D866-$D3)/$D4)))</f>
        <v/>
      </c>
      <c r="E866" s="3">
        <f>IF(D866="","",(D866-AVERAGE(D6:D1198))/(STDEV(D6:D1198)+1E-12))</f>
        <v/>
      </c>
      <c r="F866" s="3">
        <f>IF('3a Raw'!E866="","",MAX(-3,MIN(3,('3a Raw'!E866-$F3)/$F4)))</f>
        <v/>
      </c>
      <c r="G866" s="3">
        <f>IF(F866="","",(F866-AVERAGE(F6:F1198))/(STDEV(F6:F1198)+1E-12))</f>
        <v/>
      </c>
      <c r="H866" s="3">
        <f>IF('3a Raw'!F866="","",MAX(-3,MIN(3,('3a Raw'!F866-$H3)/$H4)))</f>
        <v/>
      </c>
      <c r="I866" s="3">
        <f>IF(H866="","",(H866-AVERAGE(H6:H1198))/(STDEV(H6:H1198)+1E-12))</f>
        <v/>
      </c>
      <c r="J866" s="3">
        <f>IF('3a Raw'!G866="","",MAX(-3,MIN(3,('3a Raw'!G866-$J3)/$J4)))</f>
        <v/>
      </c>
      <c r="K866" s="3">
        <f>IF(J866="","",(J866-AVERAGE(J6:J1198))/(STDEV(J6:J1198)+1E-12))</f>
        <v/>
      </c>
      <c r="L866" s="3">
        <f>IF('3a Raw'!H866="","",MAX(-3,MIN(3,('3a Raw'!H866-$L3)/$L4)))</f>
        <v/>
      </c>
      <c r="M866" s="3">
        <f>IF(L866="","",(L866-AVERAGE(L6:L1198))/(STDEV(L6:L1198)+1E-12))</f>
        <v/>
      </c>
      <c r="N866" s="3">
        <f>IF('3a Raw'!I866="","",MAX(-3,MIN(3,('3a Raw'!I866-$N3)/$N4)))</f>
        <v/>
      </c>
      <c r="O866" s="3">
        <f>IF(N866="","",(N866-AVERAGE(N6:N1198))/(STDEV(N6:N1198)+1E-12))</f>
        <v/>
      </c>
      <c r="P866" s="3">
        <f>IF('3a Raw'!J866="","",MAX(-3,MIN(3,('3a Raw'!J866-$P3)/$P4)))</f>
        <v/>
      </c>
      <c r="Q866" s="3">
        <f>IF(P866="","",(P866-AVERAGE(P6:P1198))/(STDEV(P6:P1198)+1E-12))</f>
        <v/>
      </c>
      <c r="R866" s="3">
        <f>IF('3a Raw'!K866="","",MAX(-3,MIN(3,('3a Raw'!K866-$R3)/$R4)))</f>
        <v/>
      </c>
      <c r="S866" s="3">
        <f>IF(R866="","",(R866-AVERAGE(R6:R1198))/(STDEV(R6:R1198)+1E-12))</f>
        <v/>
      </c>
      <c r="T866" s="3">
        <f>IF('3a Raw'!L866="","",MAX(-3,MIN(3,('3a Raw'!L866-$T3)/$T4)))</f>
        <v/>
      </c>
      <c r="U866" s="3">
        <f>IF(T866="","",(T866-AVERAGE(T6:T1198))/(STDEV(T6:T1198)+1E-12))</f>
        <v/>
      </c>
      <c r="X866" s="3">
        <f>IF(U866="","",U866-($V$3*G866+$W$3))</f>
        <v/>
      </c>
      <c r="Y866" s="3">
        <f>IF(X866="","",MAX(-3,MIN(3,(X866-$X3)/$X4)))</f>
        <v/>
      </c>
      <c r="Z866" s="3">
        <f>IF(Y866="","",(Y866-AVERAGE(Y6:Y1198))/(STDEV(Y6:Y1198)+1E-12))</f>
        <v/>
      </c>
    </row>
    <row r="867">
      <c r="A867" t="inlineStr">
        <is>
          <t>BBG000BCVG28</t>
        </is>
      </c>
      <c r="B867" s="3">
        <f>IF('3a Raw'!C867="","",MAX(-3,MIN(3,('3a Raw'!C867-$B3)/$B4)))</f>
        <v/>
      </c>
      <c r="C867" s="3">
        <f>IF(B867="","",(B867-AVERAGE(B6:B1198))/(STDEV(B6:B1198)+1E-12))</f>
        <v/>
      </c>
      <c r="D867" s="3">
        <f>IF('3a Raw'!D867="","",MAX(-3,MIN(3,('3a Raw'!D867-$D3)/$D4)))</f>
        <v/>
      </c>
      <c r="E867" s="3">
        <f>IF(D867="","",(D867-AVERAGE(D6:D1198))/(STDEV(D6:D1198)+1E-12))</f>
        <v/>
      </c>
      <c r="F867" s="3">
        <f>IF('3a Raw'!E867="","",MAX(-3,MIN(3,('3a Raw'!E867-$F3)/$F4)))</f>
        <v/>
      </c>
      <c r="G867" s="3">
        <f>IF(F867="","",(F867-AVERAGE(F6:F1198))/(STDEV(F6:F1198)+1E-12))</f>
        <v/>
      </c>
      <c r="H867" s="3">
        <f>IF('3a Raw'!F867="","",MAX(-3,MIN(3,('3a Raw'!F867-$H3)/$H4)))</f>
        <v/>
      </c>
      <c r="I867" s="3">
        <f>IF(H867="","",(H867-AVERAGE(H6:H1198))/(STDEV(H6:H1198)+1E-12))</f>
        <v/>
      </c>
      <c r="J867" s="3">
        <f>IF('3a Raw'!G867="","",MAX(-3,MIN(3,('3a Raw'!G867-$J3)/$J4)))</f>
        <v/>
      </c>
      <c r="K867" s="3">
        <f>IF(J867="","",(J867-AVERAGE(J6:J1198))/(STDEV(J6:J1198)+1E-12))</f>
        <v/>
      </c>
      <c r="L867" s="3">
        <f>IF('3a Raw'!H867="","",MAX(-3,MIN(3,('3a Raw'!H867-$L3)/$L4)))</f>
        <v/>
      </c>
      <c r="M867" s="3">
        <f>IF(L867="","",(L867-AVERAGE(L6:L1198))/(STDEV(L6:L1198)+1E-12))</f>
        <v/>
      </c>
      <c r="N867" s="3">
        <f>IF('3a Raw'!I867="","",MAX(-3,MIN(3,('3a Raw'!I867-$N3)/$N4)))</f>
        <v/>
      </c>
      <c r="O867" s="3">
        <f>IF(N867="","",(N867-AVERAGE(N6:N1198))/(STDEV(N6:N1198)+1E-12))</f>
        <v/>
      </c>
      <c r="P867" s="3">
        <f>IF('3a Raw'!J867="","",MAX(-3,MIN(3,('3a Raw'!J867-$P3)/$P4)))</f>
        <v/>
      </c>
      <c r="Q867" s="3">
        <f>IF(P867="","",(P867-AVERAGE(P6:P1198))/(STDEV(P6:P1198)+1E-12))</f>
        <v/>
      </c>
      <c r="R867" s="3">
        <f>IF('3a Raw'!K867="","",MAX(-3,MIN(3,('3a Raw'!K867-$R3)/$R4)))</f>
        <v/>
      </c>
      <c r="S867" s="3">
        <f>IF(R867="","",(R867-AVERAGE(R6:R1198))/(STDEV(R6:R1198)+1E-12))</f>
        <v/>
      </c>
      <c r="T867" s="3">
        <f>IF('3a Raw'!L867="","",MAX(-3,MIN(3,('3a Raw'!L867-$T3)/$T4)))</f>
        <v/>
      </c>
      <c r="U867" s="3">
        <f>IF(T867="","",(T867-AVERAGE(T6:T1198))/(STDEV(T6:T1198)+1E-12))</f>
        <v/>
      </c>
      <c r="X867" s="3">
        <f>IF(U867="","",U867-($V$3*G867+$W$3))</f>
        <v/>
      </c>
      <c r="Y867" s="3">
        <f>IF(X867="","",MAX(-3,MIN(3,(X867-$X3)/$X4)))</f>
        <v/>
      </c>
      <c r="Z867" s="3">
        <f>IF(Y867="","",(Y867-AVERAGE(Y6:Y1198))/(STDEV(Y6:Y1198)+1E-12))</f>
        <v/>
      </c>
    </row>
    <row r="868">
      <c r="A868" t="inlineStr">
        <is>
          <t>BBG000BCRMW7</t>
        </is>
      </c>
      <c r="B868" s="3">
        <f>IF('3a Raw'!C868="","",MAX(-3,MIN(3,('3a Raw'!C868-$B3)/$B4)))</f>
        <v/>
      </c>
      <c r="C868" s="3">
        <f>IF(B868="","",(B868-AVERAGE(B6:B1198))/(STDEV(B6:B1198)+1E-12))</f>
        <v/>
      </c>
      <c r="D868" s="3">
        <f>IF('3a Raw'!D868="","",MAX(-3,MIN(3,('3a Raw'!D868-$D3)/$D4)))</f>
        <v/>
      </c>
      <c r="E868" s="3">
        <f>IF(D868="","",(D868-AVERAGE(D6:D1198))/(STDEV(D6:D1198)+1E-12))</f>
        <v/>
      </c>
      <c r="F868" s="3">
        <f>IF('3a Raw'!E868="","",MAX(-3,MIN(3,('3a Raw'!E868-$F3)/$F4)))</f>
        <v/>
      </c>
      <c r="G868" s="3">
        <f>IF(F868="","",(F868-AVERAGE(F6:F1198))/(STDEV(F6:F1198)+1E-12))</f>
        <v/>
      </c>
      <c r="H868" s="3">
        <f>IF('3a Raw'!F868="","",MAX(-3,MIN(3,('3a Raw'!F868-$H3)/$H4)))</f>
        <v/>
      </c>
      <c r="I868" s="3">
        <f>IF(H868="","",(H868-AVERAGE(H6:H1198))/(STDEV(H6:H1198)+1E-12))</f>
        <v/>
      </c>
      <c r="J868" s="3">
        <f>IF('3a Raw'!G868="","",MAX(-3,MIN(3,('3a Raw'!G868-$J3)/$J4)))</f>
        <v/>
      </c>
      <c r="K868" s="3">
        <f>IF(J868="","",(J868-AVERAGE(J6:J1198))/(STDEV(J6:J1198)+1E-12))</f>
        <v/>
      </c>
      <c r="L868" s="3">
        <f>IF('3a Raw'!H868="","",MAX(-3,MIN(3,('3a Raw'!H868-$L3)/$L4)))</f>
        <v/>
      </c>
      <c r="M868" s="3">
        <f>IF(L868="","",(L868-AVERAGE(L6:L1198))/(STDEV(L6:L1198)+1E-12))</f>
        <v/>
      </c>
      <c r="N868" s="3">
        <f>IF('3a Raw'!I868="","",MAX(-3,MIN(3,('3a Raw'!I868-$N3)/$N4)))</f>
        <v/>
      </c>
      <c r="O868" s="3">
        <f>IF(N868="","",(N868-AVERAGE(N6:N1198))/(STDEV(N6:N1198)+1E-12))</f>
        <v/>
      </c>
      <c r="P868" s="3">
        <f>IF('3a Raw'!J868="","",MAX(-3,MIN(3,('3a Raw'!J868-$P3)/$P4)))</f>
        <v/>
      </c>
      <c r="Q868" s="3">
        <f>IF(P868="","",(P868-AVERAGE(P6:P1198))/(STDEV(P6:P1198)+1E-12))</f>
        <v/>
      </c>
      <c r="R868" s="3">
        <f>IF('3a Raw'!K868="","",MAX(-3,MIN(3,('3a Raw'!K868-$R3)/$R4)))</f>
        <v/>
      </c>
      <c r="S868" s="3">
        <f>IF(R868="","",(R868-AVERAGE(R6:R1198))/(STDEV(R6:R1198)+1E-12))</f>
        <v/>
      </c>
      <c r="T868" s="3">
        <f>IF('3a Raw'!L868="","",MAX(-3,MIN(3,('3a Raw'!L868-$T3)/$T4)))</f>
        <v/>
      </c>
      <c r="U868" s="3">
        <f>IF(T868="","",(T868-AVERAGE(T6:T1198))/(STDEV(T6:T1198)+1E-12))</f>
        <v/>
      </c>
      <c r="X868" s="3">
        <f>IF(U868="","",U868-($V$3*G868+$W$3))</f>
        <v/>
      </c>
      <c r="Y868" s="3">
        <f>IF(X868="","",MAX(-3,MIN(3,(X868-$X3)/$X4)))</f>
        <v/>
      </c>
      <c r="Z868" s="3">
        <f>IF(Y868="","",(Y868-AVERAGE(Y6:Y1198))/(STDEV(Y6:Y1198)+1E-12))</f>
        <v/>
      </c>
    </row>
    <row r="869">
      <c r="A869" t="inlineStr">
        <is>
          <t>BBG000BTT3D1</t>
        </is>
      </c>
      <c r="B869" s="3">
        <f>IF('3a Raw'!C869="","",MAX(-3,MIN(3,('3a Raw'!C869-$B3)/$B4)))</f>
        <v/>
      </c>
      <c r="C869" s="3">
        <f>IF(B869="","",(B869-AVERAGE(B6:B1198))/(STDEV(B6:B1198)+1E-12))</f>
        <v/>
      </c>
      <c r="D869" s="3">
        <f>IF('3a Raw'!D869="","",MAX(-3,MIN(3,('3a Raw'!D869-$D3)/$D4)))</f>
        <v/>
      </c>
      <c r="E869" s="3">
        <f>IF(D869="","",(D869-AVERAGE(D6:D1198))/(STDEV(D6:D1198)+1E-12))</f>
        <v/>
      </c>
      <c r="F869" s="3">
        <f>IF('3a Raw'!E869="","",MAX(-3,MIN(3,('3a Raw'!E869-$F3)/$F4)))</f>
        <v/>
      </c>
      <c r="G869" s="3">
        <f>IF(F869="","",(F869-AVERAGE(F6:F1198))/(STDEV(F6:F1198)+1E-12))</f>
        <v/>
      </c>
      <c r="H869" s="3">
        <f>IF('3a Raw'!F869="","",MAX(-3,MIN(3,('3a Raw'!F869-$H3)/$H4)))</f>
        <v/>
      </c>
      <c r="I869" s="3">
        <f>IF(H869="","",(H869-AVERAGE(H6:H1198))/(STDEV(H6:H1198)+1E-12))</f>
        <v/>
      </c>
      <c r="J869" s="3">
        <f>IF('3a Raw'!G869="","",MAX(-3,MIN(3,('3a Raw'!G869-$J3)/$J4)))</f>
        <v/>
      </c>
      <c r="K869" s="3">
        <f>IF(J869="","",(J869-AVERAGE(J6:J1198))/(STDEV(J6:J1198)+1E-12))</f>
        <v/>
      </c>
      <c r="L869" s="3">
        <f>IF('3a Raw'!H869="","",MAX(-3,MIN(3,('3a Raw'!H869-$L3)/$L4)))</f>
        <v/>
      </c>
      <c r="M869" s="3">
        <f>IF(L869="","",(L869-AVERAGE(L6:L1198))/(STDEV(L6:L1198)+1E-12))</f>
        <v/>
      </c>
      <c r="N869" s="3">
        <f>IF('3a Raw'!I869="","",MAX(-3,MIN(3,('3a Raw'!I869-$N3)/$N4)))</f>
        <v/>
      </c>
      <c r="O869" s="3">
        <f>IF(N869="","",(N869-AVERAGE(N6:N1198))/(STDEV(N6:N1198)+1E-12))</f>
        <v/>
      </c>
      <c r="P869" s="3">
        <f>IF('3a Raw'!J869="","",MAX(-3,MIN(3,('3a Raw'!J869-$P3)/$P4)))</f>
        <v/>
      </c>
      <c r="Q869" s="3">
        <f>IF(P869="","",(P869-AVERAGE(P6:P1198))/(STDEV(P6:P1198)+1E-12))</f>
        <v/>
      </c>
      <c r="R869" s="3">
        <f>IF('3a Raw'!K869="","",MAX(-3,MIN(3,('3a Raw'!K869-$R3)/$R4)))</f>
        <v/>
      </c>
      <c r="S869" s="3">
        <f>IF(R869="","",(R869-AVERAGE(R6:R1198))/(STDEV(R6:R1198)+1E-12))</f>
        <v/>
      </c>
      <c r="T869" s="3">
        <f>IF('3a Raw'!L869="","",MAX(-3,MIN(3,('3a Raw'!L869-$T3)/$T4)))</f>
        <v/>
      </c>
      <c r="U869" s="3">
        <f>IF(T869="","",(T869-AVERAGE(T6:T1198))/(STDEV(T6:T1198)+1E-12))</f>
        <v/>
      </c>
      <c r="X869" s="3">
        <f>IF(U869="","",U869-($V$3*G869+$W$3))</f>
        <v/>
      </c>
      <c r="Y869" s="3">
        <f>IF(X869="","",MAX(-3,MIN(3,(X869-$X3)/$X4)))</f>
        <v/>
      </c>
      <c r="Z869" s="3">
        <f>IF(Y869="","",(Y869-AVERAGE(Y6:Y1198))/(STDEV(Y6:Y1198)+1E-12))</f>
        <v/>
      </c>
    </row>
    <row r="870">
      <c r="A870" t="inlineStr">
        <is>
          <t>BBG000BFLXV3</t>
        </is>
      </c>
      <c r="B870" s="3">
        <f>IF('3a Raw'!C870="","",MAX(-3,MIN(3,('3a Raw'!C870-$B3)/$B4)))</f>
        <v/>
      </c>
      <c r="C870" s="3">
        <f>IF(B870="","",(B870-AVERAGE(B6:B1198))/(STDEV(B6:B1198)+1E-12))</f>
        <v/>
      </c>
      <c r="D870" s="3">
        <f>IF('3a Raw'!D870="","",MAX(-3,MIN(3,('3a Raw'!D870-$D3)/$D4)))</f>
        <v/>
      </c>
      <c r="E870" s="3">
        <f>IF(D870="","",(D870-AVERAGE(D6:D1198))/(STDEV(D6:D1198)+1E-12))</f>
        <v/>
      </c>
      <c r="F870" s="3">
        <f>IF('3a Raw'!E870="","",MAX(-3,MIN(3,('3a Raw'!E870-$F3)/$F4)))</f>
        <v/>
      </c>
      <c r="G870" s="3">
        <f>IF(F870="","",(F870-AVERAGE(F6:F1198))/(STDEV(F6:F1198)+1E-12))</f>
        <v/>
      </c>
      <c r="H870" s="3">
        <f>IF('3a Raw'!F870="","",MAX(-3,MIN(3,('3a Raw'!F870-$H3)/$H4)))</f>
        <v/>
      </c>
      <c r="I870" s="3">
        <f>IF(H870="","",(H870-AVERAGE(H6:H1198))/(STDEV(H6:H1198)+1E-12))</f>
        <v/>
      </c>
      <c r="J870" s="3">
        <f>IF('3a Raw'!G870="","",MAX(-3,MIN(3,('3a Raw'!G870-$J3)/$J4)))</f>
        <v/>
      </c>
      <c r="K870" s="3">
        <f>IF(J870="","",(J870-AVERAGE(J6:J1198))/(STDEV(J6:J1198)+1E-12))</f>
        <v/>
      </c>
      <c r="L870" s="3">
        <f>IF('3a Raw'!H870="","",MAX(-3,MIN(3,('3a Raw'!H870-$L3)/$L4)))</f>
        <v/>
      </c>
      <c r="M870" s="3">
        <f>IF(L870="","",(L870-AVERAGE(L6:L1198))/(STDEV(L6:L1198)+1E-12))</f>
        <v/>
      </c>
      <c r="N870" s="3">
        <f>IF('3a Raw'!I870="","",MAX(-3,MIN(3,('3a Raw'!I870-$N3)/$N4)))</f>
        <v/>
      </c>
      <c r="O870" s="3">
        <f>IF(N870="","",(N870-AVERAGE(N6:N1198))/(STDEV(N6:N1198)+1E-12))</f>
        <v/>
      </c>
      <c r="P870" s="3">
        <f>IF('3a Raw'!J870="","",MAX(-3,MIN(3,('3a Raw'!J870-$P3)/$P4)))</f>
        <v/>
      </c>
      <c r="Q870" s="3">
        <f>IF(P870="","",(P870-AVERAGE(P6:P1198))/(STDEV(P6:P1198)+1E-12))</f>
        <v/>
      </c>
      <c r="R870" s="3">
        <f>IF('3a Raw'!K870="","",MAX(-3,MIN(3,('3a Raw'!K870-$R3)/$R4)))</f>
        <v/>
      </c>
      <c r="S870" s="3">
        <f>IF(R870="","",(R870-AVERAGE(R6:R1198))/(STDEV(R6:R1198)+1E-12))</f>
        <v/>
      </c>
      <c r="T870" s="3">
        <f>IF('3a Raw'!L870="","",MAX(-3,MIN(3,('3a Raw'!L870-$T3)/$T4)))</f>
        <v/>
      </c>
      <c r="U870" s="3">
        <f>IF(T870="","",(T870-AVERAGE(T6:T1198))/(STDEV(T6:T1198)+1E-12))</f>
        <v/>
      </c>
      <c r="X870" s="3">
        <f>IF(U870="","",U870-($V$3*G870+$W$3))</f>
        <v/>
      </c>
      <c r="Y870" s="3">
        <f>IF(X870="","",MAX(-3,MIN(3,(X870-$X3)/$X4)))</f>
        <v/>
      </c>
      <c r="Z870" s="3">
        <f>IF(Y870="","",(Y870-AVERAGE(Y6:Y1198))/(STDEV(Y6:Y1198)+1E-12))</f>
        <v/>
      </c>
    </row>
    <row r="871">
      <c r="A871" t="inlineStr">
        <is>
          <t>BBG000BRJ809</t>
        </is>
      </c>
      <c r="B871" s="3">
        <f>IF('3a Raw'!C871="","",MAX(-3,MIN(3,('3a Raw'!C871-$B3)/$B4)))</f>
        <v/>
      </c>
      <c r="C871" s="3">
        <f>IF(B871="","",(B871-AVERAGE(B6:B1198))/(STDEV(B6:B1198)+1E-12))</f>
        <v/>
      </c>
      <c r="D871" s="3">
        <f>IF('3a Raw'!D871="","",MAX(-3,MIN(3,('3a Raw'!D871-$D3)/$D4)))</f>
        <v/>
      </c>
      <c r="E871" s="3">
        <f>IF(D871="","",(D871-AVERAGE(D6:D1198))/(STDEV(D6:D1198)+1E-12))</f>
        <v/>
      </c>
      <c r="F871" s="3">
        <f>IF('3a Raw'!E871="","",MAX(-3,MIN(3,('3a Raw'!E871-$F3)/$F4)))</f>
        <v/>
      </c>
      <c r="G871" s="3">
        <f>IF(F871="","",(F871-AVERAGE(F6:F1198))/(STDEV(F6:F1198)+1E-12))</f>
        <v/>
      </c>
      <c r="H871" s="3">
        <f>IF('3a Raw'!F871="","",MAX(-3,MIN(3,('3a Raw'!F871-$H3)/$H4)))</f>
        <v/>
      </c>
      <c r="I871" s="3">
        <f>IF(H871="","",(H871-AVERAGE(H6:H1198))/(STDEV(H6:H1198)+1E-12))</f>
        <v/>
      </c>
      <c r="J871" s="3">
        <f>IF('3a Raw'!G871="","",MAX(-3,MIN(3,('3a Raw'!G871-$J3)/$J4)))</f>
        <v/>
      </c>
      <c r="K871" s="3">
        <f>IF(J871="","",(J871-AVERAGE(J6:J1198))/(STDEV(J6:J1198)+1E-12))</f>
        <v/>
      </c>
      <c r="L871" s="3">
        <f>IF('3a Raw'!H871="","",MAX(-3,MIN(3,('3a Raw'!H871-$L3)/$L4)))</f>
        <v/>
      </c>
      <c r="M871" s="3">
        <f>IF(L871="","",(L871-AVERAGE(L6:L1198))/(STDEV(L6:L1198)+1E-12))</f>
        <v/>
      </c>
      <c r="N871" s="3">
        <f>IF('3a Raw'!I871="","",MAX(-3,MIN(3,('3a Raw'!I871-$N3)/$N4)))</f>
        <v/>
      </c>
      <c r="O871" s="3">
        <f>IF(N871="","",(N871-AVERAGE(N6:N1198))/(STDEV(N6:N1198)+1E-12))</f>
        <v/>
      </c>
      <c r="P871" s="3">
        <f>IF('3a Raw'!J871="","",MAX(-3,MIN(3,('3a Raw'!J871-$P3)/$P4)))</f>
        <v/>
      </c>
      <c r="Q871" s="3">
        <f>IF(P871="","",(P871-AVERAGE(P6:P1198))/(STDEV(P6:P1198)+1E-12))</f>
        <v/>
      </c>
      <c r="R871" s="3">
        <f>IF('3a Raw'!K871="","",MAX(-3,MIN(3,('3a Raw'!K871-$R3)/$R4)))</f>
        <v/>
      </c>
      <c r="S871" s="3">
        <f>IF(R871="","",(R871-AVERAGE(R6:R1198))/(STDEV(R6:R1198)+1E-12))</f>
        <v/>
      </c>
      <c r="T871" s="3">
        <f>IF('3a Raw'!L871="","",MAX(-3,MIN(3,('3a Raw'!L871-$T3)/$T4)))</f>
        <v/>
      </c>
      <c r="U871" s="3">
        <f>IF(T871="","",(T871-AVERAGE(T6:T1198))/(STDEV(T6:T1198)+1E-12))</f>
        <v/>
      </c>
      <c r="X871" s="3">
        <f>IF(U871="","",U871-($V$3*G871+$W$3))</f>
        <v/>
      </c>
      <c r="Y871" s="3">
        <f>IF(X871="","",MAX(-3,MIN(3,(X871-$X3)/$X4)))</f>
        <v/>
      </c>
      <c r="Z871" s="3">
        <f>IF(Y871="","",(Y871-AVERAGE(Y6:Y1198))/(STDEV(Y6:Y1198)+1E-12))</f>
        <v/>
      </c>
    </row>
    <row r="872">
      <c r="A872" t="inlineStr">
        <is>
          <t>BBG000BRJL00</t>
        </is>
      </c>
      <c r="B872" s="3">
        <f>IF('3a Raw'!C872="","",MAX(-3,MIN(3,('3a Raw'!C872-$B3)/$B4)))</f>
        <v/>
      </c>
      <c r="C872" s="3">
        <f>IF(B872="","",(B872-AVERAGE(B6:B1198))/(STDEV(B6:B1198)+1E-12))</f>
        <v/>
      </c>
      <c r="D872" s="3">
        <f>IF('3a Raw'!D872="","",MAX(-3,MIN(3,('3a Raw'!D872-$D3)/$D4)))</f>
        <v/>
      </c>
      <c r="E872" s="3">
        <f>IF(D872="","",(D872-AVERAGE(D6:D1198))/(STDEV(D6:D1198)+1E-12))</f>
        <v/>
      </c>
      <c r="F872" s="3">
        <f>IF('3a Raw'!E872="","",MAX(-3,MIN(3,('3a Raw'!E872-$F3)/$F4)))</f>
        <v/>
      </c>
      <c r="G872" s="3">
        <f>IF(F872="","",(F872-AVERAGE(F6:F1198))/(STDEV(F6:F1198)+1E-12))</f>
        <v/>
      </c>
      <c r="H872" s="3">
        <f>IF('3a Raw'!F872="","",MAX(-3,MIN(3,('3a Raw'!F872-$H3)/$H4)))</f>
        <v/>
      </c>
      <c r="I872" s="3">
        <f>IF(H872="","",(H872-AVERAGE(H6:H1198))/(STDEV(H6:H1198)+1E-12))</f>
        <v/>
      </c>
      <c r="J872" s="3">
        <f>IF('3a Raw'!G872="","",MAX(-3,MIN(3,('3a Raw'!G872-$J3)/$J4)))</f>
        <v/>
      </c>
      <c r="K872" s="3">
        <f>IF(J872="","",(J872-AVERAGE(J6:J1198))/(STDEV(J6:J1198)+1E-12))</f>
        <v/>
      </c>
      <c r="L872" s="3">
        <f>IF('3a Raw'!H872="","",MAX(-3,MIN(3,('3a Raw'!H872-$L3)/$L4)))</f>
        <v/>
      </c>
      <c r="M872" s="3">
        <f>IF(L872="","",(L872-AVERAGE(L6:L1198))/(STDEV(L6:L1198)+1E-12))</f>
        <v/>
      </c>
      <c r="N872" s="3">
        <f>IF('3a Raw'!I872="","",MAX(-3,MIN(3,('3a Raw'!I872-$N3)/$N4)))</f>
        <v/>
      </c>
      <c r="O872" s="3">
        <f>IF(N872="","",(N872-AVERAGE(N6:N1198))/(STDEV(N6:N1198)+1E-12))</f>
        <v/>
      </c>
      <c r="P872" s="3">
        <f>IF('3a Raw'!J872="","",MAX(-3,MIN(3,('3a Raw'!J872-$P3)/$P4)))</f>
        <v/>
      </c>
      <c r="Q872" s="3">
        <f>IF(P872="","",(P872-AVERAGE(P6:P1198))/(STDEV(P6:P1198)+1E-12))</f>
        <v/>
      </c>
      <c r="R872" s="3">
        <f>IF('3a Raw'!K872="","",MAX(-3,MIN(3,('3a Raw'!K872-$R3)/$R4)))</f>
        <v/>
      </c>
      <c r="S872" s="3">
        <f>IF(R872="","",(R872-AVERAGE(R6:R1198))/(STDEV(R6:R1198)+1E-12))</f>
        <v/>
      </c>
      <c r="T872" s="3">
        <f>IF('3a Raw'!L872="","",MAX(-3,MIN(3,('3a Raw'!L872-$T3)/$T4)))</f>
        <v/>
      </c>
      <c r="U872" s="3">
        <f>IF(T872="","",(T872-AVERAGE(T6:T1198))/(STDEV(T6:T1198)+1E-12))</f>
        <v/>
      </c>
      <c r="X872" s="3">
        <f>IF(U872="","",U872-($V$3*G872+$W$3))</f>
        <v/>
      </c>
      <c r="Y872" s="3">
        <f>IF(X872="","",MAX(-3,MIN(3,(X872-$X3)/$X4)))</f>
        <v/>
      </c>
      <c r="Z872" s="3">
        <f>IF(Y872="","",(Y872-AVERAGE(Y6:Y1198))/(STDEV(Y6:Y1198)+1E-12))</f>
        <v/>
      </c>
    </row>
    <row r="873">
      <c r="A873" t="inlineStr">
        <is>
          <t>BBG0024TXN82</t>
        </is>
      </c>
      <c r="B873" s="3">
        <f>IF('3a Raw'!C873="","",MAX(-3,MIN(3,('3a Raw'!C873-$B3)/$B4)))</f>
        <v/>
      </c>
      <c r="C873" s="3">
        <f>IF(B873="","",(B873-AVERAGE(B6:B1198))/(STDEV(B6:B1198)+1E-12))</f>
        <v/>
      </c>
      <c r="D873" s="3">
        <f>IF('3a Raw'!D873="","",MAX(-3,MIN(3,('3a Raw'!D873-$D3)/$D4)))</f>
        <v/>
      </c>
      <c r="E873" s="3">
        <f>IF(D873="","",(D873-AVERAGE(D6:D1198))/(STDEV(D6:D1198)+1E-12))</f>
        <v/>
      </c>
      <c r="F873" s="3">
        <f>IF('3a Raw'!E873="","",MAX(-3,MIN(3,('3a Raw'!E873-$F3)/$F4)))</f>
        <v/>
      </c>
      <c r="G873" s="3">
        <f>IF(F873="","",(F873-AVERAGE(F6:F1198))/(STDEV(F6:F1198)+1E-12))</f>
        <v/>
      </c>
      <c r="H873" s="3">
        <f>IF('3a Raw'!F873="","",MAX(-3,MIN(3,('3a Raw'!F873-$H3)/$H4)))</f>
        <v/>
      </c>
      <c r="I873" s="3">
        <f>IF(H873="","",(H873-AVERAGE(H6:H1198))/(STDEV(H6:H1198)+1E-12))</f>
        <v/>
      </c>
      <c r="J873" s="3">
        <f>IF('3a Raw'!G873="","",MAX(-3,MIN(3,('3a Raw'!G873-$J3)/$J4)))</f>
        <v/>
      </c>
      <c r="K873" s="3">
        <f>IF(J873="","",(J873-AVERAGE(J6:J1198))/(STDEV(J6:J1198)+1E-12))</f>
        <v/>
      </c>
      <c r="L873" s="3">
        <f>IF('3a Raw'!H873="","",MAX(-3,MIN(3,('3a Raw'!H873-$L3)/$L4)))</f>
        <v/>
      </c>
      <c r="M873" s="3">
        <f>IF(L873="","",(L873-AVERAGE(L6:L1198))/(STDEV(L6:L1198)+1E-12))</f>
        <v/>
      </c>
      <c r="N873" s="3">
        <f>IF('3a Raw'!I873="","",MAX(-3,MIN(3,('3a Raw'!I873-$N3)/$N4)))</f>
        <v/>
      </c>
      <c r="O873" s="3">
        <f>IF(N873="","",(N873-AVERAGE(N6:N1198))/(STDEV(N6:N1198)+1E-12))</f>
        <v/>
      </c>
      <c r="P873" s="3">
        <f>IF('3a Raw'!J873="","",MAX(-3,MIN(3,('3a Raw'!J873-$P3)/$P4)))</f>
        <v/>
      </c>
      <c r="Q873" s="3">
        <f>IF(P873="","",(P873-AVERAGE(P6:P1198))/(STDEV(P6:P1198)+1E-12))</f>
        <v/>
      </c>
      <c r="R873" s="3">
        <f>IF('3a Raw'!K873="","",MAX(-3,MIN(3,('3a Raw'!K873-$R3)/$R4)))</f>
        <v/>
      </c>
      <c r="S873" s="3">
        <f>IF(R873="","",(R873-AVERAGE(R6:R1198))/(STDEV(R6:R1198)+1E-12))</f>
        <v/>
      </c>
      <c r="T873" s="3">
        <f>IF('3a Raw'!L873="","",MAX(-3,MIN(3,('3a Raw'!L873-$T3)/$T4)))</f>
        <v/>
      </c>
      <c r="U873" s="3">
        <f>IF(T873="","",(T873-AVERAGE(T6:T1198))/(STDEV(T6:T1198)+1E-12))</f>
        <v/>
      </c>
      <c r="X873" s="3">
        <f>IF(U873="","",U873-($V$3*G873+$W$3))</f>
        <v/>
      </c>
      <c r="Y873" s="3">
        <f>IF(X873="","",MAX(-3,MIN(3,(X873-$X3)/$X4)))</f>
        <v/>
      </c>
      <c r="Z873" s="3">
        <f>IF(Y873="","",(Y873-AVERAGE(Y6:Y1198))/(STDEV(Y6:Y1198)+1E-12))</f>
        <v/>
      </c>
    </row>
    <row r="874">
      <c r="A874" t="inlineStr">
        <is>
          <t>BBG00CNYBQ76</t>
        </is>
      </c>
      <c r="B874" s="3">
        <f>IF('3a Raw'!C874="","",MAX(-3,MIN(3,('3a Raw'!C874-$B3)/$B4)))</f>
        <v/>
      </c>
      <c r="C874" s="3">
        <f>IF(B874="","",(B874-AVERAGE(B6:B1198))/(STDEV(B6:B1198)+1E-12))</f>
        <v/>
      </c>
      <c r="D874" s="3">
        <f>IF('3a Raw'!D874="","",MAX(-3,MIN(3,('3a Raw'!D874-$D3)/$D4)))</f>
        <v/>
      </c>
      <c r="E874" s="3">
        <f>IF(D874="","",(D874-AVERAGE(D6:D1198))/(STDEV(D6:D1198)+1E-12))</f>
        <v/>
      </c>
      <c r="F874" s="3">
        <f>IF('3a Raw'!E874="","",MAX(-3,MIN(3,('3a Raw'!E874-$F3)/$F4)))</f>
        <v/>
      </c>
      <c r="G874" s="3">
        <f>IF(F874="","",(F874-AVERAGE(F6:F1198))/(STDEV(F6:F1198)+1E-12))</f>
        <v/>
      </c>
      <c r="H874" s="3">
        <f>IF('3a Raw'!F874="","",MAX(-3,MIN(3,('3a Raw'!F874-$H3)/$H4)))</f>
        <v/>
      </c>
      <c r="I874" s="3">
        <f>IF(H874="","",(H874-AVERAGE(H6:H1198))/(STDEV(H6:H1198)+1E-12))</f>
        <v/>
      </c>
      <c r="J874" s="3">
        <f>IF('3a Raw'!G874="","",MAX(-3,MIN(3,('3a Raw'!G874-$J3)/$J4)))</f>
        <v/>
      </c>
      <c r="K874" s="3">
        <f>IF(J874="","",(J874-AVERAGE(J6:J1198))/(STDEV(J6:J1198)+1E-12))</f>
        <v/>
      </c>
      <c r="L874" s="3">
        <f>IF('3a Raw'!H874="","",MAX(-3,MIN(3,('3a Raw'!H874-$L3)/$L4)))</f>
        <v/>
      </c>
      <c r="M874" s="3">
        <f>IF(L874="","",(L874-AVERAGE(L6:L1198))/(STDEV(L6:L1198)+1E-12))</f>
        <v/>
      </c>
      <c r="N874" s="3">
        <f>IF('3a Raw'!I874="","",MAX(-3,MIN(3,('3a Raw'!I874-$N3)/$N4)))</f>
        <v/>
      </c>
      <c r="O874" s="3">
        <f>IF(N874="","",(N874-AVERAGE(N6:N1198))/(STDEV(N6:N1198)+1E-12))</f>
        <v/>
      </c>
      <c r="P874" s="3">
        <f>IF('3a Raw'!J874="","",MAX(-3,MIN(3,('3a Raw'!J874-$P3)/$P4)))</f>
        <v/>
      </c>
      <c r="Q874" s="3">
        <f>IF(P874="","",(P874-AVERAGE(P6:P1198))/(STDEV(P6:P1198)+1E-12))</f>
        <v/>
      </c>
      <c r="R874" s="3">
        <f>IF('3a Raw'!K874="","",MAX(-3,MIN(3,('3a Raw'!K874-$R3)/$R4)))</f>
        <v/>
      </c>
      <c r="S874" s="3">
        <f>IF(R874="","",(R874-AVERAGE(R6:R1198))/(STDEV(R6:R1198)+1E-12))</f>
        <v/>
      </c>
      <c r="T874" s="3">
        <f>IF('3a Raw'!L874="","",MAX(-3,MIN(3,('3a Raw'!L874-$T3)/$T4)))</f>
        <v/>
      </c>
      <c r="U874" s="3">
        <f>IF(T874="","",(T874-AVERAGE(T6:T1198))/(STDEV(T6:T1198)+1E-12))</f>
        <v/>
      </c>
      <c r="X874" s="3">
        <f>IF(U874="","",U874-($V$3*G874+$W$3))</f>
        <v/>
      </c>
      <c r="Y874" s="3">
        <f>IF(X874="","",MAX(-3,MIN(3,(X874-$X3)/$X4)))</f>
        <v/>
      </c>
      <c r="Z874" s="3">
        <f>IF(Y874="","",(Y874-AVERAGE(Y6:Y1198))/(STDEV(Y6:Y1198)+1E-12))</f>
        <v/>
      </c>
    </row>
    <row r="875">
      <c r="A875" t="inlineStr">
        <is>
          <t>BBG000BNTW77</t>
        </is>
      </c>
      <c r="B875" s="3">
        <f>IF('3a Raw'!C875="","",MAX(-3,MIN(3,('3a Raw'!C875-$B3)/$B4)))</f>
        <v/>
      </c>
      <c r="C875" s="3">
        <f>IF(B875="","",(B875-AVERAGE(B6:B1198))/(STDEV(B6:B1198)+1E-12))</f>
        <v/>
      </c>
      <c r="D875" s="3">
        <f>IF('3a Raw'!D875="","",MAX(-3,MIN(3,('3a Raw'!D875-$D3)/$D4)))</f>
        <v/>
      </c>
      <c r="E875" s="3">
        <f>IF(D875="","",(D875-AVERAGE(D6:D1198))/(STDEV(D6:D1198)+1E-12))</f>
        <v/>
      </c>
      <c r="F875" s="3">
        <f>IF('3a Raw'!E875="","",MAX(-3,MIN(3,('3a Raw'!E875-$F3)/$F4)))</f>
        <v/>
      </c>
      <c r="G875" s="3">
        <f>IF(F875="","",(F875-AVERAGE(F6:F1198))/(STDEV(F6:F1198)+1E-12))</f>
        <v/>
      </c>
      <c r="H875" s="3">
        <f>IF('3a Raw'!F875="","",MAX(-3,MIN(3,('3a Raw'!F875-$H3)/$H4)))</f>
        <v/>
      </c>
      <c r="I875" s="3">
        <f>IF(H875="","",(H875-AVERAGE(H6:H1198))/(STDEV(H6:H1198)+1E-12))</f>
        <v/>
      </c>
      <c r="J875" s="3">
        <f>IF('3a Raw'!G875="","",MAX(-3,MIN(3,('3a Raw'!G875-$J3)/$J4)))</f>
        <v/>
      </c>
      <c r="K875" s="3">
        <f>IF(J875="","",(J875-AVERAGE(J6:J1198))/(STDEV(J6:J1198)+1E-12))</f>
        <v/>
      </c>
      <c r="L875" s="3">
        <f>IF('3a Raw'!H875="","",MAX(-3,MIN(3,('3a Raw'!H875-$L3)/$L4)))</f>
        <v/>
      </c>
      <c r="M875" s="3">
        <f>IF(L875="","",(L875-AVERAGE(L6:L1198))/(STDEV(L6:L1198)+1E-12))</f>
        <v/>
      </c>
      <c r="N875" s="3">
        <f>IF('3a Raw'!I875="","",MAX(-3,MIN(3,('3a Raw'!I875-$N3)/$N4)))</f>
        <v/>
      </c>
      <c r="O875" s="3">
        <f>IF(N875="","",(N875-AVERAGE(N6:N1198))/(STDEV(N6:N1198)+1E-12))</f>
        <v/>
      </c>
      <c r="P875" s="3">
        <f>IF('3a Raw'!J875="","",MAX(-3,MIN(3,('3a Raw'!J875-$P3)/$P4)))</f>
        <v/>
      </c>
      <c r="Q875" s="3">
        <f>IF(P875="","",(P875-AVERAGE(P6:P1198))/(STDEV(P6:P1198)+1E-12))</f>
        <v/>
      </c>
      <c r="R875" s="3">
        <f>IF('3a Raw'!K875="","",MAX(-3,MIN(3,('3a Raw'!K875-$R3)/$R4)))</f>
        <v/>
      </c>
      <c r="S875" s="3">
        <f>IF(R875="","",(R875-AVERAGE(R6:R1198))/(STDEV(R6:R1198)+1E-12))</f>
        <v/>
      </c>
      <c r="T875" s="3">
        <f>IF('3a Raw'!L875="","",MAX(-3,MIN(3,('3a Raw'!L875-$T3)/$T4)))</f>
        <v/>
      </c>
      <c r="U875" s="3">
        <f>IF(T875="","",(T875-AVERAGE(T6:T1198))/(STDEV(T6:T1198)+1E-12))</f>
        <v/>
      </c>
      <c r="X875" s="3">
        <f>IF(U875="","",U875-($V$3*G875+$W$3))</f>
        <v/>
      </c>
      <c r="Y875" s="3">
        <f>IF(X875="","",MAX(-3,MIN(3,(X875-$X3)/$X4)))</f>
        <v/>
      </c>
      <c r="Z875" s="3">
        <f>IF(Y875="","",(Y875-AVERAGE(Y6:Y1198))/(STDEV(Y6:Y1198)+1E-12))</f>
        <v/>
      </c>
    </row>
    <row r="876">
      <c r="A876" t="inlineStr">
        <is>
          <t>BBG000C4QP94</t>
        </is>
      </c>
      <c r="B876" s="3">
        <f>IF('3a Raw'!C876="","",MAX(-3,MIN(3,('3a Raw'!C876-$B3)/$B4)))</f>
        <v/>
      </c>
      <c r="C876" s="3">
        <f>IF(B876="","",(B876-AVERAGE(B6:B1198))/(STDEV(B6:B1198)+1E-12))</f>
        <v/>
      </c>
      <c r="D876" s="3">
        <f>IF('3a Raw'!D876="","",MAX(-3,MIN(3,('3a Raw'!D876-$D3)/$D4)))</f>
        <v/>
      </c>
      <c r="E876" s="3">
        <f>IF(D876="","",(D876-AVERAGE(D6:D1198))/(STDEV(D6:D1198)+1E-12))</f>
        <v/>
      </c>
      <c r="F876" s="3">
        <f>IF('3a Raw'!E876="","",MAX(-3,MIN(3,('3a Raw'!E876-$F3)/$F4)))</f>
        <v/>
      </c>
      <c r="G876" s="3">
        <f>IF(F876="","",(F876-AVERAGE(F6:F1198))/(STDEV(F6:F1198)+1E-12))</f>
        <v/>
      </c>
      <c r="H876" s="3">
        <f>IF('3a Raw'!F876="","",MAX(-3,MIN(3,('3a Raw'!F876-$H3)/$H4)))</f>
        <v/>
      </c>
      <c r="I876" s="3">
        <f>IF(H876="","",(H876-AVERAGE(H6:H1198))/(STDEV(H6:H1198)+1E-12))</f>
        <v/>
      </c>
      <c r="J876" s="3">
        <f>IF('3a Raw'!G876="","",MAX(-3,MIN(3,('3a Raw'!G876-$J3)/$J4)))</f>
        <v/>
      </c>
      <c r="K876" s="3">
        <f>IF(J876="","",(J876-AVERAGE(J6:J1198))/(STDEV(J6:J1198)+1E-12))</f>
        <v/>
      </c>
      <c r="L876" s="3">
        <f>IF('3a Raw'!H876="","",MAX(-3,MIN(3,('3a Raw'!H876-$L3)/$L4)))</f>
        <v/>
      </c>
      <c r="M876" s="3">
        <f>IF(L876="","",(L876-AVERAGE(L6:L1198))/(STDEV(L6:L1198)+1E-12))</f>
        <v/>
      </c>
      <c r="N876" s="3">
        <f>IF('3a Raw'!I876="","",MAX(-3,MIN(3,('3a Raw'!I876-$N3)/$N4)))</f>
        <v/>
      </c>
      <c r="O876" s="3">
        <f>IF(N876="","",(N876-AVERAGE(N6:N1198))/(STDEV(N6:N1198)+1E-12))</f>
        <v/>
      </c>
      <c r="P876" s="3">
        <f>IF('3a Raw'!J876="","",MAX(-3,MIN(3,('3a Raw'!J876-$P3)/$P4)))</f>
        <v/>
      </c>
      <c r="Q876" s="3">
        <f>IF(P876="","",(P876-AVERAGE(P6:P1198))/(STDEV(P6:P1198)+1E-12))</f>
        <v/>
      </c>
      <c r="R876" s="3">
        <f>IF('3a Raw'!K876="","",MAX(-3,MIN(3,('3a Raw'!K876-$R3)/$R4)))</f>
        <v/>
      </c>
      <c r="S876" s="3">
        <f>IF(R876="","",(R876-AVERAGE(R6:R1198))/(STDEV(R6:R1198)+1E-12))</f>
        <v/>
      </c>
      <c r="T876" s="3">
        <f>IF('3a Raw'!L876="","",MAX(-3,MIN(3,('3a Raw'!L876-$T3)/$T4)))</f>
        <v/>
      </c>
      <c r="U876" s="3">
        <f>IF(T876="","",(T876-AVERAGE(T6:T1198))/(STDEV(T6:T1198)+1E-12))</f>
        <v/>
      </c>
      <c r="X876" s="3">
        <f>IF(U876="","",U876-($V$3*G876+$W$3))</f>
        <v/>
      </c>
      <c r="Y876" s="3">
        <f>IF(X876="","",MAX(-3,MIN(3,(X876-$X3)/$X4)))</f>
        <v/>
      </c>
      <c r="Z876" s="3">
        <f>IF(Y876="","",(Y876-AVERAGE(Y6:Y1198))/(STDEV(Y6:Y1198)+1E-12))</f>
        <v/>
      </c>
    </row>
    <row r="877">
      <c r="A877" t="inlineStr">
        <is>
          <t>BBG003RY97K2</t>
        </is>
      </c>
      <c r="B877" s="3">
        <f>IF('3a Raw'!C877="","",MAX(-3,MIN(3,('3a Raw'!C877-$B3)/$B4)))</f>
        <v/>
      </c>
      <c r="C877" s="3">
        <f>IF(B877="","",(B877-AVERAGE(B6:B1198))/(STDEV(B6:B1198)+1E-12))</f>
        <v/>
      </c>
      <c r="D877" s="3">
        <f>IF('3a Raw'!D877="","",MAX(-3,MIN(3,('3a Raw'!D877-$D3)/$D4)))</f>
        <v/>
      </c>
      <c r="E877" s="3">
        <f>IF(D877="","",(D877-AVERAGE(D6:D1198))/(STDEV(D6:D1198)+1E-12))</f>
        <v/>
      </c>
      <c r="F877" s="3">
        <f>IF('3a Raw'!E877="","",MAX(-3,MIN(3,('3a Raw'!E877-$F3)/$F4)))</f>
        <v/>
      </c>
      <c r="G877" s="3">
        <f>IF(F877="","",(F877-AVERAGE(F6:F1198))/(STDEV(F6:F1198)+1E-12))</f>
        <v/>
      </c>
      <c r="H877" s="3">
        <f>IF('3a Raw'!F877="","",MAX(-3,MIN(3,('3a Raw'!F877-$H3)/$H4)))</f>
        <v/>
      </c>
      <c r="I877" s="3">
        <f>IF(H877="","",(H877-AVERAGE(H6:H1198))/(STDEV(H6:H1198)+1E-12))</f>
        <v/>
      </c>
      <c r="J877" s="3">
        <f>IF('3a Raw'!G877="","",MAX(-3,MIN(3,('3a Raw'!G877-$J3)/$J4)))</f>
        <v/>
      </c>
      <c r="K877" s="3">
        <f>IF(J877="","",(J877-AVERAGE(J6:J1198))/(STDEV(J6:J1198)+1E-12))</f>
        <v/>
      </c>
      <c r="L877" s="3">
        <f>IF('3a Raw'!H877="","",MAX(-3,MIN(3,('3a Raw'!H877-$L3)/$L4)))</f>
        <v/>
      </c>
      <c r="M877" s="3">
        <f>IF(L877="","",(L877-AVERAGE(L6:L1198))/(STDEV(L6:L1198)+1E-12))</f>
        <v/>
      </c>
      <c r="N877" s="3">
        <f>IF('3a Raw'!I877="","",MAX(-3,MIN(3,('3a Raw'!I877-$N3)/$N4)))</f>
        <v/>
      </c>
      <c r="O877" s="3">
        <f>IF(N877="","",(N877-AVERAGE(N6:N1198))/(STDEV(N6:N1198)+1E-12))</f>
        <v/>
      </c>
      <c r="P877" s="3">
        <f>IF('3a Raw'!J877="","",MAX(-3,MIN(3,('3a Raw'!J877-$P3)/$P4)))</f>
        <v/>
      </c>
      <c r="Q877" s="3">
        <f>IF(P877="","",(P877-AVERAGE(P6:P1198))/(STDEV(P6:P1198)+1E-12))</f>
        <v/>
      </c>
      <c r="R877" s="3">
        <f>IF('3a Raw'!K877="","",MAX(-3,MIN(3,('3a Raw'!K877-$R3)/$R4)))</f>
        <v/>
      </c>
      <c r="S877" s="3">
        <f>IF(R877="","",(R877-AVERAGE(R6:R1198))/(STDEV(R6:R1198)+1E-12))</f>
        <v/>
      </c>
      <c r="T877" s="3">
        <f>IF('3a Raw'!L877="","",MAX(-3,MIN(3,('3a Raw'!L877-$T3)/$T4)))</f>
        <v/>
      </c>
      <c r="U877" s="3">
        <f>IF(T877="","",(T877-AVERAGE(T6:T1198))/(STDEV(T6:T1198)+1E-12))</f>
        <v/>
      </c>
      <c r="X877" s="3">
        <f>IF(U877="","",U877-($V$3*G877+$W$3))</f>
        <v/>
      </c>
      <c r="Y877" s="3">
        <f>IF(X877="","",MAX(-3,MIN(3,(X877-$X3)/$X4)))</f>
        <v/>
      </c>
      <c r="Z877" s="3">
        <f>IF(Y877="","",(Y877-AVERAGE(Y6:Y1198))/(STDEV(Y6:Y1198)+1E-12))</f>
        <v/>
      </c>
    </row>
    <row r="878">
      <c r="A878" t="inlineStr">
        <is>
          <t>BBG01QNB0RS1</t>
        </is>
      </c>
      <c r="B878" s="3">
        <f>IF('3a Raw'!C878="","",MAX(-3,MIN(3,('3a Raw'!C878-$B3)/$B4)))</f>
        <v/>
      </c>
      <c r="C878" s="3">
        <f>IF(B878="","",(B878-AVERAGE(B6:B1198))/(STDEV(B6:B1198)+1E-12))</f>
        <v/>
      </c>
      <c r="D878" s="3">
        <f>IF('3a Raw'!D878="","",MAX(-3,MIN(3,('3a Raw'!D878-$D3)/$D4)))</f>
        <v/>
      </c>
      <c r="E878" s="3">
        <f>IF(D878="","",(D878-AVERAGE(D6:D1198))/(STDEV(D6:D1198)+1E-12))</f>
        <v/>
      </c>
      <c r="F878" s="3">
        <f>IF('3a Raw'!E878="","",MAX(-3,MIN(3,('3a Raw'!E878-$F3)/$F4)))</f>
        <v/>
      </c>
      <c r="G878" s="3">
        <f>IF(F878="","",(F878-AVERAGE(F6:F1198))/(STDEV(F6:F1198)+1E-12))</f>
        <v/>
      </c>
      <c r="H878" s="3">
        <f>IF('3a Raw'!F878="","",MAX(-3,MIN(3,('3a Raw'!F878-$H3)/$H4)))</f>
        <v/>
      </c>
      <c r="I878" s="3">
        <f>IF(H878="","",(H878-AVERAGE(H6:H1198))/(STDEV(H6:H1198)+1E-12))</f>
        <v/>
      </c>
      <c r="J878" s="3">
        <f>IF('3a Raw'!G878="","",MAX(-3,MIN(3,('3a Raw'!G878-$J3)/$J4)))</f>
        <v/>
      </c>
      <c r="K878" s="3">
        <f>IF(J878="","",(J878-AVERAGE(J6:J1198))/(STDEV(J6:J1198)+1E-12))</f>
        <v/>
      </c>
      <c r="L878" s="3">
        <f>IF('3a Raw'!H878="","",MAX(-3,MIN(3,('3a Raw'!H878-$L3)/$L4)))</f>
        <v/>
      </c>
      <c r="M878" s="3">
        <f>IF(L878="","",(L878-AVERAGE(L6:L1198))/(STDEV(L6:L1198)+1E-12))</f>
        <v/>
      </c>
      <c r="N878" s="3">
        <f>IF('3a Raw'!I878="","",MAX(-3,MIN(3,('3a Raw'!I878-$N3)/$N4)))</f>
        <v/>
      </c>
      <c r="O878" s="3">
        <f>IF(N878="","",(N878-AVERAGE(N6:N1198))/(STDEV(N6:N1198)+1E-12))</f>
        <v/>
      </c>
      <c r="P878" s="3">
        <f>IF('3a Raw'!J878="","",MAX(-3,MIN(3,('3a Raw'!J878-$P3)/$P4)))</f>
        <v/>
      </c>
      <c r="Q878" s="3">
        <f>IF(P878="","",(P878-AVERAGE(P6:P1198))/(STDEV(P6:P1198)+1E-12))</f>
        <v/>
      </c>
      <c r="R878" s="3">
        <f>IF('3a Raw'!K878="","",MAX(-3,MIN(3,('3a Raw'!K878-$R3)/$R4)))</f>
        <v/>
      </c>
      <c r="S878" s="3">
        <f>IF(R878="","",(R878-AVERAGE(R6:R1198))/(STDEV(R6:R1198)+1E-12))</f>
        <v/>
      </c>
      <c r="T878" s="3">
        <f>IF('3a Raw'!L878="","",MAX(-3,MIN(3,('3a Raw'!L878-$T3)/$T4)))</f>
        <v/>
      </c>
      <c r="U878" s="3">
        <f>IF(T878="","",(T878-AVERAGE(T6:T1198))/(STDEV(T6:T1198)+1E-12))</f>
        <v/>
      </c>
      <c r="X878" s="3">
        <f>IF(U878="","",U878-($V$3*G878+$W$3))</f>
        <v/>
      </c>
      <c r="Y878" s="3">
        <f>IF(X878="","",MAX(-3,MIN(3,(X878-$X3)/$X4)))</f>
        <v/>
      </c>
      <c r="Z878" s="3">
        <f>IF(Y878="","",(Y878-AVERAGE(Y6:Y1198))/(STDEV(Y6:Y1198)+1E-12))</f>
        <v/>
      </c>
    </row>
    <row r="879">
      <c r="A879" t="inlineStr">
        <is>
          <t>BBG000HCJMF9</t>
        </is>
      </c>
      <c r="B879" s="3">
        <f>IF('3a Raw'!C879="","",MAX(-3,MIN(3,('3a Raw'!C879-$B3)/$B4)))</f>
        <v/>
      </c>
      <c r="C879" s="3">
        <f>IF(B879="","",(B879-AVERAGE(B6:B1198))/(STDEV(B6:B1198)+1E-12))</f>
        <v/>
      </c>
      <c r="D879" s="3">
        <f>IF('3a Raw'!D879="","",MAX(-3,MIN(3,('3a Raw'!D879-$D3)/$D4)))</f>
        <v/>
      </c>
      <c r="E879" s="3">
        <f>IF(D879="","",(D879-AVERAGE(D6:D1198))/(STDEV(D6:D1198)+1E-12))</f>
        <v/>
      </c>
      <c r="F879" s="3">
        <f>IF('3a Raw'!E879="","",MAX(-3,MIN(3,('3a Raw'!E879-$F3)/$F4)))</f>
        <v/>
      </c>
      <c r="G879" s="3">
        <f>IF(F879="","",(F879-AVERAGE(F6:F1198))/(STDEV(F6:F1198)+1E-12))</f>
        <v/>
      </c>
      <c r="H879" s="3">
        <f>IF('3a Raw'!F879="","",MAX(-3,MIN(3,('3a Raw'!F879-$H3)/$H4)))</f>
        <v/>
      </c>
      <c r="I879" s="3">
        <f>IF(H879="","",(H879-AVERAGE(H6:H1198))/(STDEV(H6:H1198)+1E-12))</f>
        <v/>
      </c>
      <c r="J879" s="3">
        <f>IF('3a Raw'!G879="","",MAX(-3,MIN(3,('3a Raw'!G879-$J3)/$J4)))</f>
        <v/>
      </c>
      <c r="K879" s="3">
        <f>IF(J879="","",(J879-AVERAGE(J6:J1198))/(STDEV(J6:J1198)+1E-12))</f>
        <v/>
      </c>
      <c r="L879" s="3">
        <f>IF('3a Raw'!H879="","",MAX(-3,MIN(3,('3a Raw'!H879-$L3)/$L4)))</f>
        <v/>
      </c>
      <c r="M879" s="3">
        <f>IF(L879="","",(L879-AVERAGE(L6:L1198))/(STDEV(L6:L1198)+1E-12))</f>
        <v/>
      </c>
      <c r="N879" s="3">
        <f>IF('3a Raw'!I879="","",MAX(-3,MIN(3,('3a Raw'!I879-$N3)/$N4)))</f>
        <v/>
      </c>
      <c r="O879" s="3">
        <f>IF(N879="","",(N879-AVERAGE(N6:N1198))/(STDEV(N6:N1198)+1E-12))</f>
        <v/>
      </c>
      <c r="P879" s="3">
        <f>IF('3a Raw'!J879="","",MAX(-3,MIN(3,('3a Raw'!J879-$P3)/$P4)))</f>
        <v/>
      </c>
      <c r="Q879" s="3">
        <f>IF(P879="","",(P879-AVERAGE(P6:P1198))/(STDEV(P6:P1198)+1E-12))</f>
        <v/>
      </c>
      <c r="R879" s="3">
        <f>IF('3a Raw'!K879="","",MAX(-3,MIN(3,('3a Raw'!K879-$R3)/$R4)))</f>
        <v/>
      </c>
      <c r="S879" s="3">
        <f>IF(R879="","",(R879-AVERAGE(R6:R1198))/(STDEV(R6:R1198)+1E-12))</f>
        <v/>
      </c>
      <c r="T879" s="3">
        <f>IF('3a Raw'!L879="","",MAX(-3,MIN(3,('3a Raw'!L879-$T3)/$T4)))</f>
        <v/>
      </c>
      <c r="U879" s="3">
        <f>IF(T879="","",(T879-AVERAGE(T6:T1198))/(STDEV(T6:T1198)+1E-12))</f>
        <v/>
      </c>
      <c r="X879" s="3">
        <f>IF(U879="","",U879-($V$3*G879+$W$3))</f>
        <v/>
      </c>
      <c r="Y879" s="3">
        <f>IF(X879="","",MAX(-3,MIN(3,(X879-$X3)/$X4)))</f>
        <v/>
      </c>
      <c r="Z879" s="3">
        <f>IF(Y879="","",(Y879-AVERAGE(Y6:Y1198))/(STDEV(Y6:Y1198)+1E-12))</f>
        <v/>
      </c>
    </row>
    <row r="880">
      <c r="A880" t="inlineStr">
        <is>
          <t>BBG00ZXYXVP9</t>
        </is>
      </c>
      <c r="B880" s="3">
        <f>IF('3a Raw'!C880="","",MAX(-3,MIN(3,('3a Raw'!C880-$B3)/$B4)))</f>
        <v/>
      </c>
      <c r="C880" s="3">
        <f>IF(B880="","",(B880-AVERAGE(B6:B1198))/(STDEV(B6:B1198)+1E-12))</f>
        <v/>
      </c>
      <c r="D880" s="3">
        <f>IF('3a Raw'!D880="","",MAX(-3,MIN(3,('3a Raw'!D880-$D3)/$D4)))</f>
        <v/>
      </c>
      <c r="E880" s="3">
        <f>IF(D880="","",(D880-AVERAGE(D6:D1198))/(STDEV(D6:D1198)+1E-12))</f>
        <v/>
      </c>
      <c r="F880" s="3">
        <f>IF('3a Raw'!E880="","",MAX(-3,MIN(3,('3a Raw'!E880-$F3)/$F4)))</f>
        <v/>
      </c>
      <c r="G880" s="3">
        <f>IF(F880="","",(F880-AVERAGE(F6:F1198))/(STDEV(F6:F1198)+1E-12))</f>
        <v/>
      </c>
      <c r="H880" s="3">
        <f>IF('3a Raw'!F880="","",MAX(-3,MIN(3,('3a Raw'!F880-$H3)/$H4)))</f>
        <v/>
      </c>
      <c r="I880" s="3">
        <f>IF(H880="","",(H880-AVERAGE(H6:H1198))/(STDEV(H6:H1198)+1E-12))</f>
        <v/>
      </c>
      <c r="J880" s="3">
        <f>IF('3a Raw'!G880="","",MAX(-3,MIN(3,('3a Raw'!G880-$J3)/$J4)))</f>
        <v/>
      </c>
      <c r="K880" s="3">
        <f>IF(J880="","",(J880-AVERAGE(J6:J1198))/(STDEV(J6:J1198)+1E-12))</f>
        <v/>
      </c>
      <c r="L880" s="3">
        <f>IF('3a Raw'!H880="","",MAX(-3,MIN(3,('3a Raw'!H880-$L3)/$L4)))</f>
        <v/>
      </c>
      <c r="M880" s="3">
        <f>IF(L880="","",(L880-AVERAGE(L6:L1198))/(STDEV(L6:L1198)+1E-12))</f>
        <v/>
      </c>
      <c r="N880" s="3">
        <f>IF('3a Raw'!I880="","",MAX(-3,MIN(3,('3a Raw'!I880-$N3)/$N4)))</f>
        <v/>
      </c>
      <c r="O880" s="3">
        <f>IF(N880="","",(N880-AVERAGE(N6:N1198))/(STDEV(N6:N1198)+1E-12))</f>
        <v/>
      </c>
      <c r="P880" s="3">
        <f>IF('3a Raw'!J880="","",MAX(-3,MIN(3,('3a Raw'!J880-$P3)/$P4)))</f>
        <v/>
      </c>
      <c r="Q880" s="3">
        <f>IF(P880="","",(P880-AVERAGE(P6:P1198))/(STDEV(P6:P1198)+1E-12))</f>
        <v/>
      </c>
      <c r="R880" s="3">
        <f>IF('3a Raw'!K880="","",MAX(-3,MIN(3,('3a Raw'!K880-$R3)/$R4)))</f>
        <v/>
      </c>
      <c r="S880" s="3">
        <f>IF(R880="","",(R880-AVERAGE(R6:R1198))/(STDEV(R6:R1198)+1E-12))</f>
        <v/>
      </c>
      <c r="T880" s="3">
        <f>IF('3a Raw'!L880="","",MAX(-3,MIN(3,('3a Raw'!L880-$T3)/$T4)))</f>
        <v/>
      </c>
      <c r="U880" s="3">
        <f>IF(T880="","",(T880-AVERAGE(T6:T1198))/(STDEV(T6:T1198)+1E-12))</f>
        <v/>
      </c>
      <c r="X880" s="3">
        <f>IF(U880="","",U880-($V$3*G880+$W$3))</f>
        <v/>
      </c>
      <c r="Y880" s="3">
        <f>IF(X880="","",MAX(-3,MIN(3,(X880-$X3)/$X4)))</f>
        <v/>
      </c>
      <c r="Z880" s="3">
        <f>IF(Y880="","",(Y880-AVERAGE(Y6:Y1198))/(STDEV(Y6:Y1198)+1E-12))</f>
        <v/>
      </c>
    </row>
    <row r="881">
      <c r="A881" t="inlineStr">
        <is>
          <t>psa</t>
        </is>
      </c>
      <c r="B881" s="3">
        <f>IF('3a Raw'!C881="","",MAX(-3,MIN(3,('3a Raw'!C881-$B3)/$B4)))</f>
        <v/>
      </c>
      <c r="C881" s="3">
        <f>IF(B881="","",(B881-AVERAGE(B6:B1198))/(STDEV(B6:B1198)+1E-12))</f>
        <v/>
      </c>
      <c r="D881" s="3">
        <f>IF('3a Raw'!D881="","",MAX(-3,MIN(3,('3a Raw'!D881-$D3)/$D4)))</f>
        <v/>
      </c>
      <c r="E881" s="3">
        <f>IF(D881="","",(D881-AVERAGE(D6:D1198))/(STDEV(D6:D1198)+1E-12))</f>
        <v/>
      </c>
      <c r="F881" s="3">
        <f>IF('3a Raw'!E881="","",MAX(-3,MIN(3,('3a Raw'!E881-$F3)/$F4)))</f>
        <v/>
      </c>
      <c r="G881" s="3">
        <f>IF(F881="","",(F881-AVERAGE(F6:F1198))/(STDEV(F6:F1198)+1E-12))</f>
        <v/>
      </c>
      <c r="H881" s="3">
        <f>IF('3a Raw'!F881="","",MAX(-3,MIN(3,('3a Raw'!F881-$H3)/$H4)))</f>
        <v/>
      </c>
      <c r="I881" s="3">
        <f>IF(H881="","",(H881-AVERAGE(H6:H1198))/(STDEV(H6:H1198)+1E-12))</f>
        <v/>
      </c>
      <c r="J881" s="3">
        <f>IF('3a Raw'!G881="","",MAX(-3,MIN(3,('3a Raw'!G881-$J3)/$J4)))</f>
        <v/>
      </c>
      <c r="K881" s="3">
        <f>IF(J881="","",(J881-AVERAGE(J6:J1198))/(STDEV(J6:J1198)+1E-12))</f>
        <v/>
      </c>
      <c r="L881" s="3">
        <f>IF('3a Raw'!H881="","",MAX(-3,MIN(3,('3a Raw'!H881-$L3)/$L4)))</f>
        <v/>
      </c>
      <c r="M881" s="3">
        <f>IF(L881="","",(L881-AVERAGE(L6:L1198))/(STDEV(L6:L1198)+1E-12))</f>
        <v/>
      </c>
      <c r="N881" s="3">
        <f>IF('3a Raw'!I881="","",MAX(-3,MIN(3,('3a Raw'!I881-$N3)/$N4)))</f>
        <v/>
      </c>
      <c r="O881" s="3">
        <f>IF(N881="","",(N881-AVERAGE(N6:N1198))/(STDEV(N6:N1198)+1E-12))</f>
        <v/>
      </c>
      <c r="P881" s="3">
        <f>IF('3a Raw'!J881="","",MAX(-3,MIN(3,('3a Raw'!J881-$P3)/$P4)))</f>
        <v/>
      </c>
      <c r="Q881" s="3">
        <f>IF(P881="","",(P881-AVERAGE(P6:P1198))/(STDEV(P6:P1198)+1E-12))</f>
        <v/>
      </c>
      <c r="R881" s="3">
        <f>IF('3a Raw'!K881="","",MAX(-3,MIN(3,('3a Raw'!K881-$R3)/$R4)))</f>
        <v/>
      </c>
      <c r="S881" s="3">
        <f>IF(R881="","",(R881-AVERAGE(R6:R1198))/(STDEV(R6:R1198)+1E-12))</f>
        <v/>
      </c>
      <c r="T881" s="3">
        <f>IF('3a Raw'!L881="","",MAX(-3,MIN(3,('3a Raw'!L881-$T3)/$T4)))</f>
        <v/>
      </c>
      <c r="U881" s="3">
        <f>IF(T881="","",(T881-AVERAGE(T6:T1198))/(STDEV(T6:T1198)+1E-12))</f>
        <v/>
      </c>
      <c r="X881" s="3">
        <f>IF(U881="","",U881-($V$3*G881+$W$3))</f>
        <v/>
      </c>
      <c r="Y881" s="3">
        <f>IF(X881="","",MAX(-3,MIN(3,(X881-$X3)/$X4)))</f>
        <v/>
      </c>
      <c r="Z881" s="3">
        <f>IF(Y881="","",(Y881-AVERAGE(Y6:Y1198))/(STDEV(Y6:Y1198)+1E-12))</f>
        <v/>
      </c>
    </row>
    <row r="882">
      <c r="A882" t="inlineStr">
        <is>
          <t>BBG000Q3RGN4</t>
        </is>
      </c>
      <c r="B882" s="3">
        <f>IF('3a Raw'!C882="","",MAX(-3,MIN(3,('3a Raw'!C882-$B3)/$B4)))</f>
        <v/>
      </c>
      <c r="C882" s="3">
        <f>IF(B882="","",(B882-AVERAGE(B6:B1198))/(STDEV(B6:B1198)+1E-12))</f>
        <v/>
      </c>
      <c r="D882" s="3">
        <f>IF('3a Raw'!D882="","",MAX(-3,MIN(3,('3a Raw'!D882-$D3)/$D4)))</f>
        <v/>
      </c>
      <c r="E882" s="3">
        <f>IF(D882="","",(D882-AVERAGE(D6:D1198))/(STDEV(D6:D1198)+1E-12))</f>
        <v/>
      </c>
      <c r="F882" s="3">
        <f>IF('3a Raw'!E882="","",MAX(-3,MIN(3,('3a Raw'!E882-$F3)/$F4)))</f>
        <v/>
      </c>
      <c r="G882" s="3">
        <f>IF(F882="","",(F882-AVERAGE(F6:F1198))/(STDEV(F6:F1198)+1E-12))</f>
        <v/>
      </c>
      <c r="H882" s="3">
        <f>IF('3a Raw'!F882="","",MAX(-3,MIN(3,('3a Raw'!F882-$H3)/$H4)))</f>
        <v/>
      </c>
      <c r="I882" s="3">
        <f>IF(H882="","",(H882-AVERAGE(H6:H1198))/(STDEV(H6:H1198)+1E-12))</f>
        <v/>
      </c>
      <c r="J882" s="3">
        <f>IF('3a Raw'!G882="","",MAX(-3,MIN(3,('3a Raw'!G882-$J3)/$J4)))</f>
        <v/>
      </c>
      <c r="K882" s="3">
        <f>IF(J882="","",(J882-AVERAGE(J6:J1198))/(STDEV(J6:J1198)+1E-12))</f>
        <v/>
      </c>
      <c r="L882" s="3">
        <f>IF('3a Raw'!H882="","",MAX(-3,MIN(3,('3a Raw'!H882-$L3)/$L4)))</f>
        <v/>
      </c>
      <c r="M882" s="3">
        <f>IF(L882="","",(L882-AVERAGE(L6:L1198))/(STDEV(L6:L1198)+1E-12))</f>
        <v/>
      </c>
      <c r="N882" s="3">
        <f>IF('3a Raw'!I882="","",MAX(-3,MIN(3,('3a Raw'!I882-$N3)/$N4)))</f>
        <v/>
      </c>
      <c r="O882" s="3">
        <f>IF(N882="","",(N882-AVERAGE(N6:N1198))/(STDEV(N6:N1198)+1E-12))</f>
        <v/>
      </c>
      <c r="P882" s="3">
        <f>IF('3a Raw'!J882="","",MAX(-3,MIN(3,('3a Raw'!J882-$P3)/$P4)))</f>
        <v/>
      </c>
      <c r="Q882" s="3">
        <f>IF(P882="","",(P882-AVERAGE(P6:P1198))/(STDEV(P6:P1198)+1E-12))</f>
        <v/>
      </c>
      <c r="R882" s="3">
        <f>IF('3a Raw'!K882="","",MAX(-3,MIN(3,('3a Raw'!K882-$R3)/$R4)))</f>
        <v/>
      </c>
      <c r="S882" s="3">
        <f>IF(R882="","",(R882-AVERAGE(R6:R1198))/(STDEV(R6:R1198)+1E-12))</f>
        <v/>
      </c>
      <c r="T882" s="3">
        <f>IF('3a Raw'!L882="","",MAX(-3,MIN(3,('3a Raw'!L882-$T3)/$T4)))</f>
        <v/>
      </c>
      <c r="U882" s="3">
        <f>IF(T882="","",(T882-AVERAGE(T6:T1198))/(STDEV(T6:T1198)+1E-12))</f>
        <v/>
      </c>
      <c r="X882" s="3">
        <f>IF(U882="","",U882-($V$3*G882+$W$3))</f>
        <v/>
      </c>
      <c r="Y882" s="3">
        <f>IF(X882="","",MAX(-3,MIN(3,(X882-$X3)/$X4)))</f>
        <v/>
      </c>
      <c r="Z882" s="3">
        <f>IF(Y882="","",(Y882-AVERAGE(Y6:Y1198))/(STDEV(Y6:Y1198)+1E-12))</f>
        <v/>
      </c>
    </row>
    <row r="883">
      <c r="A883" t="inlineStr">
        <is>
          <t>psky</t>
        </is>
      </c>
      <c r="B883" s="3">
        <f>IF('3a Raw'!C883="","",MAX(-3,MIN(3,('3a Raw'!C883-$B3)/$B4)))</f>
        <v/>
      </c>
      <c r="C883" s="3">
        <f>IF(B883="","",(B883-AVERAGE(B6:B1198))/(STDEV(B6:B1198)+1E-12))</f>
        <v/>
      </c>
      <c r="D883" s="3">
        <f>IF('3a Raw'!D883="","",MAX(-3,MIN(3,('3a Raw'!D883-$D3)/$D4)))</f>
        <v/>
      </c>
      <c r="E883" s="3">
        <f>IF(D883="","",(D883-AVERAGE(D6:D1198))/(STDEV(D6:D1198)+1E-12))</f>
        <v/>
      </c>
      <c r="F883" s="3">
        <f>IF('3a Raw'!E883="","",MAX(-3,MIN(3,('3a Raw'!E883-$F3)/$F4)))</f>
        <v/>
      </c>
      <c r="G883" s="3">
        <f>IF(F883="","",(F883-AVERAGE(F6:F1198))/(STDEV(F6:F1198)+1E-12))</f>
        <v/>
      </c>
      <c r="H883" s="3">
        <f>IF('3a Raw'!F883="","",MAX(-3,MIN(3,('3a Raw'!F883-$H3)/$H4)))</f>
        <v/>
      </c>
      <c r="I883" s="3">
        <f>IF(H883="","",(H883-AVERAGE(H6:H1198))/(STDEV(H6:H1198)+1E-12))</f>
        <v/>
      </c>
      <c r="J883" s="3">
        <f>IF('3a Raw'!G883="","",MAX(-3,MIN(3,('3a Raw'!G883-$J3)/$J4)))</f>
        <v/>
      </c>
      <c r="K883" s="3">
        <f>IF(J883="","",(J883-AVERAGE(J6:J1198))/(STDEV(J6:J1198)+1E-12))</f>
        <v/>
      </c>
      <c r="L883" s="3">
        <f>IF('3a Raw'!H883="","",MAX(-3,MIN(3,('3a Raw'!H883-$L3)/$L4)))</f>
        <v/>
      </c>
      <c r="M883" s="3">
        <f>IF(L883="","",(L883-AVERAGE(L6:L1198))/(STDEV(L6:L1198)+1E-12))</f>
        <v/>
      </c>
      <c r="N883" s="3">
        <f>IF('3a Raw'!I883="","",MAX(-3,MIN(3,('3a Raw'!I883-$N3)/$N4)))</f>
        <v/>
      </c>
      <c r="O883" s="3">
        <f>IF(N883="","",(N883-AVERAGE(N6:N1198))/(STDEV(N6:N1198)+1E-12))</f>
        <v/>
      </c>
      <c r="P883" s="3">
        <f>IF('3a Raw'!J883="","",MAX(-3,MIN(3,('3a Raw'!J883-$P3)/$P4)))</f>
        <v/>
      </c>
      <c r="Q883" s="3">
        <f>IF(P883="","",(P883-AVERAGE(P6:P1198))/(STDEV(P6:P1198)+1E-12))</f>
        <v/>
      </c>
      <c r="R883" s="3">
        <f>IF('3a Raw'!K883="","",MAX(-3,MIN(3,('3a Raw'!K883-$R3)/$R4)))</f>
        <v/>
      </c>
      <c r="S883" s="3">
        <f>IF(R883="","",(R883-AVERAGE(R6:R1198))/(STDEV(R6:R1198)+1E-12))</f>
        <v/>
      </c>
      <c r="T883" s="3">
        <f>IF('3a Raw'!L883="","",MAX(-3,MIN(3,('3a Raw'!L883-$T3)/$T4)))</f>
        <v/>
      </c>
      <c r="U883" s="3">
        <f>IF(T883="","",(T883-AVERAGE(T6:T1198))/(STDEV(T6:T1198)+1E-12))</f>
        <v/>
      </c>
      <c r="X883" s="3">
        <f>IF(U883="","",U883-($V$3*G883+$W$3))</f>
        <v/>
      </c>
      <c r="Y883" s="3">
        <f>IF(X883="","",MAX(-3,MIN(3,(X883-$X3)/$X4)))</f>
        <v/>
      </c>
      <c r="Z883" s="3">
        <f>IF(Y883="","",(Y883-AVERAGE(Y6:Y1198))/(STDEV(Y6:Y1198)+1E-12))</f>
        <v/>
      </c>
    </row>
    <row r="884">
      <c r="A884" t="inlineStr">
        <is>
          <t>BBG000C3TKY6</t>
        </is>
      </c>
      <c r="B884" s="3">
        <f>IF('3a Raw'!C884="","",MAX(-3,MIN(3,('3a Raw'!C884-$B3)/$B4)))</f>
        <v/>
      </c>
      <c r="C884" s="3">
        <f>IF(B884="","",(B884-AVERAGE(B6:B1198))/(STDEV(B6:B1198)+1E-12))</f>
        <v/>
      </c>
      <c r="D884" s="3">
        <f>IF('3a Raw'!D884="","",MAX(-3,MIN(3,('3a Raw'!D884-$D3)/$D4)))</f>
        <v/>
      </c>
      <c r="E884" s="3">
        <f>IF(D884="","",(D884-AVERAGE(D6:D1198))/(STDEV(D6:D1198)+1E-12))</f>
        <v/>
      </c>
      <c r="F884" s="3">
        <f>IF('3a Raw'!E884="","",MAX(-3,MIN(3,('3a Raw'!E884-$F3)/$F4)))</f>
        <v/>
      </c>
      <c r="G884" s="3">
        <f>IF(F884="","",(F884-AVERAGE(F6:F1198))/(STDEV(F6:F1198)+1E-12))</f>
        <v/>
      </c>
      <c r="H884" s="3">
        <f>IF('3a Raw'!F884="","",MAX(-3,MIN(3,('3a Raw'!F884-$H3)/$H4)))</f>
        <v/>
      </c>
      <c r="I884" s="3">
        <f>IF(H884="","",(H884-AVERAGE(H6:H1198))/(STDEV(H6:H1198)+1E-12))</f>
        <v/>
      </c>
      <c r="J884" s="3">
        <f>IF('3a Raw'!G884="","",MAX(-3,MIN(3,('3a Raw'!G884-$J3)/$J4)))</f>
        <v/>
      </c>
      <c r="K884" s="3">
        <f>IF(J884="","",(J884-AVERAGE(J6:J1198))/(STDEV(J6:J1198)+1E-12))</f>
        <v/>
      </c>
      <c r="L884" s="3">
        <f>IF('3a Raw'!H884="","",MAX(-3,MIN(3,('3a Raw'!H884-$L3)/$L4)))</f>
        <v/>
      </c>
      <c r="M884" s="3">
        <f>IF(L884="","",(L884-AVERAGE(L6:L1198))/(STDEV(L6:L1198)+1E-12))</f>
        <v/>
      </c>
      <c r="N884" s="3">
        <f>IF('3a Raw'!I884="","",MAX(-3,MIN(3,('3a Raw'!I884-$N3)/$N4)))</f>
        <v/>
      </c>
      <c r="O884" s="3">
        <f>IF(N884="","",(N884-AVERAGE(N6:N1198))/(STDEV(N6:N1198)+1E-12))</f>
        <v/>
      </c>
      <c r="P884" s="3">
        <f>IF('3a Raw'!J884="","",MAX(-3,MIN(3,('3a Raw'!J884-$P3)/$P4)))</f>
        <v/>
      </c>
      <c r="Q884" s="3">
        <f>IF(P884="","",(P884-AVERAGE(P6:P1198))/(STDEV(P6:P1198)+1E-12))</f>
        <v/>
      </c>
      <c r="R884" s="3">
        <f>IF('3a Raw'!K884="","",MAX(-3,MIN(3,('3a Raw'!K884-$R3)/$R4)))</f>
        <v/>
      </c>
      <c r="S884" s="3">
        <f>IF(R884="","",(R884-AVERAGE(R6:R1198))/(STDEV(R6:R1198)+1E-12))</f>
        <v/>
      </c>
      <c r="T884" s="3">
        <f>IF('3a Raw'!L884="","",MAX(-3,MIN(3,('3a Raw'!L884-$T3)/$T4)))</f>
        <v/>
      </c>
      <c r="U884" s="3">
        <f>IF(T884="","",(T884-AVERAGE(T6:T1198))/(STDEV(T6:T1198)+1E-12))</f>
        <v/>
      </c>
      <c r="X884" s="3">
        <f>IF(U884="","",U884-($V$3*G884+$W$3))</f>
        <v/>
      </c>
      <c r="Y884" s="3">
        <f>IF(X884="","",MAX(-3,MIN(3,(X884-$X3)/$X4)))</f>
        <v/>
      </c>
      <c r="Z884" s="3">
        <f>IF(Y884="","",(Y884-AVERAGE(Y6:Y1198))/(STDEV(Y6:Y1198)+1E-12))</f>
        <v/>
      </c>
    </row>
    <row r="885">
      <c r="A885" t="inlineStr">
        <is>
          <t>BBG00286S4N9</t>
        </is>
      </c>
      <c r="B885" s="3">
        <f>IF('3a Raw'!C885="","",MAX(-3,MIN(3,('3a Raw'!C885-$B3)/$B4)))</f>
        <v/>
      </c>
      <c r="C885" s="3">
        <f>IF(B885="","",(B885-AVERAGE(B6:B1198))/(STDEV(B6:B1198)+1E-12))</f>
        <v/>
      </c>
      <c r="D885" s="3">
        <f>IF('3a Raw'!D885="","",MAX(-3,MIN(3,('3a Raw'!D885-$D3)/$D4)))</f>
        <v/>
      </c>
      <c r="E885" s="3">
        <f>IF(D885="","",(D885-AVERAGE(D6:D1198))/(STDEV(D6:D1198)+1E-12))</f>
        <v/>
      </c>
      <c r="F885" s="3">
        <f>IF('3a Raw'!E885="","",MAX(-3,MIN(3,('3a Raw'!E885-$F3)/$F4)))</f>
        <v/>
      </c>
      <c r="G885" s="3">
        <f>IF(F885="","",(F885-AVERAGE(F6:F1198))/(STDEV(F6:F1198)+1E-12))</f>
        <v/>
      </c>
      <c r="H885" s="3">
        <f>IF('3a Raw'!F885="","",MAX(-3,MIN(3,('3a Raw'!F885-$H3)/$H4)))</f>
        <v/>
      </c>
      <c r="I885" s="3">
        <f>IF(H885="","",(H885-AVERAGE(H6:H1198))/(STDEV(H6:H1198)+1E-12))</f>
        <v/>
      </c>
      <c r="J885" s="3">
        <f>IF('3a Raw'!G885="","",MAX(-3,MIN(3,('3a Raw'!G885-$J3)/$J4)))</f>
        <v/>
      </c>
      <c r="K885" s="3">
        <f>IF(J885="","",(J885-AVERAGE(J6:J1198))/(STDEV(J6:J1198)+1E-12))</f>
        <v/>
      </c>
      <c r="L885" s="3">
        <f>IF('3a Raw'!H885="","",MAX(-3,MIN(3,('3a Raw'!H885-$L3)/$L4)))</f>
        <v/>
      </c>
      <c r="M885" s="3">
        <f>IF(L885="","",(L885-AVERAGE(L6:L1198))/(STDEV(L6:L1198)+1E-12))</f>
        <v/>
      </c>
      <c r="N885" s="3">
        <f>IF('3a Raw'!I885="","",MAX(-3,MIN(3,('3a Raw'!I885-$N3)/$N4)))</f>
        <v/>
      </c>
      <c r="O885" s="3">
        <f>IF(N885="","",(N885-AVERAGE(N6:N1198))/(STDEV(N6:N1198)+1E-12))</f>
        <v/>
      </c>
      <c r="P885" s="3">
        <f>IF('3a Raw'!J885="","",MAX(-3,MIN(3,('3a Raw'!J885-$P3)/$P4)))</f>
        <v/>
      </c>
      <c r="Q885" s="3">
        <f>IF(P885="","",(P885-AVERAGE(P6:P1198))/(STDEV(P6:P1198)+1E-12))</f>
        <v/>
      </c>
      <c r="R885" s="3">
        <f>IF('3a Raw'!K885="","",MAX(-3,MIN(3,('3a Raw'!K885-$R3)/$R4)))</f>
        <v/>
      </c>
      <c r="S885" s="3">
        <f>IF(R885="","",(R885-AVERAGE(R6:R1198))/(STDEV(R6:R1198)+1E-12))</f>
        <v/>
      </c>
      <c r="T885" s="3">
        <f>IF('3a Raw'!L885="","",MAX(-3,MIN(3,('3a Raw'!L885-$T3)/$T4)))</f>
        <v/>
      </c>
      <c r="U885" s="3">
        <f>IF(T885="","",(T885-AVERAGE(T6:T1198))/(STDEV(T6:T1198)+1E-12))</f>
        <v/>
      </c>
      <c r="X885" s="3">
        <f>IF(U885="","",U885-($V$3*G885+$W$3))</f>
        <v/>
      </c>
      <c r="Y885" s="3">
        <f>IF(X885="","",MAX(-3,MIN(3,(X885-$X3)/$X4)))</f>
        <v/>
      </c>
      <c r="Z885" s="3">
        <f>IF(Y885="","",(Y885-AVERAGE(Y6:Y1198))/(STDEV(Y6:Y1198)+1E-12))</f>
        <v/>
      </c>
    </row>
    <row r="886">
      <c r="A886" t="inlineStr">
        <is>
          <t>BBG000C2VBB0</t>
        </is>
      </c>
      <c r="B886" s="3">
        <f>IF('3a Raw'!C886="","",MAX(-3,MIN(3,('3a Raw'!C886-$B3)/$B4)))</f>
        <v/>
      </c>
      <c r="C886" s="3">
        <f>IF(B886="","",(B886-AVERAGE(B6:B1198))/(STDEV(B6:B1198)+1E-12))</f>
        <v/>
      </c>
      <c r="D886" s="3">
        <f>IF('3a Raw'!D886="","",MAX(-3,MIN(3,('3a Raw'!D886-$D3)/$D4)))</f>
        <v/>
      </c>
      <c r="E886" s="3">
        <f>IF(D886="","",(D886-AVERAGE(D6:D1198))/(STDEV(D6:D1198)+1E-12))</f>
        <v/>
      </c>
      <c r="F886" s="3">
        <f>IF('3a Raw'!E886="","",MAX(-3,MIN(3,('3a Raw'!E886-$F3)/$F4)))</f>
        <v/>
      </c>
      <c r="G886" s="3">
        <f>IF(F886="","",(F886-AVERAGE(F6:F1198))/(STDEV(F6:F1198)+1E-12))</f>
        <v/>
      </c>
      <c r="H886" s="3">
        <f>IF('3a Raw'!F886="","",MAX(-3,MIN(3,('3a Raw'!F886-$H3)/$H4)))</f>
        <v/>
      </c>
      <c r="I886" s="3">
        <f>IF(H886="","",(H886-AVERAGE(H6:H1198))/(STDEV(H6:H1198)+1E-12))</f>
        <v/>
      </c>
      <c r="J886" s="3">
        <f>IF('3a Raw'!G886="","",MAX(-3,MIN(3,('3a Raw'!G886-$J3)/$J4)))</f>
        <v/>
      </c>
      <c r="K886" s="3">
        <f>IF(J886="","",(J886-AVERAGE(J6:J1198))/(STDEV(J6:J1198)+1E-12))</f>
        <v/>
      </c>
      <c r="L886" s="3">
        <f>IF('3a Raw'!H886="","",MAX(-3,MIN(3,('3a Raw'!H886-$L3)/$L4)))</f>
        <v/>
      </c>
      <c r="M886" s="3">
        <f>IF(L886="","",(L886-AVERAGE(L6:L1198))/(STDEV(L6:L1198)+1E-12))</f>
        <v/>
      </c>
      <c r="N886" s="3">
        <f>IF('3a Raw'!I886="","",MAX(-3,MIN(3,('3a Raw'!I886-$N3)/$N4)))</f>
        <v/>
      </c>
      <c r="O886" s="3">
        <f>IF(N886="","",(N886-AVERAGE(N6:N1198))/(STDEV(N6:N1198)+1E-12))</f>
        <v/>
      </c>
      <c r="P886" s="3">
        <f>IF('3a Raw'!J886="","",MAX(-3,MIN(3,('3a Raw'!J886-$P3)/$P4)))</f>
        <v/>
      </c>
      <c r="Q886" s="3">
        <f>IF(P886="","",(P886-AVERAGE(P6:P1198))/(STDEV(P6:P1198)+1E-12))</f>
        <v/>
      </c>
      <c r="R886" s="3">
        <f>IF('3a Raw'!K886="","",MAX(-3,MIN(3,('3a Raw'!K886-$R3)/$R4)))</f>
        <v/>
      </c>
      <c r="S886" s="3">
        <f>IF(R886="","",(R886-AVERAGE(R6:R1198))/(STDEV(R6:R1198)+1E-12))</f>
        <v/>
      </c>
      <c r="T886" s="3">
        <f>IF('3a Raw'!L886="","",MAX(-3,MIN(3,('3a Raw'!L886-$T3)/$T4)))</f>
        <v/>
      </c>
      <c r="U886" s="3">
        <f>IF(T886="","",(T886-AVERAGE(T6:T1198))/(STDEV(T6:T1198)+1E-12))</f>
        <v/>
      </c>
      <c r="X886" s="3">
        <f>IF(U886="","",U886-($V$3*G886+$W$3))</f>
        <v/>
      </c>
      <c r="Y886" s="3">
        <f>IF(X886="","",MAX(-3,MIN(3,(X886-$X3)/$X4)))</f>
        <v/>
      </c>
      <c r="Z886" s="3">
        <f>IF(Y886="","",(Y886-AVERAGE(Y6:Y1198))/(STDEV(Y6:Y1198)+1E-12))</f>
        <v/>
      </c>
    </row>
    <row r="887">
      <c r="A887" t="inlineStr">
        <is>
          <t>BBG002B63KM7</t>
        </is>
      </c>
      <c r="B887" s="3">
        <f>IF('3a Raw'!C887="","",MAX(-3,MIN(3,('3a Raw'!C887-$B3)/$B4)))</f>
        <v/>
      </c>
      <c r="C887" s="3">
        <f>IF(B887="","",(B887-AVERAGE(B6:B1198))/(STDEV(B6:B1198)+1E-12))</f>
        <v/>
      </c>
      <c r="D887" s="3">
        <f>IF('3a Raw'!D887="","",MAX(-3,MIN(3,('3a Raw'!D887-$D3)/$D4)))</f>
        <v/>
      </c>
      <c r="E887" s="3">
        <f>IF(D887="","",(D887-AVERAGE(D6:D1198))/(STDEV(D6:D1198)+1E-12))</f>
        <v/>
      </c>
      <c r="F887" s="3">
        <f>IF('3a Raw'!E887="","",MAX(-3,MIN(3,('3a Raw'!E887-$F3)/$F4)))</f>
        <v/>
      </c>
      <c r="G887" s="3">
        <f>IF(F887="","",(F887-AVERAGE(F6:F1198))/(STDEV(F6:F1198)+1E-12))</f>
        <v/>
      </c>
      <c r="H887" s="3">
        <f>IF('3a Raw'!F887="","",MAX(-3,MIN(3,('3a Raw'!F887-$H3)/$H4)))</f>
        <v/>
      </c>
      <c r="I887" s="3">
        <f>IF(H887="","",(H887-AVERAGE(H6:H1198))/(STDEV(H6:H1198)+1E-12))</f>
        <v/>
      </c>
      <c r="J887" s="3">
        <f>IF('3a Raw'!G887="","",MAX(-3,MIN(3,('3a Raw'!G887-$J3)/$J4)))</f>
        <v/>
      </c>
      <c r="K887" s="3">
        <f>IF(J887="","",(J887-AVERAGE(J6:J1198))/(STDEV(J6:J1198)+1E-12))</f>
        <v/>
      </c>
      <c r="L887" s="3">
        <f>IF('3a Raw'!H887="","",MAX(-3,MIN(3,('3a Raw'!H887-$L3)/$L4)))</f>
        <v/>
      </c>
      <c r="M887" s="3">
        <f>IF(L887="","",(L887-AVERAGE(L6:L1198))/(STDEV(L6:L1198)+1E-12))</f>
        <v/>
      </c>
      <c r="N887" s="3">
        <f>IF('3a Raw'!I887="","",MAX(-3,MIN(3,('3a Raw'!I887-$N3)/$N4)))</f>
        <v/>
      </c>
      <c r="O887" s="3">
        <f>IF(N887="","",(N887-AVERAGE(N6:N1198))/(STDEV(N6:N1198)+1E-12))</f>
        <v/>
      </c>
      <c r="P887" s="3">
        <f>IF('3a Raw'!J887="","",MAX(-3,MIN(3,('3a Raw'!J887-$P3)/$P4)))</f>
        <v/>
      </c>
      <c r="Q887" s="3">
        <f>IF(P887="","",(P887-AVERAGE(P6:P1198))/(STDEV(P6:P1198)+1E-12))</f>
        <v/>
      </c>
      <c r="R887" s="3">
        <f>IF('3a Raw'!K887="","",MAX(-3,MIN(3,('3a Raw'!K887-$R3)/$R4)))</f>
        <v/>
      </c>
      <c r="S887" s="3">
        <f>IF(R887="","",(R887-AVERAGE(R6:R1198))/(STDEV(R6:R1198)+1E-12))</f>
        <v/>
      </c>
      <c r="T887" s="3">
        <f>IF('3a Raw'!L887="","",MAX(-3,MIN(3,('3a Raw'!L887-$T3)/$T4)))</f>
        <v/>
      </c>
      <c r="U887" s="3">
        <f>IF(T887="","",(T887-AVERAGE(T6:T1198))/(STDEV(T6:T1198)+1E-12))</f>
        <v/>
      </c>
      <c r="X887" s="3">
        <f>IF(U887="","",U887-($V$3*G887+$W$3))</f>
        <v/>
      </c>
      <c r="Y887" s="3">
        <f>IF(X887="","",MAX(-3,MIN(3,(X887-$X3)/$X4)))</f>
        <v/>
      </c>
      <c r="Z887" s="3">
        <f>IF(Y887="","",(Y887-AVERAGE(Y6:Y1198))/(STDEV(Y6:Y1198)+1E-12))</f>
        <v/>
      </c>
    </row>
    <row r="888">
      <c r="A888" t="inlineStr">
        <is>
          <t>BBG00JG0FFZ2</t>
        </is>
      </c>
      <c r="B888" s="3">
        <f>IF('3a Raw'!C888="","",MAX(-3,MIN(3,('3a Raw'!C888-$B3)/$B4)))</f>
        <v/>
      </c>
      <c r="C888" s="3">
        <f>IF(B888="","",(B888-AVERAGE(B6:B1198))/(STDEV(B6:B1198)+1E-12))</f>
        <v/>
      </c>
      <c r="D888" s="3">
        <f>IF('3a Raw'!D888="","",MAX(-3,MIN(3,('3a Raw'!D888-$D3)/$D4)))</f>
        <v/>
      </c>
      <c r="E888" s="3">
        <f>IF(D888="","",(D888-AVERAGE(D6:D1198))/(STDEV(D6:D1198)+1E-12))</f>
        <v/>
      </c>
      <c r="F888" s="3">
        <f>IF('3a Raw'!E888="","",MAX(-3,MIN(3,('3a Raw'!E888-$F3)/$F4)))</f>
        <v/>
      </c>
      <c r="G888" s="3">
        <f>IF(F888="","",(F888-AVERAGE(F6:F1198))/(STDEV(F6:F1198)+1E-12))</f>
        <v/>
      </c>
      <c r="H888" s="3">
        <f>IF('3a Raw'!F888="","",MAX(-3,MIN(3,('3a Raw'!F888-$H3)/$H4)))</f>
        <v/>
      </c>
      <c r="I888" s="3">
        <f>IF(H888="","",(H888-AVERAGE(H6:H1198))/(STDEV(H6:H1198)+1E-12))</f>
        <v/>
      </c>
      <c r="J888" s="3">
        <f>IF('3a Raw'!G888="","",MAX(-3,MIN(3,('3a Raw'!G888-$J3)/$J4)))</f>
        <v/>
      </c>
      <c r="K888" s="3">
        <f>IF(J888="","",(J888-AVERAGE(J6:J1198))/(STDEV(J6:J1198)+1E-12))</f>
        <v/>
      </c>
      <c r="L888" s="3">
        <f>IF('3a Raw'!H888="","",MAX(-3,MIN(3,('3a Raw'!H888-$L3)/$L4)))</f>
        <v/>
      </c>
      <c r="M888" s="3">
        <f>IF(L888="","",(L888-AVERAGE(L6:L1198))/(STDEV(L6:L1198)+1E-12))</f>
        <v/>
      </c>
      <c r="N888" s="3">
        <f>IF('3a Raw'!I888="","",MAX(-3,MIN(3,('3a Raw'!I888-$N3)/$N4)))</f>
        <v/>
      </c>
      <c r="O888" s="3">
        <f>IF(N888="","",(N888-AVERAGE(N6:N1198))/(STDEV(N6:N1198)+1E-12))</f>
        <v/>
      </c>
      <c r="P888" s="3">
        <f>IF('3a Raw'!J888="","",MAX(-3,MIN(3,('3a Raw'!J888-$P3)/$P4)))</f>
        <v/>
      </c>
      <c r="Q888" s="3">
        <f>IF(P888="","",(P888-AVERAGE(P6:P1198))/(STDEV(P6:P1198)+1E-12))</f>
        <v/>
      </c>
      <c r="R888" s="3">
        <f>IF('3a Raw'!K888="","",MAX(-3,MIN(3,('3a Raw'!K888-$R3)/$R4)))</f>
        <v/>
      </c>
      <c r="S888" s="3">
        <f>IF(R888="","",(R888-AVERAGE(R6:R1198))/(STDEV(R6:R1198)+1E-12))</f>
        <v/>
      </c>
      <c r="T888" s="3">
        <f>IF('3a Raw'!L888="","",MAX(-3,MIN(3,('3a Raw'!L888-$T3)/$T4)))</f>
        <v/>
      </c>
      <c r="U888" s="3">
        <f>IF(T888="","",(T888-AVERAGE(T6:T1198))/(STDEV(T6:T1198)+1E-12))</f>
        <v/>
      </c>
      <c r="X888" s="3">
        <f>IF(U888="","",U888-($V$3*G888+$W$3))</f>
        <v/>
      </c>
      <c r="Y888" s="3">
        <f>IF(X888="","",MAX(-3,MIN(3,(X888-$X3)/$X4)))</f>
        <v/>
      </c>
      <c r="Z888" s="3">
        <f>IF(Y888="","",(Y888-AVERAGE(Y6:Y1198))/(STDEV(Y6:Y1198)+1E-12))</f>
        <v/>
      </c>
    </row>
    <row r="889">
      <c r="A889" t="inlineStr">
        <is>
          <t>BBG01WX45CV7</t>
        </is>
      </c>
      <c r="B889" s="3">
        <f>IF('3a Raw'!C889="","",MAX(-3,MIN(3,('3a Raw'!C889-$B3)/$B4)))</f>
        <v/>
      </c>
      <c r="C889" s="3">
        <f>IF(B889="","",(B889-AVERAGE(B6:B1198))/(STDEV(B6:B1198)+1E-12))</f>
        <v/>
      </c>
      <c r="D889" s="3">
        <f>IF('3a Raw'!D889="","",MAX(-3,MIN(3,('3a Raw'!D889-$D3)/$D4)))</f>
        <v/>
      </c>
      <c r="E889" s="3">
        <f>IF(D889="","",(D889-AVERAGE(D6:D1198))/(STDEV(D6:D1198)+1E-12))</f>
        <v/>
      </c>
      <c r="F889" s="3">
        <f>IF('3a Raw'!E889="","",MAX(-3,MIN(3,('3a Raw'!E889-$F3)/$F4)))</f>
        <v/>
      </c>
      <c r="G889" s="3">
        <f>IF(F889="","",(F889-AVERAGE(F6:F1198))/(STDEV(F6:F1198)+1E-12))</f>
        <v/>
      </c>
      <c r="H889" s="3">
        <f>IF('3a Raw'!F889="","",MAX(-3,MIN(3,('3a Raw'!F889-$H3)/$H4)))</f>
        <v/>
      </c>
      <c r="I889" s="3">
        <f>IF(H889="","",(H889-AVERAGE(H6:H1198))/(STDEV(H6:H1198)+1E-12))</f>
        <v/>
      </c>
      <c r="J889" s="3">
        <f>IF('3a Raw'!G889="","",MAX(-3,MIN(3,('3a Raw'!G889-$J3)/$J4)))</f>
        <v/>
      </c>
      <c r="K889" s="3">
        <f>IF(J889="","",(J889-AVERAGE(J6:J1198))/(STDEV(J6:J1198)+1E-12))</f>
        <v/>
      </c>
      <c r="L889" s="3">
        <f>IF('3a Raw'!H889="","",MAX(-3,MIN(3,('3a Raw'!H889-$L3)/$L4)))</f>
        <v/>
      </c>
      <c r="M889" s="3">
        <f>IF(L889="","",(L889-AVERAGE(L6:L1198))/(STDEV(L6:L1198)+1E-12))</f>
        <v/>
      </c>
      <c r="N889" s="3">
        <f>IF('3a Raw'!I889="","",MAX(-3,MIN(3,('3a Raw'!I889-$N3)/$N4)))</f>
        <v/>
      </c>
      <c r="O889" s="3">
        <f>IF(N889="","",(N889-AVERAGE(N6:N1198))/(STDEV(N6:N1198)+1E-12))</f>
        <v/>
      </c>
      <c r="P889" s="3">
        <f>IF('3a Raw'!J889="","",MAX(-3,MIN(3,('3a Raw'!J889-$P3)/$P4)))</f>
        <v/>
      </c>
      <c r="Q889" s="3">
        <f>IF(P889="","",(P889-AVERAGE(P6:P1198))/(STDEV(P6:P1198)+1E-12))</f>
        <v/>
      </c>
      <c r="R889" s="3">
        <f>IF('3a Raw'!K889="","",MAX(-3,MIN(3,('3a Raw'!K889-$R3)/$R4)))</f>
        <v/>
      </c>
      <c r="S889" s="3">
        <f>IF(R889="","",(R889-AVERAGE(R6:R1198))/(STDEV(R6:R1198)+1E-12))</f>
        <v/>
      </c>
      <c r="T889" s="3">
        <f>IF('3a Raw'!L889="","",MAX(-3,MIN(3,('3a Raw'!L889-$T3)/$T4)))</f>
        <v/>
      </c>
      <c r="U889" s="3">
        <f>IF(T889="","",(T889-AVERAGE(T6:T1198))/(STDEV(T6:T1198)+1E-12))</f>
        <v/>
      </c>
      <c r="X889" s="3">
        <f>IF(U889="","",U889-($V$3*G889+$W$3))</f>
        <v/>
      </c>
      <c r="Y889" s="3">
        <f>IF(X889="","",MAX(-3,MIN(3,(X889-$X3)/$X4)))</f>
        <v/>
      </c>
      <c r="Z889" s="3">
        <f>IF(Y889="","",(Y889-AVERAGE(Y6:Y1198))/(STDEV(Y6:Y1198)+1E-12))</f>
        <v/>
      </c>
    </row>
    <row r="890">
      <c r="A890" t="inlineStr">
        <is>
          <t>BBG000BRRG02</t>
        </is>
      </c>
      <c r="B890" s="3">
        <f>IF('3a Raw'!C890="","",MAX(-3,MIN(3,('3a Raw'!C890-$B3)/$B4)))</f>
        <v/>
      </c>
      <c r="C890" s="3">
        <f>IF(B890="","",(B890-AVERAGE(B6:B1198))/(STDEV(B6:B1198)+1E-12))</f>
        <v/>
      </c>
      <c r="D890" s="3">
        <f>IF('3a Raw'!D890="","",MAX(-3,MIN(3,('3a Raw'!D890-$D3)/$D4)))</f>
        <v/>
      </c>
      <c r="E890" s="3">
        <f>IF(D890="","",(D890-AVERAGE(D6:D1198))/(STDEV(D6:D1198)+1E-12))</f>
        <v/>
      </c>
      <c r="F890" s="3">
        <f>IF('3a Raw'!E890="","",MAX(-3,MIN(3,('3a Raw'!E890-$F3)/$F4)))</f>
        <v/>
      </c>
      <c r="G890" s="3">
        <f>IF(F890="","",(F890-AVERAGE(F6:F1198))/(STDEV(F6:F1198)+1E-12))</f>
        <v/>
      </c>
      <c r="H890" s="3">
        <f>IF('3a Raw'!F890="","",MAX(-3,MIN(3,('3a Raw'!F890-$H3)/$H4)))</f>
        <v/>
      </c>
      <c r="I890" s="3">
        <f>IF(H890="","",(H890-AVERAGE(H6:H1198))/(STDEV(H6:H1198)+1E-12))</f>
        <v/>
      </c>
      <c r="J890" s="3">
        <f>IF('3a Raw'!G890="","",MAX(-3,MIN(3,('3a Raw'!G890-$J3)/$J4)))</f>
        <v/>
      </c>
      <c r="K890" s="3">
        <f>IF(J890="","",(J890-AVERAGE(J6:J1198))/(STDEV(J6:J1198)+1E-12))</f>
        <v/>
      </c>
      <c r="L890" s="3">
        <f>IF('3a Raw'!H890="","",MAX(-3,MIN(3,('3a Raw'!H890-$L3)/$L4)))</f>
        <v/>
      </c>
      <c r="M890" s="3">
        <f>IF(L890="","",(L890-AVERAGE(L6:L1198))/(STDEV(L6:L1198)+1E-12))</f>
        <v/>
      </c>
      <c r="N890" s="3">
        <f>IF('3a Raw'!I890="","",MAX(-3,MIN(3,('3a Raw'!I890-$N3)/$N4)))</f>
        <v/>
      </c>
      <c r="O890" s="3">
        <f>IF(N890="","",(N890-AVERAGE(N6:N1198))/(STDEV(N6:N1198)+1E-12))</f>
        <v/>
      </c>
      <c r="P890" s="3">
        <f>IF('3a Raw'!J890="","",MAX(-3,MIN(3,('3a Raw'!J890-$P3)/$P4)))</f>
        <v/>
      </c>
      <c r="Q890" s="3">
        <f>IF(P890="","",(P890-AVERAGE(P6:P1198))/(STDEV(P6:P1198)+1E-12))</f>
        <v/>
      </c>
      <c r="R890" s="3">
        <f>IF('3a Raw'!K890="","",MAX(-3,MIN(3,('3a Raw'!K890-$R3)/$R4)))</f>
        <v/>
      </c>
      <c r="S890" s="3">
        <f>IF(R890="","",(R890-AVERAGE(R6:R1198))/(STDEV(R6:R1198)+1E-12))</f>
        <v/>
      </c>
      <c r="T890" s="3">
        <f>IF('3a Raw'!L890="","",MAX(-3,MIN(3,('3a Raw'!L890-$T3)/$T4)))</f>
        <v/>
      </c>
      <c r="U890" s="3">
        <f>IF(T890="","",(T890-AVERAGE(T6:T1198))/(STDEV(T6:T1198)+1E-12))</f>
        <v/>
      </c>
      <c r="X890" s="3">
        <f>IF(U890="","",U890-($V$3*G890+$W$3))</f>
        <v/>
      </c>
      <c r="Y890" s="3">
        <f>IF(X890="","",MAX(-3,MIN(3,(X890-$X3)/$X4)))</f>
        <v/>
      </c>
      <c r="Z890" s="3">
        <f>IF(Y890="","",(Y890-AVERAGE(Y6:Y1198))/(STDEV(Y6:Y1198)+1E-12))</f>
        <v/>
      </c>
    </row>
    <row r="891">
      <c r="A891" t="inlineStr">
        <is>
          <t>pwr</t>
        </is>
      </c>
      <c r="B891" s="3">
        <f>IF('3a Raw'!C891="","",MAX(-3,MIN(3,('3a Raw'!C891-$B3)/$B4)))</f>
        <v/>
      </c>
      <c r="C891" s="3">
        <f>IF(B891="","",(B891-AVERAGE(B6:B1198))/(STDEV(B6:B1198)+1E-12))</f>
        <v/>
      </c>
      <c r="D891" s="3">
        <f>IF('3a Raw'!D891="","",MAX(-3,MIN(3,('3a Raw'!D891-$D3)/$D4)))</f>
        <v/>
      </c>
      <c r="E891" s="3">
        <f>IF(D891="","",(D891-AVERAGE(D6:D1198))/(STDEV(D6:D1198)+1E-12))</f>
        <v/>
      </c>
      <c r="F891" s="3">
        <f>IF('3a Raw'!E891="","",MAX(-3,MIN(3,('3a Raw'!E891-$F3)/$F4)))</f>
        <v/>
      </c>
      <c r="G891" s="3">
        <f>IF(F891="","",(F891-AVERAGE(F6:F1198))/(STDEV(F6:F1198)+1E-12))</f>
        <v/>
      </c>
      <c r="H891" s="3">
        <f>IF('3a Raw'!F891="","",MAX(-3,MIN(3,('3a Raw'!F891-$H3)/$H4)))</f>
        <v/>
      </c>
      <c r="I891" s="3">
        <f>IF(H891="","",(H891-AVERAGE(H6:H1198))/(STDEV(H6:H1198)+1E-12))</f>
        <v/>
      </c>
      <c r="J891" s="3">
        <f>IF('3a Raw'!G891="","",MAX(-3,MIN(3,('3a Raw'!G891-$J3)/$J4)))</f>
        <v/>
      </c>
      <c r="K891" s="3">
        <f>IF(J891="","",(J891-AVERAGE(J6:J1198))/(STDEV(J6:J1198)+1E-12))</f>
        <v/>
      </c>
      <c r="L891" s="3">
        <f>IF('3a Raw'!H891="","",MAX(-3,MIN(3,('3a Raw'!H891-$L3)/$L4)))</f>
        <v/>
      </c>
      <c r="M891" s="3">
        <f>IF(L891="","",(L891-AVERAGE(L6:L1198))/(STDEV(L6:L1198)+1E-12))</f>
        <v/>
      </c>
      <c r="N891" s="3">
        <f>IF('3a Raw'!I891="","",MAX(-3,MIN(3,('3a Raw'!I891-$N3)/$N4)))</f>
        <v/>
      </c>
      <c r="O891" s="3">
        <f>IF(N891="","",(N891-AVERAGE(N6:N1198))/(STDEV(N6:N1198)+1E-12))</f>
        <v/>
      </c>
      <c r="P891" s="3">
        <f>IF('3a Raw'!J891="","",MAX(-3,MIN(3,('3a Raw'!J891-$P3)/$P4)))</f>
        <v/>
      </c>
      <c r="Q891" s="3">
        <f>IF(P891="","",(P891-AVERAGE(P6:P1198))/(STDEV(P6:P1198)+1E-12))</f>
        <v/>
      </c>
      <c r="R891" s="3">
        <f>IF('3a Raw'!K891="","",MAX(-3,MIN(3,('3a Raw'!K891-$R3)/$R4)))</f>
        <v/>
      </c>
      <c r="S891" s="3">
        <f>IF(R891="","",(R891-AVERAGE(R6:R1198))/(STDEV(R6:R1198)+1E-12))</f>
        <v/>
      </c>
      <c r="T891" s="3">
        <f>IF('3a Raw'!L891="","",MAX(-3,MIN(3,('3a Raw'!L891-$T3)/$T4)))</f>
        <v/>
      </c>
      <c r="U891" s="3">
        <f>IF(T891="","",(T891-AVERAGE(T6:T1198))/(STDEV(T6:T1198)+1E-12))</f>
        <v/>
      </c>
      <c r="X891" s="3">
        <f>IF(U891="","",U891-($V$3*G891+$W$3))</f>
        <v/>
      </c>
      <c r="Y891" s="3">
        <f>IF(X891="","",MAX(-3,MIN(3,(X891-$X3)/$X4)))</f>
        <v/>
      </c>
      <c r="Z891" s="3">
        <f>IF(Y891="","",(Y891-AVERAGE(Y6:Y1198))/(STDEV(Y6:Y1198)+1E-12))</f>
        <v/>
      </c>
    </row>
    <row r="892">
      <c r="A892" t="inlineStr">
        <is>
          <t>BBG0077VNXV6</t>
        </is>
      </c>
      <c r="B892" s="3">
        <f>IF('3a Raw'!C892="","",MAX(-3,MIN(3,('3a Raw'!C892-$B3)/$B4)))</f>
        <v/>
      </c>
      <c r="C892" s="3">
        <f>IF(B892="","",(B892-AVERAGE(B6:B1198))/(STDEV(B6:B1198)+1E-12))</f>
        <v/>
      </c>
      <c r="D892" s="3">
        <f>IF('3a Raw'!D892="","",MAX(-3,MIN(3,('3a Raw'!D892-$D3)/$D4)))</f>
        <v/>
      </c>
      <c r="E892" s="3">
        <f>IF(D892="","",(D892-AVERAGE(D6:D1198))/(STDEV(D6:D1198)+1E-12))</f>
        <v/>
      </c>
      <c r="F892" s="3">
        <f>IF('3a Raw'!E892="","",MAX(-3,MIN(3,('3a Raw'!E892-$F3)/$F4)))</f>
        <v/>
      </c>
      <c r="G892" s="3">
        <f>IF(F892="","",(F892-AVERAGE(F6:F1198))/(STDEV(F6:F1198)+1E-12))</f>
        <v/>
      </c>
      <c r="H892" s="3">
        <f>IF('3a Raw'!F892="","",MAX(-3,MIN(3,('3a Raw'!F892-$H3)/$H4)))</f>
        <v/>
      </c>
      <c r="I892" s="3">
        <f>IF(H892="","",(H892-AVERAGE(H6:H1198))/(STDEV(H6:H1198)+1E-12))</f>
        <v/>
      </c>
      <c r="J892" s="3">
        <f>IF('3a Raw'!G892="","",MAX(-3,MIN(3,('3a Raw'!G892-$J3)/$J4)))</f>
        <v/>
      </c>
      <c r="K892" s="3">
        <f>IF(J892="","",(J892-AVERAGE(J6:J1198))/(STDEV(J6:J1198)+1E-12))</f>
        <v/>
      </c>
      <c r="L892" s="3">
        <f>IF('3a Raw'!H892="","",MAX(-3,MIN(3,('3a Raw'!H892-$L3)/$L4)))</f>
        <v/>
      </c>
      <c r="M892" s="3">
        <f>IF(L892="","",(L892-AVERAGE(L6:L1198))/(STDEV(L6:L1198)+1E-12))</f>
        <v/>
      </c>
      <c r="N892" s="3">
        <f>IF('3a Raw'!I892="","",MAX(-3,MIN(3,('3a Raw'!I892-$N3)/$N4)))</f>
        <v/>
      </c>
      <c r="O892" s="3">
        <f>IF(N892="","",(N892-AVERAGE(N6:N1198))/(STDEV(N6:N1198)+1E-12))</f>
        <v/>
      </c>
      <c r="P892" s="3">
        <f>IF('3a Raw'!J892="","",MAX(-3,MIN(3,('3a Raw'!J892-$P3)/$P4)))</f>
        <v/>
      </c>
      <c r="Q892" s="3">
        <f>IF(P892="","",(P892-AVERAGE(P6:P1198))/(STDEV(P6:P1198)+1E-12))</f>
        <v/>
      </c>
      <c r="R892" s="3">
        <f>IF('3a Raw'!K892="","",MAX(-3,MIN(3,('3a Raw'!K892-$R3)/$R4)))</f>
        <v/>
      </c>
      <c r="S892" s="3">
        <f>IF(R892="","",(R892-AVERAGE(R6:R1198))/(STDEV(R6:R1198)+1E-12))</f>
        <v/>
      </c>
      <c r="T892" s="3">
        <f>IF('3a Raw'!L892="","",MAX(-3,MIN(3,('3a Raw'!L892-$T3)/$T4)))</f>
        <v/>
      </c>
      <c r="U892" s="3">
        <f>IF(T892="","",(T892-AVERAGE(T6:T1198))/(STDEV(T6:T1198)+1E-12))</f>
        <v/>
      </c>
      <c r="X892" s="3">
        <f>IF(U892="","",U892-($V$3*G892+$W$3))</f>
        <v/>
      </c>
      <c r="Y892" s="3">
        <f>IF(X892="","",MAX(-3,MIN(3,(X892-$X3)/$X4)))</f>
        <v/>
      </c>
      <c r="Z892" s="3">
        <f>IF(Y892="","",(Y892-AVERAGE(Y6:Y1198))/(STDEV(Y6:Y1198)+1E-12))</f>
        <v/>
      </c>
    </row>
    <row r="893">
      <c r="A893" t="inlineStr">
        <is>
          <t>BBG000BFWF13</t>
        </is>
      </c>
      <c r="B893" s="3">
        <f>IF('3a Raw'!C893="","",MAX(-3,MIN(3,('3a Raw'!C893-$B3)/$B4)))</f>
        <v/>
      </c>
      <c r="C893" s="3">
        <f>IF(B893="","",(B893-AVERAGE(B6:B1198))/(STDEV(B6:B1198)+1E-12))</f>
        <v/>
      </c>
      <c r="D893" s="3">
        <f>IF('3a Raw'!D893="","",MAX(-3,MIN(3,('3a Raw'!D893-$D3)/$D4)))</f>
        <v/>
      </c>
      <c r="E893" s="3">
        <f>IF(D893="","",(D893-AVERAGE(D6:D1198))/(STDEV(D6:D1198)+1E-12))</f>
        <v/>
      </c>
      <c r="F893" s="3">
        <f>IF('3a Raw'!E893="","",MAX(-3,MIN(3,('3a Raw'!E893-$F3)/$F4)))</f>
        <v/>
      </c>
      <c r="G893" s="3">
        <f>IF(F893="","",(F893-AVERAGE(F6:F1198))/(STDEV(F6:F1198)+1E-12))</f>
        <v/>
      </c>
      <c r="H893" s="3">
        <f>IF('3a Raw'!F893="","",MAX(-3,MIN(3,('3a Raw'!F893-$H3)/$H4)))</f>
        <v/>
      </c>
      <c r="I893" s="3">
        <f>IF(H893="","",(H893-AVERAGE(H6:H1198))/(STDEV(H6:H1198)+1E-12))</f>
        <v/>
      </c>
      <c r="J893" s="3">
        <f>IF('3a Raw'!G893="","",MAX(-3,MIN(3,('3a Raw'!G893-$J3)/$J4)))</f>
        <v/>
      </c>
      <c r="K893" s="3">
        <f>IF(J893="","",(J893-AVERAGE(J6:J1198))/(STDEV(J6:J1198)+1E-12))</f>
        <v/>
      </c>
      <c r="L893" s="3">
        <f>IF('3a Raw'!H893="","",MAX(-3,MIN(3,('3a Raw'!H893-$L3)/$L4)))</f>
        <v/>
      </c>
      <c r="M893" s="3">
        <f>IF(L893="","",(L893-AVERAGE(L6:L1198))/(STDEV(L6:L1198)+1E-12))</f>
        <v/>
      </c>
      <c r="N893" s="3">
        <f>IF('3a Raw'!I893="","",MAX(-3,MIN(3,('3a Raw'!I893-$N3)/$N4)))</f>
        <v/>
      </c>
      <c r="O893" s="3">
        <f>IF(N893="","",(N893-AVERAGE(N6:N1198))/(STDEV(N6:N1198)+1E-12))</f>
        <v/>
      </c>
      <c r="P893" s="3">
        <f>IF('3a Raw'!J893="","",MAX(-3,MIN(3,('3a Raw'!J893-$P3)/$P4)))</f>
        <v/>
      </c>
      <c r="Q893" s="3">
        <f>IF(P893="","",(P893-AVERAGE(P6:P1198))/(STDEV(P6:P1198)+1E-12))</f>
        <v/>
      </c>
      <c r="R893" s="3">
        <f>IF('3a Raw'!K893="","",MAX(-3,MIN(3,('3a Raw'!K893-$R3)/$R4)))</f>
        <v/>
      </c>
      <c r="S893" s="3">
        <f>IF(R893="","",(R893-AVERAGE(R6:R1198))/(STDEV(R6:R1198)+1E-12))</f>
        <v/>
      </c>
      <c r="T893" s="3">
        <f>IF('3a Raw'!L893="","",MAX(-3,MIN(3,('3a Raw'!L893-$T3)/$T4)))</f>
        <v/>
      </c>
      <c r="U893" s="3">
        <f>IF(T893="","",(T893-AVERAGE(T6:T1198))/(STDEV(T6:T1198)+1E-12))</f>
        <v/>
      </c>
      <c r="X893" s="3">
        <f>IF(U893="","",U893-($V$3*G893+$W$3))</f>
        <v/>
      </c>
      <c r="Y893" s="3">
        <f>IF(X893="","",MAX(-3,MIN(3,(X893-$X3)/$X4)))</f>
        <v/>
      </c>
      <c r="Z893" s="3">
        <f>IF(Y893="","",(Y893-AVERAGE(Y6:Y1198))/(STDEV(Y6:Y1198)+1E-12))</f>
        <v/>
      </c>
    </row>
    <row r="894">
      <c r="A894" t="inlineStr">
        <is>
          <t>BBG01TRL73S5</t>
        </is>
      </c>
      <c r="B894" s="3">
        <f>IF('3a Raw'!C894="","",MAX(-3,MIN(3,('3a Raw'!C894-$B3)/$B4)))</f>
        <v/>
      </c>
      <c r="C894" s="3">
        <f>IF(B894="","",(B894-AVERAGE(B6:B1198))/(STDEV(B6:B1198)+1E-12))</f>
        <v/>
      </c>
      <c r="D894" s="3">
        <f>IF('3a Raw'!D894="","",MAX(-3,MIN(3,('3a Raw'!D894-$D3)/$D4)))</f>
        <v/>
      </c>
      <c r="E894" s="3">
        <f>IF(D894="","",(D894-AVERAGE(D6:D1198))/(STDEV(D6:D1198)+1E-12))</f>
        <v/>
      </c>
      <c r="F894" s="3">
        <f>IF('3a Raw'!E894="","",MAX(-3,MIN(3,('3a Raw'!E894-$F3)/$F4)))</f>
        <v/>
      </c>
      <c r="G894" s="3">
        <f>IF(F894="","",(F894-AVERAGE(F6:F1198))/(STDEV(F6:F1198)+1E-12))</f>
        <v/>
      </c>
      <c r="H894" s="3">
        <f>IF('3a Raw'!F894="","",MAX(-3,MIN(3,('3a Raw'!F894-$H3)/$H4)))</f>
        <v/>
      </c>
      <c r="I894" s="3">
        <f>IF(H894="","",(H894-AVERAGE(H6:H1198))/(STDEV(H6:H1198)+1E-12))</f>
        <v/>
      </c>
      <c r="J894" s="3">
        <f>IF('3a Raw'!G894="","",MAX(-3,MIN(3,('3a Raw'!G894-$J3)/$J4)))</f>
        <v/>
      </c>
      <c r="K894" s="3">
        <f>IF(J894="","",(J894-AVERAGE(J6:J1198))/(STDEV(J6:J1198)+1E-12))</f>
        <v/>
      </c>
      <c r="L894" s="3">
        <f>IF('3a Raw'!H894="","",MAX(-3,MIN(3,('3a Raw'!H894-$L3)/$L4)))</f>
        <v/>
      </c>
      <c r="M894" s="3">
        <f>IF(L894="","",(L894-AVERAGE(L6:L1198))/(STDEV(L6:L1198)+1E-12))</f>
        <v/>
      </c>
      <c r="N894" s="3">
        <f>IF('3a Raw'!I894="","",MAX(-3,MIN(3,('3a Raw'!I894-$N3)/$N4)))</f>
        <v/>
      </c>
      <c r="O894" s="3">
        <f>IF(N894="","",(N894-AVERAGE(N6:N1198))/(STDEV(N6:N1198)+1E-12))</f>
        <v/>
      </c>
      <c r="P894" s="3">
        <f>IF('3a Raw'!J894="","",MAX(-3,MIN(3,('3a Raw'!J894-$P3)/$P4)))</f>
        <v/>
      </c>
      <c r="Q894" s="3">
        <f>IF(P894="","",(P894-AVERAGE(P6:P1198))/(STDEV(P6:P1198)+1E-12))</f>
        <v/>
      </c>
      <c r="R894" s="3">
        <f>IF('3a Raw'!K894="","",MAX(-3,MIN(3,('3a Raw'!K894-$R3)/$R4)))</f>
        <v/>
      </c>
      <c r="S894" s="3">
        <f>IF(R894="","",(R894-AVERAGE(R6:R1198))/(STDEV(R6:R1198)+1E-12))</f>
        <v/>
      </c>
      <c r="T894" s="3">
        <f>IF('3a Raw'!L894="","",MAX(-3,MIN(3,('3a Raw'!L894-$T3)/$T4)))</f>
        <v/>
      </c>
      <c r="U894" s="3">
        <f>IF(T894="","",(T894-AVERAGE(T6:T1198))/(STDEV(T6:T1198)+1E-12))</f>
        <v/>
      </c>
      <c r="X894" s="3">
        <f>IF(U894="","",U894-($V$3*G894+$W$3))</f>
        <v/>
      </c>
      <c r="Y894" s="3">
        <f>IF(X894="","",MAX(-3,MIN(3,(X894-$X3)/$X4)))</f>
        <v/>
      </c>
      <c r="Z894" s="3">
        <f>IF(Y894="","",(Y894-AVERAGE(Y6:Y1198))/(STDEV(Y6:Y1198)+1E-12))</f>
        <v/>
      </c>
    </row>
    <row r="895">
      <c r="A895" t="inlineStr">
        <is>
          <t>BBG000CGC1X8</t>
        </is>
      </c>
      <c r="B895" s="3">
        <f>IF('3a Raw'!C895="","",MAX(-3,MIN(3,('3a Raw'!C895-$B3)/$B4)))</f>
        <v/>
      </c>
      <c r="C895" s="3">
        <f>IF(B895="","",(B895-AVERAGE(B6:B1198))/(STDEV(B6:B1198)+1E-12))</f>
        <v/>
      </c>
      <c r="D895" s="3">
        <f>IF('3a Raw'!D895="","",MAX(-3,MIN(3,('3a Raw'!D895-$D3)/$D4)))</f>
        <v/>
      </c>
      <c r="E895" s="3">
        <f>IF(D895="","",(D895-AVERAGE(D6:D1198))/(STDEV(D6:D1198)+1E-12))</f>
        <v/>
      </c>
      <c r="F895" s="3">
        <f>IF('3a Raw'!E895="","",MAX(-3,MIN(3,('3a Raw'!E895-$F3)/$F4)))</f>
        <v/>
      </c>
      <c r="G895" s="3">
        <f>IF(F895="","",(F895-AVERAGE(F6:F1198))/(STDEV(F6:F1198)+1E-12))</f>
        <v/>
      </c>
      <c r="H895" s="3">
        <f>IF('3a Raw'!F895="","",MAX(-3,MIN(3,('3a Raw'!F895-$H3)/$H4)))</f>
        <v/>
      </c>
      <c r="I895" s="3">
        <f>IF(H895="","",(H895-AVERAGE(H6:H1198))/(STDEV(H6:H1198)+1E-12))</f>
        <v/>
      </c>
      <c r="J895" s="3">
        <f>IF('3a Raw'!G895="","",MAX(-3,MIN(3,('3a Raw'!G895-$J3)/$J4)))</f>
        <v/>
      </c>
      <c r="K895" s="3">
        <f>IF(J895="","",(J895-AVERAGE(J6:J1198))/(STDEV(J6:J1198)+1E-12))</f>
        <v/>
      </c>
      <c r="L895" s="3">
        <f>IF('3a Raw'!H895="","",MAX(-3,MIN(3,('3a Raw'!H895-$L3)/$L4)))</f>
        <v/>
      </c>
      <c r="M895" s="3">
        <f>IF(L895="","",(L895-AVERAGE(L6:L1198))/(STDEV(L6:L1198)+1E-12))</f>
        <v/>
      </c>
      <c r="N895" s="3">
        <f>IF('3a Raw'!I895="","",MAX(-3,MIN(3,('3a Raw'!I895-$N3)/$N4)))</f>
        <v/>
      </c>
      <c r="O895" s="3">
        <f>IF(N895="","",(N895-AVERAGE(N6:N1198))/(STDEV(N6:N1198)+1E-12))</f>
        <v/>
      </c>
      <c r="P895" s="3">
        <f>IF('3a Raw'!J895="","",MAX(-3,MIN(3,('3a Raw'!J895-$P3)/$P4)))</f>
        <v/>
      </c>
      <c r="Q895" s="3">
        <f>IF(P895="","",(P895-AVERAGE(P6:P1198))/(STDEV(P6:P1198)+1E-12))</f>
        <v/>
      </c>
      <c r="R895" s="3">
        <f>IF('3a Raw'!K895="","",MAX(-3,MIN(3,('3a Raw'!K895-$R3)/$R4)))</f>
        <v/>
      </c>
      <c r="S895" s="3">
        <f>IF(R895="","",(R895-AVERAGE(R6:R1198))/(STDEV(R6:R1198)+1E-12))</f>
        <v/>
      </c>
      <c r="T895" s="3">
        <f>IF('3a Raw'!L895="","",MAX(-3,MIN(3,('3a Raw'!L895-$T3)/$T4)))</f>
        <v/>
      </c>
      <c r="U895" s="3">
        <f>IF(T895="","",(T895-AVERAGE(T6:T1198))/(STDEV(T6:T1198)+1E-12))</f>
        <v/>
      </c>
      <c r="X895" s="3">
        <f>IF(U895="","",U895-($V$3*G895+$W$3))</f>
        <v/>
      </c>
      <c r="Y895" s="3">
        <f>IF(X895="","",MAX(-3,MIN(3,(X895-$X3)/$X4)))</f>
        <v/>
      </c>
      <c r="Z895" s="3">
        <f>IF(Y895="","",(Y895-AVERAGE(Y6:Y1198))/(STDEV(Y6:Y1198)+1E-12))</f>
        <v/>
      </c>
    </row>
    <row r="896">
      <c r="A896" t="inlineStr">
        <is>
          <t>BBG000BSWKH7</t>
        </is>
      </c>
      <c r="B896" s="3">
        <f>IF('3a Raw'!C896="","",MAX(-3,MIN(3,('3a Raw'!C896-$B3)/$B4)))</f>
        <v/>
      </c>
      <c r="C896" s="3">
        <f>IF(B896="","",(B896-AVERAGE(B6:B1198))/(STDEV(B6:B1198)+1E-12))</f>
        <v/>
      </c>
      <c r="D896" s="3">
        <f>IF('3a Raw'!D896="","",MAX(-3,MIN(3,('3a Raw'!D896-$D3)/$D4)))</f>
        <v/>
      </c>
      <c r="E896" s="3">
        <f>IF(D896="","",(D896-AVERAGE(D6:D1198))/(STDEV(D6:D1198)+1E-12))</f>
        <v/>
      </c>
      <c r="F896" s="3">
        <f>IF('3a Raw'!E896="","",MAX(-3,MIN(3,('3a Raw'!E896-$F3)/$F4)))</f>
        <v/>
      </c>
      <c r="G896" s="3">
        <f>IF(F896="","",(F896-AVERAGE(F6:F1198))/(STDEV(F6:F1198)+1E-12))</f>
        <v/>
      </c>
      <c r="H896" s="3">
        <f>IF('3a Raw'!F896="","",MAX(-3,MIN(3,('3a Raw'!F896-$H3)/$H4)))</f>
        <v/>
      </c>
      <c r="I896" s="3">
        <f>IF(H896="","",(H896-AVERAGE(H6:H1198))/(STDEV(H6:H1198)+1E-12))</f>
        <v/>
      </c>
      <c r="J896" s="3">
        <f>IF('3a Raw'!G896="","",MAX(-3,MIN(3,('3a Raw'!G896-$J3)/$J4)))</f>
        <v/>
      </c>
      <c r="K896" s="3">
        <f>IF(J896="","",(J896-AVERAGE(J6:J1198))/(STDEV(J6:J1198)+1E-12))</f>
        <v/>
      </c>
      <c r="L896" s="3">
        <f>IF('3a Raw'!H896="","",MAX(-3,MIN(3,('3a Raw'!H896-$L3)/$L4)))</f>
        <v/>
      </c>
      <c r="M896" s="3">
        <f>IF(L896="","",(L896-AVERAGE(L6:L1198))/(STDEV(L6:L1198)+1E-12))</f>
        <v/>
      </c>
      <c r="N896" s="3">
        <f>IF('3a Raw'!I896="","",MAX(-3,MIN(3,('3a Raw'!I896-$N3)/$N4)))</f>
        <v/>
      </c>
      <c r="O896" s="3">
        <f>IF(N896="","",(N896-AVERAGE(N6:N1198))/(STDEV(N6:N1198)+1E-12))</f>
        <v/>
      </c>
      <c r="P896" s="3">
        <f>IF('3a Raw'!J896="","",MAX(-3,MIN(3,('3a Raw'!J896-$P3)/$P4)))</f>
        <v/>
      </c>
      <c r="Q896" s="3">
        <f>IF(P896="","",(P896-AVERAGE(P6:P1198))/(STDEV(P6:P1198)+1E-12))</f>
        <v/>
      </c>
      <c r="R896" s="3">
        <f>IF('3a Raw'!K896="","",MAX(-3,MIN(3,('3a Raw'!K896-$R3)/$R4)))</f>
        <v/>
      </c>
      <c r="S896" s="3">
        <f>IF(R896="","",(R896-AVERAGE(R6:R1198))/(STDEV(R6:R1198)+1E-12))</f>
        <v/>
      </c>
      <c r="T896" s="3">
        <f>IF('3a Raw'!L896="","",MAX(-3,MIN(3,('3a Raw'!L896-$T3)/$T4)))</f>
        <v/>
      </c>
      <c r="U896" s="3">
        <f>IF(T896="","",(T896-AVERAGE(T6:T1198))/(STDEV(T6:T1198)+1E-12))</f>
        <v/>
      </c>
      <c r="X896" s="3">
        <f>IF(U896="","",U896-($V$3*G896+$W$3))</f>
        <v/>
      </c>
      <c r="Y896" s="3">
        <f>IF(X896="","",MAX(-3,MIN(3,(X896-$X3)/$X4)))</f>
        <v/>
      </c>
      <c r="Z896" s="3">
        <f>IF(Y896="","",(Y896-AVERAGE(Y6:Y1198))/(STDEV(Y6:Y1198)+1E-12))</f>
        <v/>
      </c>
    </row>
    <row r="897">
      <c r="A897" t="inlineStr">
        <is>
          <t>BBG00VJ17DS2</t>
        </is>
      </c>
      <c r="B897" s="3">
        <f>IF('3a Raw'!C897="","",MAX(-3,MIN(3,('3a Raw'!C897-$B3)/$B4)))</f>
        <v/>
      </c>
      <c r="C897" s="3">
        <f>IF(B897="","",(B897-AVERAGE(B6:B1198))/(STDEV(B6:B1198)+1E-12))</f>
        <v/>
      </c>
      <c r="D897" s="3">
        <f>IF('3a Raw'!D897="","",MAX(-3,MIN(3,('3a Raw'!D897-$D3)/$D4)))</f>
        <v/>
      </c>
      <c r="E897" s="3">
        <f>IF(D897="","",(D897-AVERAGE(D6:D1198))/(STDEV(D6:D1198)+1E-12))</f>
        <v/>
      </c>
      <c r="F897" s="3">
        <f>IF('3a Raw'!E897="","",MAX(-3,MIN(3,('3a Raw'!E897-$F3)/$F4)))</f>
        <v/>
      </c>
      <c r="G897" s="3">
        <f>IF(F897="","",(F897-AVERAGE(F6:F1198))/(STDEV(F6:F1198)+1E-12))</f>
        <v/>
      </c>
      <c r="H897" s="3">
        <f>IF('3a Raw'!F897="","",MAX(-3,MIN(3,('3a Raw'!F897-$H3)/$H4)))</f>
        <v/>
      </c>
      <c r="I897" s="3">
        <f>IF(H897="","",(H897-AVERAGE(H6:H1198))/(STDEV(H6:H1198)+1E-12))</f>
        <v/>
      </c>
      <c r="J897" s="3">
        <f>IF('3a Raw'!G897="","",MAX(-3,MIN(3,('3a Raw'!G897-$J3)/$J4)))</f>
        <v/>
      </c>
      <c r="K897" s="3">
        <f>IF(J897="","",(J897-AVERAGE(J6:J1198))/(STDEV(J6:J1198)+1E-12))</f>
        <v/>
      </c>
      <c r="L897" s="3">
        <f>IF('3a Raw'!H897="","",MAX(-3,MIN(3,('3a Raw'!H897-$L3)/$L4)))</f>
        <v/>
      </c>
      <c r="M897" s="3">
        <f>IF(L897="","",(L897-AVERAGE(L6:L1198))/(STDEV(L6:L1198)+1E-12))</f>
        <v/>
      </c>
      <c r="N897" s="3">
        <f>IF('3a Raw'!I897="","",MAX(-3,MIN(3,('3a Raw'!I897-$N3)/$N4)))</f>
        <v/>
      </c>
      <c r="O897" s="3">
        <f>IF(N897="","",(N897-AVERAGE(N6:N1198))/(STDEV(N6:N1198)+1E-12))</f>
        <v/>
      </c>
      <c r="P897" s="3">
        <f>IF('3a Raw'!J897="","",MAX(-3,MIN(3,('3a Raw'!J897-$P3)/$P4)))</f>
        <v/>
      </c>
      <c r="Q897" s="3">
        <f>IF(P897="","",(P897-AVERAGE(P6:P1198))/(STDEV(P6:P1198)+1E-12))</f>
        <v/>
      </c>
      <c r="R897" s="3">
        <f>IF('3a Raw'!K897="","",MAX(-3,MIN(3,('3a Raw'!K897-$R3)/$R4)))</f>
        <v/>
      </c>
      <c r="S897" s="3">
        <f>IF(R897="","",(R897-AVERAGE(R6:R1198))/(STDEV(R6:R1198)+1E-12))</f>
        <v/>
      </c>
      <c r="T897" s="3">
        <f>IF('3a Raw'!L897="","",MAX(-3,MIN(3,('3a Raw'!L897-$T3)/$T4)))</f>
        <v/>
      </c>
      <c r="U897" s="3">
        <f>IF(T897="","",(T897-AVERAGE(T6:T1198))/(STDEV(T6:T1198)+1E-12))</f>
        <v/>
      </c>
      <c r="X897" s="3">
        <f>IF(U897="","",U897-($V$3*G897+$W$3))</f>
        <v/>
      </c>
      <c r="Y897" s="3">
        <f>IF(X897="","",MAX(-3,MIN(3,(X897-$X3)/$X4)))</f>
        <v/>
      </c>
      <c r="Z897" s="3">
        <f>IF(Y897="","",(Y897-AVERAGE(Y6:Y1198))/(STDEV(Y6:Y1198)+1E-12))</f>
        <v/>
      </c>
    </row>
    <row r="898">
      <c r="A898" t="inlineStr">
        <is>
          <t>BBG000BV5627</t>
        </is>
      </c>
      <c r="B898" s="3">
        <f>IF('3a Raw'!C898="","",MAX(-3,MIN(3,('3a Raw'!C898-$B3)/$B4)))</f>
        <v/>
      </c>
      <c r="C898" s="3">
        <f>IF(B898="","",(B898-AVERAGE(B6:B1198))/(STDEV(B6:B1198)+1E-12))</f>
        <v/>
      </c>
      <c r="D898" s="3">
        <f>IF('3a Raw'!D898="","",MAX(-3,MIN(3,('3a Raw'!D898-$D3)/$D4)))</f>
        <v/>
      </c>
      <c r="E898" s="3">
        <f>IF(D898="","",(D898-AVERAGE(D6:D1198))/(STDEV(D6:D1198)+1E-12))</f>
        <v/>
      </c>
      <c r="F898" s="3">
        <f>IF('3a Raw'!E898="","",MAX(-3,MIN(3,('3a Raw'!E898-$F3)/$F4)))</f>
        <v/>
      </c>
      <c r="G898" s="3">
        <f>IF(F898="","",(F898-AVERAGE(F6:F1198))/(STDEV(F6:F1198)+1E-12))</f>
        <v/>
      </c>
      <c r="H898" s="3">
        <f>IF('3a Raw'!F898="","",MAX(-3,MIN(3,('3a Raw'!F898-$H3)/$H4)))</f>
        <v/>
      </c>
      <c r="I898" s="3">
        <f>IF(H898="","",(H898-AVERAGE(H6:H1198))/(STDEV(H6:H1198)+1E-12))</f>
        <v/>
      </c>
      <c r="J898" s="3">
        <f>IF('3a Raw'!G898="","",MAX(-3,MIN(3,('3a Raw'!G898-$J3)/$J4)))</f>
        <v/>
      </c>
      <c r="K898" s="3">
        <f>IF(J898="","",(J898-AVERAGE(J6:J1198))/(STDEV(J6:J1198)+1E-12))</f>
        <v/>
      </c>
      <c r="L898" s="3">
        <f>IF('3a Raw'!H898="","",MAX(-3,MIN(3,('3a Raw'!H898-$L3)/$L4)))</f>
        <v/>
      </c>
      <c r="M898" s="3">
        <f>IF(L898="","",(L898-AVERAGE(L6:L1198))/(STDEV(L6:L1198)+1E-12))</f>
        <v/>
      </c>
      <c r="N898" s="3">
        <f>IF('3a Raw'!I898="","",MAX(-3,MIN(3,('3a Raw'!I898-$N3)/$N4)))</f>
        <v/>
      </c>
      <c r="O898" s="3">
        <f>IF(N898="","",(N898-AVERAGE(N6:N1198))/(STDEV(N6:N1198)+1E-12))</f>
        <v/>
      </c>
      <c r="P898" s="3">
        <f>IF('3a Raw'!J898="","",MAX(-3,MIN(3,('3a Raw'!J898-$P3)/$P4)))</f>
        <v/>
      </c>
      <c r="Q898" s="3">
        <f>IF(P898="","",(P898-AVERAGE(P6:P1198))/(STDEV(P6:P1198)+1E-12))</f>
        <v/>
      </c>
      <c r="R898" s="3">
        <f>IF('3a Raw'!K898="","",MAX(-3,MIN(3,('3a Raw'!K898-$R3)/$R4)))</f>
        <v/>
      </c>
      <c r="S898" s="3">
        <f>IF(R898="","",(R898-AVERAGE(R6:R1198))/(STDEV(R6:R1198)+1E-12))</f>
        <v/>
      </c>
      <c r="T898" s="3">
        <f>IF('3a Raw'!L898="","",MAX(-3,MIN(3,('3a Raw'!L898-$T3)/$T4)))</f>
        <v/>
      </c>
      <c r="U898" s="3">
        <f>IF(T898="","",(T898-AVERAGE(T6:T1198))/(STDEV(T6:T1198)+1E-12))</f>
        <v/>
      </c>
      <c r="X898" s="3">
        <f>IF(U898="","",U898-($V$3*G898+$W$3))</f>
        <v/>
      </c>
      <c r="Y898" s="3">
        <f>IF(X898="","",MAX(-3,MIN(3,(X898-$X3)/$X4)))</f>
        <v/>
      </c>
      <c r="Z898" s="3">
        <f>IF(Y898="","",(Y898-AVERAGE(Y6:Y1198))/(STDEV(Y6:Y1198)+1E-12))</f>
        <v/>
      </c>
    </row>
    <row r="899">
      <c r="A899" t="inlineStr">
        <is>
          <t>BBG01V4YRP24</t>
        </is>
      </c>
      <c r="B899" s="3">
        <f>IF('3a Raw'!C899="","",MAX(-3,MIN(3,('3a Raw'!C899-$B3)/$B4)))</f>
        <v/>
      </c>
      <c r="C899" s="3">
        <f>IF(B899="","",(B899-AVERAGE(B6:B1198))/(STDEV(B6:B1198)+1E-12))</f>
        <v/>
      </c>
      <c r="D899" s="3">
        <f>IF('3a Raw'!D899="","",MAX(-3,MIN(3,('3a Raw'!D899-$D3)/$D4)))</f>
        <v/>
      </c>
      <c r="E899" s="3">
        <f>IF(D899="","",(D899-AVERAGE(D6:D1198))/(STDEV(D6:D1198)+1E-12))</f>
        <v/>
      </c>
      <c r="F899" s="3">
        <f>IF('3a Raw'!E899="","",MAX(-3,MIN(3,('3a Raw'!E899-$F3)/$F4)))</f>
        <v/>
      </c>
      <c r="G899" s="3">
        <f>IF(F899="","",(F899-AVERAGE(F6:F1198))/(STDEV(F6:F1198)+1E-12))</f>
        <v/>
      </c>
      <c r="H899" s="3">
        <f>IF('3a Raw'!F899="","",MAX(-3,MIN(3,('3a Raw'!F899-$H3)/$H4)))</f>
        <v/>
      </c>
      <c r="I899" s="3">
        <f>IF(H899="","",(H899-AVERAGE(H6:H1198))/(STDEV(H6:H1198)+1E-12))</f>
        <v/>
      </c>
      <c r="J899" s="3">
        <f>IF('3a Raw'!G899="","",MAX(-3,MIN(3,('3a Raw'!G899-$J3)/$J4)))</f>
        <v/>
      </c>
      <c r="K899" s="3">
        <f>IF(J899="","",(J899-AVERAGE(J6:J1198))/(STDEV(J6:J1198)+1E-12))</f>
        <v/>
      </c>
      <c r="L899" s="3">
        <f>IF('3a Raw'!H899="","",MAX(-3,MIN(3,('3a Raw'!H899-$L3)/$L4)))</f>
        <v/>
      </c>
      <c r="M899" s="3">
        <f>IF(L899="","",(L899-AVERAGE(L6:L1198))/(STDEV(L6:L1198)+1E-12))</f>
        <v/>
      </c>
      <c r="N899" s="3">
        <f>IF('3a Raw'!I899="","",MAX(-3,MIN(3,('3a Raw'!I899-$N3)/$N4)))</f>
        <v/>
      </c>
      <c r="O899" s="3">
        <f>IF(N899="","",(N899-AVERAGE(N6:N1198))/(STDEV(N6:N1198)+1E-12))</f>
        <v/>
      </c>
      <c r="P899" s="3">
        <f>IF('3a Raw'!J899="","",MAX(-3,MIN(3,('3a Raw'!J899-$P3)/$P4)))</f>
        <v/>
      </c>
      <c r="Q899" s="3">
        <f>IF(P899="","",(P899-AVERAGE(P6:P1198))/(STDEV(P6:P1198)+1E-12))</f>
        <v/>
      </c>
      <c r="R899" s="3">
        <f>IF('3a Raw'!K899="","",MAX(-3,MIN(3,('3a Raw'!K899-$R3)/$R4)))</f>
        <v/>
      </c>
      <c r="S899" s="3">
        <f>IF(R899="","",(R899-AVERAGE(R6:R1198))/(STDEV(R6:R1198)+1E-12))</f>
        <v/>
      </c>
      <c r="T899" s="3">
        <f>IF('3a Raw'!L899="","",MAX(-3,MIN(3,('3a Raw'!L899-$T3)/$T4)))</f>
        <v/>
      </c>
      <c r="U899" s="3">
        <f>IF(T899="","",(T899-AVERAGE(T6:T1198))/(STDEV(T6:T1198)+1E-12))</f>
        <v/>
      </c>
      <c r="X899" s="3">
        <f>IF(U899="","",U899-($V$3*G899+$W$3))</f>
        <v/>
      </c>
      <c r="Y899" s="3">
        <f>IF(X899="","",MAX(-3,MIN(3,(X899-$X3)/$X4)))</f>
        <v/>
      </c>
      <c r="Z899" s="3">
        <f>IF(Y899="","",(Y899-AVERAGE(Y6:Y1198))/(STDEV(Y6:Y1198)+1E-12))</f>
        <v/>
      </c>
    </row>
    <row r="900">
      <c r="A900" t="inlineStr">
        <is>
          <t>BBG01FRNQ4P1</t>
        </is>
      </c>
      <c r="B900" s="3">
        <f>IF('3a Raw'!C900="","",MAX(-3,MIN(3,('3a Raw'!C900-$B3)/$B4)))</f>
        <v/>
      </c>
      <c r="C900" s="3">
        <f>IF(B900="","",(B900-AVERAGE(B6:B1198))/(STDEV(B6:B1198)+1E-12))</f>
        <v/>
      </c>
      <c r="D900" s="3">
        <f>IF('3a Raw'!D900="","",MAX(-3,MIN(3,('3a Raw'!D900-$D3)/$D4)))</f>
        <v/>
      </c>
      <c r="E900" s="3">
        <f>IF(D900="","",(D900-AVERAGE(D6:D1198))/(STDEV(D6:D1198)+1E-12))</f>
        <v/>
      </c>
      <c r="F900" s="3">
        <f>IF('3a Raw'!E900="","",MAX(-3,MIN(3,('3a Raw'!E900-$F3)/$F4)))</f>
        <v/>
      </c>
      <c r="G900" s="3">
        <f>IF(F900="","",(F900-AVERAGE(F6:F1198))/(STDEV(F6:F1198)+1E-12))</f>
        <v/>
      </c>
      <c r="H900" s="3">
        <f>IF('3a Raw'!F900="","",MAX(-3,MIN(3,('3a Raw'!F900-$H3)/$H4)))</f>
        <v/>
      </c>
      <c r="I900" s="3">
        <f>IF(H900="","",(H900-AVERAGE(H6:H1198))/(STDEV(H6:H1198)+1E-12))</f>
        <v/>
      </c>
      <c r="J900" s="3">
        <f>IF('3a Raw'!G900="","",MAX(-3,MIN(3,('3a Raw'!G900-$J3)/$J4)))</f>
        <v/>
      </c>
      <c r="K900" s="3">
        <f>IF(J900="","",(J900-AVERAGE(J6:J1198))/(STDEV(J6:J1198)+1E-12))</f>
        <v/>
      </c>
      <c r="L900" s="3">
        <f>IF('3a Raw'!H900="","",MAX(-3,MIN(3,('3a Raw'!H900-$L3)/$L4)))</f>
        <v/>
      </c>
      <c r="M900" s="3">
        <f>IF(L900="","",(L900-AVERAGE(L6:L1198))/(STDEV(L6:L1198)+1E-12))</f>
        <v/>
      </c>
      <c r="N900" s="3">
        <f>IF('3a Raw'!I900="","",MAX(-3,MIN(3,('3a Raw'!I900-$N3)/$N4)))</f>
        <v/>
      </c>
      <c r="O900" s="3">
        <f>IF(N900="","",(N900-AVERAGE(N6:N1198))/(STDEV(N6:N1198)+1E-12))</f>
        <v/>
      </c>
      <c r="P900" s="3">
        <f>IF('3a Raw'!J900="","",MAX(-3,MIN(3,('3a Raw'!J900-$P3)/$P4)))</f>
        <v/>
      </c>
      <c r="Q900" s="3">
        <f>IF(P900="","",(P900-AVERAGE(P6:P1198))/(STDEV(P6:P1198)+1E-12))</f>
        <v/>
      </c>
      <c r="R900" s="3">
        <f>IF('3a Raw'!K900="","",MAX(-3,MIN(3,('3a Raw'!K900-$R3)/$R4)))</f>
        <v/>
      </c>
      <c r="S900" s="3">
        <f>IF(R900="","",(R900-AVERAGE(R6:R1198))/(STDEV(R6:R1198)+1E-12))</f>
        <v/>
      </c>
      <c r="T900" s="3">
        <f>IF('3a Raw'!L900="","",MAX(-3,MIN(3,('3a Raw'!L900-$T3)/$T4)))</f>
        <v/>
      </c>
      <c r="U900" s="3">
        <f>IF(T900="","",(T900-AVERAGE(T6:T1198))/(STDEV(T6:T1198)+1E-12))</f>
        <v/>
      </c>
      <c r="X900" s="3">
        <f>IF(U900="","",U900-($V$3*G900+$W$3))</f>
        <v/>
      </c>
      <c r="Y900" s="3">
        <f>IF(X900="","",MAX(-3,MIN(3,(X900-$X3)/$X4)))</f>
        <v/>
      </c>
      <c r="Z900" s="3">
        <f>IF(Y900="","",(Y900-AVERAGE(Y6:Y1198))/(STDEV(Y6:Y1198)+1E-12))</f>
        <v/>
      </c>
    </row>
    <row r="901">
      <c r="A901" t="inlineStr">
        <is>
          <t>BBG000GMGNB3</t>
        </is>
      </c>
      <c r="B901" s="3">
        <f>IF('3a Raw'!C901="","",MAX(-3,MIN(3,('3a Raw'!C901-$B3)/$B4)))</f>
        <v/>
      </c>
      <c r="C901" s="3">
        <f>IF(B901="","",(B901-AVERAGE(B6:B1198))/(STDEV(B6:B1198)+1E-12))</f>
        <v/>
      </c>
      <c r="D901" s="3">
        <f>IF('3a Raw'!D901="","",MAX(-3,MIN(3,('3a Raw'!D901-$D3)/$D4)))</f>
        <v/>
      </c>
      <c r="E901" s="3">
        <f>IF(D901="","",(D901-AVERAGE(D6:D1198))/(STDEV(D6:D1198)+1E-12))</f>
        <v/>
      </c>
      <c r="F901" s="3">
        <f>IF('3a Raw'!E901="","",MAX(-3,MIN(3,('3a Raw'!E901-$F3)/$F4)))</f>
        <v/>
      </c>
      <c r="G901" s="3">
        <f>IF(F901="","",(F901-AVERAGE(F6:F1198))/(STDEV(F6:F1198)+1E-12))</f>
        <v/>
      </c>
      <c r="H901" s="3">
        <f>IF('3a Raw'!F901="","",MAX(-3,MIN(3,('3a Raw'!F901-$H3)/$H4)))</f>
        <v/>
      </c>
      <c r="I901" s="3">
        <f>IF(H901="","",(H901-AVERAGE(H6:H1198))/(STDEV(H6:H1198)+1E-12))</f>
        <v/>
      </c>
      <c r="J901" s="3">
        <f>IF('3a Raw'!G901="","",MAX(-3,MIN(3,('3a Raw'!G901-$J3)/$J4)))</f>
        <v/>
      </c>
      <c r="K901" s="3">
        <f>IF(J901="","",(J901-AVERAGE(J6:J1198))/(STDEV(J6:J1198)+1E-12))</f>
        <v/>
      </c>
      <c r="L901" s="3">
        <f>IF('3a Raw'!H901="","",MAX(-3,MIN(3,('3a Raw'!H901-$L3)/$L4)))</f>
        <v/>
      </c>
      <c r="M901" s="3">
        <f>IF(L901="","",(L901-AVERAGE(L6:L1198))/(STDEV(L6:L1198)+1E-12))</f>
        <v/>
      </c>
      <c r="N901" s="3">
        <f>IF('3a Raw'!I901="","",MAX(-3,MIN(3,('3a Raw'!I901-$N3)/$N4)))</f>
        <v/>
      </c>
      <c r="O901" s="3">
        <f>IF(N901="","",(N901-AVERAGE(N6:N1198))/(STDEV(N6:N1198)+1E-12))</f>
        <v/>
      </c>
      <c r="P901" s="3">
        <f>IF('3a Raw'!J901="","",MAX(-3,MIN(3,('3a Raw'!J901-$P3)/$P4)))</f>
        <v/>
      </c>
      <c r="Q901" s="3">
        <f>IF(P901="","",(P901-AVERAGE(P6:P1198))/(STDEV(P6:P1198)+1E-12))</f>
        <v/>
      </c>
      <c r="R901" s="3">
        <f>IF('3a Raw'!K901="","",MAX(-3,MIN(3,('3a Raw'!K901-$R3)/$R4)))</f>
        <v/>
      </c>
      <c r="S901" s="3">
        <f>IF(R901="","",(R901-AVERAGE(R6:R1198))/(STDEV(R6:R1198)+1E-12))</f>
        <v/>
      </c>
      <c r="T901" s="3">
        <f>IF('3a Raw'!L901="","",MAX(-3,MIN(3,('3a Raw'!L901-$T3)/$T4)))</f>
        <v/>
      </c>
      <c r="U901" s="3">
        <f>IF(T901="","",(T901-AVERAGE(T6:T1198))/(STDEV(T6:T1198)+1E-12))</f>
        <v/>
      </c>
      <c r="X901" s="3">
        <f>IF(U901="","",U901-($V$3*G901+$W$3))</f>
        <v/>
      </c>
      <c r="Y901" s="3">
        <f>IF(X901="","",MAX(-3,MIN(3,(X901-$X3)/$X4)))</f>
        <v/>
      </c>
      <c r="Z901" s="3">
        <f>IF(Y901="","",(Y901-AVERAGE(Y6:Y1198))/(STDEV(Y6:Y1198)+1E-12))</f>
        <v/>
      </c>
    </row>
    <row r="902">
      <c r="A902" t="inlineStr">
        <is>
          <t>BBG001R1GCT0</t>
        </is>
      </c>
      <c r="B902" s="3">
        <f>IF('3a Raw'!C902="","",MAX(-3,MIN(3,('3a Raw'!C902-$B3)/$B4)))</f>
        <v/>
      </c>
      <c r="C902" s="3">
        <f>IF(B902="","",(B902-AVERAGE(B6:B1198))/(STDEV(B6:B1198)+1E-12))</f>
        <v/>
      </c>
      <c r="D902" s="3">
        <f>IF('3a Raw'!D902="","",MAX(-3,MIN(3,('3a Raw'!D902-$D3)/$D4)))</f>
        <v/>
      </c>
      <c r="E902" s="3">
        <f>IF(D902="","",(D902-AVERAGE(D6:D1198))/(STDEV(D6:D1198)+1E-12))</f>
        <v/>
      </c>
      <c r="F902" s="3">
        <f>IF('3a Raw'!E902="","",MAX(-3,MIN(3,('3a Raw'!E902-$F3)/$F4)))</f>
        <v/>
      </c>
      <c r="G902" s="3">
        <f>IF(F902="","",(F902-AVERAGE(F6:F1198))/(STDEV(F6:F1198)+1E-12))</f>
        <v/>
      </c>
      <c r="H902" s="3">
        <f>IF('3a Raw'!F902="","",MAX(-3,MIN(3,('3a Raw'!F902-$H3)/$H4)))</f>
        <v/>
      </c>
      <c r="I902" s="3">
        <f>IF(H902="","",(H902-AVERAGE(H6:H1198))/(STDEV(H6:H1198)+1E-12))</f>
        <v/>
      </c>
      <c r="J902" s="3">
        <f>IF('3a Raw'!G902="","",MAX(-3,MIN(3,('3a Raw'!G902-$J3)/$J4)))</f>
        <v/>
      </c>
      <c r="K902" s="3">
        <f>IF(J902="","",(J902-AVERAGE(J6:J1198))/(STDEV(J6:J1198)+1E-12))</f>
        <v/>
      </c>
      <c r="L902" s="3">
        <f>IF('3a Raw'!H902="","",MAX(-3,MIN(3,('3a Raw'!H902-$L3)/$L4)))</f>
        <v/>
      </c>
      <c r="M902" s="3">
        <f>IF(L902="","",(L902-AVERAGE(L6:L1198))/(STDEV(L6:L1198)+1E-12))</f>
        <v/>
      </c>
      <c r="N902" s="3">
        <f>IF('3a Raw'!I902="","",MAX(-3,MIN(3,('3a Raw'!I902-$N3)/$N4)))</f>
        <v/>
      </c>
      <c r="O902" s="3">
        <f>IF(N902="","",(N902-AVERAGE(N6:N1198))/(STDEV(N6:N1198)+1E-12))</f>
        <v/>
      </c>
      <c r="P902" s="3">
        <f>IF('3a Raw'!J902="","",MAX(-3,MIN(3,('3a Raw'!J902-$P3)/$P4)))</f>
        <v/>
      </c>
      <c r="Q902" s="3">
        <f>IF(P902="","",(P902-AVERAGE(P6:P1198))/(STDEV(P6:P1198)+1E-12))</f>
        <v/>
      </c>
      <c r="R902" s="3">
        <f>IF('3a Raw'!K902="","",MAX(-3,MIN(3,('3a Raw'!K902-$R3)/$R4)))</f>
        <v/>
      </c>
      <c r="S902" s="3">
        <f>IF(R902="","",(R902-AVERAGE(R6:R1198))/(STDEV(R6:R1198)+1E-12))</f>
        <v/>
      </c>
      <c r="T902" s="3">
        <f>IF('3a Raw'!L902="","",MAX(-3,MIN(3,('3a Raw'!L902-$T3)/$T4)))</f>
        <v/>
      </c>
      <c r="U902" s="3">
        <f>IF(T902="","",(T902-AVERAGE(T6:T1198))/(STDEV(T6:T1198)+1E-12))</f>
        <v/>
      </c>
      <c r="X902" s="3">
        <f>IF(U902="","",U902-($V$3*G902+$W$3))</f>
        <v/>
      </c>
      <c r="Y902" s="3">
        <f>IF(X902="","",MAX(-3,MIN(3,(X902-$X3)/$X4)))</f>
        <v/>
      </c>
      <c r="Z902" s="3">
        <f>IF(Y902="","",(Y902-AVERAGE(Y6:Y1198))/(STDEV(Y6:Y1198)+1E-12))</f>
        <v/>
      </c>
    </row>
    <row r="903">
      <c r="A903" t="inlineStr">
        <is>
          <t>BBG008D32605</t>
        </is>
      </c>
      <c r="B903" s="3">
        <f>IF('3a Raw'!C903="","",MAX(-3,MIN(3,('3a Raw'!C903-$B3)/$B4)))</f>
        <v/>
      </c>
      <c r="C903" s="3">
        <f>IF(B903="","",(B903-AVERAGE(B6:B1198))/(STDEV(B6:B1198)+1E-12))</f>
        <v/>
      </c>
      <c r="D903" s="3">
        <f>IF('3a Raw'!D903="","",MAX(-3,MIN(3,('3a Raw'!D903-$D3)/$D4)))</f>
        <v/>
      </c>
      <c r="E903" s="3">
        <f>IF(D903="","",(D903-AVERAGE(D6:D1198))/(STDEV(D6:D1198)+1E-12))</f>
        <v/>
      </c>
      <c r="F903" s="3">
        <f>IF('3a Raw'!E903="","",MAX(-3,MIN(3,('3a Raw'!E903-$F3)/$F4)))</f>
        <v/>
      </c>
      <c r="G903" s="3">
        <f>IF(F903="","",(F903-AVERAGE(F6:F1198))/(STDEV(F6:F1198)+1E-12))</f>
        <v/>
      </c>
      <c r="H903" s="3">
        <f>IF('3a Raw'!F903="","",MAX(-3,MIN(3,('3a Raw'!F903-$H3)/$H4)))</f>
        <v/>
      </c>
      <c r="I903" s="3">
        <f>IF(H903="","",(H903-AVERAGE(H6:H1198))/(STDEV(H6:H1198)+1E-12))</f>
        <v/>
      </c>
      <c r="J903" s="3">
        <f>IF('3a Raw'!G903="","",MAX(-3,MIN(3,('3a Raw'!G903-$J3)/$J4)))</f>
        <v/>
      </c>
      <c r="K903" s="3">
        <f>IF(J903="","",(J903-AVERAGE(J6:J1198))/(STDEV(J6:J1198)+1E-12))</f>
        <v/>
      </c>
      <c r="L903" s="3">
        <f>IF('3a Raw'!H903="","",MAX(-3,MIN(3,('3a Raw'!H903-$L3)/$L4)))</f>
        <v/>
      </c>
      <c r="M903" s="3">
        <f>IF(L903="","",(L903-AVERAGE(L6:L1198))/(STDEV(L6:L1198)+1E-12))</f>
        <v/>
      </c>
      <c r="N903" s="3">
        <f>IF('3a Raw'!I903="","",MAX(-3,MIN(3,('3a Raw'!I903-$N3)/$N4)))</f>
        <v/>
      </c>
      <c r="O903" s="3">
        <f>IF(N903="","",(N903-AVERAGE(N6:N1198))/(STDEV(N6:N1198)+1E-12))</f>
        <v/>
      </c>
      <c r="P903" s="3">
        <f>IF('3a Raw'!J903="","",MAX(-3,MIN(3,('3a Raw'!J903-$P3)/$P4)))</f>
        <v/>
      </c>
      <c r="Q903" s="3">
        <f>IF(P903="","",(P903-AVERAGE(P6:P1198))/(STDEV(P6:P1198)+1E-12))</f>
        <v/>
      </c>
      <c r="R903" s="3">
        <f>IF('3a Raw'!K903="","",MAX(-3,MIN(3,('3a Raw'!K903-$R3)/$R4)))</f>
        <v/>
      </c>
      <c r="S903" s="3">
        <f>IF(R903="","",(R903-AVERAGE(R6:R1198))/(STDEV(R6:R1198)+1E-12))</f>
        <v/>
      </c>
      <c r="T903" s="3">
        <f>IF('3a Raw'!L903="","",MAX(-3,MIN(3,('3a Raw'!L903-$T3)/$T4)))</f>
        <v/>
      </c>
      <c r="U903" s="3">
        <f>IF(T903="","",(T903-AVERAGE(T6:T1198))/(STDEV(T6:T1198)+1E-12))</f>
        <v/>
      </c>
      <c r="X903" s="3">
        <f>IF(U903="","",U903-($V$3*G903+$W$3))</f>
        <v/>
      </c>
      <c r="Y903" s="3">
        <f>IF(X903="","",MAX(-3,MIN(3,(X903-$X3)/$X4)))</f>
        <v/>
      </c>
      <c r="Z903" s="3">
        <f>IF(Y903="","",(Y903-AVERAGE(Y6:Y1198))/(STDEV(Y6:Y1198)+1E-12))</f>
        <v/>
      </c>
    </row>
    <row r="904">
      <c r="A904" t="inlineStr">
        <is>
          <t>rcl</t>
        </is>
      </c>
      <c r="B904" s="3">
        <f>IF('3a Raw'!C904="","",MAX(-3,MIN(3,('3a Raw'!C904-$B3)/$B4)))</f>
        <v/>
      </c>
      <c r="C904" s="3">
        <f>IF(B904="","",(B904-AVERAGE(B6:B1198))/(STDEV(B6:B1198)+1E-12))</f>
        <v/>
      </c>
      <c r="D904" s="3">
        <f>IF('3a Raw'!D904="","",MAX(-3,MIN(3,('3a Raw'!D904-$D3)/$D4)))</f>
        <v/>
      </c>
      <c r="E904" s="3">
        <f>IF(D904="","",(D904-AVERAGE(D6:D1198))/(STDEV(D6:D1198)+1E-12))</f>
        <v/>
      </c>
      <c r="F904" s="3">
        <f>IF('3a Raw'!E904="","",MAX(-3,MIN(3,('3a Raw'!E904-$F3)/$F4)))</f>
        <v/>
      </c>
      <c r="G904" s="3">
        <f>IF(F904="","",(F904-AVERAGE(F6:F1198))/(STDEV(F6:F1198)+1E-12))</f>
        <v/>
      </c>
      <c r="H904" s="3">
        <f>IF('3a Raw'!F904="","",MAX(-3,MIN(3,('3a Raw'!F904-$H3)/$H4)))</f>
        <v/>
      </c>
      <c r="I904" s="3">
        <f>IF(H904="","",(H904-AVERAGE(H6:H1198))/(STDEV(H6:H1198)+1E-12))</f>
        <v/>
      </c>
      <c r="J904" s="3">
        <f>IF('3a Raw'!G904="","",MAX(-3,MIN(3,('3a Raw'!G904-$J3)/$J4)))</f>
        <v/>
      </c>
      <c r="K904" s="3">
        <f>IF(J904="","",(J904-AVERAGE(J6:J1198))/(STDEV(J6:J1198)+1E-12))</f>
        <v/>
      </c>
      <c r="L904" s="3">
        <f>IF('3a Raw'!H904="","",MAX(-3,MIN(3,('3a Raw'!H904-$L3)/$L4)))</f>
        <v/>
      </c>
      <c r="M904" s="3">
        <f>IF(L904="","",(L904-AVERAGE(L6:L1198))/(STDEV(L6:L1198)+1E-12))</f>
        <v/>
      </c>
      <c r="N904" s="3">
        <f>IF('3a Raw'!I904="","",MAX(-3,MIN(3,('3a Raw'!I904-$N3)/$N4)))</f>
        <v/>
      </c>
      <c r="O904" s="3">
        <f>IF(N904="","",(N904-AVERAGE(N6:N1198))/(STDEV(N6:N1198)+1E-12))</f>
        <v/>
      </c>
      <c r="P904" s="3">
        <f>IF('3a Raw'!J904="","",MAX(-3,MIN(3,('3a Raw'!J904-$P3)/$P4)))</f>
        <v/>
      </c>
      <c r="Q904" s="3">
        <f>IF(P904="","",(P904-AVERAGE(P6:P1198))/(STDEV(P6:P1198)+1E-12))</f>
        <v/>
      </c>
      <c r="R904" s="3">
        <f>IF('3a Raw'!K904="","",MAX(-3,MIN(3,('3a Raw'!K904-$R3)/$R4)))</f>
        <v/>
      </c>
      <c r="S904" s="3">
        <f>IF(R904="","",(R904-AVERAGE(R6:R1198))/(STDEV(R6:R1198)+1E-12))</f>
        <v/>
      </c>
      <c r="T904" s="3">
        <f>IF('3a Raw'!L904="","",MAX(-3,MIN(3,('3a Raw'!L904-$T3)/$T4)))</f>
        <v/>
      </c>
      <c r="U904" s="3">
        <f>IF(T904="","",(T904-AVERAGE(T6:T1198))/(STDEV(T6:T1198)+1E-12))</f>
        <v/>
      </c>
      <c r="X904" s="3">
        <f>IF(U904="","",U904-($V$3*G904+$W$3))</f>
        <v/>
      </c>
      <c r="Y904" s="3">
        <f>IF(X904="","",MAX(-3,MIN(3,(X904-$X3)/$X4)))</f>
        <v/>
      </c>
      <c r="Z904" s="3">
        <f>IF(Y904="","",(Y904-AVERAGE(Y6:Y1198))/(STDEV(Y6:Y1198)+1E-12))</f>
        <v/>
      </c>
    </row>
    <row r="905">
      <c r="A905" t="inlineStr">
        <is>
          <t>BBG005K1D4S0</t>
        </is>
      </c>
      <c r="B905" s="3">
        <f>IF('3a Raw'!C905="","",MAX(-3,MIN(3,('3a Raw'!C905-$B3)/$B4)))</f>
        <v/>
      </c>
      <c r="C905" s="3">
        <f>IF(B905="","",(B905-AVERAGE(B6:B1198))/(STDEV(B6:B1198)+1E-12))</f>
        <v/>
      </c>
      <c r="D905" s="3">
        <f>IF('3a Raw'!D905="","",MAX(-3,MIN(3,('3a Raw'!D905-$D3)/$D4)))</f>
        <v/>
      </c>
      <c r="E905" s="3">
        <f>IF(D905="","",(D905-AVERAGE(D6:D1198))/(STDEV(D6:D1198)+1E-12))</f>
        <v/>
      </c>
      <c r="F905" s="3">
        <f>IF('3a Raw'!E905="","",MAX(-3,MIN(3,('3a Raw'!E905-$F3)/$F4)))</f>
        <v/>
      </c>
      <c r="G905" s="3">
        <f>IF(F905="","",(F905-AVERAGE(F6:F1198))/(STDEV(F6:F1198)+1E-12))</f>
        <v/>
      </c>
      <c r="H905" s="3">
        <f>IF('3a Raw'!F905="","",MAX(-3,MIN(3,('3a Raw'!F905-$H3)/$H4)))</f>
        <v/>
      </c>
      <c r="I905" s="3">
        <f>IF(H905="","",(H905-AVERAGE(H6:H1198))/(STDEV(H6:H1198)+1E-12))</f>
        <v/>
      </c>
      <c r="J905" s="3">
        <f>IF('3a Raw'!G905="","",MAX(-3,MIN(3,('3a Raw'!G905-$J3)/$J4)))</f>
        <v/>
      </c>
      <c r="K905" s="3">
        <f>IF(J905="","",(J905-AVERAGE(J6:J1198))/(STDEV(J6:J1198)+1E-12))</f>
        <v/>
      </c>
      <c r="L905" s="3">
        <f>IF('3a Raw'!H905="","",MAX(-3,MIN(3,('3a Raw'!H905-$L3)/$L4)))</f>
        <v/>
      </c>
      <c r="M905" s="3">
        <f>IF(L905="","",(L905-AVERAGE(L6:L1198))/(STDEV(L6:L1198)+1E-12))</f>
        <v/>
      </c>
      <c r="N905" s="3">
        <f>IF('3a Raw'!I905="","",MAX(-3,MIN(3,('3a Raw'!I905-$N3)/$N4)))</f>
        <v/>
      </c>
      <c r="O905" s="3">
        <f>IF(N905="","",(N905-AVERAGE(N6:N1198))/(STDEV(N6:N1198)+1E-12))</f>
        <v/>
      </c>
      <c r="P905" s="3">
        <f>IF('3a Raw'!J905="","",MAX(-3,MIN(3,('3a Raw'!J905-$P3)/$P4)))</f>
        <v/>
      </c>
      <c r="Q905" s="3">
        <f>IF(P905="","",(P905-AVERAGE(P6:P1198))/(STDEV(P6:P1198)+1E-12))</f>
        <v/>
      </c>
      <c r="R905" s="3">
        <f>IF('3a Raw'!K905="","",MAX(-3,MIN(3,('3a Raw'!K905-$R3)/$R4)))</f>
        <v/>
      </c>
      <c r="S905" s="3">
        <f>IF(R905="","",(R905-AVERAGE(R6:R1198))/(STDEV(R6:R1198)+1E-12))</f>
        <v/>
      </c>
      <c r="T905" s="3">
        <f>IF('3a Raw'!L905="","",MAX(-3,MIN(3,('3a Raw'!L905-$T3)/$T4)))</f>
        <v/>
      </c>
      <c r="U905" s="3">
        <f>IF(T905="","",(T905-AVERAGE(T6:T1198))/(STDEV(T6:T1198)+1E-12))</f>
        <v/>
      </c>
      <c r="X905" s="3">
        <f>IF(U905="","",U905-($V$3*G905+$W$3))</f>
        <v/>
      </c>
      <c r="Y905" s="3">
        <f>IF(X905="","",MAX(-3,MIN(3,(X905-$X3)/$X4)))</f>
        <v/>
      </c>
      <c r="Z905" s="3">
        <f>IF(Y905="","",(Y905-AVERAGE(Y6:Y1198))/(STDEV(Y6:Y1198)+1E-12))</f>
        <v/>
      </c>
    </row>
    <row r="906">
      <c r="A906" t="inlineStr">
        <is>
          <t>BBG000BMWV95</t>
        </is>
      </c>
      <c r="B906" s="3">
        <f>IF('3a Raw'!C906="","",MAX(-3,MIN(3,('3a Raw'!C906-$B3)/$B4)))</f>
        <v/>
      </c>
      <c r="C906" s="3">
        <f>IF(B906="","",(B906-AVERAGE(B6:B1198))/(STDEV(B6:B1198)+1E-12))</f>
        <v/>
      </c>
      <c r="D906" s="3">
        <f>IF('3a Raw'!D906="","",MAX(-3,MIN(3,('3a Raw'!D906-$D3)/$D4)))</f>
        <v/>
      </c>
      <c r="E906" s="3">
        <f>IF(D906="","",(D906-AVERAGE(D6:D1198))/(STDEV(D6:D1198)+1E-12))</f>
        <v/>
      </c>
      <c r="F906" s="3">
        <f>IF('3a Raw'!E906="","",MAX(-3,MIN(3,('3a Raw'!E906-$F3)/$F4)))</f>
        <v/>
      </c>
      <c r="G906" s="3">
        <f>IF(F906="","",(F906-AVERAGE(F6:F1198))/(STDEV(F6:F1198)+1E-12))</f>
        <v/>
      </c>
      <c r="H906" s="3">
        <f>IF('3a Raw'!F906="","",MAX(-3,MIN(3,('3a Raw'!F906-$H3)/$H4)))</f>
        <v/>
      </c>
      <c r="I906" s="3">
        <f>IF(H906="","",(H906-AVERAGE(H6:H1198))/(STDEV(H6:H1198)+1E-12))</f>
        <v/>
      </c>
      <c r="J906" s="3">
        <f>IF('3a Raw'!G906="","",MAX(-3,MIN(3,('3a Raw'!G906-$J3)/$J4)))</f>
        <v/>
      </c>
      <c r="K906" s="3">
        <f>IF(J906="","",(J906-AVERAGE(J6:J1198))/(STDEV(J6:J1198)+1E-12))</f>
        <v/>
      </c>
      <c r="L906" s="3">
        <f>IF('3a Raw'!H906="","",MAX(-3,MIN(3,('3a Raw'!H906-$L3)/$L4)))</f>
        <v/>
      </c>
      <c r="M906" s="3">
        <f>IF(L906="","",(L906-AVERAGE(L6:L1198))/(STDEV(L6:L1198)+1E-12))</f>
        <v/>
      </c>
      <c r="N906" s="3">
        <f>IF('3a Raw'!I906="","",MAX(-3,MIN(3,('3a Raw'!I906-$N3)/$N4)))</f>
        <v/>
      </c>
      <c r="O906" s="3">
        <f>IF(N906="","",(N906-AVERAGE(N6:N1198))/(STDEV(N6:N1198)+1E-12))</f>
        <v/>
      </c>
      <c r="P906" s="3">
        <f>IF('3a Raw'!J906="","",MAX(-3,MIN(3,('3a Raw'!J906-$P3)/$P4)))</f>
        <v/>
      </c>
      <c r="Q906" s="3">
        <f>IF(P906="","",(P906-AVERAGE(P6:P1198))/(STDEV(P6:P1198)+1E-12))</f>
        <v/>
      </c>
      <c r="R906" s="3">
        <f>IF('3a Raw'!K906="","",MAX(-3,MIN(3,('3a Raw'!K906-$R3)/$R4)))</f>
        <v/>
      </c>
      <c r="S906" s="3">
        <f>IF(R906="","",(R906-AVERAGE(R6:R1198))/(STDEV(R6:R1198)+1E-12))</f>
        <v/>
      </c>
      <c r="T906" s="3">
        <f>IF('3a Raw'!L906="","",MAX(-3,MIN(3,('3a Raw'!L906-$T3)/$T4)))</f>
        <v/>
      </c>
      <c r="U906" s="3">
        <f>IF(T906="","",(T906-AVERAGE(T6:T1198))/(STDEV(T6:T1198)+1E-12))</f>
        <v/>
      </c>
      <c r="X906" s="3">
        <f>IF(U906="","",U906-($V$3*G906+$W$3))</f>
        <v/>
      </c>
      <c r="Y906" s="3">
        <f>IF(X906="","",MAX(-3,MIN(3,(X906-$X3)/$X4)))</f>
        <v/>
      </c>
      <c r="Z906" s="3">
        <f>IF(Y906="","",(Y906-AVERAGE(Y6:Y1198))/(STDEV(Y6:Y1198)+1E-12))</f>
        <v/>
      </c>
    </row>
    <row r="907">
      <c r="A907" t="inlineStr">
        <is>
          <t>BBG000CXSF54</t>
        </is>
      </c>
      <c r="B907" s="3">
        <f>IF('3a Raw'!C907="","",MAX(-3,MIN(3,('3a Raw'!C907-$B3)/$B4)))</f>
        <v/>
      </c>
      <c r="C907" s="3">
        <f>IF(B907="","",(B907-AVERAGE(B6:B1198))/(STDEV(B6:B1198)+1E-12))</f>
        <v/>
      </c>
      <c r="D907" s="3">
        <f>IF('3a Raw'!D907="","",MAX(-3,MIN(3,('3a Raw'!D907-$D3)/$D4)))</f>
        <v/>
      </c>
      <c r="E907" s="3">
        <f>IF(D907="","",(D907-AVERAGE(D6:D1198))/(STDEV(D6:D1198)+1E-12))</f>
        <v/>
      </c>
      <c r="F907" s="3">
        <f>IF('3a Raw'!E907="","",MAX(-3,MIN(3,('3a Raw'!E907-$F3)/$F4)))</f>
        <v/>
      </c>
      <c r="G907" s="3">
        <f>IF(F907="","",(F907-AVERAGE(F6:F1198))/(STDEV(F6:F1198)+1E-12))</f>
        <v/>
      </c>
      <c r="H907" s="3">
        <f>IF('3a Raw'!F907="","",MAX(-3,MIN(3,('3a Raw'!F907-$H3)/$H4)))</f>
        <v/>
      </c>
      <c r="I907" s="3">
        <f>IF(H907="","",(H907-AVERAGE(H6:H1198))/(STDEV(H6:H1198)+1E-12))</f>
        <v/>
      </c>
      <c r="J907" s="3">
        <f>IF('3a Raw'!G907="","",MAX(-3,MIN(3,('3a Raw'!G907-$J3)/$J4)))</f>
        <v/>
      </c>
      <c r="K907" s="3">
        <f>IF(J907="","",(J907-AVERAGE(J6:J1198))/(STDEV(J6:J1198)+1E-12))</f>
        <v/>
      </c>
      <c r="L907" s="3">
        <f>IF('3a Raw'!H907="","",MAX(-3,MIN(3,('3a Raw'!H907-$L3)/$L4)))</f>
        <v/>
      </c>
      <c r="M907" s="3">
        <f>IF(L907="","",(L907-AVERAGE(L6:L1198))/(STDEV(L6:L1198)+1E-12))</f>
        <v/>
      </c>
      <c r="N907" s="3">
        <f>IF('3a Raw'!I907="","",MAX(-3,MIN(3,('3a Raw'!I907-$N3)/$N4)))</f>
        <v/>
      </c>
      <c r="O907" s="3">
        <f>IF(N907="","",(N907-AVERAGE(N6:N1198))/(STDEV(N6:N1198)+1E-12))</f>
        <v/>
      </c>
      <c r="P907" s="3">
        <f>IF('3a Raw'!J907="","",MAX(-3,MIN(3,('3a Raw'!J907-$P3)/$P4)))</f>
        <v/>
      </c>
      <c r="Q907" s="3">
        <f>IF(P907="","",(P907-AVERAGE(P6:P1198))/(STDEV(P6:P1198)+1E-12))</f>
        <v/>
      </c>
      <c r="R907" s="3">
        <f>IF('3a Raw'!K907="","",MAX(-3,MIN(3,('3a Raw'!K907-$R3)/$R4)))</f>
        <v/>
      </c>
      <c r="S907" s="3">
        <f>IF(R907="","",(R907-AVERAGE(R6:R1198))/(STDEV(R6:R1198)+1E-12))</f>
        <v/>
      </c>
      <c r="T907" s="3">
        <f>IF('3a Raw'!L907="","",MAX(-3,MIN(3,('3a Raw'!L907-$T3)/$T4)))</f>
        <v/>
      </c>
      <c r="U907" s="3">
        <f>IF(T907="","",(T907-AVERAGE(T6:T1198))/(STDEV(T6:T1198)+1E-12))</f>
        <v/>
      </c>
      <c r="X907" s="3">
        <f>IF(U907="","",U907-($V$3*G907+$W$3))</f>
        <v/>
      </c>
      <c r="Y907" s="3">
        <f>IF(X907="","",MAX(-3,MIN(3,(X907-$X3)/$X4)))</f>
        <v/>
      </c>
      <c r="Z907" s="3">
        <f>IF(Y907="","",(Y907-AVERAGE(Y6:Y1198))/(STDEV(Y6:Y1198)+1E-12))</f>
        <v/>
      </c>
    </row>
    <row r="908">
      <c r="A908" t="inlineStr">
        <is>
          <t>reg</t>
        </is>
      </c>
      <c r="B908" s="3">
        <f>IF('3a Raw'!C908="","",MAX(-3,MIN(3,('3a Raw'!C908-$B3)/$B4)))</f>
        <v/>
      </c>
      <c r="C908" s="3">
        <f>IF(B908="","",(B908-AVERAGE(B6:B1198))/(STDEV(B6:B1198)+1E-12))</f>
        <v/>
      </c>
      <c r="D908" s="3">
        <f>IF('3a Raw'!D908="","",MAX(-3,MIN(3,('3a Raw'!D908-$D3)/$D4)))</f>
        <v/>
      </c>
      <c r="E908" s="3">
        <f>IF(D908="","",(D908-AVERAGE(D6:D1198))/(STDEV(D6:D1198)+1E-12))</f>
        <v/>
      </c>
      <c r="F908" s="3">
        <f>IF('3a Raw'!E908="","",MAX(-3,MIN(3,('3a Raw'!E908-$F3)/$F4)))</f>
        <v/>
      </c>
      <c r="G908" s="3">
        <f>IF(F908="","",(F908-AVERAGE(F6:F1198))/(STDEV(F6:F1198)+1E-12))</f>
        <v/>
      </c>
      <c r="H908" s="3">
        <f>IF('3a Raw'!F908="","",MAX(-3,MIN(3,('3a Raw'!F908-$H3)/$H4)))</f>
        <v/>
      </c>
      <c r="I908" s="3">
        <f>IF(H908="","",(H908-AVERAGE(H6:H1198))/(STDEV(H6:H1198)+1E-12))</f>
        <v/>
      </c>
      <c r="J908" s="3">
        <f>IF('3a Raw'!G908="","",MAX(-3,MIN(3,('3a Raw'!G908-$J3)/$J4)))</f>
        <v/>
      </c>
      <c r="K908" s="3">
        <f>IF(J908="","",(J908-AVERAGE(J6:J1198))/(STDEV(J6:J1198)+1E-12))</f>
        <v/>
      </c>
      <c r="L908" s="3">
        <f>IF('3a Raw'!H908="","",MAX(-3,MIN(3,('3a Raw'!H908-$L3)/$L4)))</f>
        <v/>
      </c>
      <c r="M908" s="3">
        <f>IF(L908="","",(L908-AVERAGE(L6:L1198))/(STDEV(L6:L1198)+1E-12))</f>
        <v/>
      </c>
      <c r="N908" s="3">
        <f>IF('3a Raw'!I908="","",MAX(-3,MIN(3,('3a Raw'!I908-$N3)/$N4)))</f>
        <v/>
      </c>
      <c r="O908" s="3">
        <f>IF(N908="","",(N908-AVERAGE(N6:N1198))/(STDEV(N6:N1198)+1E-12))</f>
        <v/>
      </c>
      <c r="P908" s="3">
        <f>IF('3a Raw'!J908="","",MAX(-3,MIN(3,('3a Raw'!J908-$P3)/$P4)))</f>
        <v/>
      </c>
      <c r="Q908" s="3">
        <f>IF(P908="","",(P908-AVERAGE(P6:P1198))/(STDEV(P6:P1198)+1E-12))</f>
        <v/>
      </c>
      <c r="R908" s="3">
        <f>IF('3a Raw'!K908="","",MAX(-3,MIN(3,('3a Raw'!K908-$R3)/$R4)))</f>
        <v/>
      </c>
      <c r="S908" s="3">
        <f>IF(R908="","",(R908-AVERAGE(R6:R1198))/(STDEV(R6:R1198)+1E-12))</f>
        <v/>
      </c>
      <c r="T908" s="3">
        <f>IF('3a Raw'!L908="","",MAX(-3,MIN(3,('3a Raw'!L908-$T3)/$T4)))</f>
        <v/>
      </c>
      <c r="U908" s="3">
        <f>IF(T908="","",(T908-AVERAGE(T6:T1198))/(STDEV(T6:T1198)+1E-12))</f>
        <v/>
      </c>
      <c r="X908" s="3">
        <f>IF(U908="","",U908-($V$3*G908+$W$3))</f>
        <v/>
      </c>
      <c r="Y908" s="3">
        <f>IF(X908="","",MAX(-3,MIN(3,(X908-$X3)/$X4)))</f>
        <v/>
      </c>
      <c r="Z908" s="3">
        <f>IF(Y908="","",(Y908-AVERAGE(Y6:Y1198))/(STDEV(Y6:Y1198)+1E-12))</f>
        <v/>
      </c>
    </row>
    <row r="909">
      <c r="A909" t="inlineStr">
        <is>
          <t>BBG000C734W3</t>
        </is>
      </c>
      <c r="B909" s="3">
        <f>IF('3a Raw'!C909="","",MAX(-3,MIN(3,('3a Raw'!C909-$B3)/$B4)))</f>
        <v/>
      </c>
      <c r="C909" s="3">
        <f>IF(B909="","",(B909-AVERAGE(B6:B1198))/(STDEV(B6:B1198)+1E-12))</f>
        <v/>
      </c>
      <c r="D909" s="3">
        <f>IF('3a Raw'!D909="","",MAX(-3,MIN(3,('3a Raw'!D909-$D3)/$D4)))</f>
        <v/>
      </c>
      <c r="E909" s="3">
        <f>IF(D909="","",(D909-AVERAGE(D6:D1198))/(STDEV(D6:D1198)+1E-12))</f>
        <v/>
      </c>
      <c r="F909" s="3">
        <f>IF('3a Raw'!E909="","",MAX(-3,MIN(3,('3a Raw'!E909-$F3)/$F4)))</f>
        <v/>
      </c>
      <c r="G909" s="3">
        <f>IF(F909="","",(F909-AVERAGE(F6:F1198))/(STDEV(F6:F1198)+1E-12))</f>
        <v/>
      </c>
      <c r="H909" s="3">
        <f>IF('3a Raw'!F909="","",MAX(-3,MIN(3,('3a Raw'!F909-$H3)/$H4)))</f>
        <v/>
      </c>
      <c r="I909" s="3">
        <f>IF(H909="","",(H909-AVERAGE(H6:H1198))/(STDEV(H6:H1198)+1E-12))</f>
        <v/>
      </c>
      <c r="J909" s="3">
        <f>IF('3a Raw'!G909="","",MAX(-3,MIN(3,('3a Raw'!G909-$J3)/$J4)))</f>
        <v/>
      </c>
      <c r="K909" s="3">
        <f>IF(J909="","",(J909-AVERAGE(J6:J1198))/(STDEV(J6:J1198)+1E-12))</f>
        <v/>
      </c>
      <c r="L909" s="3">
        <f>IF('3a Raw'!H909="","",MAX(-3,MIN(3,('3a Raw'!H909-$L3)/$L4)))</f>
        <v/>
      </c>
      <c r="M909" s="3">
        <f>IF(L909="","",(L909-AVERAGE(L6:L1198))/(STDEV(L6:L1198)+1E-12))</f>
        <v/>
      </c>
      <c r="N909" s="3">
        <f>IF('3a Raw'!I909="","",MAX(-3,MIN(3,('3a Raw'!I909-$N3)/$N4)))</f>
        <v/>
      </c>
      <c r="O909" s="3">
        <f>IF(N909="","",(N909-AVERAGE(N6:N1198))/(STDEV(N6:N1198)+1E-12))</f>
        <v/>
      </c>
      <c r="P909" s="3">
        <f>IF('3a Raw'!J909="","",MAX(-3,MIN(3,('3a Raw'!J909-$P3)/$P4)))</f>
        <v/>
      </c>
      <c r="Q909" s="3">
        <f>IF(P909="","",(P909-AVERAGE(P6:P1198))/(STDEV(P6:P1198)+1E-12))</f>
        <v/>
      </c>
      <c r="R909" s="3">
        <f>IF('3a Raw'!K909="","",MAX(-3,MIN(3,('3a Raw'!K909-$R3)/$R4)))</f>
        <v/>
      </c>
      <c r="S909" s="3">
        <f>IF(R909="","",(R909-AVERAGE(R6:R1198))/(STDEV(R6:R1198)+1E-12))</f>
        <v/>
      </c>
      <c r="T909" s="3">
        <f>IF('3a Raw'!L909="","",MAX(-3,MIN(3,('3a Raw'!L909-$T3)/$T4)))</f>
        <v/>
      </c>
      <c r="U909" s="3">
        <f>IF(T909="","",(T909-AVERAGE(T6:T1198))/(STDEV(T6:T1198)+1E-12))</f>
        <v/>
      </c>
      <c r="X909" s="3">
        <f>IF(U909="","",U909-($V$3*G909+$W$3))</f>
        <v/>
      </c>
      <c r="Y909" s="3">
        <f>IF(X909="","",MAX(-3,MIN(3,(X909-$X3)/$X4)))</f>
        <v/>
      </c>
      <c r="Z909" s="3">
        <f>IF(Y909="","",(Y909-AVERAGE(Y6:Y1198))/(STDEV(Y6:Y1198)+1E-12))</f>
        <v/>
      </c>
    </row>
    <row r="910">
      <c r="A910" t="inlineStr">
        <is>
          <t>BBG004MB82R0</t>
        </is>
      </c>
      <c r="B910" s="3">
        <f>IF('3a Raw'!C910="","",MAX(-3,MIN(3,('3a Raw'!C910-$B3)/$B4)))</f>
        <v/>
      </c>
      <c r="C910" s="3">
        <f>IF(B910="","",(B910-AVERAGE(B6:B1198))/(STDEV(B6:B1198)+1E-12))</f>
        <v/>
      </c>
      <c r="D910" s="3">
        <f>IF('3a Raw'!D910="","",MAX(-3,MIN(3,('3a Raw'!D910-$D3)/$D4)))</f>
        <v/>
      </c>
      <c r="E910" s="3">
        <f>IF(D910="","",(D910-AVERAGE(D6:D1198))/(STDEV(D6:D1198)+1E-12))</f>
        <v/>
      </c>
      <c r="F910" s="3">
        <f>IF('3a Raw'!E910="","",MAX(-3,MIN(3,('3a Raw'!E910-$F3)/$F4)))</f>
        <v/>
      </c>
      <c r="G910" s="3">
        <f>IF(F910="","",(F910-AVERAGE(F6:F1198))/(STDEV(F6:F1198)+1E-12))</f>
        <v/>
      </c>
      <c r="H910" s="3">
        <f>IF('3a Raw'!F910="","",MAX(-3,MIN(3,('3a Raw'!F910-$H3)/$H4)))</f>
        <v/>
      </c>
      <c r="I910" s="3">
        <f>IF(H910="","",(H910-AVERAGE(H6:H1198))/(STDEV(H6:H1198)+1E-12))</f>
        <v/>
      </c>
      <c r="J910" s="3">
        <f>IF('3a Raw'!G910="","",MAX(-3,MIN(3,('3a Raw'!G910-$J3)/$J4)))</f>
        <v/>
      </c>
      <c r="K910" s="3">
        <f>IF(J910="","",(J910-AVERAGE(J6:J1198))/(STDEV(J6:J1198)+1E-12))</f>
        <v/>
      </c>
      <c r="L910" s="3">
        <f>IF('3a Raw'!H910="","",MAX(-3,MIN(3,('3a Raw'!H910-$L3)/$L4)))</f>
        <v/>
      </c>
      <c r="M910" s="3">
        <f>IF(L910="","",(L910-AVERAGE(L6:L1198))/(STDEV(L6:L1198)+1E-12))</f>
        <v/>
      </c>
      <c r="N910" s="3">
        <f>IF('3a Raw'!I910="","",MAX(-3,MIN(3,('3a Raw'!I910-$N3)/$N4)))</f>
        <v/>
      </c>
      <c r="O910" s="3">
        <f>IF(N910="","",(N910-AVERAGE(N6:N1198))/(STDEV(N6:N1198)+1E-12))</f>
        <v/>
      </c>
      <c r="P910" s="3">
        <f>IF('3a Raw'!J910="","",MAX(-3,MIN(3,('3a Raw'!J910-$P3)/$P4)))</f>
        <v/>
      </c>
      <c r="Q910" s="3">
        <f>IF(P910="","",(P910-AVERAGE(P6:P1198))/(STDEV(P6:P1198)+1E-12))</f>
        <v/>
      </c>
      <c r="R910" s="3">
        <f>IF('3a Raw'!K910="","",MAX(-3,MIN(3,('3a Raw'!K910-$R3)/$R4)))</f>
        <v/>
      </c>
      <c r="S910" s="3">
        <f>IF(R910="","",(R910-AVERAGE(R6:R1198))/(STDEV(R6:R1198)+1E-12))</f>
        <v/>
      </c>
      <c r="T910" s="3">
        <f>IF('3a Raw'!L910="","",MAX(-3,MIN(3,('3a Raw'!L910-$T3)/$T4)))</f>
        <v/>
      </c>
      <c r="U910" s="3">
        <f>IF(T910="","",(T910-AVERAGE(T6:T1198))/(STDEV(T6:T1198)+1E-12))</f>
        <v/>
      </c>
      <c r="X910" s="3">
        <f>IF(U910="","",U910-($V$3*G910+$W$3))</f>
        <v/>
      </c>
      <c r="Y910" s="3">
        <f>IF(X910="","",MAX(-3,MIN(3,(X910-$X3)/$X4)))</f>
        <v/>
      </c>
      <c r="Z910" s="3">
        <f>IF(Y910="","",(Y910-AVERAGE(Y6:Y1198))/(STDEV(Y6:Y1198)+1E-12))</f>
        <v/>
      </c>
    </row>
    <row r="911">
      <c r="A911" t="inlineStr">
        <is>
          <t>BBG000Q3JN03</t>
        </is>
      </c>
      <c r="B911" s="3">
        <f>IF('3a Raw'!C911="","",MAX(-3,MIN(3,('3a Raw'!C911-$B3)/$B4)))</f>
        <v/>
      </c>
      <c r="C911" s="3">
        <f>IF(B911="","",(B911-AVERAGE(B6:B1198))/(STDEV(B6:B1198)+1E-12))</f>
        <v/>
      </c>
      <c r="D911" s="3">
        <f>IF('3a Raw'!D911="","",MAX(-3,MIN(3,('3a Raw'!D911-$D3)/$D4)))</f>
        <v/>
      </c>
      <c r="E911" s="3">
        <f>IF(D911="","",(D911-AVERAGE(D6:D1198))/(STDEV(D6:D1198)+1E-12))</f>
        <v/>
      </c>
      <c r="F911" s="3">
        <f>IF('3a Raw'!E911="","",MAX(-3,MIN(3,('3a Raw'!E911-$F3)/$F4)))</f>
        <v/>
      </c>
      <c r="G911" s="3">
        <f>IF(F911="","",(F911-AVERAGE(F6:F1198))/(STDEV(F6:F1198)+1E-12))</f>
        <v/>
      </c>
      <c r="H911" s="3">
        <f>IF('3a Raw'!F911="","",MAX(-3,MIN(3,('3a Raw'!F911-$H3)/$H4)))</f>
        <v/>
      </c>
      <c r="I911" s="3">
        <f>IF(H911="","",(H911-AVERAGE(H6:H1198))/(STDEV(H6:H1198)+1E-12))</f>
        <v/>
      </c>
      <c r="J911" s="3">
        <f>IF('3a Raw'!G911="","",MAX(-3,MIN(3,('3a Raw'!G911-$J3)/$J4)))</f>
        <v/>
      </c>
      <c r="K911" s="3">
        <f>IF(J911="","",(J911-AVERAGE(J6:J1198))/(STDEV(J6:J1198)+1E-12))</f>
        <v/>
      </c>
      <c r="L911" s="3">
        <f>IF('3a Raw'!H911="","",MAX(-3,MIN(3,('3a Raw'!H911-$L3)/$L4)))</f>
        <v/>
      </c>
      <c r="M911" s="3">
        <f>IF(L911="","",(L911-AVERAGE(L6:L1198))/(STDEV(L6:L1198)+1E-12))</f>
        <v/>
      </c>
      <c r="N911" s="3">
        <f>IF('3a Raw'!I911="","",MAX(-3,MIN(3,('3a Raw'!I911-$N3)/$N4)))</f>
        <v/>
      </c>
      <c r="O911" s="3">
        <f>IF(N911="","",(N911-AVERAGE(N6:N1198))/(STDEV(N6:N1198)+1E-12))</f>
        <v/>
      </c>
      <c r="P911" s="3">
        <f>IF('3a Raw'!J911="","",MAX(-3,MIN(3,('3a Raw'!J911-$P3)/$P4)))</f>
        <v/>
      </c>
      <c r="Q911" s="3">
        <f>IF(P911="","",(P911-AVERAGE(P6:P1198))/(STDEV(P6:P1198)+1E-12))</f>
        <v/>
      </c>
      <c r="R911" s="3">
        <f>IF('3a Raw'!K911="","",MAX(-3,MIN(3,('3a Raw'!K911-$R3)/$R4)))</f>
        <v/>
      </c>
      <c r="S911" s="3">
        <f>IF(R911="","",(R911-AVERAGE(R6:R1198))/(STDEV(R6:R1198)+1E-12))</f>
        <v/>
      </c>
      <c r="T911" s="3">
        <f>IF('3a Raw'!L911="","",MAX(-3,MIN(3,('3a Raw'!L911-$T3)/$T4)))</f>
        <v/>
      </c>
      <c r="U911" s="3">
        <f>IF(T911="","",(T911-AVERAGE(T6:T1198))/(STDEV(T6:T1198)+1E-12))</f>
        <v/>
      </c>
      <c r="X911" s="3">
        <f>IF(U911="","",U911-($V$3*G911+$W$3))</f>
        <v/>
      </c>
      <c r="Y911" s="3">
        <f>IF(X911="","",MAX(-3,MIN(3,(X911-$X3)/$X4)))</f>
        <v/>
      </c>
      <c r="Z911" s="3">
        <f>IF(Y911="","",(Y911-AVERAGE(Y6:Y1198))/(STDEV(Y6:Y1198)+1E-12))</f>
        <v/>
      </c>
    </row>
    <row r="912">
      <c r="A912" t="inlineStr">
        <is>
          <t>BBG00ZCW9TW0</t>
        </is>
      </c>
      <c r="B912" s="3">
        <f>IF('3a Raw'!C912="","",MAX(-3,MIN(3,('3a Raw'!C912-$B3)/$B4)))</f>
        <v/>
      </c>
      <c r="C912" s="3">
        <f>IF(B912="","",(B912-AVERAGE(B6:B1198))/(STDEV(B6:B1198)+1E-12))</f>
        <v/>
      </c>
      <c r="D912" s="3">
        <f>IF('3a Raw'!D912="","",MAX(-3,MIN(3,('3a Raw'!D912-$D3)/$D4)))</f>
        <v/>
      </c>
      <c r="E912" s="3">
        <f>IF(D912="","",(D912-AVERAGE(D6:D1198))/(STDEV(D6:D1198)+1E-12))</f>
        <v/>
      </c>
      <c r="F912" s="3">
        <f>IF('3a Raw'!E912="","",MAX(-3,MIN(3,('3a Raw'!E912-$F3)/$F4)))</f>
        <v/>
      </c>
      <c r="G912" s="3">
        <f>IF(F912="","",(F912-AVERAGE(F6:F1198))/(STDEV(F6:F1198)+1E-12))</f>
        <v/>
      </c>
      <c r="H912" s="3">
        <f>IF('3a Raw'!F912="","",MAX(-3,MIN(3,('3a Raw'!F912-$H3)/$H4)))</f>
        <v/>
      </c>
      <c r="I912" s="3">
        <f>IF(H912="","",(H912-AVERAGE(H6:H1198))/(STDEV(H6:H1198)+1E-12))</f>
        <v/>
      </c>
      <c r="J912" s="3">
        <f>IF('3a Raw'!G912="","",MAX(-3,MIN(3,('3a Raw'!G912-$J3)/$J4)))</f>
        <v/>
      </c>
      <c r="K912" s="3">
        <f>IF(J912="","",(J912-AVERAGE(J6:J1198))/(STDEV(J6:J1198)+1E-12))</f>
        <v/>
      </c>
      <c r="L912" s="3">
        <f>IF('3a Raw'!H912="","",MAX(-3,MIN(3,('3a Raw'!H912-$L3)/$L4)))</f>
        <v/>
      </c>
      <c r="M912" s="3">
        <f>IF(L912="","",(L912-AVERAGE(L6:L1198))/(STDEV(L6:L1198)+1E-12))</f>
        <v/>
      </c>
      <c r="N912" s="3">
        <f>IF('3a Raw'!I912="","",MAX(-3,MIN(3,('3a Raw'!I912-$N3)/$N4)))</f>
        <v/>
      </c>
      <c r="O912" s="3">
        <f>IF(N912="","",(N912-AVERAGE(N6:N1198))/(STDEV(N6:N1198)+1E-12))</f>
        <v/>
      </c>
      <c r="P912" s="3">
        <f>IF('3a Raw'!J912="","",MAX(-3,MIN(3,('3a Raw'!J912-$P3)/$P4)))</f>
        <v/>
      </c>
      <c r="Q912" s="3">
        <f>IF(P912="","",(P912-AVERAGE(P6:P1198))/(STDEV(P6:P1198)+1E-12))</f>
        <v/>
      </c>
      <c r="R912" s="3">
        <f>IF('3a Raw'!K912="","",MAX(-3,MIN(3,('3a Raw'!K912-$R3)/$R4)))</f>
        <v/>
      </c>
      <c r="S912" s="3">
        <f>IF(R912="","",(R912-AVERAGE(R6:R1198))/(STDEV(R6:R1198)+1E-12))</f>
        <v/>
      </c>
      <c r="T912" s="3">
        <f>IF('3a Raw'!L912="","",MAX(-3,MIN(3,('3a Raw'!L912-$T3)/$T4)))</f>
        <v/>
      </c>
      <c r="U912" s="3">
        <f>IF(T912="","",(T912-AVERAGE(T6:T1198))/(STDEV(T6:T1198)+1E-12))</f>
        <v/>
      </c>
      <c r="X912" s="3">
        <f>IF(U912="","",U912-($V$3*G912+$W$3))</f>
        <v/>
      </c>
      <c r="Y912" s="3">
        <f>IF(X912="","",MAX(-3,MIN(3,(X912-$X3)/$X4)))</f>
        <v/>
      </c>
      <c r="Z912" s="3">
        <f>IF(Y912="","",(Y912-AVERAGE(Y6:Y1198))/(STDEV(Y6:Y1198)+1E-12))</f>
        <v/>
      </c>
    </row>
    <row r="913">
      <c r="A913" t="inlineStr">
        <is>
          <t>BBG002293PJ4</t>
        </is>
      </c>
      <c r="B913" s="3">
        <f>IF('3a Raw'!C913="","",MAX(-3,MIN(3,('3a Raw'!C913-$B3)/$B4)))</f>
        <v/>
      </c>
      <c r="C913" s="3">
        <f>IF(B913="","",(B913-AVERAGE(B6:B1198))/(STDEV(B6:B1198)+1E-12))</f>
        <v/>
      </c>
      <c r="D913" s="3">
        <f>IF('3a Raw'!D913="","",MAX(-3,MIN(3,('3a Raw'!D913-$D3)/$D4)))</f>
        <v/>
      </c>
      <c r="E913" s="3">
        <f>IF(D913="","",(D913-AVERAGE(D6:D1198))/(STDEV(D6:D1198)+1E-12))</f>
        <v/>
      </c>
      <c r="F913" s="3">
        <f>IF('3a Raw'!E913="","",MAX(-3,MIN(3,('3a Raw'!E913-$F3)/$F4)))</f>
        <v/>
      </c>
      <c r="G913" s="3">
        <f>IF(F913="","",(F913-AVERAGE(F6:F1198))/(STDEV(F6:F1198)+1E-12))</f>
        <v/>
      </c>
      <c r="H913" s="3">
        <f>IF('3a Raw'!F913="","",MAX(-3,MIN(3,('3a Raw'!F913-$H3)/$H4)))</f>
        <v/>
      </c>
      <c r="I913" s="3">
        <f>IF(H913="","",(H913-AVERAGE(H6:H1198))/(STDEV(H6:H1198)+1E-12))</f>
        <v/>
      </c>
      <c r="J913" s="3">
        <f>IF('3a Raw'!G913="","",MAX(-3,MIN(3,('3a Raw'!G913-$J3)/$J4)))</f>
        <v/>
      </c>
      <c r="K913" s="3">
        <f>IF(J913="","",(J913-AVERAGE(J6:J1198))/(STDEV(J6:J1198)+1E-12))</f>
        <v/>
      </c>
      <c r="L913" s="3">
        <f>IF('3a Raw'!H913="","",MAX(-3,MIN(3,('3a Raw'!H913-$L3)/$L4)))</f>
        <v/>
      </c>
      <c r="M913" s="3">
        <f>IF(L913="","",(L913-AVERAGE(L6:L1198))/(STDEV(L6:L1198)+1E-12))</f>
        <v/>
      </c>
      <c r="N913" s="3">
        <f>IF('3a Raw'!I913="","",MAX(-3,MIN(3,('3a Raw'!I913-$N3)/$N4)))</f>
        <v/>
      </c>
      <c r="O913" s="3">
        <f>IF(N913="","",(N913-AVERAGE(N6:N1198))/(STDEV(N6:N1198)+1E-12))</f>
        <v/>
      </c>
      <c r="P913" s="3">
        <f>IF('3a Raw'!J913="","",MAX(-3,MIN(3,('3a Raw'!J913-$P3)/$P4)))</f>
        <v/>
      </c>
      <c r="Q913" s="3">
        <f>IF(P913="","",(P913-AVERAGE(P6:P1198))/(STDEV(P6:P1198)+1E-12))</f>
        <v/>
      </c>
      <c r="R913" s="3">
        <f>IF('3a Raw'!K913="","",MAX(-3,MIN(3,('3a Raw'!K913-$R3)/$R4)))</f>
        <v/>
      </c>
      <c r="S913" s="3">
        <f>IF(R913="","",(R913-AVERAGE(R6:R1198))/(STDEV(R6:R1198)+1E-12))</f>
        <v/>
      </c>
      <c r="T913" s="3">
        <f>IF('3a Raw'!L913="","",MAX(-3,MIN(3,('3a Raw'!L913-$T3)/$T4)))</f>
        <v/>
      </c>
      <c r="U913" s="3">
        <f>IF(T913="","",(T913-AVERAGE(T6:T1198))/(STDEV(T6:T1198)+1E-12))</f>
        <v/>
      </c>
      <c r="X913" s="3">
        <f>IF(U913="","",U913-($V$3*G913+$W$3))</f>
        <v/>
      </c>
      <c r="Y913" s="3">
        <f>IF(X913="","",MAX(-3,MIN(3,(X913-$X3)/$X4)))</f>
        <v/>
      </c>
      <c r="Z913" s="3">
        <f>IF(Y913="","",(Y913-AVERAGE(Y6:Y1198))/(STDEV(Y6:Y1198)+1E-12))</f>
        <v/>
      </c>
    </row>
    <row r="914">
      <c r="A914" t="inlineStr">
        <is>
          <t>BBG000BS5DR2</t>
        </is>
      </c>
      <c r="B914" s="3">
        <f>IF('3a Raw'!C914="","",MAX(-3,MIN(3,('3a Raw'!C914-$B3)/$B4)))</f>
        <v/>
      </c>
      <c r="C914" s="3">
        <f>IF(B914="","",(B914-AVERAGE(B6:B1198))/(STDEV(B6:B1198)+1E-12))</f>
        <v/>
      </c>
      <c r="D914" s="3">
        <f>IF('3a Raw'!D914="","",MAX(-3,MIN(3,('3a Raw'!D914-$D3)/$D4)))</f>
        <v/>
      </c>
      <c r="E914" s="3">
        <f>IF(D914="","",(D914-AVERAGE(D6:D1198))/(STDEV(D6:D1198)+1E-12))</f>
        <v/>
      </c>
      <c r="F914" s="3">
        <f>IF('3a Raw'!E914="","",MAX(-3,MIN(3,('3a Raw'!E914-$F3)/$F4)))</f>
        <v/>
      </c>
      <c r="G914" s="3">
        <f>IF(F914="","",(F914-AVERAGE(F6:F1198))/(STDEV(F6:F1198)+1E-12))</f>
        <v/>
      </c>
      <c r="H914" s="3">
        <f>IF('3a Raw'!F914="","",MAX(-3,MIN(3,('3a Raw'!F914-$H3)/$H4)))</f>
        <v/>
      </c>
      <c r="I914" s="3">
        <f>IF(H914="","",(H914-AVERAGE(H6:H1198))/(STDEV(H6:H1198)+1E-12))</f>
        <v/>
      </c>
      <c r="J914" s="3">
        <f>IF('3a Raw'!G914="","",MAX(-3,MIN(3,('3a Raw'!G914-$J3)/$J4)))</f>
        <v/>
      </c>
      <c r="K914" s="3">
        <f>IF(J914="","",(J914-AVERAGE(J6:J1198))/(STDEV(J6:J1198)+1E-12))</f>
        <v/>
      </c>
      <c r="L914" s="3">
        <f>IF('3a Raw'!H914="","",MAX(-3,MIN(3,('3a Raw'!H914-$L3)/$L4)))</f>
        <v/>
      </c>
      <c r="M914" s="3">
        <f>IF(L914="","",(L914-AVERAGE(L6:L1198))/(STDEV(L6:L1198)+1E-12))</f>
        <v/>
      </c>
      <c r="N914" s="3">
        <f>IF('3a Raw'!I914="","",MAX(-3,MIN(3,('3a Raw'!I914-$N3)/$N4)))</f>
        <v/>
      </c>
      <c r="O914" s="3">
        <f>IF(N914="","",(N914-AVERAGE(N6:N1198))/(STDEV(N6:N1198)+1E-12))</f>
        <v/>
      </c>
      <c r="P914" s="3">
        <f>IF('3a Raw'!J914="","",MAX(-3,MIN(3,('3a Raw'!J914-$P3)/$P4)))</f>
        <v/>
      </c>
      <c r="Q914" s="3">
        <f>IF(P914="","",(P914-AVERAGE(P6:P1198))/(STDEV(P6:P1198)+1E-12))</f>
        <v/>
      </c>
      <c r="R914" s="3">
        <f>IF('3a Raw'!K914="","",MAX(-3,MIN(3,('3a Raw'!K914-$R3)/$R4)))</f>
        <v/>
      </c>
      <c r="S914" s="3">
        <f>IF(R914="","",(R914-AVERAGE(R6:R1198))/(STDEV(R6:R1198)+1E-12))</f>
        <v/>
      </c>
      <c r="T914" s="3">
        <f>IF('3a Raw'!L914="","",MAX(-3,MIN(3,('3a Raw'!L914-$T3)/$T4)))</f>
        <v/>
      </c>
      <c r="U914" s="3">
        <f>IF(T914="","",(T914-AVERAGE(T6:T1198))/(STDEV(T6:T1198)+1E-12))</f>
        <v/>
      </c>
      <c r="X914" s="3">
        <f>IF(U914="","",U914-($V$3*G914+$W$3))</f>
        <v/>
      </c>
      <c r="Y914" s="3">
        <f>IF(X914="","",MAX(-3,MIN(3,(X914-$X3)/$X4)))</f>
        <v/>
      </c>
      <c r="Z914" s="3">
        <f>IF(Y914="","",(Y914-AVERAGE(Y6:Y1198))/(STDEV(Y6:Y1198)+1E-12))</f>
        <v/>
      </c>
    </row>
    <row r="915">
      <c r="A915" t="inlineStr">
        <is>
          <t>BBG000BDVP80</t>
        </is>
      </c>
      <c r="B915" s="3">
        <f>IF('3a Raw'!C915="","",MAX(-3,MIN(3,('3a Raw'!C915-$B3)/$B4)))</f>
        <v/>
      </c>
      <c r="C915" s="3">
        <f>IF(B915="","",(B915-AVERAGE(B6:B1198))/(STDEV(B6:B1198)+1E-12))</f>
        <v/>
      </c>
      <c r="D915" s="3">
        <f>IF('3a Raw'!D915="","",MAX(-3,MIN(3,('3a Raw'!D915-$D3)/$D4)))</f>
        <v/>
      </c>
      <c r="E915" s="3">
        <f>IF(D915="","",(D915-AVERAGE(D6:D1198))/(STDEV(D6:D1198)+1E-12))</f>
        <v/>
      </c>
      <c r="F915" s="3">
        <f>IF('3a Raw'!E915="","",MAX(-3,MIN(3,('3a Raw'!E915-$F3)/$F4)))</f>
        <v/>
      </c>
      <c r="G915" s="3">
        <f>IF(F915="","",(F915-AVERAGE(F6:F1198))/(STDEV(F6:F1198)+1E-12))</f>
        <v/>
      </c>
      <c r="H915" s="3">
        <f>IF('3a Raw'!F915="","",MAX(-3,MIN(3,('3a Raw'!F915-$H3)/$H4)))</f>
        <v/>
      </c>
      <c r="I915" s="3">
        <f>IF(H915="","",(H915-AVERAGE(H6:H1198))/(STDEV(H6:H1198)+1E-12))</f>
        <v/>
      </c>
      <c r="J915" s="3">
        <f>IF('3a Raw'!G915="","",MAX(-3,MIN(3,('3a Raw'!G915-$J3)/$J4)))</f>
        <v/>
      </c>
      <c r="K915" s="3">
        <f>IF(J915="","",(J915-AVERAGE(J6:J1198))/(STDEV(J6:J1198)+1E-12))</f>
        <v/>
      </c>
      <c r="L915" s="3">
        <f>IF('3a Raw'!H915="","",MAX(-3,MIN(3,('3a Raw'!H915-$L3)/$L4)))</f>
        <v/>
      </c>
      <c r="M915" s="3">
        <f>IF(L915="","",(L915-AVERAGE(L6:L1198))/(STDEV(L6:L1198)+1E-12))</f>
        <v/>
      </c>
      <c r="N915" s="3">
        <f>IF('3a Raw'!I915="","",MAX(-3,MIN(3,('3a Raw'!I915-$N3)/$N4)))</f>
        <v/>
      </c>
      <c r="O915" s="3">
        <f>IF(N915="","",(N915-AVERAGE(N6:N1198))/(STDEV(N6:N1198)+1E-12))</f>
        <v/>
      </c>
      <c r="P915" s="3">
        <f>IF('3a Raw'!J915="","",MAX(-3,MIN(3,('3a Raw'!J915-$P3)/$P4)))</f>
        <v/>
      </c>
      <c r="Q915" s="3">
        <f>IF(P915="","",(P915-AVERAGE(P6:P1198))/(STDEV(P6:P1198)+1E-12))</f>
        <v/>
      </c>
      <c r="R915" s="3">
        <f>IF('3a Raw'!K915="","",MAX(-3,MIN(3,('3a Raw'!K915-$R3)/$R4)))</f>
        <v/>
      </c>
      <c r="S915" s="3">
        <f>IF(R915="","",(R915-AVERAGE(R6:R1198))/(STDEV(R6:R1198)+1E-12))</f>
        <v/>
      </c>
      <c r="T915" s="3">
        <f>IF('3a Raw'!L915="","",MAX(-3,MIN(3,('3a Raw'!L915-$T3)/$T4)))</f>
        <v/>
      </c>
      <c r="U915" s="3">
        <f>IF(T915="","",(T915-AVERAGE(T6:T1198))/(STDEV(T6:T1198)+1E-12))</f>
        <v/>
      </c>
      <c r="X915" s="3">
        <f>IF(U915="","",U915-($V$3*G915+$W$3))</f>
        <v/>
      </c>
      <c r="Y915" s="3">
        <f>IF(X915="","",MAX(-3,MIN(3,(X915-$X3)/$X4)))</f>
        <v/>
      </c>
      <c r="Z915" s="3">
        <f>IF(Y915="","",(Y915-AVERAGE(Y6:Y1198))/(STDEV(Y6:Y1198)+1E-12))</f>
        <v/>
      </c>
    </row>
    <row r="916">
      <c r="A916" t="inlineStr">
        <is>
          <t>BBG000RTNP69</t>
        </is>
      </c>
      <c r="B916" s="3">
        <f>IF('3a Raw'!C916="","",MAX(-3,MIN(3,('3a Raw'!C916-$B3)/$B4)))</f>
        <v/>
      </c>
      <c r="C916" s="3">
        <f>IF(B916="","",(B916-AVERAGE(B6:B1198))/(STDEV(B6:B1198)+1E-12))</f>
        <v/>
      </c>
      <c r="D916" s="3">
        <f>IF('3a Raw'!D916="","",MAX(-3,MIN(3,('3a Raw'!D916-$D3)/$D4)))</f>
        <v/>
      </c>
      <c r="E916" s="3">
        <f>IF(D916="","",(D916-AVERAGE(D6:D1198))/(STDEV(D6:D1198)+1E-12))</f>
        <v/>
      </c>
      <c r="F916" s="3">
        <f>IF('3a Raw'!E916="","",MAX(-3,MIN(3,('3a Raw'!E916-$F3)/$F4)))</f>
        <v/>
      </c>
      <c r="G916" s="3">
        <f>IF(F916="","",(F916-AVERAGE(F6:F1198))/(STDEV(F6:F1198)+1E-12))</f>
        <v/>
      </c>
      <c r="H916" s="3">
        <f>IF('3a Raw'!F916="","",MAX(-3,MIN(3,('3a Raw'!F916-$H3)/$H4)))</f>
        <v/>
      </c>
      <c r="I916" s="3">
        <f>IF(H916="","",(H916-AVERAGE(H6:H1198))/(STDEV(H6:H1198)+1E-12))</f>
        <v/>
      </c>
      <c r="J916" s="3">
        <f>IF('3a Raw'!G916="","",MAX(-3,MIN(3,('3a Raw'!G916-$J3)/$J4)))</f>
        <v/>
      </c>
      <c r="K916" s="3">
        <f>IF(J916="","",(J916-AVERAGE(J6:J1198))/(STDEV(J6:J1198)+1E-12))</f>
        <v/>
      </c>
      <c r="L916" s="3">
        <f>IF('3a Raw'!H916="","",MAX(-3,MIN(3,('3a Raw'!H916-$L3)/$L4)))</f>
        <v/>
      </c>
      <c r="M916" s="3">
        <f>IF(L916="","",(L916-AVERAGE(L6:L1198))/(STDEV(L6:L1198)+1E-12))</f>
        <v/>
      </c>
      <c r="N916" s="3">
        <f>IF('3a Raw'!I916="","",MAX(-3,MIN(3,('3a Raw'!I916-$N3)/$N4)))</f>
        <v/>
      </c>
      <c r="O916" s="3">
        <f>IF(N916="","",(N916-AVERAGE(N6:N1198))/(STDEV(N6:N1198)+1E-12))</f>
        <v/>
      </c>
      <c r="P916" s="3">
        <f>IF('3a Raw'!J916="","",MAX(-3,MIN(3,('3a Raw'!J916-$P3)/$P4)))</f>
        <v/>
      </c>
      <c r="Q916" s="3">
        <f>IF(P916="","",(P916-AVERAGE(P6:P1198))/(STDEV(P6:P1198)+1E-12))</f>
        <v/>
      </c>
      <c r="R916" s="3">
        <f>IF('3a Raw'!K916="","",MAX(-3,MIN(3,('3a Raw'!K916-$R3)/$R4)))</f>
        <v/>
      </c>
      <c r="S916" s="3">
        <f>IF(R916="","",(R916-AVERAGE(R6:R1198))/(STDEV(R6:R1198)+1E-12))</f>
        <v/>
      </c>
      <c r="T916" s="3">
        <f>IF('3a Raw'!L916="","",MAX(-3,MIN(3,('3a Raw'!L916-$T3)/$T4)))</f>
        <v/>
      </c>
      <c r="U916" s="3">
        <f>IF(T916="","",(T916-AVERAGE(T6:T1198))/(STDEV(T6:T1198)+1E-12))</f>
        <v/>
      </c>
      <c r="X916" s="3">
        <f>IF(U916="","",U916-($V$3*G916+$W$3))</f>
        <v/>
      </c>
      <c r="Y916" s="3">
        <f>IF(X916="","",MAX(-3,MIN(3,(X916-$X3)/$X4)))</f>
        <v/>
      </c>
      <c r="Z916" s="3">
        <f>IF(Y916="","",(Y916-AVERAGE(Y6:Y1198))/(STDEV(Y6:Y1198)+1E-12))</f>
        <v/>
      </c>
    </row>
    <row r="917">
      <c r="A917" t="inlineStr">
        <is>
          <t>BBG003T1GM03</t>
        </is>
      </c>
      <c r="B917" s="3">
        <f>IF('3a Raw'!C917="","",MAX(-3,MIN(3,('3a Raw'!C917-$B3)/$B4)))</f>
        <v/>
      </c>
      <c r="C917" s="3">
        <f>IF(B917="","",(B917-AVERAGE(B6:B1198))/(STDEV(B6:B1198)+1E-12))</f>
        <v/>
      </c>
      <c r="D917" s="3">
        <f>IF('3a Raw'!D917="","",MAX(-3,MIN(3,('3a Raw'!D917-$D3)/$D4)))</f>
        <v/>
      </c>
      <c r="E917" s="3">
        <f>IF(D917="","",(D917-AVERAGE(D6:D1198))/(STDEV(D6:D1198)+1E-12))</f>
        <v/>
      </c>
      <c r="F917" s="3">
        <f>IF('3a Raw'!E917="","",MAX(-3,MIN(3,('3a Raw'!E917-$F3)/$F4)))</f>
        <v/>
      </c>
      <c r="G917" s="3">
        <f>IF(F917="","",(F917-AVERAGE(F6:F1198))/(STDEV(F6:F1198)+1E-12))</f>
        <v/>
      </c>
      <c r="H917" s="3">
        <f>IF('3a Raw'!F917="","",MAX(-3,MIN(3,('3a Raw'!F917-$H3)/$H4)))</f>
        <v/>
      </c>
      <c r="I917" s="3">
        <f>IF(H917="","",(H917-AVERAGE(H6:H1198))/(STDEV(H6:H1198)+1E-12))</f>
        <v/>
      </c>
      <c r="J917" s="3">
        <f>IF('3a Raw'!G917="","",MAX(-3,MIN(3,('3a Raw'!G917-$J3)/$J4)))</f>
        <v/>
      </c>
      <c r="K917" s="3">
        <f>IF(J917="","",(J917-AVERAGE(J6:J1198))/(STDEV(J6:J1198)+1E-12))</f>
        <v/>
      </c>
      <c r="L917" s="3">
        <f>IF('3a Raw'!H917="","",MAX(-3,MIN(3,('3a Raw'!H917-$L3)/$L4)))</f>
        <v/>
      </c>
      <c r="M917" s="3">
        <f>IF(L917="","",(L917-AVERAGE(L6:L1198))/(STDEV(L6:L1198)+1E-12))</f>
        <v/>
      </c>
      <c r="N917" s="3">
        <f>IF('3a Raw'!I917="","",MAX(-3,MIN(3,('3a Raw'!I917-$N3)/$N4)))</f>
        <v/>
      </c>
      <c r="O917" s="3">
        <f>IF(N917="","",(N917-AVERAGE(N6:N1198))/(STDEV(N6:N1198)+1E-12))</f>
        <v/>
      </c>
      <c r="P917" s="3">
        <f>IF('3a Raw'!J917="","",MAX(-3,MIN(3,('3a Raw'!J917-$P3)/$P4)))</f>
        <v/>
      </c>
      <c r="Q917" s="3">
        <f>IF(P917="","",(P917-AVERAGE(P6:P1198))/(STDEV(P6:P1198)+1E-12))</f>
        <v/>
      </c>
      <c r="R917" s="3">
        <f>IF('3a Raw'!K917="","",MAX(-3,MIN(3,('3a Raw'!K917-$R3)/$R4)))</f>
        <v/>
      </c>
      <c r="S917" s="3">
        <f>IF(R917="","",(R917-AVERAGE(R6:R1198))/(STDEV(R6:R1198)+1E-12))</f>
        <v/>
      </c>
      <c r="T917" s="3">
        <f>IF('3a Raw'!L917="","",MAX(-3,MIN(3,('3a Raw'!L917-$T3)/$T4)))</f>
        <v/>
      </c>
      <c r="U917" s="3">
        <f>IF(T917="","",(T917-AVERAGE(T6:T1198))/(STDEV(T6:T1198)+1E-12))</f>
        <v/>
      </c>
      <c r="X917" s="3">
        <f>IF(U917="","",U917-($V$3*G917+$W$3))</f>
        <v/>
      </c>
      <c r="Y917" s="3">
        <f>IF(X917="","",MAX(-3,MIN(3,(X917-$X3)/$X4)))</f>
        <v/>
      </c>
      <c r="Z917" s="3">
        <f>IF(Y917="","",(Y917-AVERAGE(Y6:Y1198))/(STDEV(Y6:Y1198)+1E-12))</f>
        <v/>
      </c>
    </row>
    <row r="918">
      <c r="A918" t="inlineStr">
        <is>
          <t>BBG00741Y1N2</t>
        </is>
      </c>
      <c r="B918" s="3">
        <f>IF('3a Raw'!C918="","",MAX(-3,MIN(3,('3a Raw'!C918-$B3)/$B4)))</f>
        <v/>
      </c>
      <c r="C918" s="3">
        <f>IF(B918="","",(B918-AVERAGE(B6:B1198))/(STDEV(B6:B1198)+1E-12))</f>
        <v/>
      </c>
      <c r="D918" s="3">
        <f>IF('3a Raw'!D918="","",MAX(-3,MIN(3,('3a Raw'!D918-$D3)/$D4)))</f>
        <v/>
      </c>
      <c r="E918" s="3">
        <f>IF(D918="","",(D918-AVERAGE(D6:D1198))/(STDEV(D6:D1198)+1E-12))</f>
        <v/>
      </c>
      <c r="F918" s="3">
        <f>IF('3a Raw'!E918="","",MAX(-3,MIN(3,('3a Raw'!E918-$F3)/$F4)))</f>
        <v/>
      </c>
      <c r="G918" s="3">
        <f>IF(F918="","",(F918-AVERAGE(F6:F1198))/(STDEV(F6:F1198)+1E-12))</f>
        <v/>
      </c>
      <c r="H918" s="3">
        <f>IF('3a Raw'!F918="","",MAX(-3,MIN(3,('3a Raw'!F918-$H3)/$H4)))</f>
        <v/>
      </c>
      <c r="I918" s="3">
        <f>IF(H918="","",(H918-AVERAGE(H6:H1198))/(STDEV(H6:H1198)+1E-12))</f>
        <v/>
      </c>
      <c r="J918" s="3">
        <f>IF('3a Raw'!G918="","",MAX(-3,MIN(3,('3a Raw'!G918-$J3)/$J4)))</f>
        <v/>
      </c>
      <c r="K918" s="3">
        <f>IF(J918="","",(J918-AVERAGE(J6:J1198))/(STDEV(J6:J1198)+1E-12))</f>
        <v/>
      </c>
      <c r="L918" s="3">
        <f>IF('3a Raw'!H918="","",MAX(-3,MIN(3,('3a Raw'!H918-$L3)/$L4)))</f>
        <v/>
      </c>
      <c r="M918" s="3">
        <f>IF(L918="","",(L918-AVERAGE(L6:L1198))/(STDEV(L6:L1198)+1E-12))</f>
        <v/>
      </c>
      <c r="N918" s="3">
        <f>IF('3a Raw'!I918="","",MAX(-3,MIN(3,('3a Raw'!I918-$N3)/$N4)))</f>
        <v/>
      </c>
      <c r="O918" s="3">
        <f>IF(N918="","",(N918-AVERAGE(N6:N1198))/(STDEV(N6:N1198)+1E-12))</f>
        <v/>
      </c>
      <c r="P918" s="3">
        <f>IF('3a Raw'!J918="","",MAX(-3,MIN(3,('3a Raw'!J918-$P3)/$P4)))</f>
        <v/>
      </c>
      <c r="Q918" s="3">
        <f>IF(P918="","",(P918-AVERAGE(P6:P1198))/(STDEV(P6:P1198)+1E-12))</f>
        <v/>
      </c>
      <c r="R918" s="3">
        <f>IF('3a Raw'!K918="","",MAX(-3,MIN(3,('3a Raw'!K918-$R3)/$R4)))</f>
        <v/>
      </c>
      <c r="S918" s="3">
        <f>IF(R918="","",(R918-AVERAGE(R6:R1198))/(STDEV(R6:R1198)+1E-12))</f>
        <v/>
      </c>
      <c r="T918" s="3">
        <f>IF('3a Raw'!L918="","",MAX(-3,MIN(3,('3a Raw'!L918-$T3)/$T4)))</f>
        <v/>
      </c>
      <c r="U918" s="3">
        <f>IF(T918="","",(T918-AVERAGE(T6:T1198))/(STDEV(T6:T1198)+1E-12))</f>
        <v/>
      </c>
      <c r="X918" s="3">
        <f>IF(U918="","",U918-($V$3*G918+$W$3))</f>
        <v/>
      </c>
      <c r="Y918" s="3">
        <f>IF(X918="","",MAX(-3,MIN(3,(X918-$X3)/$X4)))</f>
        <v/>
      </c>
      <c r="Z918" s="3">
        <f>IF(Y918="","",(Y918-AVERAGE(Y6:Y1198))/(STDEV(Y6:Y1198)+1E-12))</f>
        <v/>
      </c>
    </row>
    <row r="919">
      <c r="A919" t="inlineStr">
        <is>
          <t>rjf</t>
        </is>
      </c>
      <c r="B919" s="3">
        <f>IF('3a Raw'!C919="","",MAX(-3,MIN(3,('3a Raw'!C919-$B3)/$B4)))</f>
        <v/>
      </c>
      <c r="C919" s="3">
        <f>IF(B919="","",(B919-AVERAGE(B6:B1198))/(STDEV(B6:B1198)+1E-12))</f>
        <v/>
      </c>
      <c r="D919" s="3">
        <f>IF('3a Raw'!D919="","",MAX(-3,MIN(3,('3a Raw'!D919-$D3)/$D4)))</f>
        <v/>
      </c>
      <c r="E919" s="3">
        <f>IF(D919="","",(D919-AVERAGE(D6:D1198))/(STDEV(D6:D1198)+1E-12))</f>
        <v/>
      </c>
      <c r="F919" s="3">
        <f>IF('3a Raw'!E919="","",MAX(-3,MIN(3,('3a Raw'!E919-$F3)/$F4)))</f>
        <v/>
      </c>
      <c r="G919" s="3">
        <f>IF(F919="","",(F919-AVERAGE(F6:F1198))/(STDEV(F6:F1198)+1E-12))</f>
        <v/>
      </c>
      <c r="H919" s="3">
        <f>IF('3a Raw'!F919="","",MAX(-3,MIN(3,('3a Raw'!F919-$H3)/$H4)))</f>
        <v/>
      </c>
      <c r="I919" s="3">
        <f>IF(H919="","",(H919-AVERAGE(H6:H1198))/(STDEV(H6:H1198)+1E-12))</f>
        <v/>
      </c>
      <c r="J919" s="3">
        <f>IF('3a Raw'!G919="","",MAX(-3,MIN(3,('3a Raw'!G919-$J3)/$J4)))</f>
        <v/>
      </c>
      <c r="K919" s="3">
        <f>IF(J919="","",(J919-AVERAGE(J6:J1198))/(STDEV(J6:J1198)+1E-12))</f>
        <v/>
      </c>
      <c r="L919" s="3">
        <f>IF('3a Raw'!H919="","",MAX(-3,MIN(3,('3a Raw'!H919-$L3)/$L4)))</f>
        <v/>
      </c>
      <c r="M919" s="3">
        <f>IF(L919="","",(L919-AVERAGE(L6:L1198))/(STDEV(L6:L1198)+1E-12))</f>
        <v/>
      </c>
      <c r="N919" s="3">
        <f>IF('3a Raw'!I919="","",MAX(-3,MIN(3,('3a Raw'!I919-$N3)/$N4)))</f>
        <v/>
      </c>
      <c r="O919" s="3">
        <f>IF(N919="","",(N919-AVERAGE(N6:N1198))/(STDEV(N6:N1198)+1E-12))</f>
        <v/>
      </c>
      <c r="P919" s="3">
        <f>IF('3a Raw'!J919="","",MAX(-3,MIN(3,('3a Raw'!J919-$P3)/$P4)))</f>
        <v/>
      </c>
      <c r="Q919" s="3">
        <f>IF(P919="","",(P919-AVERAGE(P6:P1198))/(STDEV(P6:P1198)+1E-12))</f>
        <v/>
      </c>
      <c r="R919" s="3">
        <f>IF('3a Raw'!K919="","",MAX(-3,MIN(3,('3a Raw'!K919-$R3)/$R4)))</f>
        <v/>
      </c>
      <c r="S919" s="3">
        <f>IF(R919="","",(R919-AVERAGE(R6:R1198))/(STDEV(R6:R1198)+1E-12))</f>
        <v/>
      </c>
      <c r="T919" s="3">
        <f>IF('3a Raw'!L919="","",MAX(-3,MIN(3,('3a Raw'!L919-$T3)/$T4)))</f>
        <v/>
      </c>
      <c r="U919" s="3">
        <f>IF(T919="","",(T919-AVERAGE(T6:T1198))/(STDEV(T6:T1198)+1E-12))</f>
        <v/>
      </c>
      <c r="X919" s="3">
        <f>IF(U919="","",U919-($V$3*G919+$W$3))</f>
        <v/>
      </c>
      <c r="Y919" s="3">
        <f>IF(X919="","",MAX(-3,MIN(3,(X919-$X3)/$X4)))</f>
        <v/>
      </c>
      <c r="Z919" s="3">
        <f>IF(Y919="","",(Y919-AVERAGE(Y6:Y1198))/(STDEV(Y6:Y1198)+1E-12))</f>
        <v/>
      </c>
    </row>
    <row r="920">
      <c r="A920" t="inlineStr">
        <is>
          <t>BBG00VY1MYW7</t>
        </is>
      </c>
      <c r="B920" s="3">
        <f>IF('3a Raw'!C920="","",MAX(-3,MIN(3,('3a Raw'!C920-$B3)/$B4)))</f>
        <v/>
      </c>
      <c r="C920" s="3">
        <f>IF(B920="","",(B920-AVERAGE(B6:B1198))/(STDEV(B6:B1198)+1E-12))</f>
        <v/>
      </c>
      <c r="D920" s="3">
        <f>IF('3a Raw'!D920="","",MAX(-3,MIN(3,('3a Raw'!D920-$D3)/$D4)))</f>
        <v/>
      </c>
      <c r="E920" s="3">
        <f>IF(D920="","",(D920-AVERAGE(D6:D1198))/(STDEV(D6:D1198)+1E-12))</f>
        <v/>
      </c>
      <c r="F920" s="3">
        <f>IF('3a Raw'!E920="","",MAX(-3,MIN(3,('3a Raw'!E920-$F3)/$F4)))</f>
        <v/>
      </c>
      <c r="G920" s="3">
        <f>IF(F920="","",(F920-AVERAGE(F6:F1198))/(STDEV(F6:F1198)+1E-12))</f>
        <v/>
      </c>
      <c r="H920" s="3">
        <f>IF('3a Raw'!F920="","",MAX(-3,MIN(3,('3a Raw'!F920-$H3)/$H4)))</f>
        <v/>
      </c>
      <c r="I920" s="3">
        <f>IF(H920="","",(H920-AVERAGE(H6:H1198))/(STDEV(H6:H1198)+1E-12))</f>
        <v/>
      </c>
      <c r="J920" s="3">
        <f>IF('3a Raw'!G920="","",MAX(-3,MIN(3,('3a Raw'!G920-$J3)/$J4)))</f>
        <v/>
      </c>
      <c r="K920" s="3">
        <f>IF(J920="","",(J920-AVERAGE(J6:J1198))/(STDEV(J6:J1198)+1E-12))</f>
        <v/>
      </c>
      <c r="L920" s="3">
        <f>IF('3a Raw'!H920="","",MAX(-3,MIN(3,('3a Raw'!H920-$L3)/$L4)))</f>
        <v/>
      </c>
      <c r="M920" s="3">
        <f>IF(L920="","",(L920-AVERAGE(L6:L1198))/(STDEV(L6:L1198)+1E-12))</f>
        <v/>
      </c>
      <c r="N920" s="3">
        <f>IF('3a Raw'!I920="","",MAX(-3,MIN(3,('3a Raw'!I920-$N3)/$N4)))</f>
        <v/>
      </c>
      <c r="O920" s="3">
        <f>IF(N920="","",(N920-AVERAGE(N6:N1198))/(STDEV(N6:N1198)+1E-12))</f>
        <v/>
      </c>
      <c r="P920" s="3">
        <f>IF('3a Raw'!J920="","",MAX(-3,MIN(3,('3a Raw'!J920-$P3)/$P4)))</f>
        <v/>
      </c>
      <c r="Q920" s="3">
        <f>IF(P920="","",(P920-AVERAGE(P6:P1198))/(STDEV(P6:P1198)+1E-12))</f>
        <v/>
      </c>
      <c r="R920" s="3">
        <f>IF('3a Raw'!K920="","",MAX(-3,MIN(3,('3a Raw'!K920-$R3)/$R4)))</f>
        <v/>
      </c>
      <c r="S920" s="3">
        <f>IF(R920="","",(R920-AVERAGE(R6:R1198))/(STDEV(R6:R1198)+1E-12))</f>
        <v/>
      </c>
      <c r="T920" s="3">
        <f>IF('3a Raw'!L920="","",MAX(-3,MIN(3,('3a Raw'!L920-$T3)/$T4)))</f>
        <v/>
      </c>
      <c r="U920" s="3">
        <f>IF(T920="","",(T920-AVERAGE(T6:T1198))/(STDEV(T6:T1198)+1E-12))</f>
        <v/>
      </c>
      <c r="X920" s="3">
        <f>IF(U920="","",U920-($V$3*G920+$W$3))</f>
        <v/>
      </c>
      <c r="Y920" s="3">
        <f>IF(X920="","",MAX(-3,MIN(3,(X920-$X3)/$X4)))</f>
        <v/>
      </c>
      <c r="Z920" s="3">
        <f>IF(Y920="","",(Y920-AVERAGE(Y6:Y1198))/(STDEV(Y6:Y1198)+1E-12))</f>
        <v/>
      </c>
    </row>
    <row r="921">
      <c r="A921" t="inlineStr">
        <is>
          <t>BBG000BS0ZF1</t>
        </is>
      </c>
      <c r="B921" s="3">
        <f>IF('3a Raw'!C921="","",MAX(-3,MIN(3,('3a Raw'!C921-$B3)/$B4)))</f>
        <v/>
      </c>
      <c r="C921" s="3">
        <f>IF(B921="","",(B921-AVERAGE(B6:B1198))/(STDEV(B6:B1198)+1E-12))</f>
        <v/>
      </c>
      <c r="D921" s="3">
        <f>IF('3a Raw'!D921="","",MAX(-3,MIN(3,('3a Raw'!D921-$D3)/$D4)))</f>
        <v/>
      </c>
      <c r="E921" s="3">
        <f>IF(D921="","",(D921-AVERAGE(D6:D1198))/(STDEV(D6:D1198)+1E-12))</f>
        <v/>
      </c>
      <c r="F921" s="3">
        <f>IF('3a Raw'!E921="","",MAX(-3,MIN(3,('3a Raw'!E921-$F3)/$F4)))</f>
        <v/>
      </c>
      <c r="G921" s="3">
        <f>IF(F921="","",(F921-AVERAGE(F6:F1198))/(STDEV(F6:F1198)+1E-12))</f>
        <v/>
      </c>
      <c r="H921" s="3">
        <f>IF('3a Raw'!F921="","",MAX(-3,MIN(3,('3a Raw'!F921-$H3)/$H4)))</f>
        <v/>
      </c>
      <c r="I921" s="3">
        <f>IF(H921="","",(H921-AVERAGE(H6:H1198))/(STDEV(H6:H1198)+1E-12))</f>
        <v/>
      </c>
      <c r="J921" s="3">
        <f>IF('3a Raw'!G921="","",MAX(-3,MIN(3,('3a Raw'!G921-$J3)/$J4)))</f>
        <v/>
      </c>
      <c r="K921" s="3">
        <f>IF(J921="","",(J921-AVERAGE(J6:J1198))/(STDEV(J6:J1198)+1E-12))</f>
        <v/>
      </c>
      <c r="L921" s="3">
        <f>IF('3a Raw'!H921="","",MAX(-3,MIN(3,('3a Raw'!H921-$L3)/$L4)))</f>
        <v/>
      </c>
      <c r="M921" s="3">
        <f>IF(L921="","",(L921-AVERAGE(L6:L1198))/(STDEV(L6:L1198)+1E-12))</f>
        <v/>
      </c>
      <c r="N921" s="3">
        <f>IF('3a Raw'!I921="","",MAX(-3,MIN(3,('3a Raw'!I921-$N3)/$N4)))</f>
        <v/>
      </c>
      <c r="O921" s="3">
        <f>IF(N921="","",(N921-AVERAGE(N6:N1198))/(STDEV(N6:N1198)+1E-12))</f>
        <v/>
      </c>
      <c r="P921" s="3">
        <f>IF('3a Raw'!J921="","",MAX(-3,MIN(3,('3a Raw'!J921-$P3)/$P4)))</f>
        <v/>
      </c>
      <c r="Q921" s="3">
        <f>IF(P921="","",(P921-AVERAGE(P6:P1198))/(STDEV(P6:P1198)+1E-12))</f>
        <v/>
      </c>
      <c r="R921" s="3">
        <f>IF('3a Raw'!K921="","",MAX(-3,MIN(3,('3a Raw'!K921-$R3)/$R4)))</f>
        <v/>
      </c>
      <c r="S921" s="3">
        <f>IF(R921="","",(R921-AVERAGE(R6:R1198))/(STDEV(R6:R1198)+1E-12))</f>
        <v/>
      </c>
      <c r="T921" s="3">
        <f>IF('3a Raw'!L921="","",MAX(-3,MIN(3,('3a Raw'!L921-$T3)/$T4)))</f>
        <v/>
      </c>
      <c r="U921" s="3">
        <f>IF(T921="","",(T921-AVERAGE(T6:T1198))/(STDEV(T6:T1198)+1E-12))</f>
        <v/>
      </c>
      <c r="X921" s="3">
        <f>IF(U921="","",U921-($V$3*G921+$W$3))</f>
        <v/>
      </c>
      <c r="Y921" s="3">
        <f>IF(X921="","",MAX(-3,MIN(3,(X921-$X3)/$X4)))</f>
        <v/>
      </c>
      <c r="Z921" s="3">
        <f>IF(Y921="","",(Y921-AVERAGE(Y6:Y1198))/(STDEV(Y6:Y1198)+1E-12))</f>
        <v/>
      </c>
    </row>
    <row r="922">
      <c r="A922" t="inlineStr">
        <is>
          <t>BBG000BS7ZF4</t>
        </is>
      </c>
      <c r="B922" s="3">
        <f>IF('3a Raw'!C922="","",MAX(-3,MIN(3,('3a Raw'!C922-$B3)/$B4)))</f>
        <v/>
      </c>
      <c r="C922" s="3">
        <f>IF(B922="","",(B922-AVERAGE(B6:B1198))/(STDEV(B6:B1198)+1E-12))</f>
        <v/>
      </c>
      <c r="D922" s="3">
        <f>IF('3a Raw'!D922="","",MAX(-3,MIN(3,('3a Raw'!D922-$D3)/$D4)))</f>
        <v/>
      </c>
      <c r="E922" s="3">
        <f>IF(D922="","",(D922-AVERAGE(D6:D1198))/(STDEV(D6:D1198)+1E-12))</f>
        <v/>
      </c>
      <c r="F922" s="3">
        <f>IF('3a Raw'!E922="","",MAX(-3,MIN(3,('3a Raw'!E922-$F3)/$F4)))</f>
        <v/>
      </c>
      <c r="G922" s="3">
        <f>IF(F922="","",(F922-AVERAGE(F6:F1198))/(STDEV(F6:F1198)+1E-12))</f>
        <v/>
      </c>
      <c r="H922" s="3">
        <f>IF('3a Raw'!F922="","",MAX(-3,MIN(3,('3a Raw'!F922-$H3)/$H4)))</f>
        <v/>
      </c>
      <c r="I922" s="3">
        <f>IF(H922="","",(H922-AVERAGE(H6:H1198))/(STDEV(H6:H1198)+1E-12))</f>
        <v/>
      </c>
      <c r="J922" s="3">
        <f>IF('3a Raw'!G922="","",MAX(-3,MIN(3,('3a Raw'!G922-$J3)/$J4)))</f>
        <v/>
      </c>
      <c r="K922" s="3">
        <f>IF(J922="","",(J922-AVERAGE(J6:J1198))/(STDEV(J6:J1198)+1E-12))</f>
        <v/>
      </c>
      <c r="L922" s="3">
        <f>IF('3a Raw'!H922="","",MAX(-3,MIN(3,('3a Raw'!H922-$L3)/$L4)))</f>
        <v/>
      </c>
      <c r="M922" s="3">
        <f>IF(L922="","",(L922-AVERAGE(L6:L1198))/(STDEV(L6:L1198)+1E-12))</f>
        <v/>
      </c>
      <c r="N922" s="3">
        <f>IF('3a Raw'!I922="","",MAX(-3,MIN(3,('3a Raw'!I922-$N3)/$N4)))</f>
        <v/>
      </c>
      <c r="O922" s="3">
        <f>IF(N922="","",(N922-AVERAGE(N6:N1198))/(STDEV(N6:N1198)+1E-12))</f>
        <v/>
      </c>
      <c r="P922" s="3">
        <f>IF('3a Raw'!J922="","",MAX(-3,MIN(3,('3a Raw'!J922-$P3)/$P4)))</f>
        <v/>
      </c>
      <c r="Q922" s="3">
        <f>IF(P922="","",(P922-AVERAGE(P6:P1198))/(STDEV(P6:P1198)+1E-12))</f>
        <v/>
      </c>
      <c r="R922" s="3">
        <f>IF('3a Raw'!K922="","",MAX(-3,MIN(3,('3a Raw'!K922-$R3)/$R4)))</f>
        <v/>
      </c>
      <c r="S922" s="3">
        <f>IF(R922="","",(R922-AVERAGE(R6:R1198))/(STDEV(R6:R1198)+1E-12))</f>
        <v/>
      </c>
      <c r="T922" s="3">
        <f>IF('3a Raw'!L922="","",MAX(-3,MIN(3,('3a Raw'!L922-$T3)/$T4)))</f>
        <v/>
      </c>
      <c r="U922" s="3">
        <f>IF(T922="","",(T922-AVERAGE(T6:T1198))/(STDEV(T6:T1198)+1E-12))</f>
        <v/>
      </c>
      <c r="X922" s="3">
        <f>IF(U922="","",U922-($V$3*G922+$W$3))</f>
        <v/>
      </c>
      <c r="Y922" s="3">
        <f>IF(X922="","",MAX(-3,MIN(3,(X922-$X3)/$X4)))</f>
        <v/>
      </c>
      <c r="Z922" s="3">
        <f>IF(Y922="","",(Y922-AVERAGE(Y6:Y1198))/(STDEV(Y6:Y1198)+1E-12))</f>
        <v/>
      </c>
    </row>
    <row r="923">
      <c r="A923" t="inlineStr">
        <is>
          <t>BBG000BR32C6</t>
        </is>
      </c>
      <c r="B923" s="3">
        <f>IF('3a Raw'!C923="","",MAX(-3,MIN(3,('3a Raw'!C923-$B3)/$B4)))</f>
        <v/>
      </c>
      <c r="C923" s="3">
        <f>IF(B923="","",(B923-AVERAGE(B6:B1198))/(STDEV(B6:B1198)+1E-12))</f>
        <v/>
      </c>
      <c r="D923" s="3">
        <f>IF('3a Raw'!D923="","",MAX(-3,MIN(3,('3a Raw'!D923-$D3)/$D4)))</f>
        <v/>
      </c>
      <c r="E923" s="3">
        <f>IF(D923="","",(D923-AVERAGE(D6:D1198))/(STDEV(D6:D1198)+1E-12))</f>
        <v/>
      </c>
      <c r="F923" s="3">
        <f>IF('3a Raw'!E923="","",MAX(-3,MIN(3,('3a Raw'!E923-$F3)/$F4)))</f>
        <v/>
      </c>
      <c r="G923" s="3">
        <f>IF(F923="","",(F923-AVERAGE(F6:F1198))/(STDEV(F6:F1198)+1E-12))</f>
        <v/>
      </c>
      <c r="H923" s="3">
        <f>IF('3a Raw'!F923="","",MAX(-3,MIN(3,('3a Raw'!F923-$H3)/$H4)))</f>
        <v/>
      </c>
      <c r="I923" s="3">
        <f>IF(H923="","",(H923-AVERAGE(H6:H1198))/(STDEV(H6:H1198)+1E-12))</f>
        <v/>
      </c>
      <c r="J923" s="3">
        <f>IF('3a Raw'!G923="","",MAX(-3,MIN(3,('3a Raw'!G923-$J3)/$J4)))</f>
        <v/>
      </c>
      <c r="K923" s="3">
        <f>IF(J923="","",(J923-AVERAGE(J6:J1198))/(STDEV(J6:J1198)+1E-12))</f>
        <v/>
      </c>
      <c r="L923" s="3">
        <f>IF('3a Raw'!H923="","",MAX(-3,MIN(3,('3a Raw'!H923-$L3)/$L4)))</f>
        <v/>
      </c>
      <c r="M923" s="3">
        <f>IF(L923="","",(L923-AVERAGE(L6:L1198))/(STDEV(L6:L1198)+1E-12))</f>
        <v/>
      </c>
      <c r="N923" s="3">
        <f>IF('3a Raw'!I923="","",MAX(-3,MIN(3,('3a Raw'!I923-$N3)/$N4)))</f>
        <v/>
      </c>
      <c r="O923" s="3">
        <f>IF(N923="","",(N923-AVERAGE(N6:N1198))/(STDEV(N6:N1198)+1E-12))</f>
        <v/>
      </c>
      <c r="P923" s="3">
        <f>IF('3a Raw'!J923="","",MAX(-3,MIN(3,('3a Raw'!J923-$P3)/$P4)))</f>
        <v/>
      </c>
      <c r="Q923" s="3">
        <f>IF(P923="","",(P923-AVERAGE(P6:P1198))/(STDEV(P6:P1198)+1E-12))</f>
        <v/>
      </c>
      <c r="R923" s="3">
        <f>IF('3a Raw'!K923="","",MAX(-3,MIN(3,('3a Raw'!K923-$R3)/$R4)))</f>
        <v/>
      </c>
      <c r="S923" s="3">
        <f>IF(R923="","",(R923-AVERAGE(R6:R1198))/(STDEV(R6:R1198)+1E-12))</f>
        <v/>
      </c>
      <c r="T923" s="3">
        <f>IF('3a Raw'!L923="","",MAX(-3,MIN(3,('3a Raw'!L923-$T3)/$T4)))</f>
        <v/>
      </c>
      <c r="U923" s="3">
        <f>IF(T923="","",(T923-AVERAGE(T6:T1198))/(STDEV(T6:T1198)+1E-12))</f>
        <v/>
      </c>
      <c r="X923" s="3">
        <f>IF(U923="","",U923-($V$3*G923+$W$3))</f>
        <v/>
      </c>
      <c r="Y923" s="3">
        <f>IF(X923="","",MAX(-3,MIN(3,(X923-$X3)/$X4)))</f>
        <v/>
      </c>
      <c r="Z923" s="3">
        <f>IF(Y923="","",(Y923-AVERAGE(Y6:Y1198))/(STDEV(Y6:Y1198)+1E-12))</f>
        <v/>
      </c>
    </row>
    <row r="924">
      <c r="A924" t="inlineStr">
        <is>
          <t>BBG000L4M7F1</t>
        </is>
      </c>
      <c r="B924" s="3">
        <f>IF('3a Raw'!C924="","",MAX(-3,MIN(3,('3a Raw'!C924-$B3)/$B4)))</f>
        <v/>
      </c>
      <c r="C924" s="3">
        <f>IF(B924="","",(B924-AVERAGE(B6:B1198))/(STDEV(B6:B1198)+1E-12))</f>
        <v/>
      </c>
      <c r="D924" s="3">
        <f>IF('3a Raw'!D924="","",MAX(-3,MIN(3,('3a Raw'!D924-$D3)/$D4)))</f>
        <v/>
      </c>
      <c r="E924" s="3">
        <f>IF(D924="","",(D924-AVERAGE(D6:D1198))/(STDEV(D6:D1198)+1E-12))</f>
        <v/>
      </c>
      <c r="F924" s="3">
        <f>IF('3a Raw'!E924="","",MAX(-3,MIN(3,('3a Raw'!E924-$F3)/$F4)))</f>
        <v/>
      </c>
      <c r="G924" s="3">
        <f>IF(F924="","",(F924-AVERAGE(F6:F1198))/(STDEV(F6:F1198)+1E-12))</f>
        <v/>
      </c>
      <c r="H924" s="3">
        <f>IF('3a Raw'!F924="","",MAX(-3,MIN(3,('3a Raw'!F924-$H3)/$H4)))</f>
        <v/>
      </c>
      <c r="I924" s="3">
        <f>IF(H924="","",(H924-AVERAGE(H6:H1198))/(STDEV(H6:H1198)+1E-12))</f>
        <v/>
      </c>
      <c r="J924" s="3">
        <f>IF('3a Raw'!G924="","",MAX(-3,MIN(3,('3a Raw'!G924-$J3)/$J4)))</f>
        <v/>
      </c>
      <c r="K924" s="3">
        <f>IF(J924="","",(J924-AVERAGE(J6:J1198))/(STDEV(J6:J1198)+1E-12))</f>
        <v/>
      </c>
      <c r="L924" s="3">
        <f>IF('3a Raw'!H924="","",MAX(-3,MIN(3,('3a Raw'!H924-$L3)/$L4)))</f>
        <v/>
      </c>
      <c r="M924" s="3">
        <f>IF(L924="","",(L924-AVERAGE(L6:L1198))/(STDEV(L6:L1198)+1E-12))</f>
        <v/>
      </c>
      <c r="N924" s="3">
        <f>IF('3a Raw'!I924="","",MAX(-3,MIN(3,('3a Raw'!I924-$N3)/$N4)))</f>
        <v/>
      </c>
      <c r="O924" s="3">
        <f>IF(N924="","",(N924-AVERAGE(N6:N1198))/(STDEV(N6:N1198)+1E-12))</f>
        <v/>
      </c>
      <c r="P924" s="3">
        <f>IF('3a Raw'!J924="","",MAX(-3,MIN(3,('3a Raw'!J924-$P3)/$P4)))</f>
        <v/>
      </c>
      <c r="Q924" s="3">
        <f>IF(P924="","",(P924-AVERAGE(P6:P1198))/(STDEV(P6:P1198)+1E-12))</f>
        <v/>
      </c>
      <c r="R924" s="3">
        <f>IF('3a Raw'!K924="","",MAX(-3,MIN(3,('3a Raw'!K924-$R3)/$R4)))</f>
        <v/>
      </c>
      <c r="S924" s="3">
        <f>IF(R924="","",(R924-AVERAGE(R6:R1198))/(STDEV(R6:R1198)+1E-12))</f>
        <v/>
      </c>
      <c r="T924" s="3">
        <f>IF('3a Raw'!L924="","",MAX(-3,MIN(3,('3a Raw'!L924-$T3)/$T4)))</f>
        <v/>
      </c>
      <c r="U924" s="3">
        <f>IF(T924="","",(T924-AVERAGE(T6:T1198))/(STDEV(T6:T1198)+1E-12))</f>
        <v/>
      </c>
      <c r="X924" s="3">
        <f>IF(U924="","",U924-($V$3*G924+$W$3))</f>
        <v/>
      </c>
      <c r="Y924" s="3">
        <f>IF(X924="","",MAX(-3,MIN(3,(X924-$X3)/$X4)))</f>
        <v/>
      </c>
      <c r="Z924" s="3">
        <f>IF(Y924="","",(Y924-AVERAGE(Y6:Y1198))/(STDEV(Y6:Y1198)+1E-12))</f>
        <v/>
      </c>
    </row>
    <row r="925">
      <c r="A925" t="inlineStr">
        <is>
          <t>BBG000J094P3</t>
        </is>
      </c>
      <c r="B925" s="3">
        <f>IF('3a Raw'!C925="","",MAX(-3,MIN(3,('3a Raw'!C925-$B3)/$B4)))</f>
        <v/>
      </c>
      <c r="C925" s="3">
        <f>IF(B925="","",(B925-AVERAGE(B6:B1198))/(STDEV(B6:B1198)+1E-12))</f>
        <v/>
      </c>
      <c r="D925" s="3">
        <f>IF('3a Raw'!D925="","",MAX(-3,MIN(3,('3a Raw'!D925-$D3)/$D4)))</f>
        <v/>
      </c>
      <c r="E925" s="3">
        <f>IF(D925="","",(D925-AVERAGE(D6:D1198))/(STDEV(D6:D1198)+1E-12))</f>
        <v/>
      </c>
      <c r="F925" s="3">
        <f>IF('3a Raw'!E925="","",MAX(-3,MIN(3,('3a Raw'!E925-$F3)/$F4)))</f>
        <v/>
      </c>
      <c r="G925" s="3">
        <f>IF(F925="","",(F925-AVERAGE(F6:F1198))/(STDEV(F6:F1198)+1E-12))</f>
        <v/>
      </c>
      <c r="H925" s="3">
        <f>IF('3a Raw'!F925="","",MAX(-3,MIN(3,('3a Raw'!F925-$H3)/$H4)))</f>
        <v/>
      </c>
      <c r="I925" s="3">
        <f>IF(H925="","",(H925-AVERAGE(H6:H1198))/(STDEV(H6:H1198)+1E-12))</f>
        <v/>
      </c>
      <c r="J925" s="3">
        <f>IF('3a Raw'!G925="","",MAX(-3,MIN(3,('3a Raw'!G925-$J3)/$J4)))</f>
        <v/>
      </c>
      <c r="K925" s="3">
        <f>IF(J925="","",(J925-AVERAGE(J6:J1198))/(STDEV(J6:J1198)+1E-12))</f>
        <v/>
      </c>
      <c r="L925" s="3">
        <f>IF('3a Raw'!H925="","",MAX(-3,MIN(3,('3a Raw'!H925-$L3)/$L4)))</f>
        <v/>
      </c>
      <c r="M925" s="3">
        <f>IF(L925="","",(L925-AVERAGE(L6:L1198))/(STDEV(L6:L1198)+1E-12))</f>
        <v/>
      </c>
      <c r="N925" s="3">
        <f>IF('3a Raw'!I925="","",MAX(-3,MIN(3,('3a Raw'!I925-$N3)/$N4)))</f>
        <v/>
      </c>
      <c r="O925" s="3">
        <f>IF(N925="","",(N925-AVERAGE(N6:N1198))/(STDEV(N6:N1198)+1E-12))</f>
        <v/>
      </c>
      <c r="P925" s="3">
        <f>IF('3a Raw'!J925="","",MAX(-3,MIN(3,('3a Raw'!J925-$P3)/$P4)))</f>
        <v/>
      </c>
      <c r="Q925" s="3">
        <f>IF(P925="","",(P925-AVERAGE(P6:P1198))/(STDEV(P6:P1198)+1E-12))</f>
        <v/>
      </c>
      <c r="R925" s="3">
        <f>IF('3a Raw'!K925="","",MAX(-3,MIN(3,('3a Raw'!K925-$R3)/$R4)))</f>
        <v/>
      </c>
      <c r="S925" s="3">
        <f>IF(R925="","",(R925-AVERAGE(R6:R1198))/(STDEV(R6:R1198)+1E-12))</f>
        <v/>
      </c>
      <c r="T925" s="3">
        <f>IF('3a Raw'!L925="","",MAX(-3,MIN(3,('3a Raw'!L925-$T3)/$T4)))</f>
        <v/>
      </c>
      <c r="U925" s="3">
        <f>IF(T925="","",(T925-AVERAGE(T6:T1198))/(STDEV(T6:T1198)+1E-12))</f>
        <v/>
      </c>
      <c r="X925" s="3">
        <f>IF(U925="","",U925-($V$3*G925+$W$3))</f>
        <v/>
      </c>
      <c r="Y925" s="3">
        <f>IF(X925="","",MAX(-3,MIN(3,(X925-$X3)/$X4)))</f>
        <v/>
      </c>
      <c r="Z925" s="3">
        <f>IF(Y925="","",(Y925-AVERAGE(Y6:Y1198))/(STDEV(Y6:Y1198)+1E-12))</f>
        <v/>
      </c>
    </row>
    <row r="926">
      <c r="A926" t="inlineStr">
        <is>
          <t>BBG000BS9HN3</t>
        </is>
      </c>
      <c r="B926" s="3">
        <f>IF('3a Raw'!C926="","",MAX(-3,MIN(3,('3a Raw'!C926-$B3)/$B4)))</f>
        <v/>
      </c>
      <c r="C926" s="3">
        <f>IF(B926="","",(B926-AVERAGE(B6:B1198))/(STDEV(B6:B1198)+1E-12))</f>
        <v/>
      </c>
      <c r="D926" s="3">
        <f>IF('3a Raw'!D926="","",MAX(-3,MIN(3,('3a Raw'!D926-$D3)/$D4)))</f>
        <v/>
      </c>
      <c r="E926" s="3">
        <f>IF(D926="","",(D926-AVERAGE(D6:D1198))/(STDEV(D6:D1198)+1E-12))</f>
        <v/>
      </c>
      <c r="F926" s="3">
        <f>IF('3a Raw'!E926="","",MAX(-3,MIN(3,('3a Raw'!E926-$F3)/$F4)))</f>
        <v/>
      </c>
      <c r="G926" s="3">
        <f>IF(F926="","",(F926-AVERAGE(F6:F1198))/(STDEV(F6:F1198)+1E-12))</f>
        <v/>
      </c>
      <c r="H926" s="3">
        <f>IF('3a Raw'!F926="","",MAX(-3,MIN(3,('3a Raw'!F926-$H3)/$H4)))</f>
        <v/>
      </c>
      <c r="I926" s="3">
        <f>IF(H926="","",(H926-AVERAGE(H6:H1198))/(STDEV(H6:H1198)+1E-12))</f>
        <v/>
      </c>
      <c r="J926" s="3">
        <f>IF('3a Raw'!G926="","",MAX(-3,MIN(3,('3a Raw'!G926-$J3)/$J4)))</f>
        <v/>
      </c>
      <c r="K926" s="3">
        <f>IF(J926="","",(J926-AVERAGE(J6:J1198))/(STDEV(J6:J1198)+1E-12))</f>
        <v/>
      </c>
      <c r="L926" s="3">
        <f>IF('3a Raw'!H926="","",MAX(-3,MIN(3,('3a Raw'!H926-$L3)/$L4)))</f>
        <v/>
      </c>
      <c r="M926" s="3">
        <f>IF(L926="","",(L926-AVERAGE(L6:L1198))/(STDEV(L6:L1198)+1E-12))</f>
        <v/>
      </c>
      <c r="N926" s="3">
        <f>IF('3a Raw'!I926="","",MAX(-3,MIN(3,('3a Raw'!I926-$N3)/$N4)))</f>
        <v/>
      </c>
      <c r="O926" s="3">
        <f>IF(N926="","",(N926-AVERAGE(N6:N1198))/(STDEV(N6:N1198)+1E-12))</f>
        <v/>
      </c>
      <c r="P926" s="3">
        <f>IF('3a Raw'!J926="","",MAX(-3,MIN(3,('3a Raw'!J926-$P3)/$P4)))</f>
        <v/>
      </c>
      <c r="Q926" s="3">
        <f>IF(P926="","",(P926-AVERAGE(P6:P1198))/(STDEV(P6:P1198)+1E-12))</f>
        <v/>
      </c>
      <c r="R926" s="3">
        <f>IF('3a Raw'!K926="","",MAX(-3,MIN(3,('3a Raw'!K926-$R3)/$R4)))</f>
        <v/>
      </c>
      <c r="S926" s="3">
        <f>IF(R926="","",(R926-AVERAGE(R6:R1198))/(STDEV(R6:R1198)+1E-12))</f>
        <v/>
      </c>
      <c r="T926" s="3">
        <f>IF('3a Raw'!L926="","",MAX(-3,MIN(3,('3a Raw'!L926-$T3)/$T4)))</f>
        <v/>
      </c>
      <c r="U926" s="3">
        <f>IF(T926="","",(T926-AVERAGE(T6:T1198))/(STDEV(T6:T1198)+1E-12))</f>
        <v/>
      </c>
      <c r="X926" s="3">
        <f>IF(U926="","",U926-($V$3*G926+$W$3))</f>
        <v/>
      </c>
      <c r="Y926" s="3">
        <f>IF(X926="","",MAX(-3,MIN(3,(X926-$X3)/$X4)))</f>
        <v/>
      </c>
      <c r="Z926" s="3">
        <f>IF(Y926="","",(Y926-AVERAGE(Y6:Y1198))/(STDEV(Y6:Y1198)+1E-12))</f>
        <v/>
      </c>
    </row>
    <row r="927">
      <c r="A927" t="inlineStr">
        <is>
          <t>rok</t>
        </is>
      </c>
      <c r="B927" s="3">
        <f>IF('3a Raw'!C927="","",MAX(-3,MIN(3,('3a Raw'!C927-$B3)/$B4)))</f>
        <v/>
      </c>
      <c r="C927" s="3">
        <f>IF(B927="","",(B927-AVERAGE(B6:B1198))/(STDEV(B6:B1198)+1E-12))</f>
        <v/>
      </c>
      <c r="D927" s="3">
        <f>IF('3a Raw'!D927="","",MAX(-3,MIN(3,('3a Raw'!D927-$D3)/$D4)))</f>
        <v/>
      </c>
      <c r="E927" s="3">
        <f>IF(D927="","",(D927-AVERAGE(D6:D1198))/(STDEV(D6:D1198)+1E-12))</f>
        <v/>
      </c>
      <c r="F927" s="3">
        <f>IF('3a Raw'!E927="","",MAX(-3,MIN(3,('3a Raw'!E927-$F3)/$F4)))</f>
        <v/>
      </c>
      <c r="G927" s="3">
        <f>IF(F927="","",(F927-AVERAGE(F6:F1198))/(STDEV(F6:F1198)+1E-12))</f>
        <v/>
      </c>
      <c r="H927" s="3">
        <f>IF('3a Raw'!F927="","",MAX(-3,MIN(3,('3a Raw'!F927-$H3)/$H4)))</f>
        <v/>
      </c>
      <c r="I927" s="3">
        <f>IF(H927="","",(H927-AVERAGE(H6:H1198))/(STDEV(H6:H1198)+1E-12))</f>
        <v/>
      </c>
      <c r="J927" s="3">
        <f>IF('3a Raw'!G927="","",MAX(-3,MIN(3,('3a Raw'!G927-$J3)/$J4)))</f>
        <v/>
      </c>
      <c r="K927" s="3">
        <f>IF(J927="","",(J927-AVERAGE(J6:J1198))/(STDEV(J6:J1198)+1E-12))</f>
        <v/>
      </c>
      <c r="L927" s="3">
        <f>IF('3a Raw'!H927="","",MAX(-3,MIN(3,('3a Raw'!H927-$L3)/$L4)))</f>
        <v/>
      </c>
      <c r="M927" s="3">
        <f>IF(L927="","",(L927-AVERAGE(L6:L1198))/(STDEV(L6:L1198)+1E-12))</f>
        <v/>
      </c>
      <c r="N927" s="3">
        <f>IF('3a Raw'!I927="","",MAX(-3,MIN(3,('3a Raw'!I927-$N3)/$N4)))</f>
        <v/>
      </c>
      <c r="O927" s="3">
        <f>IF(N927="","",(N927-AVERAGE(N6:N1198))/(STDEV(N6:N1198)+1E-12))</f>
        <v/>
      </c>
      <c r="P927" s="3">
        <f>IF('3a Raw'!J927="","",MAX(-3,MIN(3,('3a Raw'!J927-$P3)/$P4)))</f>
        <v/>
      </c>
      <c r="Q927" s="3">
        <f>IF(P927="","",(P927-AVERAGE(P6:P1198))/(STDEV(P6:P1198)+1E-12))</f>
        <v/>
      </c>
      <c r="R927" s="3">
        <f>IF('3a Raw'!K927="","",MAX(-3,MIN(3,('3a Raw'!K927-$R3)/$R4)))</f>
        <v/>
      </c>
      <c r="S927" s="3">
        <f>IF(R927="","",(R927-AVERAGE(R6:R1198))/(STDEV(R6:R1198)+1E-12))</f>
        <v/>
      </c>
      <c r="T927" s="3">
        <f>IF('3a Raw'!L927="","",MAX(-3,MIN(3,('3a Raw'!L927-$T3)/$T4)))</f>
        <v/>
      </c>
      <c r="U927" s="3">
        <f>IF(T927="","",(T927-AVERAGE(T6:T1198))/(STDEV(T6:T1198)+1E-12))</f>
        <v/>
      </c>
      <c r="X927" s="3">
        <f>IF(U927="","",U927-($V$3*G927+$W$3))</f>
        <v/>
      </c>
      <c r="Y927" s="3">
        <f>IF(X927="","",MAX(-3,MIN(3,(X927-$X3)/$X4)))</f>
        <v/>
      </c>
      <c r="Z927" s="3">
        <f>IF(Y927="","",(Y927-AVERAGE(Y6:Y1198))/(STDEV(Y6:Y1198)+1E-12))</f>
        <v/>
      </c>
    </row>
    <row r="928">
      <c r="A928" t="inlineStr">
        <is>
          <t>BBG001ZZPQJ6</t>
        </is>
      </c>
      <c r="B928" s="3">
        <f>IF('3a Raw'!C928="","",MAX(-3,MIN(3,('3a Raw'!C928-$B3)/$B4)))</f>
        <v/>
      </c>
      <c r="C928" s="3">
        <f>IF(B928="","",(B928-AVERAGE(B6:B1198))/(STDEV(B6:B1198)+1E-12))</f>
        <v/>
      </c>
      <c r="D928" s="3">
        <f>IF('3a Raw'!D928="","",MAX(-3,MIN(3,('3a Raw'!D928-$D3)/$D4)))</f>
        <v/>
      </c>
      <c r="E928" s="3">
        <f>IF(D928="","",(D928-AVERAGE(D6:D1198))/(STDEV(D6:D1198)+1E-12))</f>
        <v/>
      </c>
      <c r="F928" s="3">
        <f>IF('3a Raw'!E928="","",MAX(-3,MIN(3,('3a Raw'!E928-$F3)/$F4)))</f>
        <v/>
      </c>
      <c r="G928" s="3">
        <f>IF(F928="","",(F928-AVERAGE(F6:F1198))/(STDEV(F6:F1198)+1E-12))</f>
        <v/>
      </c>
      <c r="H928" s="3">
        <f>IF('3a Raw'!F928="","",MAX(-3,MIN(3,('3a Raw'!F928-$H3)/$H4)))</f>
        <v/>
      </c>
      <c r="I928" s="3">
        <f>IF(H928="","",(H928-AVERAGE(H6:H1198))/(STDEV(H6:H1198)+1E-12))</f>
        <v/>
      </c>
      <c r="J928" s="3">
        <f>IF('3a Raw'!G928="","",MAX(-3,MIN(3,('3a Raw'!G928-$J3)/$J4)))</f>
        <v/>
      </c>
      <c r="K928" s="3">
        <f>IF(J928="","",(J928-AVERAGE(J6:J1198))/(STDEV(J6:J1198)+1E-12))</f>
        <v/>
      </c>
      <c r="L928" s="3">
        <f>IF('3a Raw'!H928="","",MAX(-3,MIN(3,('3a Raw'!H928-$L3)/$L4)))</f>
        <v/>
      </c>
      <c r="M928" s="3">
        <f>IF(L928="","",(L928-AVERAGE(L6:L1198))/(STDEV(L6:L1198)+1E-12))</f>
        <v/>
      </c>
      <c r="N928" s="3">
        <f>IF('3a Raw'!I928="","",MAX(-3,MIN(3,('3a Raw'!I928-$N3)/$N4)))</f>
        <v/>
      </c>
      <c r="O928" s="3">
        <f>IF(N928="","",(N928-AVERAGE(N6:N1198))/(STDEV(N6:N1198)+1E-12))</f>
        <v/>
      </c>
      <c r="P928" s="3">
        <f>IF('3a Raw'!J928="","",MAX(-3,MIN(3,('3a Raw'!J928-$P3)/$P4)))</f>
        <v/>
      </c>
      <c r="Q928" s="3">
        <f>IF(P928="","",(P928-AVERAGE(P6:P1198))/(STDEV(P6:P1198)+1E-12))</f>
        <v/>
      </c>
      <c r="R928" s="3">
        <f>IF('3a Raw'!K928="","",MAX(-3,MIN(3,('3a Raw'!K928-$R3)/$R4)))</f>
        <v/>
      </c>
      <c r="S928" s="3">
        <f>IF(R928="","",(R928-AVERAGE(R6:R1198))/(STDEV(R6:R1198)+1E-12))</f>
        <v/>
      </c>
      <c r="T928" s="3">
        <f>IF('3a Raw'!L928="","",MAX(-3,MIN(3,('3a Raw'!L928-$T3)/$T4)))</f>
        <v/>
      </c>
      <c r="U928" s="3">
        <f>IF(T928="","",(T928-AVERAGE(T6:T1198))/(STDEV(T6:T1198)+1E-12))</f>
        <v/>
      </c>
      <c r="X928" s="3">
        <f>IF(U928="","",U928-($V$3*G928+$W$3))</f>
        <v/>
      </c>
      <c r="Y928" s="3">
        <f>IF(X928="","",MAX(-3,MIN(3,(X928-$X3)/$X4)))</f>
        <v/>
      </c>
      <c r="Z928" s="3">
        <f>IF(Y928="","",(Y928-AVERAGE(Y6:Y1198))/(STDEV(Y6:Y1198)+1E-12))</f>
        <v/>
      </c>
    </row>
    <row r="929">
      <c r="A929" t="inlineStr">
        <is>
          <t>BBG000BSBBP1</t>
        </is>
      </c>
      <c r="B929" s="3">
        <f>IF('3a Raw'!C929="","",MAX(-3,MIN(3,('3a Raw'!C929-$B3)/$B4)))</f>
        <v/>
      </c>
      <c r="C929" s="3">
        <f>IF(B929="","",(B929-AVERAGE(B6:B1198))/(STDEV(B6:B1198)+1E-12))</f>
        <v/>
      </c>
      <c r="D929" s="3">
        <f>IF('3a Raw'!D929="","",MAX(-3,MIN(3,('3a Raw'!D929-$D3)/$D4)))</f>
        <v/>
      </c>
      <c r="E929" s="3">
        <f>IF(D929="","",(D929-AVERAGE(D6:D1198))/(STDEV(D6:D1198)+1E-12))</f>
        <v/>
      </c>
      <c r="F929" s="3">
        <f>IF('3a Raw'!E929="","",MAX(-3,MIN(3,('3a Raw'!E929-$F3)/$F4)))</f>
        <v/>
      </c>
      <c r="G929" s="3">
        <f>IF(F929="","",(F929-AVERAGE(F6:F1198))/(STDEV(F6:F1198)+1E-12))</f>
        <v/>
      </c>
      <c r="H929" s="3">
        <f>IF('3a Raw'!F929="","",MAX(-3,MIN(3,('3a Raw'!F929-$H3)/$H4)))</f>
        <v/>
      </c>
      <c r="I929" s="3">
        <f>IF(H929="","",(H929-AVERAGE(H6:H1198))/(STDEV(H6:H1198)+1E-12))</f>
        <v/>
      </c>
      <c r="J929" s="3">
        <f>IF('3a Raw'!G929="","",MAX(-3,MIN(3,('3a Raw'!G929-$J3)/$J4)))</f>
        <v/>
      </c>
      <c r="K929" s="3">
        <f>IF(J929="","",(J929-AVERAGE(J6:J1198))/(STDEV(J6:J1198)+1E-12))</f>
        <v/>
      </c>
      <c r="L929" s="3">
        <f>IF('3a Raw'!H929="","",MAX(-3,MIN(3,('3a Raw'!H929-$L3)/$L4)))</f>
        <v/>
      </c>
      <c r="M929" s="3">
        <f>IF(L929="","",(L929-AVERAGE(L6:L1198))/(STDEV(L6:L1198)+1E-12))</f>
        <v/>
      </c>
      <c r="N929" s="3">
        <f>IF('3a Raw'!I929="","",MAX(-3,MIN(3,('3a Raw'!I929-$N3)/$N4)))</f>
        <v/>
      </c>
      <c r="O929" s="3">
        <f>IF(N929="","",(N929-AVERAGE(N6:N1198))/(STDEV(N6:N1198)+1E-12))</f>
        <v/>
      </c>
      <c r="P929" s="3">
        <f>IF('3a Raw'!J929="","",MAX(-3,MIN(3,('3a Raw'!J929-$P3)/$P4)))</f>
        <v/>
      </c>
      <c r="Q929" s="3">
        <f>IF(P929="","",(P929-AVERAGE(P6:P1198))/(STDEV(P6:P1198)+1E-12))</f>
        <v/>
      </c>
      <c r="R929" s="3">
        <f>IF('3a Raw'!K929="","",MAX(-3,MIN(3,('3a Raw'!K929-$R3)/$R4)))</f>
        <v/>
      </c>
      <c r="S929" s="3">
        <f>IF(R929="","",(R929-AVERAGE(R6:R1198))/(STDEV(R6:R1198)+1E-12))</f>
        <v/>
      </c>
      <c r="T929" s="3">
        <f>IF('3a Raw'!L929="","",MAX(-3,MIN(3,('3a Raw'!L929-$T3)/$T4)))</f>
        <v/>
      </c>
      <c r="U929" s="3">
        <f>IF(T929="","",(T929-AVERAGE(T6:T1198))/(STDEV(T6:T1198)+1E-12))</f>
        <v/>
      </c>
      <c r="X929" s="3">
        <f>IF(U929="","",U929-($V$3*G929+$W$3))</f>
        <v/>
      </c>
      <c r="Y929" s="3">
        <f>IF(X929="","",MAX(-3,MIN(3,(X929-$X3)/$X4)))</f>
        <v/>
      </c>
      <c r="Z929" s="3">
        <f>IF(Y929="","",(Y929-AVERAGE(Y6:Y1198))/(STDEV(Y6:Y1198)+1E-12))</f>
        <v/>
      </c>
    </row>
    <row r="930">
      <c r="A930" t="inlineStr">
        <is>
          <t>BBG000F1ZSN5</t>
        </is>
      </c>
      <c r="B930" s="3">
        <f>IF('3a Raw'!C930="","",MAX(-3,MIN(3,('3a Raw'!C930-$B3)/$B4)))</f>
        <v/>
      </c>
      <c r="C930" s="3">
        <f>IF(B930="","",(B930-AVERAGE(B6:B1198))/(STDEV(B6:B1198)+1E-12))</f>
        <v/>
      </c>
      <c r="D930" s="3">
        <f>IF('3a Raw'!D930="","",MAX(-3,MIN(3,('3a Raw'!D930-$D3)/$D4)))</f>
        <v/>
      </c>
      <c r="E930" s="3">
        <f>IF(D930="","",(D930-AVERAGE(D6:D1198))/(STDEV(D6:D1198)+1E-12))</f>
        <v/>
      </c>
      <c r="F930" s="3">
        <f>IF('3a Raw'!E930="","",MAX(-3,MIN(3,('3a Raw'!E930-$F3)/$F4)))</f>
        <v/>
      </c>
      <c r="G930" s="3">
        <f>IF(F930="","",(F930-AVERAGE(F6:F1198))/(STDEV(F6:F1198)+1E-12))</f>
        <v/>
      </c>
      <c r="H930" s="3">
        <f>IF('3a Raw'!F930="","",MAX(-3,MIN(3,('3a Raw'!F930-$H3)/$H4)))</f>
        <v/>
      </c>
      <c r="I930" s="3">
        <f>IF(H930="","",(H930-AVERAGE(H6:H1198))/(STDEV(H6:H1198)+1E-12))</f>
        <v/>
      </c>
      <c r="J930" s="3">
        <f>IF('3a Raw'!G930="","",MAX(-3,MIN(3,('3a Raw'!G930-$J3)/$J4)))</f>
        <v/>
      </c>
      <c r="K930" s="3">
        <f>IF(J930="","",(J930-AVERAGE(J6:J1198))/(STDEV(J6:J1198)+1E-12))</f>
        <v/>
      </c>
      <c r="L930" s="3">
        <f>IF('3a Raw'!H930="","",MAX(-3,MIN(3,('3a Raw'!H930-$L3)/$L4)))</f>
        <v/>
      </c>
      <c r="M930" s="3">
        <f>IF(L930="","",(L930-AVERAGE(L6:L1198))/(STDEV(L6:L1198)+1E-12))</f>
        <v/>
      </c>
      <c r="N930" s="3">
        <f>IF('3a Raw'!I930="","",MAX(-3,MIN(3,('3a Raw'!I930-$N3)/$N4)))</f>
        <v/>
      </c>
      <c r="O930" s="3">
        <f>IF(N930="","",(N930-AVERAGE(N6:N1198))/(STDEV(N6:N1198)+1E-12))</f>
        <v/>
      </c>
      <c r="P930" s="3">
        <f>IF('3a Raw'!J930="","",MAX(-3,MIN(3,('3a Raw'!J930-$P3)/$P4)))</f>
        <v/>
      </c>
      <c r="Q930" s="3">
        <f>IF(P930="","",(P930-AVERAGE(P6:P1198))/(STDEV(P6:P1198)+1E-12))</f>
        <v/>
      </c>
      <c r="R930" s="3">
        <f>IF('3a Raw'!K930="","",MAX(-3,MIN(3,('3a Raw'!K930-$R3)/$R4)))</f>
        <v/>
      </c>
      <c r="S930" s="3">
        <f>IF(R930="","",(R930-AVERAGE(R6:R1198))/(STDEV(R6:R1198)+1E-12))</f>
        <v/>
      </c>
      <c r="T930" s="3">
        <f>IF('3a Raw'!L930="","",MAX(-3,MIN(3,('3a Raw'!L930-$T3)/$T4)))</f>
        <v/>
      </c>
      <c r="U930" s="3">
        <f>IF(T930="","",(T930-AVERAGE(T6:T1198))/(STDEV(T6:T1198)+1E-12))</f>
        <v/>
      </c>
      <c r="X930" s="3">
        <f>IF(U930="","",U930-($V$3*G930+$W$3))</f>
        <v/>
      </c>
      <c r="Y930" s="3">
        <f>IF(X930="","",MAX(-3,MIN(3,(X930-$X3)/$X4)))</f>
        <v/>
      </c>
      <c r="Z930" s="3">
        <f>IF(Y930="","",(Y930-AVERAGE(Y6:Y1198))/(STDEV(Y6:Y1198)+1E-12))</f>
        <v/>
      </c>
    </row>
    <row r="931">
      <c r="A931" t="inlineStr">
        <is>
          <t>BBG000BSBZH7</t>
        </is>
      </c>
      <c r="B931" s="3">
        <f>IF('3a Raw'!C931="","",MAX(-3,MIN(3,('3a Raw'!C931-$B3)/$B4)))</f>
        <v/>
      </c>
      <c r="C931" s="3">
        <f>IF(B931="","",(B931-AVERAGE(B6:B1198))/(STDEV(B6:B1198)+1E-12))</f>
        <v/>
      </c>
      <c r="D931" s="3">
        <f>IF('3a Raw'!D931="","",MAX(-3,MIN(3,('3a Raw'!D931-$D3)/$D4)))</f>
        <v/>
      </c>
      <c r="E931" s="3">
        <f>IF(D931="","",(D931-AVERAGE(D6:D1198))/(STDEV(D6:D1198)+1E-12))</f>
        <v/>
      </c>
      <c r="F931" s="3">
        <f>IF('3a Raw'!E931="","",MAX(-3,MIN(3,('3a Raw'!E931-$F3)/$F4)))</f>
        <v/>
      </c>
      <c r="G931" s="3">
        <f>IF(F931="","",(F931-AVERAGE(F6:F1198))/(STDEV(F6:F1198)+1E-12))</f>
        <v/>
      </c>
      <c r="H931" s="3">
        <f>IF('3a Raw'!F931="","",MAX(-3,MIN(3,('3a Raw'!F931-$H3)/$H4)))</f>
        <v/>
      </c>
      <c r="I931" s="3">
        <f>IF(H931="","",(H931-AVERAGE(H6:H1198))/(STDEV(H6:H1198)+1E-12))</f>
        <v/>
      </c>
      <c r="J931" s="3">
        <f>IF('3a Raw'!G931="","",MAX(-3,MIN(3,('3a Raw'!G931-$J3)/$J4)))</f>
        <v/>
      </c>
      <c r="K931" s="3">
        <f>IF(J931="","",(J931-AVERAGE(J6:J1198))/(STDEV(J6:J1198)+1E-12))</f>
        <v/>
      </c>
      <c r="L931" s="3">
        <f>IF('3a Raw'!H931="","",MAX(-3,MIN(3,('3a Raw'!H931-$L3)/$L4)))</f>
        <v/>
      </c>
      <c r="M931" s="3">
        <f>IF(L931="","",(L931-AVERAGE(L6:L1198))/(STDEV(L6:L1198)+1E-12))</f>
        <v/>
      </c>
      <c r="N931" s="3">
        <f>IF('3a Raw'!I931="","",MAX(-3,MIN(3,('3a Raw'!I931-$N3)/$N4)))</f>
        <v/>
      </c>
      <c r="O931" s="3">
        <f>IF(N931="","",(N931-AVERAGE(N6:N1198))/(STDEV(N6:N1198)+1E-12))</f>
        <v/>
      </c>
      <c r="P931" s="3">
        <f>IF('3a Raw'!J931="","",MAX(-3,MIN(3,('3a Raw'!J931-$P3)/$P4)))</f>
        <v/>
      </c>
      <c r="Q931" s="3">
        <f>IF(P931="","",(P931-AVERAGE(P6:P1198))/(STDEV(P6:P1198)+1E-12))</f>
        <v/>
      </c>
      <c r="R931" s="3">
        <f>IF('3a Raw'!K931="","",MAX(-3,MIN(3,('3a Raw'!K931-$R3)/$R4)))</f>
        <v/>
      </c>
      <c r="S931" s="3">
        <f>IF(R931="","",(R931-AVERAGE(R6:R1198))/(STDEV(R6:R1198)+1E-12))</f>
        <v/>
      </c>
      <c r="T931" s="3">
        <f>IF('3a Raw'!L931="","",MAX(-3,MIN(3,('3a Raw'!L931-$T3)/$T4)))</f>
        <v/>
      </c>
      <c r="U931" s="3">
        <f>IF(T931="","",(T931-AVERAGE(T6:T1198))/(STDEV(T6:T1198)+1E-12))</f>
        <v/>
      </c>
      <c r="X931" s="3">
        <f>IF(U931="","",U931-($V$3*G931+$W$3))</f>
        <v/>
      </c>
      <c r="Y931" s="3">
        <f>IF(X931="","",MAX(-3,MIN(3,(X931-$X3)/$X4)))</f>
        <v/>
      </c>
      <c r="Z931" s="3">
        <f>IF(Y931="","",(Y931-AVERAGE(Y6:Y1198))/(STDEV(Y6:Y1198)+1E-12))</f>
        <v/>
      </c>
    </row>
    <row r="932">
      <c r="A932" t="inlineStr">
        <is>
          <t>BBG009DFHWG6</t>
        </is>
      </c>
      <c r="B932" s="3">
        <f>IF('3a Raw'!C932="","",MAX(-3,MIN(3,('3a Raw'!C932-$B3)/$B4)))</f>
        <v/>
      </c>
      <c r="C932" s="3">
        <f>IF(B932="","",(B932-AVERAGE(B6:B1198))/(STDEV(B6:B1198)+1E-12))</f>
        <v/>
      </c>
      <c r="D932" s="3">
        <f>IF('3a Raw'!D932="","",MAX(-3,MIN(3,('3a Raw'!D932-$D3)/$D4)))</f>
        <v/>
      </c>
      <c r="E932" s="3">
        <f>IF(D932="","",(D932-AVERAGE(D6:D1198))/(STDEV(D6:D1198)+1E-12))</f>
        <v/>
      </c>
      <c r="F932" s="3">
        <f>IF('3a Raw'!E932="","",MAX(-3,MIN(3,('3a Raw'!E932-$F3)/$F4)))</f>
        <v/>
      </c>
      <c r="G932" s="3">
        <f>IF(F932="","",(F932-AVERAGE(F6:F1198))/(STDEV(F6:F1198)+1E-12))</f>
        <v/>
      </c>
      <c r="H932" s="3">
        <f>IF('3a Raw'!F932="","",MAX(-3,MIN(3,('3a Raw'!F932-$H3)/$H4)))</f>
        <v/>
      </c>
      <c r="I932" s="3">
        <f>IF(H932="","",(H932-AVERAGE(H6:H1198))/(STDEV(H6:H1198)+1E-12))</f>
        <v/>
      </c>
      <c r="J932" s="3">
        <f>IF('3a Raw'!G932="","",MAX(-3,MIN(3,('3a Raw'!G932-$J3)/$J4)))</f>
        <v/>
      </c>
      <c r="K932" s="3">
        <f>IF(J932="","",(J932-AVERAGE(J6:J1198))/(STDEV(J6:J1198)+1E-12))</f>
        <v/>
      </c>
      <c r="L932" s="3">
        <f>IF('3a Raw'!H932="","",MAX(-3,MIN(3,('3a Raw'!H932-$L3)/$L4)))</f>
        <v/>
      </c>
      <c r="M932" s="3">
        <f>IF(L932="","",(L932-AVERAGE(L6:L1198))/(STDEV(L6:L1198)+1E-12))</f>
        <v/>
      </c>
      <c r="N932" s="3">
        <f>IF('3a Raw'!I932="","",MAX(-3,MIN(3,('3a Raw'!I932-$N3)/$N4)))</f>
        <v/>
      </c>
      <c r="O932" s="3">
        <f>IF(N932="","",(N932-AVERAGE(N6:N1198))/(STDEV(N6:N1198)+1E-12))</f>
        <v/>
      </c>
      <c r="P932" s="3">
        <f>IF('3a Raw'!J932="","",MAX(-3,MIN(3,('3a Raw'!J932-$P3)/$P4)))</f>
        <v/>
      </c>
      <c r="Q932" s="3">
        <f>IF(P932="","",(P932-AVERAGE(P6:P1198))/(STDEV(P6:P1198)+1E-12))</f>
        <v/>
      </c>
      <c r="R932" s="3">
        <f>IF('3a Raw'!K932="","",MAX(-3,MIN(3,('3a Raw'!K932-$R3)/$R4)))</f>
        <v/>
      </c>
      <c r="S932" s="3">
        <f>IF(R932="","",(R932-AVERAGE(R6:R1198))/(STDEV(R6:R1198)+1E-12))</f>
        <v/>
      </c>
      <c r="T932" s="3">
        <f>IF('3a Raw'!L932="","",MAX(-3,MIN(3,('3a Raw'!L932-$T3)/$T4)))</f>
        <v/>
      </c>
      <c r="U932" s="3">
        <f>IF(T932="","",(T932-AVERAGE(T6:T1198))/(STDEV(T6:T1198)+1E-12))</f>
        <v/>
      </c>
      <c r="X932" s="3">
        <f>IF(U932="","",U932-($V$3*G932+$W$3))</f>
        <v/>
      </c>
      <c r="Y932" s="3">
        <f>IF(X932="","",MAX(-3,MIN(3,(X932-$X3)/$X4)))</f>
        <v/>
      </c>
      <c r="Z932" s="3">
        <f>IF(Y932="","",(Y932-AVERAGE(Y6:Y1198))/(STDEV(Y6:Y1198)+1E-12))</f>
        <v/>
      </c>
    </row>
    <row r="933">
      <c r="A933" t="inlineStr">
        <is>
          <t>BBG000DCNK80</t>
        </is>
      </c>
      <c r="B933" s="3">
        <f>IF('3a Raw'!C933="","",MAX(-3,MIN(3,('3a Raw'!C933-$B3)/$B4)))</f>
        <v/>
      </c>
      <c r="C933" s="3">
        <f>IF(B933="","",(B933-AVERAGE(B6:B1198))/(STDEV(B6:B1198)+1E-12))</f>
        <v/>
      </c>
      <c r="D933" s="3">
        <f>IF('3a Raw'!D933="","",MAX(-3,MIN(3,('3a Raw'!D933-$D3)/$D4)))</f>
        <v/>
      </c>
      <c r="E933" s="3">
        <f>IF(D933="","",(D933-AVERAGE(D6:D1198))/(STDEV(D6:D1198)+1E-12))</f>
        <v/>
      </c>
      <c r="F933" s="3">
        <f>IF('3a Raw'!E933="","",MAX(-3,MIN(3,('3a Raw'!E933-$F3)/$F4)))</f>
        <v/>
      </c>
      <c r="G933" s="3">
        <f>IF(F933="","",(F933-AVERAGE(F6:F1198))/(STDEV(F6:F1198)+1E-12))</f>
        <v/>
      </c>
      <c r="H933" s="3">
        <f>IF('3a Raw'!F933="","",MAX(-3,MIN(3,('3a Raw'!F933-$H3)/$H4)))</f>
        <v/>
      </c>
      <c r="I933" s="3">
        <f>IF(H933="","",(H933-AVERAGE(H6:H1198))/(STDEV(H6:H1198)+1E-12))</f>
        <v/>
      </c>
      <c r="J933" s="3">
        <f>IF('3a Raw'!G933="","",MAX(-3,MIN(3,('3a Raw'!G933-$J3)/$J4)))</f>
        <v/>
      </c>
      <c r="K933" s="3">
        <f>IF(J933="","",(J933-AVERAGE(J6:J1198))/(STDEV(J6:J1198)+1E-12))</f>
        <v/>
      </c>
      <c r="L933" s="3">
        <f>IF('3a Raw'!H933="","",MAX(-3,MIN(3,('3a Raw'!H933-$L3)/$L4)))</f>
        <v/>
      </c>
      <c r="M933" s="3">
        <f>IF(L933="","",(L933-AVERAGE(L6:L1198))/(STDEV(L6:L1198)+1E-12))</f>
        <v/>
      </c>
      <c r="N933" s="3">
        <f>IF('3a Raw'!I933="","",MAX(-3,MIN(3,('3a Raw'!I933-$N3)/$N4)))</f>
        <v/>
      </c>
      <c r="O933" s="3">
        <f>IF(N933="","",(N933-AVERAGE(N6:N1198))/(STDEV(N6:N1198)+1E-12))</f>
        <v/>
      </c>
      <c r="P933" s="3">
        <f>IF('3a Raw'!J933="","",MAX(-3,MIN(3,('3a Raw'!J933-$P3)/$P4)))</f>
        <v/>
      </c>
      <c r="Q933" s="3">
        <f>IF(P933="","",(P933-AVERAGE(P6:P1198))/(STDEV(P6:P1198)+1E-12))</f>
        <v/>
      </c>
      <c r="R933" s="3">
        <f>IF('3a Raw'!K933="","",MAX(-3,MIN(3,('3a Raw'!K933-$R3)/$R4)))</f>
        <v/>
      </c>
      <c r="S933" s="3">
        <f>IF(R933="","",(R933-AVERAGE(R6:R1198))/(STDEV(R6:R1198)+1E-12))</f>
        <v/>
      </c>
      <c r="T933" s="3">
        <f>IF('3a Raw'!L933="","",MAX(-3,MIN(3,('3a Raw'!L933-$T3)/$T4)))</f>
        <v/>
      </c>
      <c r="U933" s="3">
        <f>IF(T933="","",(T933-AVERAGE(T6:T1198))/(STDEV(T6:T1198)+1E-12))</f>
        <v/>
      </c>
      <c r="X933" s="3">
        <f>IF(U933="","",U933-($V$3*G933+$W$3))</f>
        <v/>
      </c>
      <c r="Y933" s="3">
        <f>IF(X933="","",MAX(-3,MIN(3,(X933-$X3)/$X4)))</f>
        <v/>
      </c>
      <c r="Z933" s="3">
        <f>IF(Y933="","",(Y933-AVERAGE(Y6:Y1198))/(STDEV(Y6:Y1198)+1E-12))</f>
        <v/>
      </c>
    </row>
    <row r="934">
      <c r="A934" t="inlineStr">
        <is>
          <t>BBG000FVXD63</t>
        </is>
      </c>
      <c r="B934" s="3">
        <f>IF('3a Raw'!C934="","",MAX(-3,MIN(3,('3a Raw'!C934-$B3)/$B4)))</f>
        <v/>
      </c>
      <c r="C934" s="3">
        <f>IF(B934="","",(B934-AVERAGE(B6:B1198))/(STDEV(B6:B1198)+1E-12))</f>
        <v/>
      </c>
      <c r="D934" s="3">
        <f>IF('3a Raw'!D934="","",MAX(-3,MIN(3,('3a Raw'!D934-$D3)/$D4)))</f>
        <v/>
      </c>
      <c r="E934" s="3">
        <f>IF(D934="","",(D934-AVERAGE(D6:D1198))/(STDEV(D6:D1198)+1E-12))</f>
        <v/>
      </c>
      <c r="F934" s="3">
        <f>IF('3a Raw'!E934="","",MAX(-3,MIN(3,('3a Raw'!E934-$F3)/$F4)))</f>
        <v/>
      </c>
      <c r="G934" s="3">
        <f>IF(F934="","",(F934-AVERAGE(F6:F1198))/(STDEV(F6:F1198)+1E-12))</f>
        <v/>
      </c>
      <c r="H934" s="3">
        <f>IF('3a Raw'!F934="","",MAX(-3,MIN(3,('3a Raw'!F934-$H3)/$H4)))</f>
        <v/>
      </c>
      <c r="I934" s="3">
        <f>IF(H934="","",(H934-AVERAGE(H6:H1198))/(STDEV(H6:H1198)+1E-12))</f>
        <v/>
      </c>
      <c r="J934" s="3">
        <f>IF('3a Raw'!G934="","",MAX(-3,MIN(3,('3a Raw'!G934-$J3)/$J4)))</f>
        <v/>
      </c>
      <c r="K934" s="3">
        <f>IF(J934="","",(J934-AVERAGE(J6:J1198))/(STDEV(J6:J1198)+1E-12))</f>
        <v/>
      </c>
      <c r="L934" s="3">
        <f>IF('3a Raw'!H934="","",MAX(-3,MIN(3,('3a Raw'!H934-$L3)/$L4)))</f>
        <v/>
      </c>
      <c r="M934" s="3">
        <f>IF(L934="","",(L934-AVERAGE(L6:L1198))/(STDEV(L6:L1198)+1E-12))</f>
        <v/>
      </c>
      <c r="N934" s="3">
        <f>IF('3a Raw'!I934="","",MAX(-3,MIN(3,('3a Raw'!I934-$N3)/$N4)))</f>
        <v/>
      </c>
      <c r="O934" s="3">
        <f>IF(N934="","",(N934-AVERAGE(N6:N1198))/(STDEV(N6:N1198)+1E-12))</f>
        <v/>
      </c>
      <c r="P934" s="3">
        <f>IF('3a Raw'!J934="","",MAX(-3,MIN(3,('3a Raw'!J934-$P3)/$P4)))</f>
        <v/>
      </c>
      <c r="Q934" s="3">
        <f>IF(P934="","",(P934-AVERAGE(P6:P1198))/(STDEV(P6:P1198)+1E-12))</f>
        <v/>
      </c>
      <c r="R934" s="3">
        <f>IF('3a Raw'!K934="","",MAX(-3,MIN(3,('3a Raw'!K934-$R3)/$R4)))</f>
        <v/>
      </c>
      <c r="S934" s="3">
        <f>IF(R934="","",(R934-AVERAGE(R6:R1198))/(STDEV(R6:R1198)+1E-12))</f>
        <v/>
      </c>
      <c r="T934" s="3">
        <f>IF('3a Raw'!L934="","",MAX(-3,MIN(3,('3a Raw'!L934-$T3)/$T4)))</f>
        <v/>
      </c>
      <c r="U934" s="3">
        <f>IF(T934="","",(T934-AVERAGE(T6:T1198))/(STDEV(T6:T1198)+1E-12))</f>
        <v/>
      </c>
      <c r="X934" s="3">
        <f>IF(U934="","",U934-($V$3*G934+$W$3))</f>
        <v/>
      </c>
      <c r="Y934" s="3">
        <f>IF(X934="","",MAX(-3,MIN(3,(X934-$X3)/$X4)))</f>
        <v/>
      </c>
      <c r="Z934" s="3">
        <f>IF(Y934="","",(Y934-AVERAGE(Y6:Y1198))/(STDEV(Y6:Y1198)+1E-12))</f>
        <v/>
      </c>
    </row>
    <row r="935">
      <c r="A935" t="inlineStr">
        <is>
          <t>BBG000BRXTR8</t>
        </is>
      </c>
      <c r="B935" s="3">
        <f>IF('3a Raw'!C935="","",MAX(-3,MIN(3,('3a Raw'!C935-$B3)/$B4)))</f>
        <v/>
      </c>
      <c r="C935" s="3">
        <f>IF(B935="","",(B935-AVERAGE(B6:B1198))/(STDEV(B6:B1198)+1E-12))</f>
        <v/>
      </c>
      <c r="D935" s="3">
        <f>IF('3a Raw'!D935="","",MAX(-3,MIN(3,('3a Raw'!D935-$D3)/$D4)))</f>
        <v/>
      </c>
      <c r="E935" s="3">
        <f>IF(D935="","",(D935-AVERAGE(D6:D1198))/(STDEV(D6:D1198)+1E-12))</f>
        <v/>
      </c>
      <c r="F935" s="3">
        <f>IF('3a Raw'!E935="","",MAX(-3,MIN(3,('3a Raw'!E935-$F3)/$F4)))</f>
        <v/>
      </c>
      <c r="G935" s="3">
        <f>IF(F935="","",(F935-AVERAGE(F6:F1198))/(STDEV(F6:F1198)+1E-12))</f>
        <v/>
      </c>
      <c r="H935" s="3">
        <f>IF('3a Raw'!F935="","",MAX(-3,MIN(3,('3a Raw'!F935-$H3)/$H4)))</f>
        <v/>
      </c>
      <c r="I935" s="3">
        <f>IF(H935="","",(H935-AVERAGE(H6:H1198))/(STDEV(H6:H1198)+1E-12))</f>
        <v/>
      </c>
      <c r="J935" s="3">
        <f>IF('3a Raw'!G935="","",MAX(-3,MIN(3,('3a Raw'!G935-$J3)/$J4)))</f>
        <v/>
      </c>
      <c r="K935" s="3">
        <f>IF(J935="","",(J935-AVERAGE(J6:J1198))/(STDEV(J6:J1198)+1E-12))</f>
        <v/>
      </c>
      <c r="L935" s="3">
        <f>IF('3a Raw'!H935="","",MAX(-3,MIN(3,('3a Raw'!H935-$L3)/$L4)))</f>
        <v/>
      </c>
      <c r="M935" s="3">
        <f>IF(L935="","",(L935-AVERAGE(L6:L1198))/(STDEV(L6:L1198)+1E-12))</f>
        <v/>
      </c>
      <c r="N935" s="3">
        <f>IF('3a Raw'!I935="","",MAX(-3,MIN(3,('3a Raw'!I935-$N3)/$N4)))</f>
        <v/>
      </c>
      <c r="O935" s="3">
        <f>IF(N935="","",(N935-AVERAGE(N6:N1198))/(STDEV(N6:N1198)+1E-12))</f>
        <v/>
      </c>
      <c r="P935" s="3">
        <f>IF('3a Raw'!J935="","",MAX(-3,MIN(3,('3a Raw'!J935-$P3)/$P4)))</f>
        <v/>
      </c>
      <c r="Q935" s="3">
        <f>IF(P935="","",(P935-AVERAGE(P6:P1198))/(STDEV(P6:P1198)+1E-12))</f>
        <v/>
      </c>
      <c r="R935" s="3">
        <f>IF('3a Raw'!K935="","",MAX(-3,MIN(3,('3a Raw'!K935-$R3)/$R4)))</f>
        <v/>
      </c>
      <c r="S935" s="3">
        <f>IF(R935="","",(R935-AVERAGE(R6:R1198))/(STDEV(R6:R1198)+1E-12))</f>
        <v/>
      </c>
      <c r="T935" s="3">
        <f>IF('3a Raw'!L935="","",MAX(-3,MIN(3,('3a Raw'!L935-$T3)/$T4)))</f>
        <v/>
      </c>
      <c r="U935" s="3">
        <f>IF(T935="","",(T935-AVERAGE(T6:T1198))/(STDEV(T6:T1198)+1E-12))</f>
        <v/>
      </c>
      <c r="X935" s="3">
        <f>IF(U935="","",U935-($V$3*G935+$W$3))</f>
        <v/>
      </c>
      <c r="Y935" s="3">
        <f>IF(X935="","",MAX(-3,MIN(3,(X935-$X3)/$X4)))</f>
        <v/>
      </c>
      <c r="Z935" s="3">
        <f>IF(Y935="","",(Y935-AVERAGE(Y6:Y1198))/(STDEV(Y6:Y1198)+1E-12))</f>
        <v/>
      </c>
    </row>
    <row r="936">
      <c r="A936" t="inlineStr">
        <is>
          <t>rsg</t>
        </is>
      </c>
      <c r="B936" s="3">
        <f>IF('3a Raw'!C936="","",MAX(-3,MIN(3,('3a Raw'!C936-$B3)/$B4)))</f>
        <v/>
      </c>
      <c r="C936" s="3">
        <f>IF(B936="","",(B936-AVERAGE(B6:B1198))/(STDEV(B6:B1198)+1E-12))</f>
        <v/>
      </c>
      <c r="D936" s="3">
        <f>IF('3a Raw'!D936="","",MAX(-3,MIN(3,('3a Raw'!D936-$D3)/$D4)))</f>
        <v/>
      </c>
      <c r="E936" s="3">
        <f>IF(D936="","",(D936-AVERAGE(D6:D1198))/(STDEV(D6:D1198)+1E-12))</f>
        <v/>
      </c>
      <c r="F936" s="3">
        <f>IF('3a Raw'!E936="","",MAX(-3,MIN(3,('3a Raw'!E936-$F3)/$F4)))</f>
        <v/>
      </c>
      <c r="G936" s="3">
        <f>IF(F936="","",(F936-AVERAGE(F6:F1198))/(STDEV(F6:F1198)+1E-12))</f>
        <v/>
      </c>
      <c r="H936" s="3">
        <f>IF('3a Raw'!F936="","",MAX(-3,MIN(3,('3a Raw'!F936-$H3)/$H4)))</f>
        <v/>
      </c>
      <c r="I936" s="3">
        <f>IF(H936="","",(H936-AVERAGE(H6:H1198))/(STDEV(H6:H1198)+1E-12))</f>
        <v/>
      </c>
      <c r="J936" s="3">
        <f>IF('3a Raw'!G936="","",MAX(-3,MIN(3,('3a Raw'!G936-$J3)/$J4)))</f>
        <v/>
      </c>
      <c r="K936" s="3">
        <f>IF(J936="","",(J936-AVERAGE(J6:J1198))/(STDEV(J6:J1198)+1E-12))</f>
        <v/>
      </c>
      <c r="L936" s="3">
        <f>IF('3a Raw'!H936="","",MAX(-3,MIN(3,('3a Raw'!H936-$L3)/$L4)))</f>
        <v/>
      </c>
      <c r="M936" s="3">
        <f>IF(L936="","",(L936-AVERAGE(L6:L1198))/(STDEV(L6:L1198)+1E-12))</f>
        <v/>
      </c>
      <c r="N936" s="3">
        <f>IF('3a Raw'!I936="","",MAX(-3,MIN(3,('3a Raw'!I936-$N3)/$N4)))</f>
        <v/>
      </c>
      <c r="O936" s="3">
        <f>IF(N936="","",(N936-AVERAGE(N6:N1198))/(STDEV(N6:N1198)+1E-12))</f>
        <v/>
      </c>
      <c r="P936" s="3">
        <f>IF('3a Raw'!J936="","",MAX(-3,MIN(3,('3a Raw'!J936-$P3)/$P4)))</f>
        <v/>
      </c>
      <c r="Q936" s="3">
        <f>IF(P936="","",(P936-AVERAGE(P6:P1198))/(STDEV(P6:P1198)+1E-12))</f>
        <v/>
      </c>
      <c r="R936" s="3">
        <f>IF('3a Raw'!K936="","",MAX(-3,MIN(3,('3a Raw'!K936-$R3)/$R4)))</f>
        <v/>
      </c>
      <c r="S936" s="3">
        <f>IF(R936="","",(R936-AVERAGE(R6:R1198))/(STDEV(R6:R1198)+1E-12))</f>
        <v/>
      </c>
      <c r="T936" s="3">
        <f>IF('3a Raw'!L936="","",MAX(-3,MIN(3,('3a Raw'!L936-$T3)/$T4)))</f>
        <v/>
      </c>
      <c r="U936" s="3">
        <f>IF(T936="","",(T936-AVERAGE(T6:T1198))/(STDEV(T6:T1198)+1E-12))</f>
        <v/>
      </c>
      <c r="X936" s="3">
        <f>IF(U936="","",U936-($V$3*G936+$W$3))</f>
        <v/>
      </c>
      <c r="Y936" s="3">
        <f>IF(X936="","",MAX(-3,MIN(3,(X936-$X3)/$X4)))</f>
        <v/>
      </c>
      <c r="Z936" s="3">
        <f>IF(Y936="","",(Y936-AVERAGE(Y6:Y1198))/(STDEV(Y6:Y1198)+1E-12))</f>
        <v/>
      </c>
    </row>
    <row r="937">
      <c r="A937" t="inlineStr">
        <is>
          <t>BBG000BW8S60</t>
        </is>
      </c>
      <c r="B937" s="3">
        <f>IF('3a Raw'!C937="","",MAX(-3,MIN(3,('3a Raw'!C937-$B3)/$B4)))</f>
        <v/>
      </c>
      <c r="C937" s="3">
        <f>IF(B937="","",(B937-AVERAGE(B6:B1198))/(STDEV(B6:B1198)+1E-12))</f>
        <v/>
      </c>
      <c r="D937" s="3">
        <f>IF('3a Raw'!D937="","",MAX(-3,MIN(3,('3a Raw'!D937-$D3)/$D4)))</f>
        <v/>
      </c>
      <c r="E937" s="3">
        <f>IF(D937="","",(D937-AVERAGE(D6:D1198))/(STDEV(D6:D1198)+1E-12))</f>
        <v/>
      </c>
      <c r="F937" s="3">
        <f>IF('3a Raw'!E937="","",MAX(-3,MIN(3,('3a Raw'!E937-$F3)/$F4)))</f>
        <v/>
      </c>
      <c r="G937" s="3">
        <f>IF(F937="","",(F937-AVERAGE(F6:F1198))/(STDEV(F6:F1198)+1E-12))</f>
        <v/>
      </c>
      <c r="H937" s="3">
        <f>IF('3a Raw'!F937="","",MAX(-3,MIN(3,('3a Raw'!F937-$H3)/$H4)))</f>
        <v/>
      </c>
      <c r="I937" s="3">
        <f>IF(H937="","",(H937-AVERAGE(H6:H1198))/(STDEV(H6:H1198)+1E-12))</f>
        <v/>
      </c>
      <c r="J937" s="3">
        <f>IF('3a Raw'!G937="","",MAX(-3,MIN(3,('3a Raw'!G937-$J3)/$J4)))</f>
        <v/>
      </c>
      <c r="K937" s="3">
        <f>IF(J937="","",(J937-AVERAGE(J6:J1198))/(STDEV(J6:J1198)+1E-12))</f>
        <v/>
      </c>
      <c r="L937" s="3">
        <f>IF('3a Raw'!H937="","",MAX(-3,MIN(3,('3a Raw'!H937-$L3)/$L4)))</f>
        <v/>
      </c>
      <c r="M937" s="3">
        <f>IF(L937="","",(L937-AVERAGE(L6:L1198))/(STDEV(L6:L1198)+1E-12))</f>
        <v/>
      </c>
      <c r="N937" s="3">
        <f>IF('3a Raw'!I937="","",MAX(-3,MIN(3,('3a Raw'!I937-$N3)/$N4)))</f>
        <v/>
      </c>
      <c r="O937" s="3">
        <f>IF(N937="","",(N937-AVERAGE(N6:N1198))/(STDEV(N6:N1198)+1E-12))</f>
        <v/>
      </c>
      <c r="P937" s="3">
        <f>IF('3a Raw'!J937="","",MAX(-3,MIN(3,('3a Raw'!J937-$P3)/$P4)))</f>
        <v/>
      </c>
      <c r="Q937" s="3">
        <f>IF(P937="","",(P937-AVERAGE(P6:P1198))/(STDEV(P6:P1198)+1E-12))</f>
        <v/>
      </c>
      <c r="R937" s="3">
        <f>IF('3a Raw'!K937="","",MAX(-3,MIN(3,('3a Raw'!K937-$R3)/$R4)))</f>
        <v/>
      </c>
      <c r="S937" s="3">
        <f>IF(R937="","",(R937-AVERAGE(R6:R1198))/(STDEV(R6:R1198)+1E-12))</f>
        <v/>
      </c>
      <c r="T937" s="3">
        <f>IF('3a Raw'!L937="","",MAX(-3,MIN(3,('3a Raw'!L937-$T3)/$T4)))</f>
        <v/>
      </c>
      <c r="U937" s="3">
        <f>IF(T937="","",(T937-AVERAGE(T6:T1198))/(STDEV(T6:T1198)+1E-12))</f>
        <v/>
      </c>
      <c r="X937" s="3">
        <f>IF(U937="","",U937-($V$3*G937+$W$3))</f>
        <v/>
      </c>
      <c r="Y937" s="3">
        <f>IF(X937="","",MAX(-3,MIN(3,(X937-$X3)/$X4)))</f>
        <v/>
      </c>
      <c r="Z937" s="3">
        <f>IF(Y937="","",(Y937-AVERAGE(Y6:Y1198))/(STDEV(Y6:Y1198)+1E-12))</f>
        <v/>
      </c>
    </row>
    <row r="938">
      <c r="A938" t="inlineStr">
        <is>
          <t>BBG0025XVR85</t>
        </is>
      </c>
      <c r="B938" s="3">
        <f>IF('3a Raw'!C938="","",MAX(-3,MIN(3,('3a Raw'!C938-$B3)/$B4)))</f>
        <v/>
      </c>
      <c r="C938" s="3">
        <f>IF(B938="","",(B938-AVERAGE(B6:B1198))/(STDEV(B6:B1198)+1E-12))</f>
        <v/>
      </c>
      <c r="D938" s="3">
        <f>IF('3a Raw'!D938="","",MAX(-3,MIN(3,('3a Raw'!D938-$D3)/$D4)))</f>
        <v/>
      </c>
      <c r="E938" s="3">
        <f>IF(D938="","",(D938-AVERAGE(D6:D1198))/(STDEV(D6:D1198)+1E-12))</f>
        <v/>
      </c>
      <c r="F938" s="3">
        <f>IF('3a Raw'!E938="","",MAX(-3,MIN(3,('3a Raw'!E938-$F3)/$F4)))</f>
        <v/>
      </c>
      <c r="G938" s="3">
        <f>IF(F938="","",(F938-AVERAGE(F6:F1198))/(STDEV(F6:F1198)+1E-12))</f>
        <v/>
      </c>
      <c r="H938" s="3">
        <f>IF('3a Raw'!F938="","",MAX(-3,MIN(3,('3a Raw'!F938-$H3)/$H4)))</f>
        <v/>
      </c>
      <c r="I938" s="3">
        <f>IF(H938="","",(H938-AVERAGE(H6:H1198))/(STDEV(H6:H1198)+1E-12))</f>
        <v/>
      </c>
      <c r="J938" s="3">
        <f>IF('3a Raw'!G938="","",MAX(-3,MIN(3,('3a Raw'!G938-$J3)/$J4)))</f>
        <v/>
      </c>
      <c r="K938" s="3">
        <f>IF(J938="","",(J938-AVERAGE(J6:J1198))/(STDEV(J6:J1198)+1E-12))</f>
        <v/>
      </c>
      <c r="L938" s="3">
        <f>IF('3a Raw'!H938="","",MAX(-3,MIN(3,('3a Raw'!H938-$L3)/$L4)))</f>
        <v/>
      </c>
      <c r="M938" s="3">
        <f>IF(L938="","",(L938-AVERAGE(L6:L1198))/(STDEV(L6:L1198)+1E-12))</f>
        <v/>
      </c>
      <c r="N938" s="3">
        <f>IF('3a Raw'!I938="","",MAX(-3,MIN(3,('3a Raw'!I938-$N3)/$N4)))</f>
        <v/>
      </c>
      <c r="O938" s="3">
        <f>IF(N938="","",(N938-AVERAGE(N6:N1198))/(STDEV(N6:N1198)+1E-12))</f>
        <v/>
      </c>
      <c r="P938" s="3">
        <f>IF('3a Raw'!J938="","",MAX(-3,MIN(3,('3a Raw'!J938-$P3)/$P4)))</f>
        <v/>
      </c>
      <c r="Q938" s="3">
        <f>IF(P938="","",(P938-AVERAGE(P6:P1198))/(STDEV(P6:P1198)+1E-12))</f>
        <v/>
      </c>
      <c r="R938" s="3">
        <f>IF('3a Raw'!K938="","",MAX(-3,MIN(3,('3a Raw'!K938-$R3)/$R4)))</f>
        <v/>
      </c>
      <c r="S938" s="3">
        <f>IF(R938="","",(R938-AVERAGE(R6:R1198))/(STDEV(R6:R1198)+1E-12))</f>
        <v/>
      </c>
      <c r="T938" s="3">
        <f>IF('3a Raw'!L938="","",MAX(-3,MIN(3,('3a Raw'!L938-$T3)/$T4)))</f>
        <v/>
      </c>
      <c r="U938" s="3">
        <f>IF(T938="","",(T938-AVERAGE(T6:T1198))/(STDEV(T6:T1198)+1E-12))</f>
        <v/>
      </c>
      <c r="X938" s="3">
        <f>IF(U938="","",U938-($V$3*G938+$W$3))</f>
        <v/>
      </c>
      <c r="Y938" s="3">
        <f>IF(X938="","",MAX(-3,MIN(3,(X938-$X3)/$X4)))</f>
        <v/>
      </c>
      <c r="Z938" s="3">
        <f>IF(Y938="","",(Y938-AVERAGE(Y6:Y1198))/(STDEV(Y6:Y1198)+1E-12))</f>
        <v/>
      </c>
    </row>
    <row r="939">
      <c r="A939" t="inlineStr">
        <is>
          <t>BBG000PLLP24</t>
        </is>
      </c>
      <c r="B939" s="3">
        <f>IF('3a Raw'!C939="","",MAX(-3,MIN(3,('3a Raw'!C939-$B3)/$B4)))</f>
        <v/>
      </c>
      <c r="C939" s="3">
        <f>IF(B939="","",(B939-AVERAGE(B6:B1198))/(STDEV(B6:B1198)+1E-12))</f>
        <v/>
      </c>
      <c r="D939" s="3">
        <f>IF('3a Raw'!D939="","",MAX(-3,MIN(3,('3a Raw'!D939-$D3)/$D4)))</f>
        <v/>
      </c>
      <c r="E939" s="3">
        <f>IF(D939="","",(D939-AVERAGE(D6:D1198))/(STDEV(D6:D1198)+1E-12))</f>
        <v/>
      </c>
      <c r="F939" s="3">
        <f>IF('3a Raw'!E939="","",MAX(-3,MIN(3,('3a Raw'!E939-$F3)/$F4)))</f>
        <v/>
      </c>
      <c r="G939" s="3">
        <f>IF(F939="","",(F939-AVERAGE(F6:F1198))/(STDEV(F6:F1198)+1E-12))</f>
        <v/>
      </c>
      <c r="H939" s="3">
        <f>IF('3a Raw'!F939="","",MAX(-3,MIN(3,('3a Raw'!F939-$H3)/$H4)))</f>
        <v/>
      </c>
      <c r="I939" s="3">
        <f>IF(H939="","",(H939-AVERAGE(H6:H1198))/(STDEV(H6:H1198)+1E-12))</f>
        <v/>
      </c>
      <c r="J939" s="3">
        <f>IF('3a Raw'!G939="","",MAX(-3,MIN(3,('3a Raw'!G939-$J3)/$J4)))</f>
        <v/>
      </c>
      <c r="K939" s="3">
        <f>IF(J939="","",(J939-AVERAGE(J6:J1198))/(STDEV(J6:J1198)+1E-12))</f>
        <v/>
      </c>
      <c r="L939" s="3">
        <f>IF('3a Raw'!H939="","",MAX(-3,MIN(3,('3a Raw'!H939-$L3)/$L4)))</f>
        <v/>
      </c>
      <c r="M939" s="3">
        <f>IF(L939="","",(L939-AVERAGE(L6:L1198))/(STDEV(L6:L1198)+1E-12))</f>
        <v/>
      </c>
      <c r="N939" s="3">
        <f>IF('3a Raw'!I939="","",MAX(-3,MIN(3,('3a Raw'!I939-$N3)/$N4)))</f>
        <v/>
      </c>
      <c r="O939" s="3">
        <f>IF(N939="","",(N939-AVERAGE(N6:N1198))/(STDEV(N6:N1198)+1E-12))</f>
        <v/>
      </c>
      <c r="P939" s="3">
        <f>IF('3a Raw'!J939="","",MAX(-3,MIN(3,('3a Raw'!J939-$P3)/$P4)))</f>
        <v/>
      </c>
      <c r="Q939" s="3">
        <f>IF(P939="","",(P939-AVERAGE(P6:P1198))/(STDEV(P6:P1198)+1E-12))</f>
        <v/>
      </c>
      <c r="R939" s="3">
        <f>IF('3a Raw'!K939="","",MAX(-3,MIN(3,('3a Raw'!K939-$R3)/$R4)))</f>
        <v/>
      </c>
      <c r="S939" s="3">
        <f>IF(R939="","",(R939-AVERAGE(R6:R1198))/(STDEV(R6:R1198)+1E-12))</f>
        <v/>
      </c>
      <c r="T939" s="3">
        <f>IF('3a Raw'!L939="","",MAX(-3,MIN(3,('3a Raw'!L939-$T3)/$T4)))</f>
        <v/>
      </c>
      <c r="U939" s="3">
        <f>IF(T939="","",(T939-AVERAGE(T6:T1198))/(STDEV(T6:T1198)+1E-12))</f>
        <v/>
      </c>
      <c r="X939" s="3">
        <f>IF(U939="","",U939-($V$3*G939+$W$3))</f>
        <v/>
      </c>
      <c r="Y939" s="3">
        <f>IF(X939="","",MAX(-3,MIN(3,(X939-$X3)/$X4)))</f>
        <v/>
      </c>
      <c r="Z939" s="3">
        <f>IF(Y939="","",(Y939-AVERAGE(Y6:Y1198))/(STDEV(Y6:Y1198)+1E-12))</f>
        <v/>
      </c>
    </row>
    <row r="940">
      <c r="A940" t="inlineStr">
        <is>
          <t>rvty</t>
        </is>
      </c>
      <c r="B940" s="3">
        <f>IF('3a Raw'!C940="","",MAX(-3,MIN(3,('3a Raw'!C940-$B3)/$B4)))</f>
        <v/>
      </c>
      <c r="C940" s="3">
        <f>IF(B940="","",(B940-AVERAGE(B6:B1198))/(STDEV(B6:B1198)+1E-12))</f>
        <v/>
      </c>
      <c r="D940" s="3">
        <f>IF('3a Raw'!D940="","",MAX(-3,MIN(3,('3a Raw'!D940-$D3)/$D4)))</f>
        <v/>
      </c>
      <c r="E940" s="3">
        <f>IF(D940="","",(D940-AVERAGE(D6:D1198))/(STDEV(D6:D1198)+1E-12))</f>
        <v/>
      </c>
      <c r="F940" s="3">
        <f>IF('3a Raw'!E940="","",MAX(-3,MIN(3,('3a Raw'!E940-$F3)/$F4)))</f>
        <v/>
      </c>
      <c r="G940" s="3">
        <f>IF(F940="","",(F940-AVERAGE(F6:F1198))/(STDEV(F6:F1198)+1E-12))</f>
        <v/>
      </c>
      <c r="H940" s="3">
        <f>IF('3a Raw'!F940="","",MAX(-3,MIN(3,('3a Raw'!F940-$H3)/$H4)))</f>
        <v/>
      </c>
      <c r="I940" s="3">
        <f>IF(H940="","",(H940-AVERAGE(H6:H1198))/(STDEV(H6:H1198)+1E-12))</f>
        <v/>
      </c>
      <c r="J940" s="3">
        <f>IF('3a Raw'!G940="","",MAX(-3,MIN(3,('3a Raw'!G940-$J3)/$J4)))</f>
        <v/>
      </c>
      <c r="K940" s="3">
        <f>IF(J940="","",(J940-AVERAGE(J6:J1198))/(STDEV(J6:J1198)+1E-12))</f>
        <v/>
      </c>
      <c r="L940" s="3">
        <f>IF('3a Raw'!H940="","",MAX(-3,MIN(3,('3a Raw'!H940-$L3)/$L4)))</f>
        <v/>
      </c>
      <c r="M940" s="3">
        <f>IF(L940="","",(L940-AVERAGE(L6:L1198))/(STDEV(L6:L1198)+1E-12))</f>
        <v/>
      </c>
      <c r="N940" s="3">
        <f>IF('3a Raw'!I940="","",MAX(-3,MIN(3,('3a Raw'!I940-$N3)/$N4)))</f>
        <v/>
      </c>
      <c r="O940" s="3">
        <f>IF(N940="","",(N940-AVERAGE(N6:N1198))/(STDEV(N6:N1198)+1E-12))</f>
        <v/>
      </c>
      <c r="P940" s="3">
        <f>IF('3a Raw'!J940="","",MAX(-3,MIN(3,('3a Raw'!J940-$P3)/$P4)))</f>
        <v/>
      </c>
      <c r="Q940" s="3">
        <f>IF(P940="","",(P940-AVERAGE(P6:P1198))/(STDEV(P6:P1198)+1E-12))</f>
        <v/>
      </c>
      <c r="R940" s="3">
        <f>IF('3a Raw'!K940="","",MAX(-3,MIN(3,('3a Raw'!K940-$R3)/$R4)))</f>
        <v/>
      </c>
      <c r="S940" s="3">
        <f>IF(R940="","",(R940-AVERAGE(R6:R1198))/(STDEV(R6:R1198)+1E-12))</f>
        <v/>
      </c>
      <c r="T940" s="3">
        <f>IF('3a Raw'!L940="","",MAX(-3,MIN(3,('3a Raw'!L940-$T3)/$T4)))</f>
        <v/>
      </c>
      <c r="U940" s="3">
        <f>IF(T940="","",(T940-AVERAGE(T6:T1198))/(STDEV(T6:T1198)+1E-12))</f>
        <v/>
      </c>
      <c r="X940" s="3">
        <f>IF(U940="","",U940-($V$3*G940+$W$3))</f>
        <v/>
      </c>
      <c r="Y940" s="3">
        <f>IF(X940="","",MAX(-3,MIN(3,(X940-$X3)/$X4)))</f>
        <v/>
      </c>
      <c r="Z940" s="3">
        <f>IF(Y940="","",(Y940-AVERAGE(Y6:Y1198))/(STDEV(Y6:Y1198)+1E-12))</f>
        <v/>
      </c>
    </row>
    <row r="941">
      <c r="A941" t="inlineStr">
        <is>
          <t>BBG000BG7L34</t>
        </is>
      </c>
      <c r="B941" s="3">
        <f>IF('3a Raw'!C941="","",MAX(-3,MIN(3,('3a Raw'!C941-$B3)/$B4)))</f>
        <v/>
      </c>
      <c r="C941" s="3">
        <f>IF(B941="","",(B941-AVERAGE(B6:B1198))/(STDEV(B6:B1198)+1E-12))</f>
        <v/>
      </c>
      <c r="D941" s="3">
        <f>IF('3a Raw'!D941="","",MAX(-3,MIN(3,('3a Raw'!D941-$D3)/$D4)))</f>
        <v/>
      </c>
      <c r="E941" s="3">
        <f>IF(D941="","",(D941-AVERAGE(D6:D1198))/(STDEV(D6:D1198)+1E-12))</f>
        <v/>
      </c>
      <c r="F941" s="3">
        <f>IF('3a Raw'!E941="","",MAX(-3,MIN(3,('3a Raw'!E941-$F3)/$F4)))</f>
        <v/>
      </c>
      <c r="G941" s="3">
        <f>IF(F941="","",(F941-AVERAGE(F6:F1198))/(STDEV(F6:F1198)+1E-12))</f>
        <v/>
      </c>
      <c r="H941" s="3">
        <f>IF('3a Raw'!F941="","",MAX(-3,MIN(3,('3a Raw'!F941-$H3)/$H4)))</f>
        <v/>
      </c>
      <c r="I941" s="3">
        <f>IF(H941="","",(H941-AVERAGE(H6:H1198))/(STDEV(H6:H1198)+1E-12))</f>
        <v/>
      </c>
      <c r="J941" s="3">
        <f>IF('3a Raw'!G941="","",MAX(-3,MIN(3,('3a Raw'!G941-$J3)/$J4)))</f>
        <v/>
      </c>
      <c r="K941" s="3">
        <f>IF(J941="","",(J941-AVERAGE(J6:J1198))/(STDEV(J6:J1198)+1E-12))</f>
        <v/>
      </c>
      <c r="L941" s="3">
        <f>IF('3a Raw'!H941="","",MAX(-3,MIN(3,('3a Raw'!H941-$L3)/$L4)))</f>
        <v/>
      </c>
      <c r="M941" s="3">
        <f>IF(L941="","",(L941-AVERAGE(L6:L1198))/(STDEV(L6:L1198)+1E-12))</f>
        <v/>
      </c>
      <c r="N941" s="3">
        <f>IF('3a Raw'!I941="","",MAX(-3,MIN(3,('3a Raw'!I941-$N3)/$N4)))</f>
        <v/>
      </c>
      <c r="O941" s="3">
        <f>IF(N941="","",(N941-AVERAGE(N6:N1198))/(STDEV(N6:N1198)+1E-12))</f>
        <v/>
      </c>
      <c r="P941" s="3">
        <f>IF('3a Raw'!J941="","",MAX(-3,MIN(3,('3a Raw'!J941-$P3)/$P4)))</f>
        <v/>
      </c>
      <c r="Q941" s="3">
        <f>IF(P941="","",(P941-AVERAGE(P6:P1198))/(STDEV(P6:P1198)+1E-12))</f>
        <v/>
      </c>
      <c r="R941" s="3">
        <f>IF('3a Raw'!K941="","",MAX(-3,MIN(3,('3a Raw'!K941-$R3)/$R4)))</f>
        <v/>
      </c>
      <c r="S941" s="3">
        <f>IF(R941="","",(R941-AVERAGE(R6:R1198))/(STDEV(R6:R1198)+1E-12))</f>
        <v/>
      </c>
      <c r="T941" s="3">
        <f>IF('3a Raw'!L941="","",MAX(-3,MIN(3,('3a Raw'!L941-$T3)/$T4)))</f>
        <v/>
      </c>
      <c r="U941" s="3">
        <f>IF(T941="","",(T941-AVERAGE(T6:T1198))/(STDEV(T6:T1198)+1E-12))</f>
        <v/>
      </c>
      <c r="X941" s="3">
        <f>IF(U941="","",U941-($V$3*G941+$W$3))</f>
        <v/>
      </c>
      <c r="Y941" s="3">
        <f>IF(X941="","",MAX(-3,MIN(3,(X941-$X3)/$X4)))</f>
        <v/>
      </c>
      <c r="Z941" s="3">
        <f>IF(Y941="","",(Y941-AVERAGE(Y6:Y1198))/(STDEV(Y6:Y1198)+1E-12))</f>
        <v/>
      </c>
    </row>
    <row r="942">
      <c r="A942" t="inlineStr">
        <is>
          <t>BBG00B6F2F09</t>
        </is>
      </c>
      <c r="B942" s="3">
        <f>IF('3a Raw'!C942="","",MAX(-3,MIN(3,('3a Raw'!C942-$B3)/$B4)))</f>
        <v/>
      </c>
      <c r="C942" s="3">
        <f>IF(B942="","",(B942-AVERAGE(B6:B1198))/(STDEV(B6:B1198)+1E-12))</f>
        <v/>
      </c>
      <c r="D942" s="3">
        <f>IF('3a Raw'!D942="","",MAX(-3,MIN(3,('3a Raw'!D942-$D3)/$D4)))</f>
        <v/>
      </c>
      <c r="E942" s="3">
        <f>IF(D942="","",(D942-AVERAGE(D6:D1198))/(STDEV(D6:D1198)+1E-12))</f>
        <v/>
      </c>
      <c r="F942" s="3">
        <f>IF('3a Raw'!E942="","",MAX(-3,MIN(3,('3a Raw'!E942-$F3)/$F4)))</f>
        <v/>
      </c>
      <c r="G942" s="3">
        <f>IF(F942="","",(F942-AVERAGE(F6:F1198))/(STDEV(F6:F1198)+1E-12))</f>
        <v/>
      </c>
      <c r="H942" s="3">
        <f>IF('3a Raw'!F942="","",MAX(-3,MIN(3,('3a Raw'!F942-$H3)/$H4)))</f>
        <v/>
      </c>
      <c r="I942" s="3">
        <f>IF(H942="","",(H942-AVERAGE(H6:H1198))/(STDEV(H6:H1198)+1E-12))</f>
        <v/>
      </c>
      <c r="J942" s="3">
        <f>IF('3a Raw'!G942="","",MAX(-3,MIN(3,('3a Raw'!G942-$J3)/$J4)))</f>
        <v/>
      </c>
      <c r="K942" s="3">
        <f>IF(J942="","",(J942-AVERAGE(J6:J1198))/(STDEV(J6:J1198)+1E-12))</f>
        <v/>
      </c>
      <c r="L942" s="3">
        <f>IF('3a Raw'!H942="","",MAX(-3,MIN(3,('3a Raw'!H942-$L3)/$L4)))</f>
        <v/>
      </c>
      <c r="M942" s="3">
        <f>IF(L942="","",(L942-AVERAGE(L6:L1198))/(STDEV(L6:L1198)+1E-12))</f>
        <v/>
      </c>
      <c r="N942" s="3">
        <f>IF('3a Raw'!I942="","",MAX(-3,MIN(3,('3a Raw'!I942-$N3)/$N4)))</f>
        <v/>
      </c>
      <c r="O942" s="3">
        <f>IF(N942="","",(N942-AVERAGE(N6:N1198))/(STDEV(N6:N1198)+1E-12))</f>
        <v/>
      </c>
      <c r="P942" s="3">
        <f>IF('3a Raw'!J942="","",MAX(-3,MIN(3,('3a Raw'!J942-$P3)/$P4)))</f>
        <v/>
      </c>
      <c r="Q942" s="3">
        <f>IF(P942="","",(P942-AVERAGE(P6:P1198))/(STDEV(P6:P1198)+1E-12))</f>
        <v/>
      </c>
      <c r="R942" s="3">
        <f>IF('3a Raw'!K942="","",MAX(-3,MIN(3,('3a Raw'!K942-$R3)/$R4)))</f>
        <v/>
      </c>
      <c r="S942" s="3">
        <f>IF(R942="","",(R942-AVERAGE(R6:R1198))/(STDEV(R6:R1198)+1E-12))</f>
        <v/>
      </c>
      <c r="T942" s="3">
        <f>IF('3a Raw'!L942="","",MAX(-3,MIN(3,('3a Raw'!L942-$T3)/$T4)))</f>
        <v/>
      </c>
      <c r="U942" s="3">
        <f>IF(T942="","",(T942-AVERAGE(T6:T1198))/(STDEV(T6:T1198)+1E-12))</f>
        <v/>
      </c>
      <c r="X942" s="3">
        <f>IF(U942="","",U942-($V$3*G942+$W$3))</f>
        <v/>
      </c>
      <c r="Y942" s="3">
        <f>IF(X942="","",MAX(-3,MIN(3,(X942-$X3)/$X4)))</f>
        <v/>
      </c>
      <c r="Z942" s="3">
        <f>IF(Y942="","",(Y942-AVERAGE(Y6:Y1198))/(STDEV(Y6:Y1198)+1E-12))</f>
        <v/>
      </c>
    </row>
    <row r="943">
      <c r="A943" t="inlineStr">
        <is>
          <t>BBG005WQVVH4</t>
        </is>
      </c>
      <c r="B943" s="3">
        <f>IF('3a Raw'!C943="","",MAX(-3,MIN(3,('3a Raw'!C943-$B3)/$B4)))</f>
        <v/>
      </c>
      <c r="C943" s="3">
        <f>IF(B943="","",(B943-AVERAGE(B6:B1198))/(STDEV(B6:B1198)+1E-12))</f>
        <v/>
      </c>
      <c r="D943" s="3">
        <f>IF('3a Raw'!D943="","",MAX(-3,MIN(3,('3a Raw'!D943-$D3)/$D4)))</f>
        <v/>
      </c>
      <c r="E943" s="3">
        <f>IF(D943="","",(D943-AVERAGE(D6:D1198))/(STDEV(D6:D1198)+1E-12))</f>
        <v/>
      </c>
      <c r="F943" s="3">
        <f>IF('3a Raw'!E943="","",MAX(-3,MIN(3,('3a Raw'!E943-$F3)/$F4)))</f>
        <v/>
      </c>
      <c r="G943" s="3">
        <f>IF(F943="","",(F943-AVERAGE(F6:F1198))/(STDEV(F6:F1198)+1E-12))</f>
        <v/>
      </c>
      <c r="H943" s="3">
        <f>IF('3a Raw'!F943="","",MAX(-3,MIN(3,('3a Raw'!F943-$H3)/$H4)))</f>
        <v/>
      </c>
      <c r="I943" s="3">
        <f>IF(H943="","",(H943-AVERAGE(H6:H1198))/(STDEV(H6:H1198)+1E-12))</f>
        <v/>
      </c>
      <c r="J943" s="3">
        <f>IF('3a Raw'!G943="","",MAX(-3,MIN(3,('3a Raw'!G943-$J3)/$J4)))</f>
        <v/>
      </c>
      <c r="K943" s="3">
        <f>IF(J943="","",(J943-AVERAGE(J6:J1198))/(STDEV(J6:J1198)+1E-12))</f>
        <v/>
      </c>
      <c r="L943" s="3">
        <f>IF('3a Raw'!H943="","",MAX(-3,MIN(3,('3a Raw'!H943-$L3)/$L4)))</f>
        <v/>
      </c>
      <c r="M943" s="3">
        <f>IF(L943="","",(L943-AVERAGE(L6:L1198))/(STDEV(L6:L1198)+1E-12))</f>
        <v/>
      </c>
      <c r="N943" s="3">
        <f>IF('3a Raw'!I943="","",MAX(-3,MIN(3,('3a Raw'!I943-$N3)/$N4)))</f>
        <v/>
      </c>
      <c r="O943" s="3">
        <f>IF(N943="","",(N943-AVERAGE(N6:N1198))/(STDEV(N6:N1198)+1E-12))</f>
        <v/>
      </c>
      <c r="P943" s="3">
        <f>IF('3a Raw'!J943="","",MAX(-3,MIN(3,('3a Raw'!J943-$P3)/$P4)))</f>
        <v/>
      </c>
      <c r="Q943" s="3">
        <f>IF(P943="","",(P943-AVERAGE(P6:P1198))/(STDEV(P6:P1198)+1E-12))</f>
        <v/>
      </c>
      <c r="R943" s="3">
        <f>IF('3a Raw'!K943="","",MAX(-3,MIN(3,('3a Raw'!K943-$R3)/$R4)))</f>
        <v/>
      </c>
      <c r="S943" s="3">
        <f>IF(R943="","",(R943-AVERAGE(R6:R1198))/(STDEV(R6:R1198)+1E-12))</f>
        <v/>
      </c>
      <c r="T943" s="3">
        <f>IF('3a Raw'!L943="","",MAX(-3,MIN(3,('3a Raw'!L943-$T3)/$T4)))</f>
        <v/>
      </c>
      <c r="U943" s="3">
        <f>IF(T943="","",(T943-AVERAGE(T6:T1198))/(STDEV(T6:T1198)+1E-12))</f>
        <v/>
      </c>
      <c r="X943" s="3">
        <f>IF(U943="","",U943-($V$3*G943+$W$3))</f>
        <v/>
      </c>
      <c r="Y943" s="3">
        <f>IF(X943="","",MAX(-3,MIN(3,(X943-$X3)/$X4)))</f>
        <v/>
      </c>
      <c r="Z943" s="3">
        <f>IF(Y943="","",(Y943-AVERAGE(Y6:Y1198))/(STDEV(Y6:Y1198)+1E-12))</f>
        <v/>
      </c>
    </row>
    <row r="944">
      <c r="A944" t="inlineStr">
        <is>
          <t>BBG01RW30Q09</t>
        </is>
      </c>
      <c r="B944" s="3">
        <f>IF('3a Raw'!C944="","",MAX(-3,MIN(3,('3a Raw'!C944-$B3)/$B4)))</f>
        <v/>
      </c>
      <c r="C944" s="3">
        <f>IF(B944="","",(B944-AVERAGE(B6:B1198))/(STDEV(B6:B1198)+1E-12))</f>
        <v/>
      </c>
      <c r="D944" s="3">
        <f>IF('3a Raw'!D944="","",MAX(-3,MIN(3,('3a Raw'!D944-$D3)/$D4)))</f>
        <v/>
      </c>
      <c r="E944" s="3">
        <f>IF(D944="","",(D944-AVERAGE(D6:D1198))/(STDEV(D6:D1198)+1E-12))</f>
        <v/>
      </c>
      <c r="F944" s="3">
        <f>IF('3a Raw'!E944="","",MAX(-3,MIN(3,('3a Raw'!E944-$F3)/$F4)))</f>
        <v/>
      </c>
      <c r="G944" s="3">
        <f>IF(F944="","",(F944-AVERAGE(F6:F1198))/(STDEV(F6:F1198)+1E-12))</f>
        <v/>
      </c>
      <c r="H944" s="3">
        <f>IF('3a Raw'!F944="","",MAX(-3,MIN(3,('3a Raw'!F944-$H3)/$H4)))</f>
        <v/>
      </c>
      <c r="I944" s="3">
        <f>IF(H944="","",(H944-AVERAGE(H6:H1198))/(STDEV(H6:H1198)+1E-12))</f>
        <v/>
      </c>
      <c r="J944" s="3">
        <f>IF('3a Raw'!G944="","",MAX(-3,MIN(3,('3a Raw'!G944-$J3)/$J4)))</f>
        <v/>
      </c>
      <c r="K944" s="3">
        <f>IF(J944="","",(J944-AVERAGE(J6:J1198))/(STDEV(J6:J1198)+1E-12))</f>
        <v/>
      </c>
      <c r="L944" s="3">
        <f>IF('3a Raw'!H944="","",MAX(-3,MIN(3,('3a Raw'!H944-$L3)/$L4)))</f>
        <v/>
      </c>
      <c r="M944" s="3">
        <f>IF(L944="","",(L944-AVERAGE(L6:L1198))/(STDEV(L6:L1198)+1E-12))</f>
        <v/>
      </c>
      <c r="N944" s="3">
        <f>IF('3a Raw'!I944="","",MAX(-3,MIN(3,('3a Raw'!I944-$N3)/$N4)))</f>
        <v/>
      </c>
      <c r="O944" s="3">
        <f>IF(N944="","",(N944-AVERAGE(N6:N1198))/(STDEV(N6:N1198)+1E-12))</f>
        <v/>
      </c>
      <c r="P944" s="3">
        <f>IF('3a Raw'!J944="","",MAX(-3,MIN(3,('3a Raw'!J944-$P3)/$P4)))</f>
        <v/>
      </c>
      <c r="Q944" s="3">
        <f>IF(P944="","",(P944-AVERAGE(P6:P1198))/(STDEV(P6:P1198)+1E-12))</f>
        <v/>
      </c>
      <c r="R944" s="3">
        <f>IF('3a Raw'!K944="","",MAX(-3,MIN(3,('3a Raw'!K944-$R3)/$R4)))</f>
        <v/>
      </c>
      <c r="S944" s="3">
        <f>IF(R944="","",(R944-AVERAGE(R6:R1198))/(STDEV(R6:R1198)+1E-12))</f>
        <v/>
      </c>
      <c r="T944" s="3">
        <f>IF('3a Raw'!L944="","",MAX(-3,MIN(3,('3a Raw'!L944-$T3)/$T4)))</f>
        <v/>
      </c>
      <c r="U944" s="3">
        <f>IF(T944="","",(T944-AVERAGE(T6:T1198))/(STDEV(T6:T1198)+1E-12))</f>
        <v/>
      </c>
      <c r="X944" s="3">
        <f>IF(U944="","",U944-($V$3*G944+$W$3))</f>
        <v/>
      </c>
      <c r="Y944" s="3">
        <f>IF(X944="","",MAX(-3,MIN(3,(X944-$X3)/$X4)))</f>
        <v/>
      </c>
      <c r="Z944" s="3">
        <f>IF(Y944="","",(Y944-AVERAGE(Y6:Y1198))/(STDEV(Y6:Y1198)+1E-12))</f>
        <v/>
      </c>
    </row>
    <row r="945">
      <c r="A945" t="inlineStr">
        <is>
          <t>BBG000RD8M04</t>
        </is>
      </c>
      <c r="B945" s="3">
        <f>IF('3a Raw'!C945="","",MAX(-3,MIN(3,('3a Raw'!C945-$B3)/$B4)))</f>
        <v/>
      </c>
      <c r="C945" s="3">
        <f>IF(B945="","",(B945-AVERAGE(B6:B1198))/(STDEV(B6:B1198)+1E-12))</f>
        <v/>
      </c>
      <c r="D945" s="3">
        <f>IF('3a Raw'!D945="","",MAX(-3,MIN(3,('3a Raw'!D945-$D3)/$D4)))</f>
        <v/>
      </c>
      <c r="E945" s="3">
        <f>IF(D945="","",(D945-AVERAGE(D6:D1198))/(STDEV(D6:D1198)+1E-12))</f>
        <v/>
      </c>
      <c r="F945" s="3">
        <f>IF('3a Raw'!E945="","",MAX(-3,MIN(3,('3a Raw'!E945-$F3)/$F4)))</f>
        <v/>
      </c>
      <c r="G945" s="3">
        <f>IF(F945="","",(F945-AVERAGE(F6:F1198))/(STDEV(F6:F1198)+1E-12))</f>
        <v/>
      </c>
      <c r="H945" s="3">
        <f>IF('3a Raw'!F945="","",MAX(-3,MIN(3,('3a Raw'!F945-$H3)/$H4)))</f>
        <v/>
      </c>
      <c r="I945" s="3">
        <f>IF(H945="","",(H945-AVERAGE(H6:H1198))/(STDEV(H6:H1198)+1E-12))</f>
        <v/>
      </c>
      <c r="J945" s="3">
        <f>IF('3a Raw'!G945="","",MAX(-3,MIN(3,('3a Raw'!G945-$J3)/$J4)))</f>
        <v/>
      </c>
      <c r="K945" s="3">
        <f>IF(J945="","",(J945-AVERAGE(J6:J1198))/(STDEV(J6:J1198)+1E-12))</f>
        <v/>
      </c>
      <c r="L945" s="3">
        <f>IF('3a Raw'!H945="","",MAX(-3,MIN(3,('3a Raw'!H945-$L3)/$L4)))</f>
        <v/>
      </c>
      <c r="M945" s="3">
        <f>IF(L945="","",(L945-AVERAGE(L6:L1198))/(STDEV(L6:L1198)+1E-12))</f>
        <v/>
      </c>
      <c r="N945" s="3">
        <f>IF('3a Raw'!I945="","",MAX(-3,MIN(3,('3a Raw'!I945-$N3)/$N4)))</f>
        <v/>
      </c>
      <c r="O945" s="3">
        <f>IF(N945="","",(N945-AVERAGE(N6:N1198))/(STDEV(N6:N1198)+1E-12))</f>
        <v/>
      </c>
      <c r="P945" s="3">
        <f>IF('3a Raw'!J945="","",MAX(-3,MIN(3,('3a Raw'!J945-$P3)/$P4)))</f>
        <v/>
      </c>
      <c r="Q945" s="3">
        <f>IF(P945="","",(P945-AVERAGE(P6:P1198))/(STDEV(P6:P1198)+1E-12))</f>
        <v/>
      </c>
      <c r="R945" s="3">
        <f>IF('3a Raw'!K945="","",MAX(-3,MIN(3,('3a Raw'!K945-$R3)/$R4)))</f>
        <v/>
      </c>
      <c r="S945" s="3">
        <f>IF(R945="","",(R945-AVERAGE(R6:R1198))/(STDEV(R6:R1198)+1E-12))</f>
        <v/>
      </c>
      <c r="T945" s="3">
        <f>IF('3a Raw'!L945="","",MAX(-3,MIN(3,('3a Raw'!L945-$T3)/$T4)))</f>
        <v/>
      </c>
      <c r="U945" s="3">
        <f>IF(T945="","",(T945-AVERAGE(T6:T1198))/(STDEV(T6:T1198)+1E-12))</f>
        <v/>
      </c>
      <c r="X945" s="3">
        <f>IF(U945="","",U945-($V$3*G945+$W$3))</f>
        <v/>
      </c>
      <c r="Y945" s="3">
        <f>IF(X945="","",MAX(-3,MIN(3,(X945-$X3)/$X4)))</f>
        <v/>
      </c>
      <c r="Z945" s="3">
        <f>IF(Y945="","",(Y945-AVERAGE(Y6:Y1198))/(STDEV(Y6:Y1198)+1E-12))</f>
        <v/>
      </c>
    </row>
    <row r="946">
      <c r="A946" t="inlineStr">
        <is>
          <t>BBG000TGLV00</t>
        </is>
      </c>
      <c r="B946" s="3">
        <f>IF('3a Raw'!C946="","",MAX(-3,MIN(3,('3a Raw'!C946-$B3)/$B4)))</f>
        <v/>
      </c>
      <c r="C946" s="3">
        <f>IF(B946="","",(B946-AVERAGE(B6:B1198))/(STDEV(B6:B1198)+1E-12))</f>
        <v/>
      </c>
      <c r="D946" s="3">
        <f>IF('3a Raw'!D946="","",MAX(-3,MIN(3,('3a Raw'!D946-$D3)/$D4)))</f>
        <v/>
      </c>
      <c r="E946" s="3">
        <f>IF(D946="","",(D946-AVERAGE(D6:D1198))/(STDEV(D6:D1198)+1E-12))</f>
        <v/>
      </c>
      <c r="F946" s="3">
        <f>IF('3a Raw'!E946="","",MAX(-3,MIN(3,('3a Raw'!E946-$F3)/$F4)))</f>
        <v/>
      </c>
      <c r="G946" s="3">
        <f>IF(F946="","",(F946-AVERAGE(F6:F1198))/(STDEV(F6:F1198)+1E-12))</f>
        <v/>
      </c>
      <c r="H946" s="3">
        <f>IF('3a Raw'!F946="","",MAX(-3,MIN(3,('3a Raw'!F946-$H3)/$H4)))</f>
        <v/>
      </c>
      <c r="I946" s="3">
        <f>IF(H946="","",(H946-AVERAGE(H6:H1198))/(STDEV(H6:H1198)+1E-12))</f>
        <v/>
      </c>
      <c r="J946" s="3">
        <f>IF('3a Raw'!G946="","",MAX(-3,MIN(3,('3a Raw'!G946-$J3)/$J4)))</f>
        <v/>
      </c>
      <c r="K946" s="3">
        <f>IF(J946="","",(J946-AVERAGE(J6:J1198))/(STDEV(J6:J1198)+1E-12))</f>
        <v/>
      </c>
      <c r="L946" s="3">
        <f>IF('3a Raw'!H946="","",MAX(-3,MIN(3,('3a Raw'!H946-$L3)/$L4)))</f>
        <v/>
      </c>
      <c r="M946" s="3">
        <f>IF(L946="","",(L946-AVERAGE(L6:L1198))/(STDEV(L6:L1198)+1E-12))</f>
        <v/>
      </c>
      <c r="N946" s="3">
        <f>IF('3a Raw'!I946="","",MAX(-3,MIN(3,('3a Raw'!I946-$N3)/$N4)))</f>
        <v/>
      </c>
      <c r="O946" s="3">
        <f>IF(N946="","",(N946-AVERAGE(N6:N1198))/(STDEV(N6:N1198)+1E-12))</f>
        <v/>
      </c>
      <c r="P946" s="3">
        <f>IF('3a Raw'!J946="","",MAX(-3,MIN(3,('3a Raw'!J946-$P3)/$P4)))</f>
        <v/>
      </c>
      <c r="Q946" s="3">
        <f>IF(P946="","",(P946-AVERAGE(P6:P1198))/(STDEV(P6:P1198)+1E-12))</f>
        <v/>
      </c>
      <c r="R946" s="3">
        <f>IF('3a Raw'!K946="","",MAX(-3,MIN(3,('3a Raw'!K946-$R3)/$R4)))</f>
        <v/>
      </c>
      <c r="S946" s="3">
        <f>IF(R946="","",(R946-AVERAGE(R6:R1198))/(STDEV(R6:R1198)+1E-12))</f>
        <v/>
      </c>
      <c r="T946" s="3">
        <f>IF('3a Raw'!L946="","",MAX(-3,MIN(3,('3a Raw'!L946-$T3)/$T4)))</f>
        <v/>
      </c>
      <c r="U946" s="3">
        <f>IF(T946="","",(T946-AVERAGE(T6:T1198))/(STDEV(T6:T1198)+1E-12))</f>
        <v/>
      </c>
      <c r="X946" s="3">
        <f>IF(U946="","",U946-($V$3*G946+$W$3))</f>
        <v/>
      </c>
      <c r="Y946" s="3">
        <f>IF(X946="","",MAX(-3,MIN(3,(X946-$X3)/$X4)))</f>
        <v/>
      </c>
      <c r="Z946" s="3">
        <f>IF(Y946="","",(Y946-AVERAGE(Y6:Y1198))/(STDEV(Y6:Y1198)+1E-12))</f>
        <v/>
      </c>
    </row>
    <row r="947">
      <c r="A947" t="inlineStr">
        <is>
          <t>BBG000D2M0Z7</t>
        </is>
      </c>
      <c r="B947" s="3">
        <f>IF('3a Raw'!C947="","",MAX(-3,MIN(3,('3a Raw'!C947-$B3)/$B4)))</f>
        <v/>
      </c>
      <c r="C947" s="3">
        <f>IF(B947="","",(B947-AVERAGE(B6:B1198))/(STDEV(B6:B1198)+1E-12))</f>
        <v/>
      </c>
      <c r="D947" s="3">
        <f>IF('3a Raw'!D947="","",MAX(-3,MIN(3,('3a Raw'!D947-$D3)/$D4)))</f>
        <v/>
      </c>
      <c r="E947" s="3">
        <f>IF(D947="","",(D947-AVERAGE(D6:D1198))/(STDEV(D6:D1198)+1E-12))</f>
        <v/>
      </c>
      <c r="F947" s="3">
        <f>IF('3a Raw'!E947="","",MAX(-3,MIN(3,('3a Raw'!E947-$F3)/$F4)))</f>
        <v/>
      </c>
      <c r="G947" s="3">
        <f>IF(F947="","",(F947-AVERAGE(F6:F1198))/(STDEV(F6:F1198)+1E-12))</f>
        <v/>
      </c>
      <c r="H947" s="3">
        <f>IF('3a Raw'!F947="","",MAX(-3,MIN(3,('3a Raw'!F947-$H3)/$H4)))</f>
        <v/>
      </c>
      <c r="I947" s="3">
        <f>IF(H947="","",(H947-AVERAGE(H6:H1198))/(STDEV(H6:H1198)+1E-12))</f>
        <v/>
      </c>
      <c r="J947" s="3">
        <f>IF('3a Raw'!G947="","",MAX(-3,MIN(3,('3a Raw'!G947-$J3)/$J4)))</f>
        <v/>
      </c>
      <c r="K947" s="3">
        <f>IF(J947="","",(J947-AVERAGE(J6:J1198))/(STDEV(J6:J1198)+1E-12))</f>
        <v/>
      </c>
      <c r="L947" s="3">
        <f>IF('3a Raw'!H947="","",MAX(-3,MIN(3,('3a Raw'!H947-$L3)/$L4)))</f>
        <v/>
      </c>
      <c r="M947" s="3">
        <f>IF(L947="","",(L947-AVERAGE(L6:L1198))/(STDEV(L6:L1198)+1E-12))</f>
        <v/>
      </c>
      <c r="N947" s="3">
        <f>IF('3a Raw'!I947="","",MAX(-3,MIN(3,('3a Raw'!I947-$N3)/$N4)))</f>
        <v/>
      </c>
      <c r="O947" s="3">
        <f>IF(N947="","",(N947-AVERAGE(N6:N1198))/(STDEV(N6:N1198)+1E-12))</f>
        <v/>
      </c>
      <c r="P947" s="3">
        <f>IF('3a Raw'!J947="","",MAX(-3,MIN(3,('3a Raw'!J947-$P3)/$P4)))</f>
        <v/>
      </c>
      <c r="Q947" s="3">
        <f>IF(P947="","",(P947-AVERAGE(P6:P1198))/(STDEV(P6:P1198)+1E-12))</f>
        <v/>
      </c>
      <c r="R947" s="3">
        <f>IF('3a Raw'!K947="","",MAX(-3,MIN(3,('3a Raw'!K947-$R3)/$R4)))</f>
        <v/>
      </c>
      <c r="S947" s="3">
        <f>IF(R947="","",(R947-AVERAGE(R6:R1198))/(STDEV(R6:R1198)+1E-12))</f>
        <v/>
      </c>
      <c r="T947" s="3">
        <f>IF('3a Raw'!L947="","",MAX(-3,MIN(3,('3a Raw'!L947-$T3)/$T4)))</f>
        <v/>
      </c>
      <c r="U947" s="3">
        <f>IF(T947="","",(T947-AVERAGE(T6:T1198))/(STDEV(T6:T1198)+1E-12))</f>
        <v/>
      </c>
      <c r="X947" s="3">
        <f>IF(U947="","",U947-($V$3*G947+$W$3))</f>
        <v/>
      </c>
      <c r="Y947" s="3">
        <f>IF(X947="","",MAX(-3,MIN(3,(X947-$X3)/$X4)))</f>
        <v/>
      </c>
      <c r="Z947" s="3">
        <f>IF(Y947="","",(Y947-AVERAGE(Y6:Y1198))/(STDEV(Y6:Y1198)+1E-12))</f>
        <v/>
      </c>
    </row>
    <row r="948">
      <c r="A948" t="inlineStr">
        <is>
          <t>BBG000LR8515</t>
        </is>
      </c>
      <c r="B948" s="3">
        <f>IF('3a Raw'!C948="","",MAX(-3,MIN(3,('3a Raw'!C948-$B3)/$B4)))</f>
        <v/>
      </c>
      <c r="C948" s="3">
        <f>IF(B948="","",(B948-AVERAGE(B6:B1198))/(STDEV(B6:B1198)+1E-12))</f>
        <v/>
      </c>
      <c r="D948" s="3">
        <f>IF('3a Raw'!D948="","",MAX(-3,MIN(3,('3a Raw'!D948-$D3)/$D4)))</f>
        <v/>
      </c>
      <c r="E948" s="3">
        <f>IF(D948="","",(D948-AVERAGE(D6:D1198))/(STDEV(D6:D1198)+1E-12))</f>
        <v/>
      </c>
      <c r="F948" s="3">
        <f>IF('3a Raw'!E948="","",MAX(-3,MIN(3,('3a Raw'!E948-$F3)/$F4)))</f>
        <v/>
      </c>
      <c r="G948" s="3">
        <f>IF(F948="","",(F948-AVERAGE(F6:F1198))/(STDEV(F6:F1198)+1E-12))</f>
        <v/>
      </c>
      <c r="H948" s="3">
        <f>IF('3a Raw'!F948="","",MAX(-3,MIN(3,('3a Raw'!F948-$H3)/$H4)))</f>
        <v/>
      </c>
      <c r="I948" s="3">
        <f>IF(H948="","",(H948-AVERAGE(H6:H1198))/(STDEV(H6:H1198)+1E-12))</f>
        <v/>
      </c>
      <c r="J948" s="3">
        <f>IF('3a Raw'!G948="","",MAX(-3,MIN(3,('3a Raw'!G948-$J3)/$J4)))</f>
        <v/>
      </c>
      <c r="K948" s="3">
        <f>IF(J948="","",(J948-AVERAGE(J6:J1198))/(STDEV(J6:J1198)+1E-12))</f>
        <v/>
      </c>
      <c r="L948" s="3">
        <f>IF('3a Raw'!H948="","",MAX(-3,MIN(3,('3a Raw'!H948-$L3)/$L4)))</f>
        <v/>
      </c>
      <c r="M948" s="3">
        <f>IF(L948="","",(L948-AVERAGE(L6:L1198))/(STDEV(L6:L1198)+1E-12))</f>
        <v/>
      </c>
      <c r="N948" s="3">
        <f>IF('3a Raw'!I948="","",MAX(-3,MIN(3,('3a Raw'!I948-$N3)/$N4)))</f>
        <v/>
      </c>
      <c r="O948" s="3">
        <f>IF(N948="","",(N948-AVERAGE(N6:N1198))/(STDEV(N6:N1198)+1E-12))</f>
        <v/>
      </c>
      <c r="P948" s="3">
        <f>IF('3a Raw'!J948="","",MAX(-3,MIN(3,('3a Raw'!J948-$P3)/$P4)))</f>
        <v/>
      </c>
      <c r="Q948" s="3">
        <f>IF(P948="","",(P948-AVERAGE(P6:P1198))/(STDEV(P6:P1198)+1E-12))</f>
        <v/>
      </c>
      <c r="R948" s="3">
        <f>IF('3a Raw'!K948="","",MAX(-3,MIN(3,('3a Raw'!K948-$R3)/$R4)))</f>
        <v/>
      </c>
      <c r="S948" s="3">
        <f>IF(R948="","",(R948-AVERAGE(R6:R1198))/(STDEV(R6:R1198)+1E-12))</f>
        <v/>
      </c>
      <c r="T948" s="3">
        <f>IF('3a Raw'!L948="","",MAX(-3,MIN(3,('3a Raw'!L948-$T3)/$T4)))</f>
        <v/>
      </c>
      <c r="U948" s="3">
        <f>IF(T948="","",(T948-AVERAGE(T6:T1198))/(STDEV(T6:T1198)+1E-12))</f>
        <v/>
      </c>
      <c r="X948" s="3">
        <f>IF(U948="","",U948-($V$3*G948+$W$3))</f>
        <v/>
      </c>
      <c r="Y948" s="3">
        <f>IF(X948="","",MAX(-3,MIN(3,(X948-$X3)/$X4)))</f>
        <v/>
      </c>
      <c r="Z948" s="3">
        <f>IF(Y948="","",(Y948-AVERAGE(Y6:Y1198))/(STDEV(Y6:Y1198)+1E-12))</f>
        <v/>
      </c>
    </row>
    <row r="949">
      <c r="A949" t="inlineStr">
        <is>
          <t>BBG000CTQBF3</t>
        </is>
      </c>
      <c r="B949" s="3">
        <f>IF('3a Raw'!C949="","",MAX(-3,MIN(3,('3a Raw'!C949-$B3)/$B4)))</f>
        <v/>
      </c>
      <c r="C949" s="3">
        <f>IF(B949="","",(B949-AVERAGE(B6:B1198))/(STDEV(B6:B1198)+1E-12))</f>
        <v/>
      </c>
      <c r="D949" s="3">
        <f>IF('3a Raw'!D949="","",MAX(-3,MIN(3,('3a Raw'!D949-$D3)/$D4)))</f>
        <v/>
      </c>
      <c r="E949" s="3">
        <f>IF(D949="","",(D949-AVERAGE(D6:D1198))/(STDEV(D6:D1198)+1E-12))</f>
        <v/>
      </c>
      <c r="F949" s="3">
        <f>IF('3a Raw'!E949="","",MAX(-3,MIN(3,('3a Raw'!E949-$F3)/$F4)))</f>
        <v/>
      </c>
      <c r="G949" s="3">
        <f>IF(F949="","",(F949-AVERAGE(F6:F1198))/(STDEV(F6:F1198)+1E-12))</f>
        <v/>
      </c>
      <c r="H949" s="3">
        <f>IF('3a Raw'!F949="","",MAX(-3,MIN(3,('3a Raw'!F949-$H3)/$H4)))</f>
        <v/>
      </c>
      <c r="I949" s="3">
        <f>IF(H949="","",(H949-AVERAGE(H6:H1198))/(STDEV(H6:H1198)+1E-12))</f>
        <v/>
      </c>
      <c r="J949" s="3">
        <f>IF('3a Raw'!G949="","",MAX(-3,MIN(3,('3a Raw'!G949-$J3)/$J4)))</f>
        <v/>
      </c>
      <c r="K949" s="3">
        <f>IF(J949="","",(J949-AVERAGE(J6:J1198))/(STDEV(J6:J1198)+1E-12))</f>
        <v/>
      </c>
      <c r="L949" s="3">
        <f>IF('3a Raw'!H949="","",MAX(-3,MIN(3,('3a Raw'!H949-$L3)/$L4)))</f>
        <v/>
      </c>
      <c r="M949" s="3">
        <f>IF(L949="","",(L949-AVERAGE(L6:L1198))/(STDEV(L6:L1198)+1E-12))</f>
        <v/>
      </c>
      <c r="N949" s="3">
        <f>IF('3a Raw'!I949="","",MAX(-3,MIN(3,('3a Raw'!I949-$N3)/$N4)))</f>
        <v/>
      </c>
      <c r="O949" s="3">
        <f>IF(N949="","",(N949-AVERAGE(N6:N1198))/(STDEV(N6:N1198)+1E-12))</f>
        <v/>
      </c>
      <c r="P949" s="3">
        <f>IF('3a Raw'!J949="","",MAX(-3,MIN(3,('3a Raw'!J949-$P3)/$P4)))</f>
        <v/>
      </c>
      <c r="Q949" s="3">
        <f>IF(P949="","",(P949-AVERAGE(P6:P1198))/(STDEV(P6:P1198)+1E-12))</f>
        <v/>
      </c>
      <c r="R949" s="3">
        <f>IF('3a Raw'!K949="","",MAX(-3,MIN(3,('3a Raw'!K949-$R3)/$R4)))</f>
        <v/>
      </c>
      <c r="S949" s="3">
        <f>IF(R949="","",(R949-AVERAGE(R6:R1198))/(STDEV(R6:R1198)+1E-12))</f>
        <v/>
      </c>
      <c r="T949" s="3">
        <f>IF('3a Raw'!L949="","",MAX(-3,MIN(3,('3a Raw'!L949-$T3)/$T4)))</f>
        <v/>
      </c>
      <c r="U949" s="3">
        <f>IF(T949="","",(T949-AVERAGE(T6:T1198))/(STDEV(T6:T1198)+1E-12))</f>
        <v/>
      </c>
      <c r="X949" s="3">
        <f>IF(U949="","",U949-($V$3*G949+$W$3))</f>
        <v/>
      </c>
      <c r="Y949" s="3">
        <f>IF(X949="","",MAX(-3,MIN(3,(X949-$X3)/$X4)))</f>
        <v/>
      </c>
      <c r="Z949" s="3">
        <f>IF(Y949="","",(Y949-AVERAGE(Y6:Y1198))/(STDEV(Y6:Y1198)+1E-12))</f>
        <v/>
      </c>
    </row>
    <row r="950">
      <c r="A950" t="inlineStr">
        <is>
          <t>BBG000BSLZY7</t>
        </is>
      </c>
      <c r="B950" s="3">
        <f>IF('3a Raw'!C950="","",MAX(-3,MIN(3,('3a Raw'!C950-$B3)/$B4)))</f>
        <v/>
      </c>
      <c r="C950" s="3">
        <f>IF(B950="","",(B950-AVERAGE(B6:B1198))/(STDEV(B6:B1198)+1E-12))</f>
        <v/>
      </c>
      <c r="D950" s="3">
        <f>IF('3a Raw'!D950="","",MAX(-3,MIN(3,('3a Raw'!D950-$D3)/$D4)))</f>
        <v/>
      </c>
      <c r="E950" s="3">
        <f>IF(D950="","",(D950-AVERAGE(D6:D1198))/(STDEV(D6:D1198)+1E-12))</f>
        <v/>
      </c>
      <c r="F950" s="3">
        <f>IF('3a Raw'!E950="","",MAX(-3,MIN(3,('3a Raw'!E950-$F3)/$F4)))</f>
        <v/>
      </c>
      <c r="G950" s="3">
        <f>IF(F950="","",(F950-AVERAGE(F6:F1198))/(STDEV(F6:F1198)+1E-12))</f>
        <v/>
      </c>
      <c r="H950" s="3">
        <f>IF('3a Raw'!F950="","",MAX(-3,MIN(3,('3a Raw'!F950-$H3)/$H4)))</f>
        <v/>
      </c>
      <c r="I950" s="3">
        <f>IF(H950="","",(H950-AVERAGE(H6:H1198))/(STDEV(H6:H1198)+1E-12))</f>
        <v/>
      </c>
      <c r="J950" s="3">
        <f>IF('3a Raw'!G950="","",MAX(-3,MIN(3,('3a Raw'!G950-$J3)/$J4)))</f>
        <v/>
      </c>
      <c r="K950" s="3">
        <f>IF(J950="","",(J950-AVERAGE(J6:J1198))/(STDEV(J6:J1198)+1E-12))</f>
        <v/>
      </c>
      <c r="L950" s="3">
        <f>IF('3a Raw'!H950="","",MAX(-3,MIN(3,('3a Raw'!H950-$L3)/$L4)))</f>
        <v/>
      </c>
      <c r="M950" s="3">
        <f>IF(L950="","",(L950-AVERAGE(L6:L1198))/(STDEV(L6:L1198)+1E-12))</f>
        <v/>
      </c>
      <c r="N950" s="3">
        <f>IF('3a Raw'!I950="","",MAX(-3,MIN(3,('3a Raw'!I950-$N3)/$N4)))</f>
        <v/>
      </c>
      <c r="O950" s="3">
        <f>IF(N950="","",(N950-AVERAGE(N6:N1198))/(STDEV(N6:N1198)+1E-12))</f>
        <v/>
      </c>
      <c r="P950" s="3">
        <f>IF('3a Raw'!J950="","",MAX(-3,MIN(3,('3a Raw'!J950-$P3)/$P4)))</f>
        <v/>
      </c>
      <c r="Q950" s="3">
        <f>IF(P950="","",(P950-AVERAGE(P6:P1198))/(STDEV(P6:P1198)+1E-12))</f>
        <v/>
      </c>
      <c r="R950" s="3">
        <f>IF('3a Raw'!K950="","",MAX(-3,MIN(3,('3a Raw'!K950-$R3)/$R4)))</f>
        <v/>
      </c>
      <c r="S950" s="3">
        <f>IF(R950="","",(R950-AVERAGE(R6:R1198))/(STDEV(R6:R1198)+1E-12))</f>
        <v/>
      </c>
      <c r="T950" s="3">
        <f>IF('3a Raw'!L950="","",MAX(-3,MIN(3,('3a Raw'!L950-$T3)/$T4)))</f>
        <v/>
      </c>
      <c r="U950" s="3">
        <f>IF(T950="","",(T950-AVERAGE(T6:T1198))/(STDEV(T6:T1198)+1E-12))</f>
        <v/>
      </c>
      <c r="X950" s="3">
        <f>IF(U950="","",U950-($V$3*G950+$W$3))</f>
        <v/>
      </c>
      <c r="Y950" s="3">
        <f>IF(X950="","",MAX(-3,MIN(3,(X950-$X3)/$X4)))</f>
        <v/>
      </c>
      <c r="Z950" s="3">
        <f>IF(Y950="","",(Y950-AVERAGE(Y6:Y1198))/(STDEV(Y6:Y1198)+1E-12))</f>
        <v/>
      </c>
    </row>
    <row r="951">
      <c r="A951" t="inlineStr">
        <is>
          <t>BBG000BTHH16</t>
        </is>
      </c>
      <c r="B951" s="3">
        <f>IF('3a Raw'!C951="","",MAX(-3,MIN(3,('3a Raw'!C951-$B3)/$B4)))</f>
        <v/>
      </c>
      <c r="C951" s="3">
        <f>IF(B951="","",(B951-AVERAGE(B6:B1198))/(STDEV(B6:B1198)+1E-12))</f>
        <v/>
      </c>
      <c r="D951" s="3">
        <f>IF('3a Raw'!D951="","",MAX(-3,MIN(3,('3a Raw'!D951-$D3)/$D4)))</f>
        <v/>
      </c>
      <c r="E951" s="3">
        <f>IF(D951="","",(D951-AVERAGE(D6:D1198))/(STDEV(D6:D1198)+1E-12))</f>
        <v/>
      </c>
      <c r="F951" s="3">
        <f>IF('3a Raw'!E951="","",MAX(-3,MIN(3,('3a Raw'!E951-$F3)/$F4)))</f>
        <v/>
      </c>
      <c r="G951" s="3">
        <f>IF(F951="","",(F951-AVERAGE(F6:F1198))/(STDEV(F6:F1198)+1E-12))</f>
        <v/>
      </c>
      <c r="H951" s="3">
        <f>IF('3a Raw'!F951="","",MAX(-3,MIN(3,('3a Raw'!F951-$H3)/$H4)))</f>
        <v/>
      </c>
      <c r="I951" s="3">
        <f>IF(H951="","",(H951-AVERAGE(H6:H1198))/(STDEV(H6:H1198)+1E-12))</f>
        <v/>
      </c>
      <c r="J951" s="3">
        <f>IF('3a Raw'!G951="","",MAX(-3,MIN(3,('3a Raw'!G951-$J3)/$J4)))</f>
        <v/>
      </c>
      <c r="K951" s="3">
        <f>IF(J951="","",(J951-AVERAGE(J6:J1198))/(STDEV(J6:J1198)+1E-12))</f>
        <v/>
      </c>
      <c r="L951" s="3">
        <f>IF('3a Raw'!H951="","",MAX(-3,MIN(3,('3a Raw'!H951-$L3)/$L4)))</f>
        <v/>
      </c>
      <c r="M951" s="3">
        <f>IF(L951="","",(L951-AVERAGE(L6:L1198))/(STDEV(L6:L1198)+1E-12))</f>
        <v/>
      </c>
      <c r="N951" s="3">
        <f>IF('3a Raw'!I951="","",MAX(-3,MIN(3,('3a Raw'!I951-$N3)/$N4)))</f>
        <v/>
      </c>
      <c r="O951" s="3">
        <f>IF(N951="","",(N951-AVERAGE(N6:N1198))/(STDEV(N6:N1198)+1E-12))</f>
        <v/>
      </c>
      <c r="P951" s="3">
        <f>IF('3a Raw'!J951="","",MAX(-3,MIN(3,('3a Raw'!J951-$P3)/$P4)))</f>
        <v/>
      </c>
      <c r="Q951" s="3">
        <f>IF(P951="","",(P951-AVERAGE(P6:P1198))/(STDEV(P6:P1198)+1E-12))</f>
        <v/>
      </c>
      <c r="R951" s="3">
        <f>IF('3a Raw'!K951="","",MAX(-3,MIN(3,('3a Raw'!K951-$R3)/$R4)))</f>
        <v/>
      </c>
      <c r="S951" s="3">
        <f>IF(R951="","",(R951-AVERAGE(R6:R1198))/(STDEV(R6:R1198)+1E-12))</f>
        <v/>
      </c>
      <c r="T951" s="3">
        <f>IF('3a Raw'!L951="","",MAX(-3,MIN(3,('3a Raw'!L951-$T3)/$T4)))</f>
        <v/>
      </c>
      <c r="U951" s="3">
        <f>IF(T951="","",(T951-AVERAGE(T6:T1198))/(STDEV(T6:T1198)+1E-12))</f>
        <v/>
      </c>
      <c r="X951" s="3">
        <f>IF(U951="","",U951-($V$3*G951+$W$3))</f>
        <v/>
      </c>
      <c r="Y951" s="3">
        <f>IF(X951="","",MAX(-3,MIN(3,(X951-$X3)/$X4)))</f>
        <v/>
      </c>
      <c r="Z951" s="3">
        <f>IF(Y951="","",(Y951-AVERAGE(Y6:Y1198))/(STDEV(Y6:Y1198)+1E-12))</f>
        <v/>
      </c>
    </row>
    <row r="952">
      <c r="A952" t="inlineStr">
        <is>
          <t>BBG003LB3TH0</t>
        </is>
      </c>
      <c r="B952" s="3">
        <f>IF('3a Raw'!C952="","",MAX(-3,MIN(3,('3a Raw'!C952-$B3)/$B4)))</f>
        <v/>
      </c>
      <c r="C952" s="3">
        <f>IF(B952="","",(B952-AVERAGE(B6:B1198))/(STDEV(B6:B1198)+1E-12))</f>
        <v/>
      </c>
      <c r="D952" s="3">
        <f>IF('3a Raw'!D952="","",MAX(-3,MIN(3,('3a Raw'!D952-$D3)/$D4)))</f>
        <v/>
      </c>
      <c r="E952" s="3">
        <f>IF(D952="","",(D952-AVERAGE(D6:D1198))/(STDEV(D6:D1198)+1E-12))</f>
        <v/>
      </c>
      <c r="F952" s="3">
        <f>IF('3a Raw'!E952="","",MAX(-3,MIN(3,('3a Raw'!E952-$F3)/$F4)))</f>
        <v/>
      </c>
      <c r="G952" s="3">
        <f>IF(F952="","",(F952-AVERAGE(F6:F1198))/(STDEV(F6:F1198)+1E-12))</f>
        <v/>
      </c>
      <c r="H952" s="3">
        <f>IF('3a Raw'!F952="","",MAX(-3,MIN(3,('3a Raw'!F952-$H3)/$H4)))</f>
        <v/>
      </c>
      <c r="I952" s="3">
        <f>IF(H952="","",(H952-AVERAGE(H6:H1198))/(STDEV(H6:H1198)+1E-12))</f>
        <v/>
      </c>
      <c r="J952" s="3">
        <f>IF('3a Raw'!G952="","",MAX(-3,MIN(3,('3a Raw'!G952-$J3)/$J4)))</f>
        <v/>
      </c>
      <c r="K952" s="3">
        <f>IF(J952="","",(J952-AVERAGE(J6:J1198))/(STDEV(J6:J1198)+1E-12))</f>
        <v/>
      </c>
      <c r="L952" s="3">
        <f>IF('3a Raw'!H952="","",MAX(-3,MIN(3,('3a Raw'!H952-$L3)/$L4)))</f>
        <v/>
      </c>
      <c r="M952" s="3">
        <f>IF(L952="","",(L952-AVERAGE(L6:L1198))/(STDEV(L6:L1198)+1E-12))</f>
        <v/>
      </c>
      <c r="N952" s="3">
        <f>IF('3a Raw'!I952="","",MAX(-3,MIN(3,('3a Raw'!I952-$N3)/$N4)))</f>
        <v/>
      </c>
      <c r="O952" s="3">
        <f>IF(N952="","",(N952-AVERAGE(N6:N1198))/(STDEV(N6:N1198)+1E-12))</f>
        <v/>
      </c>
      <c r="P952" s="3">
        <f>IF('3a Raw'!J952="","",MAX(-3,MIN(3,('3a Raw'!J952-$P3)/$P4)))</f>
        <v/>
      </c>
      <c r="Q952" s="3">
        <f>IF(P952="","",(P952-AVERAGE(P6:P1198))/(STDEV(P6:P1198)+1E-12))</f>
        <v/>
      </c>
      <c r="R952" s="3">
        <f>IF('3a Raw'!K952="","",MAX(-3,MIN(3,('3a Raw'!K952-$R3)/$R4)))</f>
        <v/>
      </c>
      <c r="S952" s="3">
        <f>IF(R952="","",(R952-AVERAGE(R6:R1198))/(STDEV(R6:R1198)+1E-12))</f>
        <v/>
      </c>
      <c r="T952" s="3">
        <f>IF('3a Raw'!L952="","",MAX(-3,MIN(3,('3a Raw'!L952-$T3)/$T4)))</f>
        <v/>
      </c>
      <c r="U952" s="3">
        <f>IF(T952="","",(T952-AVERAGE(T6:T1198))/(STDEV(T6:T1198)+1E-12))</f>
        <v/>
      </c>
      <c r="X952" s="3">
        <f>IF(U952="","",U952-($V$3*G952+$W$3))</f>
        <v/>
      </c>
      <c r="Y952" s="3">
        <f>IF(X952="","",MAX(-3,MIN(3,(X952-$X3)/$X4)))</f>
        <v/>
      </c>
      <c r="Z952" s="3">
        <f>IF(Y952="","",(Y952-AVERAGE(Y6:Y1198))/(STDEV(Y6:Y1198)+1E-12))</f>
        <v/>
      </c>
    </row>
    <row r="953">
      <c r="A953" t="inlineStr">
        <is>
          <t>BBG00HTBWMG5</t>
        </is>
      </c>
      <c r="B953" s="3">
        <f>IF('3a Raw'!C953="","",MAX(-3,MIN(3,('3a Raw'!C953-$B3)/$B4)))</f>
        <v/>
      </c>
      <c r="C953" s="3">
        <f>IF(B953="","",(B953-AVERAGE(B6:B1198))/(STDEV(B6:B1198)+1E-12))</f>
        <v/>
      </c>
      <c r="D953" s="3">
        <f>IF('3a Raw'!D953="","",MAX(-3,MIN(3,('3a Raw'!D953-$D3)/$D4)))</f>
        <v/>
      </c>
      <c r="E953" s="3">
        <f>IF(D953="","",(D953-AVERAGE(D6:D1198))/(STDEV(D6:D1198)+1E-12))</f>
        <v/>
      </c>
      <c r="F953" s="3">
        <f>IF('3a Raw'!E953="","",MAX(-3,MIN(3,('3a Raw'!E953-$F3)/$F4)))</f>
        <v/>
      </c>
      <c r="G953" s="3">
        <f>IF(F953="","",(F953-AVERAGE(F6:F1198))/(STDEV(F6:F1198)+1E-12))</f>
        <v/>
      </c>
      <c r="H953" s="3">
        <f>IF('3a Raw'!F953="","",MAX(-3,MIN(3,('3a Raw'!F953-$H3)/$H4)))</f>
        <v/>
      </c>
      <c r="I953" s="3">
        <f>IF(H953="","",(H953-AVERAGE(H6:H1198))/(STDEV(H6:H1198)+1E-12))</f>
        <v/>
      </c>
      <c r="J953" s="3">
        <f>IF('3a Raw'!G953="","",MAX(-3,MIN(3,('3a Raw'!G953-$J3)/$J4)))</f>
        <v/>
      </c>
      <c r="K953" s="3">
        <f>IF(J953="","",(J953-AVERAGE(J6:J1198))/(STDEV(J6:J1198)+1E-12))</f>
        <v/>
      </c>
      <c r="L953" s="3">
        <f>IF('3a Raw'!H953="","",MAX(-3,MIN(3,('3a Raw'!H953-$L3)/$L4)))</f>
        <v/>
      </c>
      <c r="M953" s="3">
        <f>IF(L953="","",(L953-AVERAGE(L6:L1198))/(STDEV(L6:L1198)+1E-12))</f>
        <v/>
      </c>
      <c r="N953" s="3">
        <f>IF('3a Raw'!I953="","",MAX(-3,MIN(3,('3a Raw'!I953-$N3)/$N4)))</f>
        <v/>
      </c>
      <c r="O953" s="3">
        <f>IF(N953="","",(N953-AVERAGE(N6:N1198))/(STDEV(N6:N1198)+1E-12))</f>
        <v/>
      </c>
      <c r="P953" s="3">
        <f>IF('3a Raw'!J953="","",MAX(-3,MIN(3,('3a Raw'!J953-$P3)/$P4)))</f>
        <v/>
      </c>
      <c r="Q953" s="3">
        <f>IF(P953="","",(P953-AVERAGE(P6:P1198))/(STDEV(P6:P1198)+1E-12))</f>
        <v/>
      </c>
      <c r="R953" s="3">
        <f>IF('3a Raw'!K953="","",MAX(-3,MIN(3,('3a Raw'!K953-$R3)/$R4)))</f>
        <v/>
      </c>
      <c r="S953" s="3">
        <f>IF(R953="","",(R953-AVERAGE(R6:R1198))/(STDEV(R6:R1198)+1E-12))</f>
        <v/>
      </c>
      <c r="T953" s="3">
        <f>IF('3a Raw'!L953="","",MAX(-3,MIN(3,('3a Raw'!L953-$T3)/$T4)))</f>
        <v/>
      </c>
      <c r="U953" s="3">
        <f>IF(T953="","",(T953-AVERAGE(T6:T1198))/(STDEV(T6:T1198)+1E-12))</f>
        <v/>
      </c>
      <c r="X953" s="3">
        <f>IF(U953="","",U953-($V$3*G953+$W$3))</f>
        <v/>
      </c>
      <c r="Y953" s="3">
        <f>IF(X953="","",MAX(-3,MIN(3,(X953-$X3)/$X4)))</f>
        <v/>
      </c>
      <c r="Z953" s="3">
        <f>IF(Y953="","",(Y953-AVERAGE(Y6:Y1198))/(STDEV(Y6:Y1198)+1E-12))</f>
        <v/>
      </c>
    </row>
    <row r="954">
      <c r="A954" t="inlineStr">
        <is>
          <t>BBG0084BBZY6</t>
        </is>
      </c>
      <c r="B954" s="3">
        <f>IF('3a Raw'!C954="","",MAX(-3,MIN(3,('3a Raw'!C954-$B3)/$B4)))</f>
        <v/>
      </c>
      <c r="C954" s="3">
        <f>IF(B954="","",(B954-AVERAGE(B6:B1198))/(STDEV(B6:B1198)+1E-12))</f>
        <v/>
      </c>
      <c r="D954" s="3">
        <f>IF('3a Raw'!D954="","",MAX(-3,MIN(3,('3a Raw'!D954-$D3)/$D4)))</f>
        <v/>
      </c>
      <c r="E954" s="3">
        <f>IF(D954="","",(D954-AVERAGE(D6:D1198))/(STDEV(D6:D1198)+1E-12))</f>
        <v/>
      </c>
      <c r="F954" s="3">
        <f>IF('3a Raw'!E954="","",MAX(-3,MIN(3,('3a Raw'!E954-$F3)/$F4)))</f>
        <v/>
      </c>
      <c r="G954" s="3">
        <f>IF(F954="","",(F954-AVERAGE(F6:F1198))/(STDEV(F6:F1198)+1E-12))</f>
        <v/>
      </c>
      <c r="H954" s="3">
        <f>IF('3a Raw'!F954="","",MAX(-3,MIN(3,('3a Raw'!F954-$H3)/$H4)))</f>
        <v/>
      </c>
      <c r="I954" s="3">
        <f>IF(H954="","",(H954-AVERAGE(H6:H1198))/(STDEV(H6:H1198)+1E-12))</f>
        <v/>
      </c>
      <c r="J954" s="3">
        <f>IF('3a Raw'!G954="","",MAX(-3,MIN(3,('3a Raw'!G954-$J3)/$J4)))</f>
        <v/>
      </c>
      <c r="K954" s="3">
        <f>IF(J954="","",(J954-AVERAGE(J6:J1198))/(STDEV(J6:J1198)+1E-12))</f>
        <v/>
      </c>
      <c r="L954" s="3">
        <f>IF('3a Raw'!H954="","",MAX(-3,MIN(3,('3a Raw'!H954-$L3)/$L4)))</f>
        <v/>
      </c>
      <c r="M954" s="3">
        <f>IF(L954="","",(L954-AVERAGE(L6:L1198))/(STDEV(L6:L1198)+1E-12))</f>
        <v/>
      </c>
      <c r="N954" s="3">
        <f>IF('3a Raw'!I954="","",MAX(-3,MIN(3,('3a Raw'!I954-$N3)/$N4)))</f>
        <v/>
      </c>
      <c r="O954" s="3">
        <f>IF(N954="","",(N954-AVERAGE(N6:N1198))/(STDEV(N6:N1198)+1E-12))</f>
        <v/>
      </c>
      <c r="P954" s="3">
        <f>IF('3a Raw'!J954="","",MAX(-3,MIN(3,('3a Raw'!J954-$P3)/$P4)))</f>
        <v/>
      </c>
      <c r="Q954" s="3">
        <f>IF(P954="","",(P954-AVERAGE(P6:P1198))/(STDEV(P6:P1198)+1E-12))</f>
        <v/>
      </c>
      <c r="R954" s="3">
        <f>IF('3a Raw'!K954="","",MAX(-3,MIN(3,('3a Raw'!K954-$R3)/$R4)))</f>
        <v/>
      </c>
      <c r="S954" s="3">
        <f>IF(R954="","",(R954-AVERAGE(R6:R1198))/(STDEV(R6:R1198)+1E-12))</f>
        <v/>
      </c>
      <c r="T954" s="3">
        <f>IF('3a Raw'!L954="","",MAX(-3,MIN(3,('3a Raw'!L954-$T3)/$T4)))</f>
        <v/>
      </c>
      <c r="U954" s="3">
        <f>IF(T954="","",(T954-AVERAGE(T6:T1198))/(STDEV(T6:T1198)+1E-12))</f>
        <v/>
      </c>
      <c r="X954" s="3">
        <f>IF(U954="","",U954-($V$3*G954+$W$3))</f>
        <v/>
      </c>
      <c r="Y954" s="3">
        <f>IF(X954="","",MAX(-3,MIN(3,(X954-$X3)/$X4)))</f>
        <v/>
      </c>
      <c r="Z954" s="3">
        <f>IF(Y954="","",(Y954-AVERAGE(Y6:Y1198))/(STDEV(Y6:Y1198)+1E-12))</f>
        <v/>
      </c>
    </row>
    <row r="955">
      <c r="A955" t="inlineStr">
        <is>
          <t>BBG000QCHMH9</t>
        </is>
      </c>
      <c r="B955" s="3">
        <f>IF('3a Raw'!C955="","",MAX(-3,MIN(3,('3a Raw'!C955-$B3)/$B4)))</f>
        <v/>
      </c>
      <c r="C955" s="3">
        <f>IF(B955="","",(B955-AVERAGE(B6:B1198))/(STDEV(B6:B1198)+1E-12))</f>
        <v/>
      </c>
      <c r="D955" s="3">
        <f>IF('3a Raw'!D955="","",MAX(-3,MIN(3,('3a Raw'!D955-$D3)/$D4)))</f>
        <v/>
      </c>
      <c r="E955" s="3">
        <f>IF(D955="","",(D955-AVERAGE(D6:D1198))/(STDEV(D6:D1198)+1E-12))</f>
        <v/>
      </c>
      <c r="F955" s="3">
        <f>IF('3a Raw'!E955="","",MAX(-3,MIN(3,('3a Raw'!E955-$F3)/$F4)))</f>
        <v/>
      </c>
      <c r="G955" s="3">
        <f>IF(F955="","",(F955-AVERAGE(F6:F1198))/(STDEV(F6:F1198)+1E-12))</f>
        <v/>
      </c>
      <c r="H955" s="3">
        <f>IF('3a Raw'!F955="","",MAX(-3,MIN(3,('3a Raw'!F955-$H3)/$H4)))</f>
        <v/>
      </c>
      <c r="I955" s="3">
        <f>IF(H955="","",(H955-AVERAGE(H6:H1198))/(STDEV(H6:H1198)+1E-12))</f>
        <v/>
      </c>
      <c r="J955" s="3">
        <f>IF('3a Raw'!G955="","",MAX(-3,MIN(3,('3a Raw'!G955-$J3)/$J4)))</f>
        <v/>
      </c>
      <c r="K955" s="3">
        <f>IF(J955="","",(J955-AVERAGE(J6:J1198))/(STDEV(J6:J1198)+1E-12))</f>
        <v/>
      </c>
      <c r="L955" s="3">
        <f>IF('3a Raw'!H955="","",MAX(-3,MIN(3,('3a Raw'!H955-$L3)/$L4)))</f>
        <v/>
      </c>
      <c r="M955" s="3">
        <f>IF(L955="","",(L955-AVERAGE(L6:L1198))/(STDEV(L6:L1198)+1E-12))</f>
        <v/>
      </c>
      <c r="N955" s="3">
        <f>IF('3a Raw'!I955="","",MAX(-3,MIN(3,('3a Raw'!I955-$N3)/$N4)))</f>
        <v/>
      </c>
      <c r="O955" s="3">
        <f>IF(N955="","",(N955-AVERAGE(N6:N1198))/(STDEV(N6:N1198)+1E-12))</f>
        <v/>
      </c>
      <c r="P955" s="3">
        <f>IF('3a Raw'!J955="","",MAX(-3,MIN(3,('3a Raw'!J955-$P3)/$P4)))</f>
        <v/>
      </c>
      <c r="Q955" s="3">
        <f>IF(P955="","",(P955-AVERAGE(P6:P1198))/(STDEV(P6:P1198)+1E-12))</f>
        <v/>
      </c>
      <c r="R955" s="3">
        <f>IF('3a Raw'!K955="","",MAX(-3,MIN(3,('3a Raw'!K955-$R3)/$R4)))</f>
        <v/>
      </c>
      <c r="S955" s="3">
        <f>IF(R955="","",(R955-AVERAGE(R6:R1198))/(STDEV(R6:R1198)+1E-12))</f>
        <v/>
      </c>
      <c r="T955" s="3">
        <f>IF('3a Raw'!L955="","",MAX(-3,MIN(3,('3a Raw'!L955-$T3)/$T4)))</f>
        <v/>
      </c>
      <c r="U955" s="3">
        <f>IF(T955="","",(T955-AVERAGE(T6:T1198))/(STDEV(T6:T1198)+1E-12))</f>
        <v/>
      </c>
      <c r="X955" s="3">
        <f>IF(U955="","",U955-($V$3*G955+$W$3))</f>
        <v/>
      </c>
      <c r="Y955" s="3">
        <f>IF(X955="","",MAX(-3,MIN(3,(X955-$X3)/$X4)))</f>
        <v/>
      </c>
      <c r="Z955" s="3">
        <f>IF(Y955="","",(Y955-AVERAGE(Y6:Y1198))/(STDEV(Y6:Y1198)+1E-12))</f>
        <v/>
      </c>
    </row>
    <row r="956">
      <c r="A956" t="inlineStr">
        <is>
          <t>BBG014WY1V28</t>
        </is>
      </c>
      <c r="B956" s="3">
        <f>IF('3a Raw'!C956="","",MAX(-3,MIN(3,('3a Raw'!C956-$B3)/$B4)))</f>
        <v/>
      </c>
      <c r="C956" s="3">
        <f>IF(B956="","",(B956-AVERAGE(B6:B1198))/(STDEV(B6:B1198)+1E-12))</f>
        <v/>
      </c>
      <c r="D956" s="3">
        <f>IF('3a Raw'!D956="","",MAX(-3,MIN(3,('3a Raw'!D956-$D3)/$D4)))</f>
        <v/>
      </c>
      <c r="E956" s="3">
        <f>IF(D956="","",(D956-AVERAGE(D6:D1198))/(STDEV(D6:D1198)+1E-12))</f>
        <v/>
      </c>
      <c r="F956" s="3">
        <f>IF('3a Raw'!E956="","",MAX(-3,MIN(3,('3a Raw'!E956-$F3)/$F4)))</f>
        <v/>
      </c>
      <c r="G956" s="3">
        <f>IF(F956="","",(F956-AVERAGE(F6:F1198))/(STDEV(F6:F1198)+1E-12))</f>
        <v/>
      </c>
      <c r="H956" s="3">
        <f>IF('3a Raw'!F956="","",MAX(-3,MIN(3,('3a Raw'!F956-$H3)/$H4)))</f>
        <v/>
      </c>
      <c r="I956" s="3">
        <f>IF(H956="","",(H956-AVERAGE(H6:H1198))/(STDEV(H6:H1198)+1E-12))</f>
        <v/>
      </c>
      <c r="J956" s="3">
        <f>IF('3a Raw'!G956="","",MAX(-3,MIN(3,('3a Raw'!G956-$J3)/$J4)))</f>
        <v/>
      </c>
      <c r="K956" s="3">
        <f>IF(J956="","",(J956-AVERAGE(J6:J1198))/(STDEV(J6:J1198)+1E-12))</f>
        <v/>
      </c>
      <c r="L956" s="3">
        <f>IF('3a Raw'!H956="","",MAX(-3,MIN(3,('3a Raw'!H956-$L3)/$L4)))</f>
        <v/>
      </c>
      <c r="M956" s="3">
        <f>IF(L956="","",(L956-AVERAGE(L6:L1198))/(STDEV(L6:L1198)+1E-12))</f>
        <v/>
      </c>
      <c r="N956" s="3">
        <f>IF('3a Raw'!I956="","",MAX(-3,MIN(3,('3a Raw'!I956-$N3)/$N4)))</f>
        <v/>
      </c>
      <c r="O956" s="3">
        <f>IF(N956="","",(N956-AVERAGE(N6:N1198))/(STDEV(N6:N1198)+1E-12))</f>
        <v/>
      </c>
      <c r="P956" s="3">
        <f>IF('3a Raw'!J956="","",MAX(-3,MIN(3,('3a Raw'!J956-$P3)/$P4)))</f>
        <v/>
      </c>
      <c r="Q956" s="3">
        <f>IF(P956="","",(P956-AVERAGE(P6:P1198))/(STDEV(P6:P1198)+1E-12))</f>
        <v/>
      </c>
      <c r="R956" s="3">
        <f>IF('3a Raw'!K956="","",MAX(-3,MIN(3,('3a Raw'!K956-$R3)/$R4)))</f>
        <v/>
      </c>
      <c r="S956" s="3">
        <f>IF(R956="","",(R956-AVERAGE(R6:R1198))/(STDEV(R6:R1198)+1E-12))</f>
        <v/>
      </c>
      <c r="T956" s="3">
        <f>IF('3a Raw'!L956="","",MAX(-3,MIN(3,('3a Raw'!L956-$T3)/$T4)))</f>
        <v/>
      </c>
      <c r="U956" s="3">
        <f>IF(T956="","",(T956-AVERAGE(T6:T1198))/(STDEV(T6:T1198)+1E-12))</f>
        <v/>
      </c>
      <c r="X956" s="3">
        <f>IF(U956="","",U956-($V$3*G956+$W$3))</f>
        <v/>
      </c>
      <c r="Y956" s="3">
        <f>IF(X956="","",MAX(-3,MIN(3,(X956-$X3)/$X4)))</f>
        <v/>
      </c>
      <c r="Z956" s="3">
        <f>IF(Y956="","",(Y956-AVERAGE(Y6:Y1198))/(STDEV(Y6:Y1198)+1E-12))</f>
        <v/>
      </c>
    </row>
    <row r="957">
      <c r="A957" t="inlineStr">
        <is>
          <t>BBG000FB8PF8</t>
        </is>
      </c>
      <c r="B957" s="3">
        <f>IF('3a Raw'!C957="","",MAX(-3,MIN(3,('3a Raw'!C957-$B3)/$B4)))</f>
        <v/>
      </c>
      <c r="C957" s="3">
        <f>IF(B957="","",(B957-AVERAGE(B6:B1198))/(STDEV(B6:B1198)+1E-12))</f>
        <v/>
      </c>
      <c r="D957" s="3">
        <f>IF('3a Raw'!D957="","",MAX(-3,MIN(3,('3a Raw'!D957-$D3)/$D4)))</f>
        <v/>
      </c>
      <c r="E957" s="3">
        <f>IF(D957="","",(D957-AVERAGE(D6:D1198))/(STDEV(D6:D1198)+1E-12))</f>
        <v/>
      </c>
      <c r="F957" s="3">
        <f>IF('3a Raw'!E957="","",MAX(-3,MIN(3,('3a Raw'!E957-$F3)/$F4)))</f>
        <v/>
      </c>
      <c r="G957" s="3">
        <f>IF(F957="","",(F957-AVERAGE(F6:F1198))/(STDEV(F6:F1198)+1E-12))</f>
        <v/>
      </c>
      <c r="H957" s="3">
        <f>IF('3a Raw'!F957="","",MAX(-3,MIN(3,('3a Raw'!F957-$H3)/$H4)))</f>
        <v/>
      </c>
      <c r="I957" s="3">
        <f>IF(H957="","",(H957-AVERAGE(H6:H1198))/(STDEV(H6:H1198)+1E-12))</f>
        <v/>
      </c>
      <c r="J957" s="3">
        <f>IF('3a Raw'!G957="","",MAX(-3,MIN(3,('3a Raw'!G957-$J3)/$J4)))</f>
        <v/>
      </c>
      <c r="K957" s="3">
        <f>IF(J957="","",(J957-AVERAGE(J6:J1198))/(STDEV(J6:J1198)+1E-12))</f>
        <v/>
      </c>
      <c r="L957" s="3">
        <f>IF('3a Raw'!H957="","",MAX(-3,MIN(3,('3a Raw'!H957-$L3)/$L4)))</f>
        <v/>
      </c>
      <c r="M957" s="3">
        <f>IF(L957="","",(L957-AVERAGE(L6:L1198))/(STDEV(L6:L1198)+1E-12))</f>
        <v/>
      </c>
      <c r="N957" s="3">
        <f>IF('3a Raw'!I957="","",MAX(-3,MIN(3,('3a Raw'!I957-$N3)/$N4)))</f>
        <v/>
      </c>
      <c r="O957" s="3">
        <f>IF(N957="","",(N957-AVERAGE(N6:N1198))/(STDEV(N6:N1198)+1E-12))</f>
        <v/>
      </c>
      <c r="P957" s="3">
        <f>IF('3a Raw'!J957="","",MAX(-3,MIN(3,('3a Raw'!J957-$P3)/$P4)))</f>
        <v/>
      </c>
      <c r="Q957" s="3">
        <f>IF(P957="","",(P957-AVERAGE(P6:P1198))/(STDEV(P6:P1198)+1E-12))</f>
        <v/>
      </c>
      <c r="R957" s="3">
        <f>IF('3a Raw'!K957="","",MAX(-3,MIN(3,('3a Raw'!K957-$R3)/$R4)))</f>
        <v/>
      </c>
      <c r="S957" s="3">
        <f>IF(R957="","",(R957-AVERAGE(R6:R1198))/(STDEV(R6:R1198)+1E-12))</f>
        <v/>
      </c>
      <c r="T957" s="3">
        <f>IF('3a Raw'!L957="","",MAX(-3,MIN(3,('3a Raw'!L957-$T3)/$T4)))</f>
        <v/>
      </c>
      <c r="U957" s="3">
        <f>IF(T957="","",(T957-AVERAGE(T6:T1198))/(STDEV(T6:T1198)+1E-12))</f>
        <v/>
      </c>
      <c r="X957" s="3">
        <f>IF(U957="","",U957-($V$3*G957+$W$3))</f>
        <v/>
      </c>
      <c r="Y957" s="3">
        <f>IF(X957="","",MAX(-3,MIN(3,(X957-$X3)/$X4)))</f>
        <v/>
      </c>
      <c r="Z957" s="3">
        <f>IF(Y957="","",(Y957-AVERAGE(Y6:Y1198))/(STDEV(Y6:Y1198)+1E-12))</f>
        <v/>
      </c>
    </row>
    <row r="958">
      <c r="A958" t="inlineStr">
        <is>
          <t>BBG01RMP2W97</t>
        </is>
      </c>
      <c r="B958" s="3">
        <f>IF('3a Raw'!C958="","",MAX(-3,MIN(3,('3a Raw'!C958-$B3)/$B4)))</f>
        <v/>
      </c>
      <c r="C958" s="3">
        <f>IF(B958="","",(B958-AVERAGE(B6:B1198))/(STDEV(B6:B1198)+1E-12))</f>
        <v/>
      </c>
      <c r="D958" s="3">
        <f>IF('3a Raw'!D958="","",MAX(-3,MIN(3,('3a Raw'!D958-$D3)/$D4)))</f>
        <v/>
      </c>
      <c r="E958" s="3">
        <f>IF(D958="","",(D958-AVERAGE(D6:D1198))/(STDEV(D6:D1198)+1E-12))</f>
        <v/>
      </c>
      <c r="F958" s="3">
        <f>IF('3a Raw'!E958="","",MAX(-3,MIN(3,('3a Raw'!E958-$F3)/$F4)))</f>
        <v/>
      </c>
      <c r="G958" s="3">
        <f>IF(F958="","",(F958-AVERAGE(F6:F1198))/(STDEV(F6:F1198)+1E-12))</f>
        <v/>
      </c>
      <c r="H958" s="3">
        <f>IF('3a Raw'!F958="","",MAX(-3,MIN(3,('3a Raw'!F958-$H3)/$H4)))</f>
        <v/>
      </c>
      <c r="I958" s="3">
        <f>IF(H958="","",(H958-AVERAGE(H6:H1198))/(STDEV(H6:H1198)+1E-12))</f>
        <v/>
      </c>
      <c r="J958" s="3">
        <f>IF('3a Raw'!G958="","",MAX(-3,MIN(3,('3a Raw'!G958-$J3)/$J4)))</f>
        <v/>
      </c>
      <c r="K958" s="3">
        <f>IF(J958="","",(J958-AVERAGE(J6:J1198))/(STDEV(J6:J1198)+1E-12))</f>
        <v/>
      </c>
      <c r="L958" s="3">
        <f>IF('3a Raw'!H958="","",MAX(-3,MIN(3,('3a Raw'!H958-$L3)/$L4)))</f>
        <v/>
      </c>
      <c r="M958" s="3">
        <f>IF(L958="","",(L958-AVERAGE(L6:L1198))/(STDEV(L6:L1198)+1E-12))</f>
        <v/>
      </c>
      <c r="N958" s="3">
        <f>IF('3a Raw'!I958="","",MAX(-3,MIN(3,('3a Raw'!I958-$N3)/$N4)))</f>
        <v/>
      </c>
      <c r="O958" s="3">
        <f>IF(N958="","",(N958-AVERAGE(N6:N1198))/(STDEV(N6:N1198)+1E-12))</f>
        <v/>
      </c>
      <c r="P958" s="3">
        <f>IF('3a Raw'!J958="","",MAX(-3,MIN(3,('3a Raw'!J958-$P3)/$P4)))</f>
        <v/>
      </c>
      <c r="Q958" s="3">
        <f>IF(P958="","",(P958-AVERAGE(P6:P1198))/(STDEV(P6:P1198)+1E-12))</f>
        <v/>
      </c>
      <c r="R958" s="3">
        <f>IF('3a Raw'!K958="","",MAX(-3,MIN(3,('3a Raw'!K958-$R3)/$R4)))</f>
        <v/>
      </c>
      <c r="S958" s="3">
        <f>IF(R958="","",(R958-AVERAGE(R6:R1198))/(STDEV(R6:R1198)+1E-12))</f>
        <v/>
      </c>
      <c r="T958" s="3">
        <f>IF('3a Raw'!L958="","",MAX(-3,MIN(3,('3a Raw'!L958-$T3)/$T4)))</f>
        <v/>
      </c>
      <c r="U958" s="3">
        <f>IF(T958="","",(T958-AVERAGE(T6:T1198))/(STDEV(T6:T1198)+1E-12))</f>
        <v/>
      </c>
      <c r="X958" s="3">
        <f>IF(U958="","",U958-($V$3*G958+$W$3))</f>
        <v/>
      </c>
      <c r="Y958" s="3">
        <f>IF(X958="","",MAX(-3,MIN(3,(X958-$X3)/$X4)))</f>
        <v/>
      </c>
      <c r="Z958" s="3">
        <f>IF(Y958="","",(Y958-AVERAGE(Y6:Y1198))/(STDEV(Y6:Y1198)+1E-12))</f>
        <v/>
      </c>
    </row>
    <row r="959">
      <c r="A959" t="inlineStr">
        <is>
          <t>BBG001KFKQM7</t>
        </is>
      </c>
      <c r="B959" s="3">
        <f>IF('3a Raw'!C959="","",MAX(-3,MIN(3,('3a Raw'!C959-$B3)/$B4)))</f>
        <v/>
      </c>
      <c r="C959" s="3">
        <f>IF(B959="","",(B959-AVERAGE(B6:B1198))/(STDEV(B6:B1198)+1E-12))</f>
        <v/>
      </c>
      <c r="D959" s="3">
        <f>IF('3a Raw'!D959="","",MAX(-3,MIN(3,('3a Raw'!D959-$D3)/$D4)))</f>
        <v/>
      </c>
      <c r="E959" s="3">
        <f>IF(D959="","",(D959-AVERAGE(D6:D1198))/(STDEV(D6:D1198)+1E-12))</f>
        <v/>
      </c>
      <c r="F959" s="3">
        <f>IF('3a Raw'!E959="","",MAX(-3,MIN(3,('3a Raw'!E959-$F3)/$F4)))</f>
        <v/>
      </c>
      <c r="G959" s="3">
        <f>IF(F959="","",(F959-AVERAGE(F6:F1198))/(STDEV(F6:F1198)+1E-12))</f>
        <v/>
      </c>
      <c r="H959" s="3">
        <f>IF('3a Raw'!F959="","",MAX(-3,MIN(3,('3a Raw'!F959-$H3)/$H4)))</f>
        <v/>
      </c>
      <c r="I959" s="3">
        <f>IF(H959="","",(H959-AVERAGE(H6:H1198))/(STDEV(H6:H1198)+1E-12))</f>
        <v/>
      </c>
      <c r="J959" s="3">
        <f>IF('3a Raw'!G959="","",MAX(-3,MIN(3,('3a Raw'!G959-$J3)/$J4)))</f>
        <v/>
      </c>
      <c r="K959" s="3">
        <f>IF(J959="","",(J959-AVERAGE(J6:J1198))/(STDEV(J6:J1198)+1E-12))</f>
        <v/>
      </c>
      <c r="L959" s="3">
        <f>IF('3a Raw'!H959="","",MAX(-3,MIN(3,('3a Raw'!H959-$L3)/$L4)))</f>
        <v/>
      </c>
      <c r="M959" s="3">
        <f>IF(L959="","",(L959-AVERAGE(L6:L1198))/(STDEV(L6:L1198)+1E-12))</f>
        <v/>
      </c>
      <c r="N959" s="3">
        <f>IF('3a Raw'!I959="","",MAX(-3,MIN(3,('3a Raw'!I959-$N3)/$N4)))</f>
        <v/>
      </c>
      <c r="O959" s="3">
        <f>IF(N959="","",(N959-AVERAGE(N6:N1198))/(STDEV(N6:N1198)+1E-12))</f>
        <v/>
      </c>
      <c r="P959" s="3">
        <f>IF('3a Raw'!J959="","",MAX(-3,MIN(3,('3a Raw'!J959-$P3)/$P4)))</f>
        <v/>
      </c>
      <c r="Q959" s="3">
        <f>IF(P959="","",(P959-AVERAGE(P6:P1198))/(STDEV(P6:P1198)+1E-12))</f>
        <v/>
      </c>
      <c r="R959" s="3">
        <f>IF('3a Raw'!K959="","",MAX(-3,MIN(3,('3a Raw'!K959-$R3)/$R4)))</f>
        <v/>
      </c>
      <c r="S959" s="3">
        <f>IF(R959="","",(R959-AVERAGE(R6:R1198))/(STDEV(R6:R1198)+1E-12))</f>
        <v/>
      </c>
      <c r="T959" s="3">
        <f>IF('3a Raw'!L959="","",MAX(-3,MIN(3,('3a Raw'!L959-$T3)/$T4)))</f>
        <v/>
      </c>
      <c r="U959" s="3">
        <f>IF(T959="","",(T959-AVERAGE(T6:T1198))/(STDEV(T6:T1198)+1E-12))</f>
        <v/>
      </c>
      <c r="X959" s="3">
        <f>IF(U959="","",U959-($V$3*G959+$W$3))</f>
        <v/>
      </c>
      <c r="Y959" s="3">
        <f>IF(X959="","",MAX(-3,MIN(3,(X959-$X3)/$X4)))</f>
        <v/>
      </c>
      <c r="Z959" s="3">
        <f>IF(Y959="","",(Y959-AVERAGE(Y6:Y1198))/(STDEV(Y6:Y1198)+1E-12))</f>
        <v/>
      </c>
    </row>
    <row r="960">
      <c r="A960" t="inlineStr">
        <is>
          <t>BBG000BSTBM5</t>
        </is>
      </c>
      <c r="B960" s="3">
        <f>IF('3a Raw'!C960="","",MAX(-3,MIN(3,('3a Raw'!C960-$B3)/$B4)))</f>
        <v/>
      </c>
      <c r="C960" s="3">
        <f>IF(B960="","",(B960-AVERAGE(B6:B1198))/(STDEV(B6:B1198)+1E-12))</f>
        <v/>
      </c>
      <c r="D960" s="3">
        <f>IF('3a Raw'!D960="","",MAX(-3,MIN(3,('3a Raw'!D960-$D3)/$D4)))</f>
        <v/>
      </c>
      <c r="E960" s="3">
        <f>IF(D960="","",(D960-AVERAGE(D6:D1198))/(STDEV(D6:D1198)+1E-12))</f>
        <v/>
      </c>
      <c r="F960" s="3">
        <f>IF('3a Raw'!E960="","",MAX(-3,MIN(3,('3a Raw'!E960-$F3)/$F4)))</f>
        <v/>
      </c>
      <c r="G960" s="3">
        <f>IF(F960="","",(F960-AVERAGE(F6:F1198))/(STDEV(F6:F1198)+1E-12))</f>
        <v/>
      </c>
      <c r="H960" s="3">
        <f>IF('3a Raw'!F960="","",MAX(-3,MIN(3,('3a Raw'!F960-$H3)/$H4)))</f>
        <v/>
      </c>
      <c r="I960" s="3">
        <f>IF(H960="","",(H960-AVERAGE(H6:H1198))/(STDEV(H6:H1198)+1E-12))</f>
        <v/>
      </c>
      <c r="J960" s="3">
        <f>IF('3a Raw'!G960="","",MAX(-3,MIN(3,('3a Raw'!G960-$J3)/$J4)))</f>
        <v/>
      </c>
      <c r="K960" s="3">
        <f>IF(J960="","",(J960-AVERAGE(J6:J1198))/(STDEV(J6:J1198)+1E-12))</f>
        <v/>
      </c>
      <c r="L960" s="3">
        <f>IF('3a Raw'!H960="","",MAX(-3,MIN(3,('3a Raw'!H960-$L3)/$L4)))</f>
        <v/>
      </c>
      <c r="M960" s="3">
        <f>IF(L960="","",(L960-AVERAGE(L6:L1198))/(STDEV(L6:L1198)+1E-12))</f>
        <v/>
      </c>
      <c r="N960" s="3">
        <f>IF('3a Raw'!I960="","",MAX(-3,MIN(3,('3a Raw'!I960-$N3)/$N4)))</f>
        <v/>
      </c>
      <c r="O960" s="3">
        <f>IF(N960="","",(N960-AVERAGE(N6:N1198))/(STDEV(N6:N1198)+1E-12))</f>
        <v/>
      </c>
      <c r="P960" s="3">
        <f>IF('3a Raw'!J960="","",MAX(-3,MIN(3,('3a Raw'!J960-$P3)/$P4)))</f>
        <v/>
      </c>
      <c r="Q960" s="3">
        <f>IF(P960="","",(P960-AVERAGE(P6:P1198))/(STDEV(P6:P1198)+1E-12))</f>
        <v/>
      </c>
      <c r="R960" s="3">
        <f>IF('3a Raw'!K960="","",MAX(-3,MIN(3,('3a Raw'!K960-$R3)/$R4)))</f>
        <v/>
      </c>
      <c r="S960" s="3">
        <f>IF(R960="","",(R960-AVERAGE(R6:R1198))/(STDEV(R6:R1198)+1E-12))</f>
        <v/>
      </c>
      <c r="T960" s="3">
        <f>IF('3a Raw'!L960="","",MAX(-3,MIN(3,('3a Raw'!L960-$T3)/$T4)))</f>
        <v/>
      </c>
      <c r="U960" s="3">
        <f>IF(T960="","",(T960-AVERAGE(T6:T1198))/(STDEV(T6:T1198)+1E-12))</f>
        <v/>
      </c>
      <c r="X960" s="3">
        <f>IF(U960="","",U960-($V$3*G960+$W$3))</f>
        <v/>
      </c>
      <c r="Y960" s="3">
        <f>IF(X960="","",MAX(-3,MIN(3,(X960-$X3)/$X4)))</f>
        <v/>
      </c>
      <c r="Z960" s="3">
        <f>IF(Y960="","",(Y960-AVERAGE(Y6:Y1198))/(STDEV(Y6:Y1198)+1E-12))</f>
        <v/>
      </c>
    </row>
    <row r="961">
      <c r="A961" t="inlineStr">
        <is>
          <t>BBG000PXGT62</t>
        </is>
      </c>
      <c r="B961" s="3">
        <f>IF('3a Raw'!C961="","",MAX(-3,MIN(3,('3a Raw'!C961-$B3)/$B4)))</f>
        <v/>
      </c>
      <c r="C961" s="3">
        <f>IF(B961="","",(B961-AVERAGE(B6:B1198))/(STDEV(B6:B1198)+1E-12))</f>
        <v/>
      </c>
      <c r="D961" s="3">
        <f>IF('3a Raw'!D961="","",MAX(-3,MIN(3,('3a Raw'!D961-$D3)/$D4)))</f>
        <v/>
      </c>
      <c r="E961" s="3">
        <f>IF(D961="","",(D961-AVERAGE(D6:D1198))/(STDEV(D6:D1198)+1E-12))</f>
        <v/>
      </c>
      <c r="F961" s="3">
        <f>IF('3a Raw'!E961="","",MAX(-3,MIN(3,('3a Raw'!E961-$F3)/$F4)))</f>
        <v/>
      </c>
      <c r="G961" s="3">
        <f>IF(F961="","",(F961-AVERAGE(F6:F1198))/(STDEV(F6:F1198)+1E-12))</f>
        <v/>
      </c>
      <c r="H961" s="3">
        <f>IF('3a Raw'!F961="","",MAX(-3,MIN(3,('3a Raw'!F961-$H3)/$H4)))</f>
        <v/>
      </c>
      <c r="I961" s="3">
        <f>IF(H961="","",(H961-AVERAGE(H6:H1198))/(STDEV(H6:H1198)+1E-12))</f>
        <v/>
      </c>
      <c r="J961" s="3">
        <f>IF('3a Raw'!G961="","",MAX(-3,MIN(3,('3a Raw'!G961-$J3)/$J4)))</f>
        <v/>
      </c>
      <c r="K961" s="3">
        <f>IF(J961="","",(J961-AVERAGE(J6:J1198))/(STDEV(J6:J1198)+1E-12))</f>
        <v/>
      </c>
      <c r="L961" s="3">
        <f>IF('3a Raw'!H961="","",MAX(-3,MIN(3,('3a Raw'!H961-$L3)/$L4)))</f>
        <v/>
      </c>
      <c r="M961" s="3">
        <f>IF(L961="","",(L961-AVERAGE(L6:L1198))/(STDEV(L6:L1198)+1E-12))</f>
        <v/>
      </c>
      <c r="N961" s="3">
        <f>IF('3a Raw'!I961="","",MAX(-3,MIN(3,('3a Raw'!I961-$N3)/$N4)))</f>
        <v/>
      </c>
      <c r="O961" s="3">
        <f>IF(N961="","",(N961-AVERAGE(N6:N1198))/(STDEV(N6:N1198)+1E-12))</f>
        <v/>
      </c>
      <c r="P961" s="3">
        <f>IF('3a Raw'!J961="","",MAX(-3,MIN(3,('3a Raw'!J961-$P3)/$P4)))</f>
        <v/>
      </c>
      <c r="Q961" s="3">
        <f>IF(P961="","",(P961-AVERAGE(P6:P1198))/(STDEV(P6:P1198)+1E-12))</f>
        <v/>
      </c>
      <c r="R961" s="3">
        <f>IF('3a Raw'!K961="","",MAX(-3,MIN(3,('3a Raw'!K961-$R3)/$R4)))</f>
        <v/>
      </c>
      <c r="S961" s="3">
        <f>IF(R961="","",(R961-AVERAGE(R6:R1198))/(STDEV(R6:R1198)+1E-12))</f>
        <v/>
      </c>
      <c r="T961" s="3">
        <f>IF('3a Raw'!L961="","",MAX(-3,MIN(3,('3a Raw'!L961-$T3)/$T4)))</f>
        <v/>
      </c>
      <c r="U961" s="3">
        <f>IF(T961="","",(T961-AVERAGE(T6:T1198))/(STDEV(T6:T1198)+1E-12))</f>
        <v/>
      </c>
      <c r="X961" s="3">
        <f>IF(U961="","",U961-($V$3*G961+$W$3))</f>
        <v/>
      </c>
      <c r="Y961" s="3">
        <f>IF(X961="","",MAX(-3,MIN(3,(X961-$X3)/$X4)))</f>
        <v/>
      </c>
      <c r="Z961" s="3">
        <f>IF(Y961="","",(Y961-AVERAGE(Y6:Y1198))/(STDEV(Y6:Y1198)+1E-12))</f>
        <v/>
      </c>
    </row>
    <row r="962">
      <c r="A962" t="inlineStr">
        <is>
          <t>BBG009T0TKV8</t>
        </is>
      </c>
      <c r="B962" s="3">
        <f>IF('3a Raw'!C962="","",MAX(-3,MIN(3,('3a Raw'!C962-$B3)/$B4)))</f>
        <v/>
      </c>
      <c r="C962" s="3">
        <f>IF(B962="","",(B962-AVERAGE(B6:B1198))/(STDEV(B6:B1198)+1E-12))</f>
        <v/>
      </c>
      <c r="D962" s="3">
        <f>IF('3a Raw'!D962="","",MAX(-3,MIN(3,('3a Raw'!D962-$D3)/$D4)))</f>
        <v/>
      </c>
      <c r="E962" s="3">
        <f>IF(D962="","",(D962-AVERAGE(D6:D1198))/(STDEV(D6:D1198)+1E-12))</f>
        <v/>
      </c>
      <c r="F962" s="3">
        <f>IF('3a Raw'!E962="","",MAX(-3,MIN(3,('3a Raw'!E962-$F3)/$F4)))</f>
        <v/>
      </c>
      <c r="G962" s="3">
        <f>IF(F962="","",(F962-AVERAGE(F6:F1198))/(STDEV(F6:F1198)+1E-12))</f>
        <v/>
      </c>
      <c r="H962" s="3">
        <f>IF('3a Raw'!F962="","",MAX(-3,MIN(3,('3a Raw'!F962-$H3)/$H4)))</f>
        <v/>
      </c>
      <c r="I962" s="3">
        <f>IF(H962="","",(H962-AVERAGE(H6:H1198))/(STDEV(H6:H1198)+1E-12))</f>
        <v/>
      </c>
      <c r="J962" s="3">
        <f>IF('3a Raw'!G962="","",MAX(-3,MIN(3,('3a Raw'!G962-$J3)/$J4)))</f>
        <v/>
      </c>
      <c r="K962" s="3">
        <f>IF(J962="","",(J962-AVERAGE(J6:J1198))/(STDEV(J6:J1198)+1E-12))</f>
        <v/>
      </c>
      <c r="L962" s="3">
        <f>IF('3a Raw'!H962="","",MAX(-3,MIN(3,('3a Raw'!H962-$L3)/$L4)))</f>
        <v/>
      </c>
      <c r="M962" s="3">
        <f>IF(L962="","",(L962-AVERAGE(L6:L1198))/(STDEV(L6:L1198)+1E-12))</f>
        <v/>
      </c>
      <c r="N962" s="3">
        <f>IF('3a Raw'!I962="","",MAX(-3,MIN(3,('3a Raw'!I962-$N3)/$N4)))</f>
        <v/>
      </c>
      <c r="O962" s="3">
        <f>IF(N962="","",(N962-AVERAGE(N6:N1198))/(STDEV(N6:N1198)+1E-12))</f>
        <v/>
      </c>
      <c r="P962" s="3">
        <f>IF('3a Raw'!J962="","",MAX(-3,MIN(3,('3a Raw'!J962-$P3)/$P4)))</f>
        <v/>
      </c>
      <c r="Q962" s="3">
        <f>IF(P962="","",(P962-AVERAGE(P6:P1198))/(STDEV(P6:P1198)+1E-12))</f>
        <v/>
      </c>
      <c r="R962" s="3">
        <f>IF('3a Raw'!K962="","",MAX(-3,MIN(3,('3a Raw'!K962-$R3)/$R4)))</f>
        <v/>
      </c>
      <c r="S962" s="3">
        <f>IF(R962="","",(R962-AVERAGE(R6:R1198))/(STDEV(R6:R1198)+1E-12))</f>
        <v/>
      </c>
      <c r="T962" s="3">
        <f>IF('3a Raw'!L962="","",MAX(-3,MIN(3,('3a Raw'!L962-$T3)/$T4)))</f>
        <v/>
      </c>
      <c r="U962" s="3">
        <f>IF(T962="","",(T962-AVERAGE(T6:T1198))/(STDEV(T6:T1198)+1E-12))</f>
        <v/>
      </c>
      <c r="X962" s="3">
        <f>IF(U962="","",U962-($V$3*G962+$W$3))</f>
        <v/>
      </c>
      <c r="Y962" s="3">
        <f>IF(X962="","",MAX(-3,MIN(3,(X962-$X3)/$X4)))</f>
        <v/>
      </c>
      <c r="Z962" s="3">
        <f>IF(Y962="","",(Y962-AVERAGE(Y6:Y1198))/(STDEV(Y6:Y1198)+1E-12))</f>
        <v/>
      </c>
    </row>
    <row r="963">
      <c r="A963" t="inlineStr">
        <is>
          <t>BBG008LZG0Z5</t>
        </is>
      </c>
      <c r="B963" s="3">
        <f>IF('3a Raw'!C963="","",MAX(-3,MIN(3,('3a Raw'!C963-$B3)/$B4)))</f>
        <v/>
      </c>
      <c r="C963" s="3">
        <f>IF(B963="","",(B963-AVERAGE(B6:B1198))/(STDEV(B6:B1198)+1E-12))</f>
        <v/>
      </c>
      <c r="D963" s="3">
        <f>IF('3a Raw'!D963="","",MAX(-3,MIN(3,('3a Raw'!D963-$D3)/$D4)))</f>
        <v/>
      </c>
      <c r="E963" s="3">
        <f>IF(D963="","",(D963-AVERAGE(D6:D1198))/(STDEV(D6:D1198)+1E-12))</f>
        <v/>
      </c>
      <c r="F963" s="3">
        <f>IF('3a Raw'!E963="","",MAX(-3,MIN(3,('3a Raw'!E963-$F3)/$F4)))</f>
        <v/>
      </c>
      <c r="G963" s="3">
        <f>IF(F963="","",(F963-AVERAGE(F6:F1198))/(STDEV(F6:F1198)+1E-12))</f>
        <v/>
      </c>
      <c r="H963" s="3">
        <f>IF('3a Raw'!F963="","",MAX(-3,MIN(3,('3a Raw'!F963-$H3)/$H4)))</f>
        <v/>
      </c>
      <c r="I963" s="3">
        <f>IF(H963="","",(H963-AVERAGE(H6:H1198))/(STDEV(H6:H1198)+1E-12))</f>
        <v/>
      </c>
      <c r="J963" s="3">
        <f>IF('3a Raw'!G963="","",MAX(-3,MIN(3,('3a Raw'!G963-$J3)/$J4)))</f>
        <v/>
      </c>
      <c r="K963" s="3">
        <f>IF(J963="","",(J963-AVERAGE(J6:J1198))/(STDEV(J6:J1198)+1E-12))</f>
        <v/>
      </c>
      <c r="L963" s="3">
        <f>IF('3a Raw'!H963="","",MAX(-3,MIN(3,('3a Raw'!H963-$L3)/$L4)))</f>
        <v/>
      </c>
      <c r="M963" s="3">
        <f>IF(L963="","",(L963-AVERAGE(L6:L1198))/(STDEV(L6:L1198)+1E-12))</f>
        <v/>
      </c>
      <c r="N963" s="3">
        <f>IF('3a Raw'!I963="","",MAX(-3,MIN(3,('3a Raw'!I963-$N3)/$N4)))</f>
        <v/>
      </c>
      <c r="O963" s="3">
        <f>IF(N963="","",(N963-AVERAGE(N6:N1198))/(STDEV(N6:N1198)+1E-12))</f>
        <v/>
      </c>
      <c r="P963" s="3">
        <f>IF('3a Raw'!J963="","",MAX(-3,MIN(3,('3a Raw'!J963-$P3)/$P4)))</f>
        <v/>
      </c>
      <c r="Q963" s="3">
        <f>IF(P963="","",(P963-AVERAGE(P6:P1198))/(STDEV(P6:P1198)+1E-12))</f>
        <v/>
      </c>
      <c r="R963" s="3">
        <f>IF('3a Raw'!K963="","",MAX(-3,MIN(3,('3a Raw'!K963-$R3)/$R4)))</f>
        <v/>
      </c>
      <c r="S963" s="3">
        <f>IF(R963="","",(R963-AVERAGE(R6:R1198))/(STDEV(R6:R1198)+1E-12))</f>
        <v/>
      </c>
      <c r="T963" s="3">
        <f>IF('3a Raw'!L963="","",MAX(-3,MIN(3,('3a Raw'!L963-$T3)/$T4)))</f>
        <v/>
      </c>
      <c r="U963" s="3">
        <f>IF(T963="","",(T963-AVERAGE(T6:T1198))/(STDEV(T6:T1198)+1E-12))</f>
        <v/>
      </c>
      <c r="X963" s="3">
        <f>IF(U963="","",U963-($V$3*G963+$W$3))</f>
        <v/>
      </c>
      <c r="Y963" s="3">
        <f>IF(X963="","",MAX(-3,MIN(3,(X963-$X3)/$X4)))</f>
        <v/>
      </c>
      <c r="Z963" s="3">
        <f>IF(Y963="","",(Y963-AVERAGE(Y6:Y1198))/(STDEV(Y6:Y1198)+1E-12))</f>
        <v/>
      </c>
    </row>
    <row r="964">
      <c r="A964" t="inlineStr">
        <is>
          <t>BBG0147BN6G2</t>
        </is>
      </c>
      <c r="B964" s="3">
        <f>IF('3a Raw'!C964="","",MAX(-3,MIN(3,('3a Raw'!C964-$B3)/$B4)))</f>
        <v/>
      </c>
      <c r="C964" s="3">
        <f>IF(B964="","",(B964-AVERAGE(B6:B1198))/(STDEV(B6:B1198)+1E-12))</f>
        <v/>
      </c>
      <c r="D964" s="3">
        <f>IF('3a Raw'!D964="","",MAX(-3,MIN(3,('3a Raw'!D964-$D3)/$D4)))</f>
        <v/>
      </c>
      <c r="E964" s="3">
        <f>IF(D964="","",(D964-AVERAGE(D6:D1198))/(STDEV(D6:D1198)+1E-12))</f>
        <v/>
      </c>
      <c r="F964" s="3">
        <f>IF('3a Raw'!E964="","",MAX(-3,MIN(3,('3a Raw'!E964-$F3)/$F4)))</f>
        <v/>
      </c>
      <c r="G964" s="3">
        <f>IF(F964="","",(F964-AVERAGE(F6:F1198))/(STDEV(F6:F1198)+1E-12))</f>
        <v/>
      </c>
      <c r="H964" s="3">
        <f>IF('3a Raw'!F964="","",MAX(-3,MIN(3,('3a Raw'!F964-$H3)/$H4)))</f>
        <v/>
      </c>
      <c r="I964" s="3">
        <f>IF(H964="","",(H964-AVERAGE(H6:H1198))/(STDEV(H6:H1198)+1E-12))</f>
        <v/>
      </c>
      <c r="J964" s="3">
        <f>IF('3a Raw'!G964="","",MAX(-3,MIN(3,('3a Raw'!G964-$J3)/$J4)))</f>
        <v/>
      </c>
      <c r="K964" s="3">
        <f>IF(J964="","",(J964-AVERAGE(J6:J1198))/(STDEV(J6:J1198)+1E-12))</f>
        <v/>
      </c>
      <c r="L964" s="3">
        <f>IF('3a Raw'!H964="","",MAX(-3,MIN(3,('3a Raw'!H964-$L3)/$L4)))</f>
        <v/>
      </c>
      <c r="M964" s="3">
        <f>IF(L964="","",(L964-AVERAGE(L6:L1198))/(STDEV(L6:L1198)+1E-12))</f>
        <v/>
      </c>
      <c r="N964" s="3">
        <f>IF('3a Raw'!I964="","",MAX(-3,MIN(3,('3a Raw'!I964-$N3)/$N4)))</f>
        <v/>
      </c>
      <c r="O964" s="3">
        <f>IF(N964="","",(N964-AVERAGE(N6:N1198))/(STDEV(N6:N1198)+1E-12))</f>
        <v/>
      </c>
      <c r="P964" s="3">
        <f>IF('3a Raw'!J964="","",MAX(-3,MIN(3,('3a Raw'!J964-$P3)/$P4)))</f>
        <v/>
      </c>
      <c r="Q964" s="3">
        <f>IF(P964="","",(P964-AVERAGE(P6:P1198))/(STDEV(P6:P1198)+1E-12))</f>
        <v/>
      </c>
      <c r="R964" s="3">
        <f>IF('3a Raw'!K964="","",MAX(-3,MIN(3,('3a Raw'!K964-$R3)/$R4)))</f>
        <v/>
      </c>
      <c r="S964" s="3">
        <f>IF(R964="","",(R964-AVERAGE(R6:R1198))/(STDEV(R6:R1198)+1E-12))</f>
        <v/>
      </c>
      <c r="T964" s="3">
        <f>IF('3a Raw'!L964="","",MAX(-3,MIN(3,('3a Raw'!L964-$T3)/$T4)))</f>
        <v/>
      </c>
      <c r="U964" s="3">
        <f>IF(T964="","",(T964-AVERAGE(T6:T1198))/(STDEV(T6:T1198)+1E-12))</f>
        <v/>
      </c>
      <c r="X964" s="3">
        <f>IF(U964="","",U964-($V$3*G964+$W$3))</f>
        <v/>
      </c>
      <c r="Y964" s="3">
        <f>IF(X964="","",MAX(-3,MIN(3,(X964-$X3)/$X4)))</f>
        <v/>
      </c>
      <c r="Z964" s="3">
        <f>IF(Y964="","",(Y964-AVERAGE(Y6:Y1198))/(STDEV(Y6:Y1198)+1E-12))</f>
        <v/>
      </c>
    </row>
    <row r="965">
      <c r="A965" t="inlineStr">
        <is>
          <t>BBG00YQ82275</t>
        </is>
      </c>
      <c r="B965" s="3">
        <f>IF('3a Raw'!C965="","",MAX(-3,MIN(3,('3a Raw'!C965-$B3)/$B4)))</f>
        <v/>
      </c>
      <c r="C965" s="3">
        <f>IF(B965="","",(B965-AVERAGE(B6:B1198))/(STDEV(B6:B1198)+1E-12))</f>
        <v/>
      </c>
      <c r="D965" s="3">
        <f>IF('3a Raw'!D965="","",MAX(-3,MIN(3,('3a Raw'!D965-$D3)/$D4)))</f>
        <v/>
      </c>
      <c r="E965" s="3">
        <f>IF(D965="","",(D965-AVERAGE(D6:D1198))/(STDEV(D6:D1198)+1E-12))</f>
        <v/>
      </c>
      <c r="F965" s="3">
        <f>IF('3a Raw'!E965="","",MAX(-3,MIN(3,('3a Raw'!E965-$F3)/$F4)))</f>
        <v/>
      </c>
      <c r="G965" s="3">
        <f>IF(F965="","",(F965-AVERAGE(F6:F1198))/(STDEV(F6:F1198)+1E-12))</f>
        <v/>
      </c>
      <c r="H965" s="3">
        <f>IF('3a Raw'!F965="","",MAX(-3,MIN(3,('3a Raw'!F965-$H3)/$H4)))</f>
        <v/>
      </c>
      <c r="I965" s="3">
        <f>IF(H965="","",(H965-AVERAGE(H6:H1198))/(STDEV(H6:H1198)+1E-12))</f>
        <v/>
      </c>
      <c r="J965" s="3">
        <f>IF('3a Raw'!G965="","",MAX(-3,MIN(3,('3a Raw'!G965-$J3)/$J4)))</f>
        <v/>
      </c>
      <c r="K965" s="3">
        <f>IF(J965="","",(J965-AVERAGE(J6:J1198))/(STDEV(J6:J1198)+1E-12))</f>
        <v/>
      </c>
      <c r="L965" s="3">
        <f>IF('3a Raw'!H965="","",MAX(-3,MIN(3,('3a Raw'!H965-$L3)/$L4)))</f>
        <v/>
      </c>
      <c r="M965" s="3">
        <f>IF(L965="","",(L965-AVERAGE(L6:L1198))/(STDEV(L6:L1198)+1E-12))</f>
        <v/>
      </c>
      <c r="N965" s="3">
        <f>IF('3a Raw'!I965="","",MAX(-3,MIN(3,('3a Raw'!I965-$N3)/$N4)))</f>
        <v/>
      </c>
      <c r="O965" s="3">
        <f>IF(N965="","",(N965-AVERAGE(N6:N1198))/(STDEV(N6:N1198)+1E-12))</f>
        <v/>
      </c>
      <c r="P965" s="3">
        <f>IF('3a Raw'!J965="","",MAX(-3,MIN(3,('3a Raw'!J965-$P3)/$P4)))</f>
        <v/>
      </c>
      <c r="Q965" s="3">
        <f>IF(P965="","",(P965-AVERAGE(P6:P1198))/(STDEV(P6:P1198)+1E-12))</f>
        <v/>
      </c>
      <c r="R965" s="3">
        <f>IF('3a Raw'!K965="","",MAX(-3,MIN(3,('3a Raw'!K965-$R3)/$R4)))</f>
        <v/>
      </c>
      <c r="S965" s="3">
        <f>IF(R965="","",(R965-AVERAGE(R6:R1198))/(STDEV(R6:R1198)+1E-12))</f>
        <v/>
      </c>
      <c r="T965" s="3">
        <f>IF('3a Raw'!L965="","",MAX(-3,MIN(3,('3a Raw'!L965-$T3)/$T4)))</f>
        <v/>
      </c>
      <c r="U965" s="3">
        <f>IF(T965="","",(T965-AVERAGE(T6:T1198))/(STDEV(T6:T1198)+1E-12))</f>
        <v/>
      </c>
      <c r="X965" s="3">
        <f>IF(U965="","",U965-($V$3*G965+$W$3))</f>
        <v/>
      </c>
      <c r="Y965" s="3">
        <f>IF(X965="","",MAX(-3,MIN(3,(X965-$X3)/$X4)))</f>
        <v/>
      </c>
      <c r="Z965" s="3">
        <f>IF(Y965="","",(Y965-AVERAGE(Y6:Y1198))/(STDEV(Y6:Y1198)+1E-12))</f>
        <v/>
      </c>
    </row>
    <row r="966">
      <c r="A966" t="inlineStr">
        <is>
          <t>BBG000Q3TSJ1</t>
        </is>
      </c>
      <c r="B966" s="3">
        <f>IF('3a Raw'!C966="","",MAX(-3,MIN(3,('3a Raw'!C966-$B3)/$B4)))</f>
        <v/>
      </c>
      <c r="C966" s="3">
        <f>IF(B966="","",(B966-AVERAGE(B6:B1198))/(STDEV(B6:B1198)+1E-12))</f>
        <v/>
      </c>
      <c r="D966" s="3">
        <f>IF('3a Raw'!D966="","",MAX(-3,MIN(3,('3a Raw'!D966-$D3)/$D4)))</f>
        <v/>
      </c>
      <c r="E966" s="3">
        <f>IF(D966="","",(D966-AVERAGE(D6:D1198))/(STDEV(D6:D1198)+1E-12))</f>
        <v/>
      </c>
      <c r="F966" s="3">
        <f>IF('3a Raw'!E966="","",MAX(-3,MIN(3,('3a Raw'!E966-$F3)/$F4)))</f>
        <v/>
      </c>
      <c r="G966" s="3">
        <f>IF(F966="","",(F966-AVERAGE(F6:F1198))/(STDEV(F6:F1198)+1E-12))</f>
        <v/>
      </c>
      <c r="H966" s="3">
        <f>IF('3a Raw'!F966="","",MAX(-3,MIN(3,('3a Raw'!F966-$H3)/$H4)))</f>
        <v/>
      </c>
      <c r="I966" s="3">
        <f>IF(H966="","",(H966-AVERAGE(H6:H1198))/(STDEV(H6:H1198)+1E-12))</f>
        <v/>
      </c>
      <c r="J966" s="3">
        <f>IF('3a Raw'!G966="","",MAX(-3,MIN(3,('3a Raw'!G966-$J3)/$J4)))</f>
        <v/>
      </c>
      <c r="K966" s="3">
        <f>IF(J966="","",(J966-AVERAGE(J6:J1198))/(STDEV(J6:J1198)+1E-12))</f>
        <v/>
      </c>
      <c r="L966" s="3">
        <f>IF('3a Raw'!H966="","",MAX(-3,MIN(3,('3a Raw'!H966-$L3)/$L4)))</f>
        <v/>
      </c>
      <c r="M966" s="3">
        <f>IF(L966="","",(L966-AVERAGE(L6:L1198))/(STDEV(L6:L1198)+1E-12))</f>
        <v/>
      </c>
      <c r="N966" s="3">
        <f>IF('3a Raw'!I966="","",MAX(-3,MIN(3,('3a Raw'!I966-$N3)/$N4)))</f>
        <v/>
      </c>
      <c r="O966" s="3">
        <f>IF(N966="","",(N966-AVERAGE(N6:N1198))/(STDEV(N6:N1198)+1E-12))</f>
        <v/>
      </c>
      <c r="P966" s="3">
        <f>IF('3a Raw'!J966="","",MAX(-3,MIN(3,('3a Raw'!J966-$P3)/$P4)))</f>
        <v/>
      </c>
      <c r="Q966" s="3">
        <f>IF(P966="","",(P966-AVERAGE(P6:P1198))/(STDEV(P6:P1198)+1E-12))</f>
        <v/>
      </c>
      <c r="R966" s="3">
        <f>IF('3a Raw'!K966="","",MAX(-3,MIN(3,('3a Raw'!K966-$R3)/$R4)))</f>
        <v/>
      </c>
      <c r="S966" s="3">
        <f>IF(R966="","",(R966-AVERAGE(R6:R1198))/(STDEV(R6:R1198)+1E-12))</f>
        <v/>
      </c>
      <c r="T966" s="3">
        <f>IF('3a Raw'!L966="","",MAX(-3,MIN(3,('3a Raw'!L966-$T3)/$T4)))</f>
        <v/>
      </c>
      <c r="U966" s="3">
        <f>IF(T966="","",(T966-AVERAGE(T6:T1198))/(STDEV(T6:T1198)+1E-12))</f>
        <v/>
      </c>
      <c r="X966" s="3">
        <f>IF(U966="","",U966-($V$3*G966+$W$3))</f>
        <v/>
      </c>
      <c r="Y966" s="3">
        <f>IF(X966="","",MAX(-3,MIN(3,(X966-$X3)/$X4)))</f>
        <v/>
      </c>
      <c r="Z966" s="3">
        <f>IF(Y966="","",(Y966-AVERAGE(Y6:Y1198))/(STDEV(Y6:Y1198)+1E-12))</f>
        <v/>
      </c>
    </row>
    <row r="967">
      <c r="A967" t="inlineStr">
        <is>
          <t>BBG008HBD923</t>
        </is>
      </c>
      <c r="B967" s="3">
        <f>IF('3a Raw'!C967="","",MAX(-3,MIN(3,('3a Raw'!C967-$B3)/$B4)))</f>
        <v/>
      </c>
      <c r="C967" s="3">
        <f>IF(B967="","",(B967-AVERAGE(B6:B1198))/(STDEV(B6:B1198)+1E-12))</f>
        <v/>
      </c>
      <c r="D967" s="3">
        <f>IF('3a Raw'!D967="","",MAX(-3,MIN(3,('3a Raw'!D967-$D3)/$D4)))</f>
        <v/>
      </c>
      <c r="E967" s="3">
        <f>IF(D967="","",(D967-AVERAGE(D6:D1198))/(STDEV(D6:D1198)+1E-12))</f>
        <v/>
      </c>
      <c r="F967" s="3">
        <f>IF('3a Raw'!E967="","",MAX(-3,MIN(3,('3a Raw'!E967-$F3)/$F4)))</f>
        <v/>
      </c>
      <c r="G967" s="3">
        <f>IF(F967="","",(F967-AVERAGE(F6:F1198))/(STDEV(F6:F1198)+1E-12))</f>
        <v/>
      </c>
      <c r="H967" s="3">
        <f>IF('3a Raw'!F967="","",MAX(-3,MIN(3,('3a Raw'!F967-$H3)/$H4)))</f>
        <v/>
      </c>
      <c r="I967" s="3">
        <f>IF(H967="","",(H967-AVERAGE(H6:H1198))/(STDEV(H6:H1198)+1E-12))</f>
        <v/>
      </c>
      <c r="J967" s="3">
        <f>IF('3a Raw'!G967="","",MAX(-3,MIN(3,('3a Raw'!G967-$J3)/$J4)))</f>
        <v/>
      </c>
      <c r="K967" s="3">
        <f>IF(J967="","",(J967-AVERAGE(J6:J1198))/(STDEV(J6:J1198)+1E-12))</f>
        <v/>
      </c>
      <c r="L967" s="3">
        <f>IF('3a Raw'!H967="","",MAX(-3,MIN(3,('3a Raw'!H967-$L3)/$L4)))</f>
        <v/>
      </c>
      <c r="M967" s="3">
        <f>IF(L967="","",(L967-AVERAGE(L6:L1198))/(STDEV(L6:L1198)+1E-12))</f>
        <v/>
      </c>
      <c r="N967" s="3">
        <f>IF('3a Raw'!I967="","",MAX(-3,MIN(3,('3a Raw'!I967-$N3)/$N4)))</f>
        <v/>
      </c>
      <c r="O967" s="3">
        <f>IF(N967="","",(N967-AVERAGE(N6:N1198))/(STDEV(N6:N1198)+1E-12))</f>
        <v/>
      </c>
      <c r="P967" s="3">
        <f>IF('3a Raw'!J967="","",MAX(-3,MIN(3,('3a Raw'!J967-$P3)/$P4)))</f>
        <v/>
      </c>
      <c r="Q967" s="3">
        <f>IF(P967="","",(P967-AVERAGE(P6:P1198))/(STDEV(P6:P1198)+1E-12))</f>
        <v/>
      </c>
      <c r="R967" s="3">
        <f>IF('3a Raw'!K967="","",MAX(-3,MIN(3,('3a Raw'!K967-$R3)/$R4)))</f>
        <v/>
      </c>
      <c r="S967" s="3">
        <f>IF(R967="","",(R967-AVERAGE(R6:R1198))/(STDEV(R6:R1198)+1E-12))</f>
        <v/>
      </c>
      <c r="T967" s="3">
        <f>IF('3a Raw'!L967="","",MAX(-3,MIN(3,('3a Raw'!L967-$T3)/$T4)))</f>
        <v/>
      </c>
      <c r="U967" s="3">
        <f>IF(T967="","",(T967-AVERAGE(T6:T1198))/(STDEV(T6:T1198)+1E-12))</f>
        <v/>
      </c>
      <c r="X967" s="3">
        <f>IF(U967="","",U967-($V$3*G967+$W$3))</f>
        <v/>
      </c>
      <c r="Y967" s="3">
        <f>IF(X967="","",MAX(-3,MIN(3,(X967-$X3)/$X4)))</f>
        <v/>
      </c>
      <c r="Z967" s="3">
        <f>IF(Y967="","",(Y967-AVERAGE(Y6:Y1198))/(STDEV(Y6:Y1198)+1E-12))</f>
        <v/>
      </c>
    </row>
    <row r="968">
      <c r="A968" t="inlineStr">
        <is>
          <t>BBG000BSXQV7</t>
        </is>
      </c>
      <c r="B968" s="3">
        <f>IF('3a Raw'!C968="","",MAX(-3,MIN(3,('3a Raw'!C968-$B3)/$B4)))</f>
        <v/>
      </c>
      <c r="C968" s="3">
        <f>IF(B968="","",(B968-AVERAGE(B6:B1198))/(STDEV(B6:B1198)+1E-12))</f>
        <v/>
      </c>
      <c r="D968" s="3">
        <f>IF('3a Raw'!D968="","",MAX(-3,MIN(3,('3a Raw'!D968-$D3)/$D4)))</f>
        <v/>
      </c>
      <c r="E968" s="3">
        <f>IF(D968="","",(D968-AVERAGE(D6:D1198))/(STDEV(D6:D1198)+1E-12))</f>
        <v/>
      </c>
      <c r="F968" s="3">
        <f>IF('3a Raw'!E968="","",MAX(-3,MIN(3,('3a Raw'!E968-$F3)/$F4)))</f>
        <v/>
      </c>
      <c r="G968" s="3">
        <f>IF(F968="","",(F968-AVERAGE(F6:F1198))/(STDEV(F6:F1198)+1E-12))</f>
        <v/>
      </c>
      <c r="H968" s="3">
        <f>IF('3a Raw'!F968="","",MAX(-3,MIN(3,('3a Raw'!F968-$H3)/$H4)))</f>
        <v/>
      </c>
      <c r="I968" s="3">
        <f>IF(H968="","",(H968-AVERAGE(H6:H1198))/(STDEV(H6:H1198)+1E-12))</f>
        <v/>
      </c>
      <c r="J968" s="3">
        <f>IF('3a Raw'!G968="","",MAX(-3,MIN(3,('3a Raw'!G968-$J3)/$J4)))</f>
        <v/>
      </c>
      <c r="K968" s="3">
        <f>IF(J968="","",(J968-AVERAGE(J6:J1198))/(STDEV(J6:J1198)+1E-12))</f>
        <v/>
      </c>
      <c r="L968" s="3">
        <f>IF('3a Raw'!H968="","",MAX(-3,MIN(3,('3a Raw'!H968-$L3)/$L4)))</f>
        <v/>
      </c>
      <c r="M968" s="3">
        <f>IF(L968="","",(L968-AVERAGE(L6:L1198))/(STDEV(L6:L1198)+1E-12))</f>
        <v/>
      </c>
      <c r="N968" s="3">
        <f>IF('3a Raw'!I968="","",MAX(-3,MIN(3,('3a Raw'!I968-$N3)/$N4)))</f>
        <v/>
      </c>
      <c r="O968" s="3">
        <f>IF(N968="","",(N968-AVERAGE(N6:N1198))/(STDEV(N6:N1198)+1E-12))</f>
        <v/>
      </c>
      <c r="P968" s="3">
        <f>IF('3a Raw'!J968="","",MAX(-3,MIN(3,('3a Raw'!J968-$P3)/$P4)))</f>
        <v/>
      </c>
      <c r="Q968" s="3">
        <f>IF(P968="","",(P968-AVERAGE(P6:P1198))/(STDEV(P6:P1198)+1E-12))</f>
        <v/>
      </c>
      <c r="R968" s="3">
        <f>IF('3a Raw'!K968="","",MAX(-3,MIN(3,('3a Raw'!K968-$R3)/$R4)))</f>
        <v/>
      </c>
      <c r="S968" s="3">
        <f>IF(R968="","",(R968-AVERAGE(R6:R1198))/(STDEV(R6:R1198)+1E-12))</f>
        <v/>
      </c>
      <c r="T968" s="3">
        <f>IF('3a Raw'!L968="","",MAX(-3,MIN(3,('3a Raw'!L968-$T3)/$T4)))</f>
        <v/>
      </c>
      <c r="U968" s="3">
        <f>IF(T968="","",(T968-AVERAGE(T6:T1198))/(STDEV(T6:T1198)+1E-12))</f>
        <v/>
      </c>
      <c r="X968" s="3">
        <f>IF(U968="","",U968-($V$3*G968+$W$3))</f>
        <v/>
      </c>
      <c r="Y968" s="3">
        <f>IF(X968="","",MAX(-3,MIN(3,(X968-$X3)/$X4)))</f>
        <v/>
      </c>
      <c r="Z968" s="3">
        <f>IF(Y968="","",(Y968-AVERAGE(Y6:Y1198))/(STDEV(Y6:Y1198)+1E-12))</f>
        <v/>
      </c>
    </row>
    <row r="969">
      <c r="A969" t="inlineStr">
        <is>
          <t>BBG000GT7XY1</t>
        </is>
      </c>
      <c r="B969" s="3">
        <f>IF('3a Raw'!C969="","",MAX(-3,MIN(3,('3a Raw'!C969-$B3)/$B4)))</f>
        <v/>
      </c>
      <c r="C969" s="3">
        <f>IF(B969="","",(B969-AVERAGE(B6:B1198))/(STDEV(B6:B1198)+1E-12))</f>
        <v/>
      </c>
      <c r="D969" s="3">
        <f>IF('3a Raw'!D969="","",MAX(-3,MIN(3,('3a Raw'!D969-$D3)/$D4)))</f>
        <v/>
      </c>
      <c r="E969" s="3">
        <f>IF(D969="","",(D969-AVERAGE(D6:D1198))/(STDEV(D6:D1198)+1E-12))</f>
        <v/>
      </c>
      <c r="F969" s="3">
        <f>IF('3a Raw'!E969="","",MAX(-3,MIN(3,('3a Raw'!E969-$F3)/$F4)))</f>
        <v/>
      </c>
      <c r="G969" s="3">
        <f>IF(F969="","",(F969-AVERAGE(F6:F1198))/(STDEV(F6:F1198)+1E-12))</f>
        <v/>
      </c>
      <c r="H969" s="3">
        <f>IF('3a Raw'!F969="","",MAX(-3,MIN(3,('3a Raw'!F969-$H3)/$H4)))</f>
        <v/>
      </c>
      <c r="I969" s="3">
        <f>IF(H969="","",(H969-AVERAGE(H6:H1198))/(STDEV(H6:H1198)+1E-12))</f>
        <v/>
      </c>
      <c r="J969" s="3">
        <f>IF('3a Raw'!G969="","",MAX(-3,MIN(3,('3a Raw'!G969-$J3)/$J4)))</f>
        <v/>
      </c>
      <c r="K969" s="3">
        <f>IF(J969="","",(J969-AVERAGE(J6:J1198))/(STDEV(J6:J1198)+1E-12))</f>
        <v/>
      </c>
      <c r="L969" s="3">
        <f>IF('3a Raw'!H969="","",MAX(-3,MIN(3,('3a Raw'!H969-$L3)/$L4)))</f>
        <v/>
      </c>
      <c r="M969" s="3">
        <f>IF(L969="","",(L969-AVERAGE(L6:L1198))/(STDEV(L6:L1198)+1E-12))</f>
        <v/>
      </c>
      <c r="N969" s="3">
        <f>IF('3a Raw'!I969="","",MAX(-3,MIN(3,('3a Raw'!I969-$N3)/$N4)))</f>
        <v/>
      </c>
      <c r="O969" s="3">
        <f>IF(N969="","",(N969-AVERAGE(N6:N1198))/(STDEV(N6:N1198)+1E-12))</f>
        <v/>
      </c>
      <c r="P969" s="3">
        <f>IF('3a Raw'!J969="","",MAX(-3,MIN(3,('3a Raw'!J969-$P3)/$P4)))</f>
        <v/>
      </c>
      <c r="Q969" s="3">
        <f>IF(P969="","",(P969-AVERAGE(P6:P1198))/(STDEV(P6:P1198)+1E-12))</f>
        <v/>
      </c>
      <c r="R969" s="3">
        <f>IF('3a Raw'!K969="","",MAX(-3,MIN(3,('3a Raw'!K969-$R3)/$R4)))</f>
        <v/>
      </c>
      <c r="S969" s="3">
        <f>IF(R969="","",(R969-AVERAGE(R6:R1198))/(STDEV(R6:R1198)+1E-12))</f>
        <v/>
      </c>
      <c r="T969" s="3">
        <f>IF('3a Raw'!L969="","",MAX(-3,MIN(3,('3a Raw'!L969-$T3)/$T4)))</f>
        <v/>
      </c>
      <c r="U969" s="3">
        <f>IF(T969="","",(T969-AVERAGE(T6:T1198))/(STDEV(T6:T1198)+1E-12))</f>
        <v/>
      </c>
      <c r="X969" s="3">
        <f>IF(U969="","",U969-($V$3*G969+$W$3))</f>
        <v/>
      </c>
      <c r="Y969" s="3">
        <f>IF(X969="","",MAX(-3,MIN(3,(X969-$X3)/$X4)))</f>
        <v/>
      </c>
      <c r="Z969" s="3">
        <f>IF(Y969="","",(Y969-AVERAGE(Y6:Y1198))/(STDEV(Y6:Y1198)+1E-12))</f>
        <v/>
      </c>
    </row>
    <row r="970">
      <c r="A970" t="inlineStr">
        <is>
          <t>BBG000BGZ832</t>
        </is>
      </c>
      <c r="B970" s="3">
        <f>IF('3a Raw'!C970="","",MAX(-3,MIN(3,('3a Raw'!C970-$B3)/$B4)))</f>
        <v/>
      </c>
      <c r="C970" s="3">
        <f>IF(B970="","",(B970-AVERAGE(B6:B1198))/(STDEV(B6:B1198)+1E-12))</f>
        <v/>
      </c>
      <c r="D970" s="3">
        <f>IF('3a Raw'!D970="","",MAX(-3,MIN(3,('3a Raw'!D970-$D3)/$D4)))</f>
        <v/>
      </c>
      <c r="E970" s="3">
        <f>IF(D970="","",(D970-AVERAGE(D6:D1198))/(STDEV(D6:D1198)+1E-12))</f>
        <v/>
      </c>
      <c r="F970" s="3">
        <f>IF('3a Raw'!E970="","",MAX(-3,MIN(3,('3a Raw'!E970-$F3)/$F4)))</f>
        <v/>
      </c>
      <c r="G970" s="3">
        <f>IF(F970="","",(F970-AVERAGE(F6:F1198))/(STDEV(F6:F1198)+1E-12))</f>
        <v/>
      </c>
      <c r="H970" s="3">
        <f>IF('3a Raw'!F970="","",MAX(-3,MIN(3,('3a Raw'!F970-$H3)/$H4)))</f>
        <v/>
      </c>
      <c r="I970" s="3">
        <f>IF(H970="","",(H970-AVERAGE(H6:H1198))/(STDEV(H6:H1198)+1E-12))</f>
        <v/>
      </c>
      <c r="J970" s="3">
        <f>IF('3a Raw'!G970="","",MAX(-3,MIN(3,('3a Raw'!G970-$J3)/$J4)))</f>
        <v/>
      </c>
      <c r="K970" s="3">
        <f>IF(J970="","",(J970-AVERAGE(J6:J1198))/(STDEV(J6:J1198)+1E-12))</f>
        <v/>
      </c>
      <c r="L970" s="3">
        <f>IF('3a Raw'!H970="","",MAX(-3,MIN(3,('3a Raw'!H970-$L3)/$L4)))</f>
        <v/>
      </c>
      <c r="M970" s="3">
        <f>IF(L970="","",(L970-AVERAGE(L6:L1198))/(STDEV(L6:L1198)+1E-12))</f>
        <v/>
      </c>
      <c r="N970" s="3">
        <f>IF('3a Raw'!I970="","",MAX(-3,MIN(3,('3a Raw'!I970-$N3)/$N4)))</f>
        <v/>
      </c>
      <c r="O970" s="3">
        <f>IF(N970="","",(N970-AVERAGE(N6:N1198))/(STDEV(N6:N1198)+1E-12))</f>
        <v/>
      </c>
      <c r="P970" s="3">
        <f>IF('3a Raw'!J970="","",MAX(-3,MIN(3,('3a Raw'!J970-$P3)/$P4)))</f>
        <v/>
      </c>
      <c r="Q970" s="3">
        <f>IF(P970="","",(P970-AVERAGE(P6:P1198))/(STDEV(P6:P1198)+1E-12))</f>
        <v/>
      </c>
      <c r="R970" s="3">
        <f>IF('3a Raw'!K970="","",MAX(-3,MIN(3,('3a Raw'!K970-$R3)/$R4)))</f>
        <v/>
      </c>
      <c r="S970" s="3">
        <f>IF(R970="","",(R970-AVERAGE(R6:R1198))/(STDEV(R6:R1198)+1E-12))</f>
        <v/>
      </c>
      <c r="T970" s="3">
        <f>IF('3a Raw'!L970="","",MAX(-3,MIN(3,('3a Raw'!L970-$T3)/$T4)))</f>
        <v/>
      </c>
      <c r="U970" s="3">
        <f>IF(T970="","",(T970-AVERAGE(T6:T1198))/(STDEV(T6:T1198)+1E-12))</f>
        <v/>
      </c>
      <c r="X970" s="3">
        <f>IF(U970="","",U970-($V$3*G970+$W$3))</f>
        <v/>
      </c>
      <c r="Y970" s="3">
        <f>IF(X970="","",MAX(-3,MIN(3,(X970-$X3)/$X4)))</f>
        <v/>
      </c>
      <c r="Z970" s="3">
        <f>IF(Y970="","",(Y970-AVERAGE(Y6:Y1198))/(STDEV(Y6:Y1198)+1E-12))</f>
        <v/>
      </c>
    </row>
    <row r="971">
      <c r="A971" t="inlineStr">
        <is>
          <t>BBG000BT1715</t>
        </is>
      </c>
      <c r="B971" s="3">
        <f>IF('3a Raw'!C971="","",MAX(-3,MIN(3,('3a Raw'!C971-$B3)/$B4)))</f>
        <v/>
      </c>
      <c r="C971" s="3">
        <f>IF(B971="","",(B971-AVERAGE(B6:B1198))/(STDEV(B6:B1198)+1E-12))</f>
        <v/>
      </c>
      <c r="D971" s="3">
        <f>IF('3a Raw'!D971="","",MAX(-3,MIN(3,('3a Raw'!D971-$D3)/$D4)))</f>
        <v/>
      </c>
      <c r="E971" s="3">
        <f>IF(D971="","",(D971-AVERAGE(D6:D1198))/(STDEV(D6:D1198)+1E-12))</f>
        <v/>
      </c>
      <c r="F971" s="3">
        <f>IF('3a Raw'!E971="","",MAX(-3,MIN(3,('3a Raw'!E971-$F3)/$F4)))</f>
        <v/>
      </c>
      <c r="G971" s="3">
        <f>IF(F971="","",(F971-AVERAGE(F6:F1198))/(STDEV(F6:F1198)+1E-12))</f>
        <v/>
      </c>
      <c r="H971" s="3">
        <f>IF('3a Raw'!F971="","",MAX(-3,MIN(3,('3a Raw'!F971-$H3)/$H4)))</f>
        <v/>
      </c>
      <c r="I971" s="3">
        <f>IF(H971="","",(H971-AVERAGE(H6:H1198))/(STDEV(H6:H1198)+1E-12))</f>
        <v/>
      </c>
      <c r="J971" s="3">
        <f>IF('3a Raw'!G971="","",MAX(-3,MIN(3,('3a Raw'!G971-$J3)/$J4)))</f>
        <v/>
      </c>
      <c r="K971" s="3">
        <f>IF(J971="","",(J971-AVERAGE(J6:J1198))/(STDEV(J6:J1198)+1E-12))</f>
        <v/>
      </c>
      <c r="L971" s="3">
        <f>IF('3a Raw'!H971="","",MAX(-3,MIN(3,('3a Raw'!H971-$L3)/$L4)))</f>
        <v/>
      </c>
      <c r="M971" s="3">
        <f>IF(L971="","",(L971-AVERAGE(L6:L1198))/(STDEV(L6:L1198)+1E-12))</f>
        <v/>
      </c>
      <c r="N971" s="3">
        <f>IF('3a Raw'!I971="","",MAX(-3,MIN(3,('3a Raw'!I971-$N3)/$N4)))</f>
        <v/>
      </c>
      <c r="O971" s="3">
        <f>IF(N971="","",(N971-AVERAGE(N6:N1198))/(STDEV(N6:N1198)+1E-12))</f>
        <v/>
      </c>
      <c r="P971" s="3">
        <f>IF('3a Raw'!J971="","",MAX(-3,MIN(3,('3a Raw'!J971-$P3)/$P4)))</f>
        <v/>
      </c>
      <c r="Q971" s="3">
        <f>IF(P971="","",(P971-AVERAGE(P6:P1198))/(STDEV(P6:P1198)+1E-12))</f>
        <v/>
      </c>
      <c r="R971" s="3">
        <f>IF('3a Raw'!K971="","",MAX(-3,MIN(3,('3a Raw'!K971-$R3)/$R4)))</f>
        <v/>
      </c>
      <c r="S971" s="3">
        <f>IF(R971="","",(R971-AVERAGE(R6:R1198))/(STDEV(R6:R1198)+1E-12))</f>
        <v/>
      </c>
      <c r="T971" s="3">
        <f>IF('3a Raw'!L971="","",MAX(-3,MIN(3,('3a Raw'!L971-$T3)/$T4)))</f>
        <v/>
      </c>
      <c r="U971" s="3">
        <f>IF(T971="","",(T971-AVERAGE(T6:T1198))/(STDEV(T6:T1198)+1E-12))</f>
        <v/>
      </c>
      <c r="X971" s="3">
        <f>IF(U971="","",U971-($V$3*G971+$W$3))</f>
        <v/>
      </c>
      <c r="Y971" s="3">
        <f>IF(X971="","",MAX(-3,MIN(3,(X971-$X3)/$X4)))</f>
        <v/>
      </c>
      <c r="Z971" s="3">
        <f>IF(Y971="","",(Y971-AVERAGE(Y6:Y1198))/(STDEV(Y6:Y1198)+1E-12))</f>
        <v/>
      </c>
    </row>
    <row r="972">
      <c r="A972" t="inlineStr">
        <is>
          <t>BBG000BT41Q8</t>
        </is>
      </c>
      <c r="B972" s="3">
        <f>IF('3a Raw'!C972="","",MAX(-3,MIN(3,('3a Raw'!C972-$B3)/$B4)))</f>
        <v/>
      </c>
      <c r="C972" s="3">
        <f>IF(B972="","",(B972-AVERAGE(B6:B1198))/(STDEV(B6:B1198)+1E-12))</f>
        <v/>
      </c>
      <c r="D972" s="3">
        <f>IF('3a Raw'!D972="","",MAX(-3,MIN(3,('3a Raw'!D972-$D3)/$D4)))</f>
        <v/>
      </c>
      <c r="E972" s="3">
        <f>IF(D972="","",(D972-AVERAGE(D6:D1198))/(STDEV(D6:D1198)+1E-12))</f>
        <v/>
      </c>
      <c r="F972" s="3">
        <f>IF('3a Raw'!E972="","",MAX(-3,MIN(3,('3a Raw'!E972-$F3)/$F4)))</f>
        <v/>
      </c>
      <c r="G972" s="3">
        <f>IF(F972="","",(F972-AVERAGE(F6:F1198))/(STDEV(F6:F1198)+1E-12))</f>
        <v/>
      </c>
      <c r="H972" s="3">
        <f>IF('3a Raw'!F972="","",MAX(-3,MIN(3,('3a Raw'!F972-$H3)/$H4)))</f>
        <v/>
      </c>
      <c r="I972" s="3">
        <f>IF(H972="","",(H972-AVERAGE(H6:H1198))/(STDEV(H6:H1198)+1E-12))</f>
        <v/>
      </c>
      <c r="J972" s="3">
        <f>IF('3a Raw'!G972="","",MAX(-3,MIN(3,('3a Raw'!G972-$J3)/$J4)))</f>
        <v/>
      </c>
      <c r="K972" s="3">
        <f>IF(J972="","",(J972-AVERAGE(J6:J1198))/(STDEV(J6:J1198)+1E-12))</f>
        <v/>
      </c>
      <c r="L972" s="3">
        <f>IF('3a Raw'!H972="","",MAX(-3,MIN(3,('3a Raw'!H972-$L3)/$L4)))</f>
        <v/>
      </c>
      <c r="M972" s="3">
        <f>IF(L972="","",(L972-AVERAGE(L6:L1198))/(STDEV(L6:L1198)+1E-12))</f>
        <v/>
      </c>
      <c r="N972" s="3">
        <f>IF('3a Raw'!I972="","",MAX(-3,MIN(3,('3a Raw'!I972-$N3)/$N4)))</f>
        <v/>
      </c>
      <c r="O972" s="3">
        <f>IF(N972="","",(N972-AVERAGE(N6:N1198))/(STDEV(N6:N1198)+1E-12))</f>
        <v/>
      </c>
      <c r="P972" s="3">
        <f>IF('3a Raw'!J972="","",MAX(-3,MIN(3,('3a Raw'!J972-$P3)/$P4)))</f>
        <v/>
      </c>
      <c r="Q972" s="3">
        <f>IF(P972="","",(P972-AVERAGE(P6:P1198))/(STDEV(P6:P1198)+1E-12))</f>
        <v/>
      </c>
      <c r="R972" s="3">
        <f>IF('3a Raw'!K972="","",MAX(-3,MIN(3,('3a Raw'!K972-$R3)/$R4)))</f>
        <v/>
      </c>
      <c r="S972" s="3">
        <f>IF(R972="","",(R972-AVERAGE(R6:R1198))/(STDEV(R6:R1198)+1E-12))</f>
        <v/>
      </c>
      <c r="T972" s="3">
        <f>IF('3a Raw'!L972="","",MAX(-3,MIN(3,('3a Raw'!L972-$T3)/$T4)))</f>
        <v/>
      </c>
      <c r="U972" s="3">
        <f>IF(T972="","",(T972-AVERAGE(T6:T1198))/(STDEV(T6:T1198)+1E-12))</f>
        <v/>
      </c>
      <c r="X972" s="3">
        <f>IF(U972="","",U972-($V$3*G972+$W$3))</f>
        <v/>
      </c>
      <c r="Y972" s="3">
        <f>IF(X972="","",MAX(-3,MIN(3,(X972-$X3)/$X4)))</f>
        <v/>
      </c>
      <c r="Z972" s="3">
        <f>IF(Y972="","",(Y972-AVERAGE(Y6:Y1198))/(STDEV(Y6:Y1198)+1E-12))</f>
        <v/>
      </c>
    </row>
    <row r="973">
      <c r="A973" t="inlineStr">
        <is>
          <t>BBG013PZCC16</t>
        </is>
      </c>
      <c r="B973" s="3">
        <f>IF('3a Raw'!C973="","",MAX(-3,MIN(3,('3a Raw'!C973-$B3)/$B4)))</f>
        <v/>
      </c>
      <c r="C973" s="3">
        <f>IF(B973="","",(B973-AVERAGE(B6:B1198))/(STDEV(B6:B1198)+1E-12))</f>
        <v/>
      </c>
      <c r="D973" s="3">
        <f>IF('3a Raw'!D973="","",MAX(-3,MIN(3,('3a Raw'!D973-$D3)/$D4)))</f>
        <v/>
      </c>
      <c r="E973" s="3">
        <f>IF(D973="","",(D973-AVERAGE(D6:D1198))/(STDEV(D6:D1198)+1E-12))</f>
        <v/>
      </c>
      <c r="F973" s="3">
        <f>IF('3a Raw'!E973="","",MAX(-3,MIN(3,('3a Raw'!E973-$F3)/$F4)))</f>
        <v/>
      </c>
      <c r="G973" s="3">
        <f>IF(F973="","",(F973-AVERAGE(F6:F1198))/(STDEV(F6:F1198)+1E-12))</f>
        <v/>
      </c>
      <c r="H973" s="3">
        <f>IF('3a Raw'!F973="","",MAX(-3,MIN(3,('3a Raw'!F973-$H3)/$H4)))</f>
        <v/>
      </c>
      <c r="I973" s="3">
        <f>IF(H973="","",(H973-AVERAGE(H6:H1198))/(STDEV(H6:H1198)+1E-12))</f>
        <v/>
      </c>
      <c r="J973" s="3">
        <f>IF('3a Raw'!G973="","",MAX(-3,MIN(3,('3a Raw'!G973-$J3)/$J4)))</f>
        <v/>
      </c>
      <c r="K973" s="3">
        <f>IF(J973="","",(J973-AVERAGE(J6:J1198))/(STDEV(J6:J1198)+1E-12))</f>
        <v/>
      </c>
      <c r="L973" s="3">
        <f>IF('3a Raw'!H973="","",MAX(-3,MIN(3,('3a Raw'!H973-$L3)/$L4)))</f>
        <v/>
      </c>
      <c r="M973" s="3">
        <f>IF(L973="","",(L973-AVERAGE(L6:L1198))/(STDEV(L6:L1198)+1E-12))</f>
        <v/>
      </c>
      <c r="N973" s="3">
        <f>IF('3a Raw'!I973="","",MAX(-3,MIN(3,('3a Raw'!I973-$N3)/$N4)))</f>
        <v/>
      </c>
      <c r="O973" s="3">
        <f>IF(N973="","",(N973-AVERAGE(N6:N1198))/(STDEV(N6:N1198)+1E-12))</f>
        <v/>
      </c>
      <c r="P973" s="3">
        <f>IF('3a Raw'!J973="","",MAX(-3,MIN(3,('3a Raw'!J973-$P3)/$P4)))</f>
        <v/>
      </c>
      <c r="Q973" s="3">
        <f>IF(P973="","",(P973-AVERAGE(P6:P1198))/(STDEV(P6:P1198)+1E-12))</f>
        <v/>
      </c>
      <c r="R973" s="3">
        <f>IF('3a Raw'!K973="","",MAX(-3,MIN(3,('3a Raw'!K973-$R3)/$R4)))</f>
        <v/>
      </c>
      <c r="S973" s="3">
        <f>IF(R973="","",(R973-AVERAGE(R6:R1198))/(STDEV(R6:R1198)+1E-12))</f>
        <v/>
      </c>
      <c r="T973" s="3">
        <f>IF('3a Raw'!L973="","",MAX(-3,MIN(3,('3a Raw'!L973-$T3)/$T4)))</f>
        <v/>
      </c>
      <c r="U973" s="3">
        <f>IF(T973="","",(T973-AVERAGE(T6:T1198))/(STDEV(T6:T1198)+1E-12))</f>
        <v/>
      </c>
      <c r="X973" s="3">
        <f>IF(U973="","",U973-($V$3*G973+$W$3))</f>
        <v/>
      </c>
      <c r="Y973" s="3">
        <f>IF(X973="","",MAX(-3,MIN(3,(X973-$X3)/$X4)))</f>
        <v/>
      </c>
      <c r="Z973" s="3">
        <f>IF(Y973="","",(Y973-AVERAGE(Y6:Y1198))/(STDEV(Y6:Y1198)+1E-12))</f>
        <v/>
      </c>
    </row>
    <row r="974">
      <c r="A974" t="inlineStr">
        <is>
          <t>BBG0112HCSY4</t>
        </is>
      </c>
      <c r="B974" s="3">
        <f>IF('3a Raw'!C974="","",MAX(-3,MIN(3,('3a Raw'!C974-$B3)/$B4)))</f>
        <v/>
      </c>
      <c r="C974" s="3">
        <f>IF(B974="","",(B974-AVERAGE(B6:B1198))/(STDEV(B6:B1198)+1E-12))</f>
        <v/>
      </c>
      <c r="D974" s="3">
        <f>IF('3a Raw'!D974="","",MAX(-3,MIN(3,('3a Raw'!D974-$D3)/$D4)))</f>
        <v/>
      </c>
      <c r="E974" s="3">
        <f>IF(D974="","",(D974-AVERAGE(D6:D1198))/(STDEV(D6:D1198)+1E-12))</f>
        <v/>
      </c>
      <c r="F974" s="3">
        <f>IF('3a Raw'!E974="","",MAX(-3,MIN(3,('3a Raw'!E974-$F3)/$F4)))</f>
        <v/>
      </c>
      <c r="G974" s="3">
        <f>IF(F974="","",(F974-AVERAGE(F6:F1198))/(STDEV(F6:F1198)+1E-12))</f>
        <v/>
      </c>
      <c r="H974" s="3">
        <f>IF('3a Raw'!F974="","",MAX(-3,MIN(3,('3a Raw'!F974-$H3)/$H4)))</f>
        <v/>
      </c>
      <c r="I974" s="3">
        <f>IF(H974="","",(H974-AVERAGE(H6:H1198))/(STDEV(H6:H1198)+1E-12))</f>
        <v/>
      </c>
      <c r="J974" s="3">
        <f>IF('3a Raw'!G974="","",MAX(-3,MIN(3,('3a Raw'!G974-$J3)/$J4)))</f>
        <v/>
      </c>
      <c r="K974" s="3">
        <f>IF(J974="","",(J974-AVERAGE(J6:J1198))/(STDEV(J6:J1198)+1E-12))</f>
        <v/>
      </c>
      <c r="L974" s="3">
        <f>IF('3a Raw'!H974="","",MAX(-3,MIN(3,('3a Raw'!H974-$L3)/$L4)))</f>
        <v/>
      </c>
      <c r="M974" s="3">
        <f>IF(L974="","",(L974-AVERAGE(L6:L1198))/(STDEV(L6:L1198)+1E-12))</f>
        <v/>
      </c>
      <c r="N974" s="3">
        <f>IF('3a Raw'!I974="","",MAX(-3,MIN(3,('3a Raw'!I974-$N3)/$N4)))</f>
        <v/>
      </c>
      <c r="O974" s="3">
        <f>IF(N974="","",(N974-AVERAGE(N6:N1198))/(STDEV(N6:N1198)+1E-12))</f>
        <v/>
      </c>
      <c r="P974" s="3">
        <f>IF('3a Raw'!J974="","",MAX(-3,MIN(3,('3a Raw'!J974-$P3)/$P4)))</f>
        <v/>
      </c>
      <c r="Q974" s="3">
        <f>IF(P974="","",(P974-AVERAGE(P6:P1198))/(STDEV(P6:P1198)+1E-12))</f>
        <v/>
      </c>
      <c r="R974" s="3">
        <f>IF('3a Raw'!K974="","",MAX(-3,MIN(3,('3a Raw'!K974-$R3)/$R4)))</f>
        <v/>
      </c>
      <c r="S974" s="3">
        <f>IF(R974="","",(R974-AVERAGE(R6:R1198))/(STDEV(R6:R1198)+1E-12))</f>
        <v/>
      </c>
      <c r="T974" s="3">
        <f>IF('3a Raw'!L974="","",MAX(-3,MIN(3,('3a Raw'!L974-$T3)/$T4)))</f>
        <v/>
      </c>
      <c r="U974" s="3">
        <f>IF(T974="","",(T974-AVERAGE(T6:T1198))/(STDEV(T6:T1198)+1E-12))</f>
        <v/>
      </c>
      <c r="X974" s="3">
        <f>IF(U974="","",U974-($V$3*G974+$W$3))</f>
        <v/>
      </c>
      <c r="Y974" s="3">
        <f>IF(X974="","",MAX(-3,MIN(3,(X974-$X3)/$X4)))</f>
        <v/>
      </c>
      <c r="Z974" s="3">
        <f>IF(Y974="","",(Y974-AVERAGE(Y6:Y1198))/(STDEV(Y6:Y1198)+1E-12))</f>
        <v/>
      </c>
    </row>
    <row r="975">
      <c r="A975" t="inlineStr">
        <is>
          <t>BBG000BBCQD7</t>
        </is>
      </c>
      <c r="B975" s="3">
        <f>IF('3a Raw'!C975="","",MAX(-3,MIN(3,('3a Raw'!C975-$B3)/$B4)))</f>
        <v/>
      </c>
      <c r="C975" s="3">
        <f>IF(B975="","",(B975-AVERAGE(B6:B1198))/(STDEV(B6:B1198)+1E-12))</f>
        <v/>
      </c>
      <c r="D975" s="3">
        <f>IF('3a Raw'!D975="","",MAX(-3,MIN(3,('3a Raw'!D975-$D3)/$D4)))</f>
        <v/>
      </c>
      <c r="E975" s="3">
        <f>IF(D975="","",(D975-AVERAGE(D6:D1198))/(STDEV(D6:D1198)+1E-12))</f>
        <v/>
      </c>
      <c r="F975" s="3">
        <f>IF('3a Raw'!E975="","",MAX(-3,MIN(3,('3a Raw'!E975-$F3)/$F4)))</f>
        <v/>
      </c>
      <c r="G975" s="3">
        <f>IF(F975="","",(F975-AVERAGE(F6:F1198))/(STDEV(F6:F1198)+1E-12))</f>
        <v/>
      </c>
      <c r="H975" s="3">
        <f>IF('3a Raw'!F975="","",MAX(-3,MIN(3,('3a Raw'!F975-$H3)/$H4)))</f>
        <v/>
      </c>
      <c r="I975" s="3">
        <f>IF(H975="","",(H975-AVERAGE(H6:H1198))/(STDEV(H6:H1198)+1E-12))</f>
        <v/>
      </c>
      <c r="J975" s="3">
        <f>IF('3a Raw'!G975="","",MAX(-3,MIN(3,('3a Raw'!G975-$J3)/$J4)))</f>
        <v/>
      </c>
      <c r="K975" s="3">
        <f>IF(J975="","",(J975-AVERAGE(J6:J1198))/(STDEV(J6:J1198)+1E-12))</f>
        <v/>
      </c>
      <c r="L975" s="3">
        <f>IF('3a Raw'!H975="","",MAX(-3,MIN(3,('3a Raw'!H975-$L3)/$L4)))</f>
        <v/>
      </c>
      <c r="M975" s="3">
        <f>IF(L975="","",(L975-AVERAGE(L6:L1198))/(STDEV(L6:L1198)+1E-12))</f>
        <v/>
      </c>
      <c r="N975" s="3">
        <f>IF('3a Raw'!I975="","",MAX(-3,MIN(3,('3a Raw'!I975-$N3)/$N4)))</f>
        <v/>
      </c>
      <c r="O975" s="3">
        <f>IF(N975="","",(N975-AVERAGE(N6:N1198))/(STDEV(N6:N1198)+1E-12))</f>
        <v/>
      </c>
      <c r="P975" s="3">
        <f>IF('3a Raw'!J975="","",MAX(-3,MIN(3,('3a Raw'!J975-$P3)/$P4)))</f>
        <v/>
      </c>
      <c r="Q975" s="3">
        <f>IF(P975="","",(P975-AVERAGE(P6:P1198))/(STDEV(P6:P1198)+1E-12))</f>
        <v/>
      </c>
      <c r="R975" s="3">
        <f>IF('3a Raw'!K975="","",MAX(-3,MIN(3,('3a Raw'!K975-$R3)/$R4)))</f>
        <v/>
      </c>
      <c r="S975" s="3">
        <f>IF(R975="","",(R975-AVERAGE(R6:R1198))/(STDEV(R6:R1198)+1E-12))</f>
        <v/>
      </c>
      <c r="T975" s="3">
        <f>IF('3a Raw'!L975="","",MAX(-3,MIN(3,('3a Raw'!L975-$T3)/$T4)))</f>
        <v/>
      </c>
      <c r="U975" s="3">
        <f>IF(T975="","",(T975-AVERAGE(T6:T1198))/(STDEV(T6:T1198)+1E-12))</f>
        <v/>
      </c>
      <c r="X975" s="3">
        <f>IF(U975="","",U975-($V$3*G975+$W$3))</f>
        <v/>
      </c>
      <c r="Y975" s="3">
        <f>IF(X975="","",MAX(-3,MIN(3,(X975-$X3)/$X4)))</f>
        <v/>
      </c>
      <c r="Z975" s="3">
        <f>IF(Y975="","",(Y975-AVERAGE(Y6:Y1198))/(STDEV(Y6:Y1198)+1E-12))</f>
        <v/>
      </c>
    </row>
    <row r="976">
      <c r="A976" t="inlineStr">
        <is>
          <t>BBG000GTP1B6</t>
        </is>
      </c>
      <c r="B976" s="3">
        <f>IF('3a Raw'!C976="","",MAX(-3,MIN(3,('3a Raw'!C976-$B3)/$B4)))</f>
        <v/>
      </c>
      <c r="C976" s="3">
        <f>IF(B976="","",(B976-AVERAGE(B6:B1198))/(STDEV(B6:B1198)+1E-12))</f>
        <v/>
      </c>
      <c r="D976" s="3">
        <f>IF('3a Raw'!D976="","",MAX(-3,MIN(3,('3a Raw'!D976-$D3)/$D4)))</f>
        <v/>
      </c>
      <c r="E976" s="3">
        <f>IF(D976="","",(D976-AVERAGE(D6:D1198))/(STDEV(D6:D1198)+1E-12))</f>
        <v/>
      </c>
      <c r="F976" s="3">
        <f>IF('3a Raw'!E976="","",MAX(-3,MIN(3,('3a Raw'!E976-$F3)/$F4)))</f>
        <v/>
      </c>
      <c r="G976" s="3">
        <f>IF(F976="","",(F976-AVERAGE(F6:F1198))/(STDEV(F6:F1198)+1E-12))</f>
        <v/>
      </c>
      <c r="H976" s="3">
        <f>IF('3a Raw'!F976="","",MAX(-3,MIN(3,('3a Raw'!F976-$H3)/$H4)))</f>
        <v/>
      </c>
      <c r="I976" s="3">
        <f>IF(H976="","",(H976-AVERAGE(H6:H1198))/(STDEV(H6:H1198)+1E-12))</f>
        <v/>
      </c>
      <c r="J976" s="3">
        <f>IF('3a Raw'!G976="","",MAX(-3,MIN(3,('3a Raw'!G976-$J3)/$J4)))</f>
        <v/>
      </c>
      <c r="K976" s="3">
        <f>IF(J976="","",(J976-AVERAGE(J6:J1198))/(STDEV(J6:J1198)+1E-12))</f>
        <v/>
      </c>
      <c r="L976" s="3">
        <f>IF('3a Raw'!H976="","",MAX(-3,MIN(3,('3a Raw'!H976-$L3)/$L4)))</f>
        <v/>
      </c>
      <c r="M976" s="3">
        <f>IF(L976="","",(L976-AVERAGE(L6:L1198))/(STDEV(L6:L1198)+1E-12))</f>
        <v/>
      </c>
      <c r="N976" s="3">
        <f>IF('3a Raw'!I976="","",MAX(-3,MIN(3,('3a Raw'!I976-$N3)/$N4)))</f>
        <v/>
      </c>
      <c r="O976" s="3">
        <f>IF(N976="","",(N976-AVERAGE(N6:N1198))/(STDEV(N6:N1198)+1E-12))</f>
        <v/>
      </c>
      <c r="P976" s="3">
        <f>IF('3a Raw'!J976="","",MAX(-3,MIN(3,('3a Raw'!J976-$P3)/$P4)))</f>
        <v/>
      </c>
      <c r="Q976" s="3">
        <f>IF(P976="","",(P976-AVERAGE(P6:P1198))/(STDEV(P6:P1198)+1E-12))</f>
        <v/>
      </c>
      <c r="R976" s="3">
        <f>IF('3a Raw'!K976="","",MAX(-3,MIN(3,('3a Raw'!K976-$R3)/$R4)))</f>
        <v/>
      </c>
      <c r="S976" s="3">
        <f>IF(R976="","",(R976-AVERAGE(R6:R1198))/(STDEV(R6:R1198)+1E-12))</f>
        <v/>
      </c>
      <c r="T976" s="3">
        <f>IF('3a Raw'!L976="","",MAX(-3,MIN(3,('3a Raw'!L976-$T3)/$T4)))</f>
        <v/>
      </c>
      <c r="U976" s="3">
        <f>IF(T976="","",(T976-AVERAGE(T6:T1198))/(STDEV(T6:T1198)+1E-12))</f>
        <v/>
      </c>
      <c r="X976" s="3">
        <f>IF(U976="","",U976-($V$3*G976+$W$3))</f>
        <v/>
      </c>
      <c r="Y976" s="3">
        <f>IF(X976="","",MAX(-3,MIN(3,(X976-$X3)/$X4)))</f>
        <v/>
      </c>
      <c r="Z976" s="3">
        <f>IF(Y976="","",(Y976-AVERAGE(Y6:Y1198))/(STDEV(Y6:Y1198)+1E-12))</f>
        <v/>
      </c>
    </row>
    <row r="977">
      <c r="A977" t="inlineStr">
        <is>
          <t>BBG000V86JM5</t>
        </is>
      </c>
      <c r="B977" s="3">
        <f>IF('3a Raw'!C977="","",MAX(-3,MIN(3,('3a Raw'!C977-$B3)/$B4)))</f>
        <v/>
      </c>
      <c r="C977" s="3">
        <f>IF(B977="","",(B977-AVERAGE(B6:B1198))/(STDEV(B6:B1198)+1E-12))</f>
        <v/>
      </c>
      <c r="D977" s="3">
        <f>IF('3a Raw'!D977="","",MAX(-3,MIN(3,('3a Raw'!D977-$D3)/$D4)))</f>
        <v/>
      </c>
      <c r="E977" s="3">
        <f>IF(D977="","",(D977-AVERAGE(D6:D1198))/(STDEV(D6:D1198)+1E-12))</f>
        <v/>
      </c>
      <c r="F977" s="3">
        <f>IF('3a Raw'!E977="","",MAX(-3,MIN(3,('3a Raw'!E977-$F3)/$F4)))</f>
        <v/>
      </c>
      <c r="G977" s="3">
        <f>IF(F977="","",(F977-AVERAGE(F6:F1198))/(STDEV(F6:F1198)+1E-12))</f>
        <v/>
      </c>
      <c r="H977" s="3">
        <f>IF('3a Raw'!F977="","",MAX(-3,MIN(3,('3a Raw'!F977-$H3)/$H4)))</f>
        <v/>
      </c>
      <c r="I977" s="3">
        <f>IF(H977="","",(H977-AVERAGE(H6:H1198))/(STDEV(H6:H1198)+1E-12))</f>
        <v/>
      </c>
      <c r="J977" s="3">
        <f>IF('3a Raw'!G977="","",MAX(-3,MIN(3,('3a Raw'!G977-$J3)/$J4)))</f>
        <v/>
      </c>
      <c r="K977" s="3">
        <f>IF(J977="","",(J977-AVERAGE(J6:J1198))/(STDEV(J6:J1198)+1E-12))</f>
        <v/>
      </c>
      <c r="L977" s="3">
        <f>IF('3a Raw'!H977="","",MAX(-3,MIN(3,('3a Raw'!H977-$L3)/$L4)))</f>
        <v/>
      </c>
      <c r="M977" s="3">
        <f>IF(L977="","",(L977-AVERAGE(L6:L1198))/(STDEV(L6:L1198)+1E-12))</f>
        <v/>
      </c>
      <c r="N977" s="3">
        <f>IF('3a Raw'!I977="","",MAX(-3,MIN(3,('3a Raw'!I977-$N3)/$N4)))</f>
        <v/>
      </c>
      <c r="O977" s="3">
        <f>IF(N977="","",(N977-AVERAGE(N6:N1198))/(STDEV(N6:N1198)+1E-12))</f>
        <v/>
      </c>
      <c r="P977" s="3">
        <f>IF('3a Raw'!J977="","",MAX(-3,MIN(3,('3a Raw'!J977-$P3)/$P4)))</f>
        <v/>
      </c>
      <c r="Q977" s="3">
        <f>IF(P977="","",(P977-AVERAGE(P6:P1198))/(STDEV(P6:P1198)+1E-12))</f>
        <v/>
      </c>
      <c r="R977" s="3">
        <f>IF('3a Raw'!K977="","",MAX(-3,MIN(3,('3a Raw'!K977-$R3)/$R4)))</f>
        <v/>
      </c>
      <c r="S977" s="3">
        <f>IF(R977="","",(R977-AVERAGE(R6:R1198))/(STDEV(R6:R1198)+1E-12))</f>
        <v/>
      </c>
      <c r="T977" s="3">
        <f>IF('3a Raw'!L977="","",MAX(-3,MIN(3,('3a Raw'!L977-$T3)/$T4)))</f>
        <v/>
      </c>
      <c r="U977" s="3">
        <f>IF(T977="","",(T977-AVERAGE(T6:T1198))/(STDEV(T6:T1198)+1E-12))</f>
        <v/>
      </c>
      <c r="X977" s="3">
        <f>IF(U977="","",U977-($V$3*G977+$W$3))</f>
        <v/>
      </c>
      <c r="Y977" s="3">
        <f>IF(X977="","",MAX(-3,MIN(3,(X977-$X3)/$X4)))</f>
        <v/>
      </c>
      <c r="Z977" s="3">
        <f>IF(Y977="","",(Y977-AVERAGE(Y6:Y1198))/(STDEV(Y6:Y1198)+1E-12))</f>
        <v/>
      </c>
    </row>
    <row r="978">
      <c r="A978" t="inlineStr">
        <is>
          <t>BBG01T1Z99G0</t>
        </is>
      </c>
      <c r="B978" s="3">
        <f>IF('3a Raw'!C978="","",MAX(-3,MIN(3,('3a Raw'!C978-$B3)/$B4)))</f>
        <v/>
      </c>
      <c r="C978" s="3">
        <f>IF(B978="","",(B978-AVERAGE(B6:B1198))/(STDEV(B6:B1198)+1E-12))</f>
        <v/>
      </c>
      <c r="D978" s="3">
        <f>IF('3a Raw'!D978="","",MAX(-3,MIN(3,('3a Raw'!D978-$D3)/$D4)))</f>
        <v/>
      </c>
      <c r="E978" s="3">
        <f>IF(D978="","",(D978-AVERAGE(D6:D1198))/(STDEV(D6:D1198)+1E-12))</f>
        <v/>
      </c>
      <c r="F978" s="3">
        <f>IF('3a Raw'!E978="","",MAX(-3,MIN(3,('3a Raw'!E978-$F3)/$F4)))</f>
        <v/>
      </c>
      <c r="G978" s="3">
        <f>IF(F978="","",(F978-AVERAGE(F6:F1198))/(STDEV(F6:F1198)+1E-12))</f>
        <v/>
      </c>
      <c r="H978" s="3">
        <f>IF('3a Raw'!F978="","",MAX(-3,MIN(3,('3a Raw'!F978-$H3)/$H4)))</f>
        <v/>
      </c>
      <c r="I978" s="3">
        <f>IF(H978="","",(H978-AVERAGE(H6:H1198))/(STDEV(H6:H1198)+1E-12))</f>
        <v/>
      </c>
      <c r="J978" s="3">
        <f>IF('3a Raw'!G978="","",MAX(-3,MIN(3,('3a Raw'!G978-$J3)/$J4)))</f>
        <v/>
      </c>
      <c r="K978" s="3">
        <f>IF(J978="","",(J978-AVERAGE(J6:J1198))/(STDEV(J6:J1198)+1E-12))</f>
        <v/>
      </c>
      <c r="L978" s="3">
        <f>IF('3a Raw'!H978="","",MAX(-3,MIN(3,('3a Raw'!H978-$L3)/$L4)))</f>
        <v/>
      </c>
      <c r="M978" s="3">
        <f>IF(L978="","",(L978-AVERAGE(L6:L1198))/(STDEV(L6:L1198)+1E-12))</f>
        <v/>
      </c>
      <c r="N978" s="3">
        <f>IF('3a Raw'!I978="","",MAX(-3,MIN(3,('3a Raw'!I978-$N3)/$N4)))</f>
        <v/>
      </c>
      <c r="O978" s="3">
        <f>IF(N978="","",(N978-AVERAGE(N6:N1198))/(STDEV(N6:N1198)+1E-12))</f>
        <v/>
      </c>
      <c r="P978" s="3">
        <f>IF('3a Raw'!J978="","",MAX(-3,MIN(3,('3a Raw'!J978-$P3)/$P4)))</f>
        <v/>
      </c>
      <c r="Q978" s="3">
        <f>IF(P978="","",(P978-AVERAGE(P6:P1198))/(STDEV(P6:P1198)+1E-12))</f>
        <v/>
      </c>
      <c r="R978" s="3">
        <f>IF('3a Raw'!K978="","",MAX(-3,MIN(3,('3a Raw'!K978-$R3)/$R4)))</f>
        <v/>
      </c>
      <c r="S978" s="3">
        <f>IF(R978="","",(R978-AVERAGE(R6:R1198))/(STDEV(R6:R1198)+1E-12))</f>
        <v/>
      </c>
      <c r="T978" s="3">
        <f>IF('3a Raw'!L978="","",MAX(-3,MIN(3,('3a Raw'!L978-$T3)/$T4)))</f>
        <v/>
      </c>
      <c r="U978" s="3">
        <f>IF(T978="","",(T978-AVERAGE(T6:T1198))/(STDEV(T6:T1198)+1E-12))</f>
        <v/>
      </c>
      <c r="X978" s="3">
        <f>IF(U978="","",U978-($V$3*G978+$W$3))</f>
        <v/>
      </c>
      <c r="Y978" s="3">
        <f>IF(X978="","",MAX(-3,MIN(3,(X978-$X3)/$X4)))</f>
        <v/>
      </c>
      <c r="Z978" s="3">
        <f>IF(Y978="","",(Y978-AVERAGE(Y6:Y1198))/(STDEV(Y6:Y1198)+1E-12))</f>
        <v/>
      </c>
    </row>
    <row r="979">
      <c r="A979" t="inlineStr">
        <is>
          <t>BBG000MYZDJ3</t>
        </is>
      </c>
      <c r="B979" s="3">
        <f>IF('3a Raw'!C979="","",MAX(-3,MIN(3,('3a Raw'!C979-$B3)/$B4)))</f>
        <v/>
      </c>
      <c r="C979" s="3">
        <f>IF(B979="","",(B979-AVERAGE(B6:B1198))/(STDEV(B6:B1198)+1E-12))</f>
        <v/>
      </c>
      <c r="D979" s="3">
        <f>IF('3a Raw'!D979="","",MAX(-3,MIN(3,('3a Raw'!D979-$D3)/$D4)))</f>
        <v/>
      </c>
      <c r="E979" s="3">
        <f>IF(D979="","",(D979-AVERAGE(D6:D1198))/(STDEV(D6:D1198)+1E-12))</f>
        <v/>
      </c>
      <c r="F979" s="3">
        <f>IF('3a Raw'!E979="","",MAX(-3,MIN(3,('3a Raw'!E979-$F3)/$F4)))</f>
        <v/>
      </c>
      <c r="G979" s="3">
        <f>IF(F979="","",(F979-AVERAGE(F6:F1198))/(STDEV(F6:F1198)+1E-12))</f>
        <v/>
      </c>
      <c r="H979" s="3">
        <f>IF('3a Raw'!F979="","",MAX(-3,MIN(3,('3a Raw'!F979-$H3)/$H4)))</f>
        <v/>
      </c>
      <c r="I979" s="3">
        <f>IF(H979="","",(H979-AVERAGE(H6:H1198))/(STDEV(H6:H1198)+1E-12))</f>
        <v/>
      </c>
      <c r="J979" s="3">
        <f>IF('3a Raw'!G979="","",MAX(-3,MIN(3,('3a Raw'!G979-$J3)/$J4)))</f>
        <v/>
      </c>
      <c r="K979" s="3">
        <f>IF(J979="","",(J979-AVERAGE(J6:J1198))/(STDEV(J6:J1198)+1E-12))</f>
        <v/>
      </c>
      <c r="L979" s="3">
        <f>IF('3a Raw'!H979="","",MAX(-3,MIN(3,('3a Raw'!H979-$L3)/$L4)))</f>
        <v/>
      </c>
      <c r="M979" s="3">
        <f>IF(L979="","",(L979-AVERAGE(L6:L1198))/(STDEV(L6:L1198)+1E-12))</f>
        <v/>
      </c>
      <c r="N979" s="3">
        <f>IF('3a Raw'!I979="","",MAX(-3,MIN(3,('3a Raw'!I979-$N3)/$N4)))</f>
        <v/>
      </c>
      <c r="O979" s="3">
        <f>IF(N979="","",(N979-AVERAGE(N6:N1198))/(STDEV(N6:N1198)+1E-12))</f>
        <v/>
      </c>
      <c r="P979" s="3">
        <f>IF('3a Raw'!J979="","",MAX(-3,MIN(3,('3a Raw'!J979-$P3)/$P4)))</f>
        <v/>
      </c>
      <c r="Q979" s="3">
        <f>IF(P979="","",(P979-AVERAGE(P6:P1198))/(STDEV(P6:P1198)+1E-12))</f>
        <v/>
      </c>
      <c r="R979" s="3">
        <f>IF('3a Raw'!K979="","",MAX(-3,MIN(3,('3a Raw'!K979-$R3)/$R4)))</f>
        <v/>
      </c>
      <c r="S979" s="3">
        <f>IF(R979="","",(R979-AVERAGE(R6:R1198))/(STDEV(R6:R1198)+1E-12))</f>
        <v/>
      </c>
      <c r="T979" s="3">
        <f>IF('3a Raw'!L979="","",MAX(-3,MIN(3,('3a Raw'!L979-$T3)/$T4)))</f>
        <v/>
      </c>
      <c r="U979" s="3">
        <f>IF(T979="","",(T979-AVERAGE(T6:T1198))/(STDEV(T6:T1198)+1E-12))</f>
        <v/>
      </c>
      <c r="X979" s="3">
        <f>IF(U979="","",U979-($V$3*G979+$W$3))</f>
        <v/>
      </c>
      <c r="Y979" s="3">
        <f>IF(X979="","",MAX(-3,MIN(3,(X979-$X3)/$X4)))</f>
        <v/>
      </c>
      <c r="Z979" s="3">
        <f>IF(Y979="","",(Y979-AVERAGE(Y6:Y1198))/(STDEV(Y6:Y1198)+1E-12))</f>
        <v/>
      </c>
    </row>
    <row r="980">
      <c r="A980" t="inlineStr">
        <is>
          <t>BBG00YG48NM6</t>
        </is>
      </c>
      <c r="B980" s="3">
        <f>IF('3a Raw'!C980="","",MAX(-3,MIN(3,('3a Raw'!C980-$B3)/$B4)))</f>
        <v/>
      </c>
      <c r="C980" s="3">
        <f>IF(B980="","",(B980-AVERAGE(B6:B1198))/(STDEV(B6:B1198)+1E-12))</f>
        <v/>
      </c>
      <c r="D980" s="3">
        <f>IF('3a Raw'!D980="","",MAX(-3,MIN(3,('3a Raw'!D980-$D3)/$D4)))</f>
        <v/>
      </c>
      <c r="E980" s="3">
        <f>IF(D980="","",(D980-AVERAGE(D6:D1198))/(STDEV(D6:D1198)+1E-12))</f>
        <v/>
      </c>
      <c r="F980" s="3">
        <f>IF('3a Raw'!E980="","",MAX(-3,MIN(3,('3a Raw'!E980-$F3)/$F4)))</f>
        <v/>
      </c>
      <c r="G980" s="3">
        <f>IF(F980="","",(F980-AVERAGE(F6:F1198))/(STDEV(F6:F1198)+1E-12))</f>
        <v/>
      </c>
      <c r="H980" s="3">
        <f>IF('3a Raw'!F980="","",MAX(-3,MIN(3,('3a Raw'!F980-$H3)/$H4)))</f>
        <v/>
      </c>
      <c r="I980" s="3">
        <f>IF(H980="","",(H980-AVERAGE(H6:H1198))/(STDEV(H6:H1198)+1E-12))</f>
        <v/>
      </c>
      <c r="J980" s="3">
        <f>IF('3a Raw'!G980="","",MAX(-3,MIN(3,('3a Raw'!G980-$J3)/$J4)))</f>
        <v/>
      </c>
      <c r="K980" s="3">
        <f>IF(J980="","",(J980-AVERAGE(J6:J1198))/(STDEV(J6:J1198)+1E-12))</f>
        <v/>
      </c>
      <c r="L980" s="3">
        <f>IF('3a Raw'!H980="","",MAX(-3,MIN(3,('3a Raw'!H980-$L3)/$L4)))</f>
        <v/>
      </c>
      <c r="M980" s="3">
        <f>IF(L980="","",(L980-AVERAGE(L6:L1198))/(STDEV(L6:L1198)+1E-12))</f>
        <v/>
      </c>
      <c r="N980" s="3">
        <f>IF('3a Raw'!I980="","",MAX(-3,MIN(3,('3a Raw'!I980-$N3)/$N4)))</f>
        <v/>
      </c>
      <c r="O980" s="3">
        <f>IF(N980="","",(N980-AVERAGE(N6:N1198))/(STDEV(N6:N1198)+1E-12))</f>
        <v/>
      </c>
      <c r="P980" s="3">
        <f>IF('3a Raw'!J980="","",MAX(-3,MIN(3,('3a Raw'!J980-$P3)/$P4)))</f>
        <v/>
      </c>
      <c r="Q980" s="3">
        <f>IF(P980="","",(P980-AVERAGE(P6:P1198))/(STDEV(P6:P1198)+1E-12))</f>
        <v/>
      </c>
      <c r="R980" s="3">
        <f>IF('3a Raw'!K980="","",MAX(-3,MIN(3,('3a Raw'!K980-$R3)/$R4)))</f>
        <v/>
      </c>
      <c r="S980" s="3">
        <f>IF(R980="","",(R980-AVERAGE(R6:R1198))/(STDEV(R6:R1198)+1E-12))</f>
        <v/>
      </c>
      <c r="T980" s="3">
        <f>IF('3a Raw'!L980="","",MAX(-3,MIN(3,('3a Raw'!L980-$T3)/$T4)))</f>
        <v/>
      </c>
      <c r="U980" s="3">
        <f>IF(T980="","",(T980-AVERAGE(T6:T1198))/(STDEV(T6:T1198)+1E-12))</f>
        <v/>
      </c>
      <c r="X980" s="3">
        <f>IF(U980="","",U980-($V$3*G980+$W$3))</f>
        <v/>
      </c>
      <c r="Y980" s="3">
        <f>IF(X980="","",MAX(-3,MIN(3,(X980-$X3)/$X4)))</f>
        <v/>
      </c>
      <c r="Z980" s="3">
        <f>IF(Y980="","",(Y980-AVERAGE(Y6:Y1198))/(STDEV(Y6:Y1198)+1E-12))</f>
        <v/>
      </c>
    </row>
    <row r="981">
      <c r="A981" t="inlineStr">
        <is>
          <t>BBG000DBKR53</t>
        </is>
      </c>
      <c r="B981" s="3">
        <f>IF('3a Raw'!C981="","",MAX(-3,MIN(3,('3a Raw'!C981-$B3)/$B4)))</f>
        <v/>
      </c>
      <c r="C981" s="3">
        <f>IF(B981="","",(B981-AVERAGE(B6:B1198))/(STDEV(B6:B1198)+1E-12))</f>
        <v/>
      </c>
      <c r="D981" s="3">
        <f>IF('3a Raw'!D981="","",MAX(-3,MIN(3,('3a Raw'!D981-$D3)/$D4)))</f>
        <v/>
      </c>
      <c r="E981" s="3">
        <f>IF(D981="","",(D981-AVERAGE(D6:D1198))/(STDEV(D6:D1198)+1E-12))</f>
        <v/>
      </c>
      <c r="F981" s="3">
        <f>IF('3a Raw'!E981="","",MAX(-3,MIN(3,('3a Raw'!E981-$F3)/$F4)))</f>
        <v/>
      </c>
      <c r="G981" s="3">
        <f>IF(F981="","",(F981-AVERAGE(F6:F1198))/(STDEV(F6:F1198)+1E-12))</f>
        <v/>
      </c>
      <c r="H981" s="3">
        <f>IF('3a Raw'!F981="","",MAX(-3,MIN(3,('3a Raw'!F981-$H3)/$H4)))</f>
        <v/>
      </c>
      <c r="I981" s="3">
        <f>IF(H981="","",(H981-AVERAGE(H6:H1198))/(STDEV(H6:H1198)+1E-12))</f>
        <v/>
      </c>
      <c r="J981" s="3">
        <f>IF('3a Raw'!G981="","",MAX(-3,MIN(3,('3a Raw'!G981-$J3)/$J4)))</f>
        <v/>
      </c>
      <c r="K981" s="3">
        <f>IF(J981="","",(J981-AVERAGE(J6:J1198))/(STDEV(J6:J1198)+1E-12))</f>
        <v/>
      </c>
      <c r="L981" s="3">
        <f>IF('3a Raw'!H981="","",MAX(-3,MIN(3,('3a Raw'!H981-$L3)/$L4)))</f>
        <v/>
      </c>
      <c r="M981" s="3">
        <f>IF(L981="","",(L981-AVERAGE(L6:L1198))/(STDEV(L6:L1198)+1E-12))</f>
        <v/>
      </c>
      <c r="N981" s="3">
        <f>IF('3a Raw'!I981="","",MAX(-3,MIN(3,('3a Raw'!I981-$N3)/$N4)))</f>
        <v/>
      </c>
      <c r="O981" s="3">
        <f>IF(N981="","",(N981-AVERAGE(N6:N1198))/(STDEV(N6:N1198)+1E-12))</f>
        <v/>
      </c>
      <c r="P981" s="3">
        <f>IF('3a Raw'!J981="","",MAX(-3,MIN(3,('3a Raw'!J981-$P3)/$P4)))</f>
        <v/>
      </c>
      <c r="Q981" s="3">
        <f>IF(P981="","",(P981-AVERAGE(P6:P1198))/(STDEV(P6:P1198)+1E-12))</f>
        <v/>
      </c>
      <c r="R981" s="3">
        <f>IF('3a Raw'!K981="","",MAX(-3,MIN(3,('3a Raw'!K981-$R3)/$R4)))</f>
        <v/>
      </c>
      <c r="S981" s="3">
        <f>IF(R981="","",(R981-AVERAGE(R6:R1198))/(STDEV(R6:R1198)+1E-12))</f>
        <v/>
      </c>
      <c r="T981" s="3">
        <f>IF('3a Raw'!L981="","",MAX(-3,MIN(3,('3a Raw'!L981-$T3)/$T4)))</f>
        <v/>
      </c>
      <c r="U981" s="3">
        <f>IF(T981="","",(T981-AVERAGE(T6:T1198))/(STDEV(T6:T1198)+1E-12))</f>
        <v/>
      </c>
      <c r="X981" s="3">
        <f>IF(U981="","",U981-($V$3*G981+$W$3))</f>
        <v/>
      </c>
      <c r="Y981" s="3">
        <f>IF(X981="","",MAX(-3,MIN(3,(X981-$X3)/$X4)))</f>
        <v/>
      </c>
      <c r="Z981" s="3">
        <f>IF(Y981="","",(Y981-AVERAGE(Y6:Y1198))/(STDEV(Y6:Y1198)+1E-12))</f>
        <v/>
      </c>
    </row>
    <row r="982">
      <c r="A982" t="inlineStr">
        <is>
          <t>BBG000BT7JW9</t>
        </is>
      </c>
      <c r="B982" s="3">
        <f>IF('3a Raw'!C982="","",MAX(-3,MIN(3,('3a Raw'!C982-$B3)/$B4)))</f>
        <v/>
      </c>
      <c r="C982" s="3">
        <f>IF(B982="","",(B982-AVERAGE(B6:B1198))/(STDEV(B6:B1198)+1E-12))</f>
        <v/>
      </c>
      <c r="D982" s="3">
        <f>IF('3a Raw'!D982="","",MAX(-3,MIN(3,('3a Raw'!D982-$D3)/$D4)))</f>
        <v/>
      </c>
      <c r="E982" s="3">
        <f>IF(D982="","",(D982-AVERAGE(D6:D1198))/(STDEV(D6:D1198)+1E-12))</f>
        <v/>
      </c>
      <c r="F982" s="3">
        <f>IF('3a Raw'!E982="","",MAX(-3,MIN(3,('3a Raw'!E982-$F3)/$F4)))</f>
        <v/>
      </c>
      <c r="G982" s="3">
        <f>IF(F982="","",(F982-AVERAGE(F6:F1198))/(STDEV(F6:F1198)+1E-12))</f>
        <v/>
      </c>
      <c r="H982" s="3">
        <f>IF('3a Raw'!F982="","",MAX(-3,MIN(3,('3a Raw'!F982-$H3)/$H4)))</f>
        <v/>
      </c>
      <c r="I982" s="3">
        <f>IF(H982="","",(H982-AVERAGE(H6:H1198))/(STDEV(H6:H1198)+1E-12))</f>
        <v/>
      </c>
      <c r="J982" s="3">
        <f>IF('3a Raw'!G982="","",MAX(-3,MIN(3,('3a Raw'!G982-$J3)/$J4)))</f>
        <v/>
      </c>
      <c r="K982" s="3">
        <f>IF(J982="","",(J982-AVERAGE(J6:J1198))/(STDEV(J6:J1198)+1E-12))</f>
        <v/>
      </c>
      <c r="L982" s="3">
        <f>IF('3a Raw'!H982="","",MAX(-3,MIN(3,('3a Raw'!H982-$L3)/$L4)))</f>
        <v/>
      </c>
      <c r="M982" s="3">
        <f>IF(L982="","",(L982-AVERAGE(L6:L1198))/(STDEV(L6:L1198)+1E-12))</f>
        <v/>
      </c>
      <c r="N982" s="3">
        <f>IF('3a Raw'!I982="","",MAX(-3,MIN(3,('3a Raw'!I982-$N3)/$N4)))</f>
        <v/>
      </c>
      <c r="O982" s="3">
        <f>IF(N982="","",(N982-AVERAGE(N6:N1198))/(STDEV(N6:N1198)+1E-12))</f>
        <v/>
      </c>
      <c r="P982" s="3">
        <f>IF('3a Raw'!J982="","",MAX(-3,MIN(3,('3a Raw'!J982-$P3)/$P4)))</f>
        <v/>
      </c>
      <c r="Q982" s="3">
        <f>IF(P982="","",(P982-AVERAGE(P6:P1198))/(STDEV(P6:P1198)+1E-12))</f>
        <v/>
      </c>
      <c r="R982" s="3">
        <f>IF('3a Raw'!K982="","",MAX(-3,MIN(3,('3a Raw'!K982-$R3)/$R4)))</f>
        <v/>
      </c>
      <c r="S982" s="3">
        <f>IF(R982="","",(R982-AVERAGE(R6:R1198))/(STDEV(R6:R1198)+1E-12))</f>
        <v/>
      </c>
      <c r="T982" s="3">
        <f>IF('3a Raw'!L982="","",MAX(-3,MIN(3,('3a Raw'!L982-$T3)/$T4)))</f>
        <v/>
      </c>
      <c r="U982" s="3">
        <f>IF(T982="","",(T982-AVERAGE(T6:T1198))/(STDEV(T6:T1198)+1E-12))</f>
        <v/>
      </c>
      <c r="X982" s="3">
        <f>IF(U982="","",U982-($V$3*G982+$W$3))</f>
        <v/>
      </c>
      <c r="Y982" s="3">
        <f>IF(X982="","",MAX(-3,MIN(3,(X982-$X3)/$X4)))</f>
        <v/>
      </c>
      <c r="Z982" s="3">
        <f>IF(Y982="","",(Y982-AVERAGE(Y6:Y1198))/(STDEV(Y6:Y1198)+1E-12))</f>
        <v/>
      </c>
    </row>
    <row r="983">
      <c r="A983" t="inlineStr">
        <is>
          <t>BBG00441QMJ7</t>
        </is>
      </c>
      <c r="B983" s="3">
        <f>IF('3a Raw'!C983="","",MAX(-3,MIN(3,('3a Raw'!C983-$B3)/$B4)))</f>
        <v/>
      </c>
      <c r="C983" s="3">
        <f>IF(B983="","",(B983-AVERAGE(B6:B1198))/(STDEV(B6:B1198)+1E-12))</f>
        <v/>
      </c>
      <c r="D983" s="3">
        <f>IF('3a Raw'!D983="","",MAX(-3,MIN(3,('3a Raw'!D983-$D3)/$D4)))</f>
        <v/>
      </c>
      <c r="E983" s="3">
        <f>IF(D983="","",(D983-AVERAGE(D6:D1198))/(STDEV(D6:D1198)+1E-12))</f>
        <v/>
      </c>
      <c r="F983" s="3">
        <f>IF('3a Raw'!E983="","",MAX(-3,MIN(3,('3a Raw'!E983-$F3)/$F4)))</f>
        <v/>
      </c>
      <c r="G983" s="3">
        <f>IF(F983="","",(F983-AVERAGE(F6:F1198))/(STDEV(F6:F1198)+1E-12))</f>
        <v/>
      </c>
      <c r="H983" s="3">
        <f>IF('3a Raw'!F983="","",MAX(-3,MIN(3,('3a Raw'!F983-$H3)/$H4)))</f>
        <v/>
      </c>
      <c r="I983" s="3">
        <f>IF(H983="","",(H983-AVERAGE(H6:H1198))/(STDEV(H6:H1198)+1E-12))</f>
        <v/>
      </c>
      <c r="J983" s="3">
        <f>IF('3a Raw'!G983="","",MAX(-3,MIN(3,('3a Raw'!G983-$J3)/$J4)))</f>
        <v/>
      </c>
      <c r="K983" s="3">
        <f>IF(J983="","",(J983-AVERAGE(J6:J1198))/(STDEV(J6:J1198)+1E-12))</f>
        <v/>
      </c>
      <c r="L983" s="3">
        <f>IF('3a Raw'!H983="","",MAX(-3,MIN(3,('3a Raw'!H983-$L3)/$L4)))</f>
        <v/>
      </c>
      <c r="M983" s="3">
        <f>IF(L983="","",(L983-AVERAGE(L6:L1198))/(STDEV(L6:L1198)+1E-12))</f>
        <v/>
      </c>
      <c r="N983" s="3">
        <f>IF('3a Raw'!I983="","",MAX(-3,MIN(3,('3a Raw'!I983-$N3)/$N4)))</f>
        <v/>
      </c>
      <c r="O983" s="3">
        <f>IF(N983="","",(N983-AVERAGE(N6:N1198))/(STDEV(N6:N1198)+1E-12))</f>
        <v/>
      </c>
      <c r="P983" s="3">
        <f>IF('3a Raw'!J983="","",MAX(-3,MIN(3,('3a Raw'!J983-$P3)/$P4)))</f>
        <v/>
      </c>
      <c r="Q983" s="3">
        <f>IF(P983="","",(P983-AVERAGE(P6:P1198))/(STDEV(P6:P1198)+1E-12))</f>
        <v/>
      </c>
      <c r="R983" s="3">
        <f>IF('3a Raw'!K983="","",MAX(-3,MIN(3,('3a Raw'!K983-$R3)/$R4)))</f>
        <v/>
      </c>
      <c r="S983" s="3">
        <f>IF(R983="","",(R983-AVERAGE(R6:R1198))/(STDEV(R6:R1198)+1E-12))</f>
        <v/>
      </c>
      <c r="T983" s="3">
        <f>IF('3a Raw'!L983="","",MAX(-3,MIN(3,('3a Raw'!L983-$T3)/$T4)))</f>
        <v/>
      </c>
      <c r="U983" s="3">
        <f>IF(T983="","",(T983-AVERAGE(T6:T1198))/(STDEV(T6:T1198)+1E-12))</f>
        <v/>
      </c>
      <c r="X983" s="3">
        <f>IF(U983="","",U983-($V$3*G983+$W$3))</f>
        <v/>
      </c>
      <c r="Y983" s="3">
        <f>IF(X983="","",MAX(-3,MIN(3,(X983-$X3)/$X4)))</f>
        <v/>
      </c>
      <c r="Z983" s="3">
        <f>IF(Y983="","",(Y983-AVERAGE(Y6:Y1198))/(STDEV(Y6:Y1198)+1E-12))</f>
        <v/>
      </c>
    </row>
    <row r="984">
      <c r="A984" t="inlineStr">
        <is>
          <t>BBG01R388JG1</t>
        </is>
      </c>
      <c r="B984" s="3">
        <f>IF('3a Raw'!C984="","",MAX(-3,MIN(3,('3a Raw'!C984-$B3)/$B4)))</f>
        <v/>
      </c>
      <c r="C984" s="3">
        <f>IF(B984="","",(B984-AVERAGE(B6:B1198))/(STDEV(B6:B1198)+1E-12))</f>
        <v/>
      </c>
      <c r="D984" s="3">
        <f>IF('3a Raw'!D984="","",MAX(-3,MIN(3,('3a Raw'!D984-$D3)/$D4)))</f>
        <v/>
      </c>
      <c r="E984" s="3">
        <f>IF(D984="","",(D984-AVERAGE(D6:D1198))/(STDEV(D6:D1198)+1E-12))</f>
        <v/>
      </c>
      <c r="F984" s="3">
        <f>IF('3a Raw'!E984="","",MAX(-3,MIN(3,('3a Raw'!E984-$F3)/$F4)))</f>
        <v/>
      </c>
      <c r="G984" s="3">
        <f>IF(F984="","",(F984-AVERAGE(F6:F1198))/(STDEV(F6:F1198)+1E-12))</f>
        <v/>
      </c>
      <c r="H984" s="3">
        <f>IF('3a Raw'!F984="","",MAX(-3,MIN(3,('3a Raw'!F984-$H3)/$H4)))</f>
        <v/>
      </c>
      <c r="I984" s="3">
        <f>IF(H984="","",(H984-AVERAGE(H6:H1198))/(STDEV(H6:H1198)+1E-12))</f>
        <v/>
      </c>
      <c r="J984" s="3">
        <f>IF('3a Raw'!G984="","",MAX(-3,MIN(3,('3a Raw'!G984-$J3)/$J4)))</f>
        <v/>
      </c>
      <c r="K984" s="3">
        <f>IF(J984="","",(J984-AVERAGE(J6:J1198))/(STDEV(J6:J1198)+1E-12))</f>
        <v/>
      </c>
      <c r="L984" s="3">
        <f>IF('3a Raw'!H984="","",MAX(-3,MIN(3,('3a Raw'!H984-$L3)/$L4)))</f>
        <v/>
      </c>
      <c r="M984" s="3">
        <f>IF(L984="","",(L984-AVERAGE(L6:L1198))/(STDEV(L6:L1198)+1E-12))</f>
        <v/>
      </c>
      <c r="N984" s="3">
        <f>IF('3a Raw'!I984="","",MAX(-3,MIN(3,('3a Raw'!I984-$N3)/$N4)))</f>
        <v/>
      </c>
      <c r="O984" s="3">
        <f>IF(N984="","",(N984-AVERAGE(N6:N1198))/(STDEV(N6:N1198)+1E-12))</f>
        <v/>
      </c>
      <c r="P984" s="3">
        <f>IF('3a Raw'!J984="","",MAX(-3,MIN(3,('3a Raw'!J984-$P3)/$P4)))</f>
        <v/>
      </c>
      <c r="Q984" s="3">
        <f>IF(P984="","",(P984-AVERAGE(P6:P1198))/(STDEV(P6:P1198)+1E-12))</f>
        <v/>
      </c>
      <c r="R984" s="3">
        <f>IF('3a Raw'!K984="","",MAX(-3,MIN(3,('3a Raw'!K984-$R3)/$R4)))</f>
        <v/>
      </c>
      <c r="S984" s="3">
        <f>IF(R984="","",(R984-AVERAGE(R6:R1198))/(STDEV(R6:R1198)+1E-12))</f>
        <v/>
      </c>
      <c r="T984" s="3">
        <f>IF('3a Raw'!L984="","",MAX(-3,MIN(3,('3a Raw'!L984-$T3)/$T4)))</f>
        <v/>
      </c>
      <c r="U984" s="3">
        <f>IF(T984="","",(T984-AVERAGE(T6:T1198))/(STDEV(T6:T1198)+1E-12))</f>
        <v/>
      </c>
      <c r="X984" s="3">
        <f>IF(U984="","",U984-($V$3*G984+$W$3))</f>
        <v/>
      </c>
      <c r="Y984" s="3">
        <f>IF(X984="","",MAX(-3,MIN(3,(X984-$X3)/$X4)))</f>
        <v/>
      </c>
      <c r="Z984" s="3">
        <f>IF(Y984="","",(Y984-AVERAGE(Y6:Y1198))/(STDEV(Y6:Y1198)+1E-12))</f>
        <v/>
      </c>
    </row>
    <row r="985">
      <c r="A985" t="inlineStr">
        <is>
          <t>BBG007DHGNJ4</t>
        </is>
      </c>
      <c r="B985" s="3">
        <f>IF('3a Raw'!C985="","",MAX(-3,MIN(3,('3a Raw'!C985-$B3)/$B4)))</f>
        <v/>
      </c>
      <c r="C985" s="3">
        <f>IF(B985="","",(B985-AVERAGE(B6:B1198))/(STDEV(B6:B1198)+1E-12))</f>
        <v/>
      </c>
      <c r="D985" s="3">
        <f>IF('3a Raw'!D985="","",MAX(-3,MIN(3,('3a Raw'!D985-$D3)/$D4)))</f>
        <v/>
      </c>
      <c r="E985" s="3">
        <f>IF(D985="","",(D985-AVERAGE(D6:D1198))/(STDEV(D6:D1198)+1E-12))</f>
        <v/>
      </c>
      <c r="F985" s="3">
        <f>IF('3a Raw'!E985="","",MAX(-3,MIN(3,('3a Raw'!E985-$F3)/$F4)))</f>
        <v/>
      </c>
      <c r="G985" s="3">
        <f>IF(F985="","",(F985-AVERAGE(F6:F1198))/(STDEV(F6:F1198)+1E-12))</f>
        <v/>
      </c>
      <c r="H985" s="3">
        <f>IF('3a Raw'!F985="","",MAX(-3,MIN(3,('3a Raw'!F985-$H3)/$H4)))</f>
        <v/>
      </c>
      <c r="I985" s="3">
        <f>IF(H985="","",(H985-AVERAGE(H6:H1198))/(STDEV(H6:H1198)+1E-12))</f>
        <v/>
      </c>
      <c r="J985" s="3">
        <f>IF('3a Raw'!G985="","",MAX(-3,MIN(3,('3a Raw'!G985-$J3)/$J4)))</f>
        <v/>
      </c>
      <c r="K985" s="3">
        <f>IF(J985="","",(J985-AVERAGE(J6:J1198))/(STDEV(J6:J1198)+1E-12))</f>
        <v/>
      </c>
      <c r="L985" s="3">
        <f>IF('3a Raw'!H985="","",MAX(-3,MIN(3,('3a Raw'!H985-$L3)/$L4)))</f>
        <v/>
      </c>
      <c r="M985" s="3">
        <f>IF(L985="","",(L985-AVERAGE(L6:L1198))/(STDEV(L6:L1198)+1E-12))</f>
        <v/>
      </c>
      <c r="N985" s="3">
        <f>IF('3a Raw'!I985="","",MAX(-3,MIN(3,('3a Raw'!I985-$N3)/$N4)))</f>
        <v/>
      </c>
      <c r="O985" s="3">
        <f>IF(N985="","",(N985-AVERAGE(N6:N1198))/(STDEV(N6:N1198)+1E-12))</f>
        <v/>
      </c>
      <c r="P985" s="3">
        <f>IF('3a Raw'!J985="","",MAX(-3,MIN(3,('3a Raw'!J985-$P3)/$P4)))</f>
        <v/>
      </c>
      <c r="Q985" s="3">
        <f>IF(P985="","",(P985-AVERAGE(P6:P1198))/(STDEV(P6:P1198)+1E-12))</f>
        <v/>
      </c>
      <c r="R985" s="3">
        <f>IF('3a Raw'!K985="","",MAX(-3,MIN(3,('3a Raw'!K985-$R3)/$R4)))</f>
        <v/>
      </c>
      <c r="S985" s="3">
        <f>IF(R985="","",(R985-AVERAGE(R6:R1198))/(STDEV(R6:R1198)+1E-12))</f>
        <v/>
      </c>
      <c r="T985" s="3">
        <f>IF('3a Raw'!L985="","",MAX(-3,MIN(3,('3a Raw'!L985-$T3)/$T4)))</f>
        <v/>
      </c>
      <c r="U985" s="3">
        <f>IF(T985="","",(T985-AVERAGE(T6:T1198))/(STDEV(T6:T1198)+1E-12))</f>
        <v/>
      </c>
      <c r="X985" s="3">
        <f>IF(U985="","",U985-($V$3*G985+$W$3))</f>
        <v/>
      </c>
      <c r="Y985" s="3">
        <f>IF(X985="","",MAX(-3,MIN(3,(X985-$X3)/$X4)))</f>
        <v/>
      </c>
      <c r="Z985" s="3">
        <f>IF(Y985="","",(Y985-AVERAGE(Y6:Y1198))/(STDEV(Y6:Y1198)+1E-12))</f>
        <v/>
      </c>
    </row>
    <row r="986">
      <c r="A986" t="inlineStr">
        <is>
          <t>snps</t>
        </is>
      </c>
      <c r="B986" s="3">
        <f>IF('3a Raw'!C986="","",MAX(-3,MIN(3,('3a Raw'!C986-$B3)/$B4)))</f>
        <v/>
      </c>
      <c r="C986" s="3">
        <f>IF(B986="","",(B986-AVERAGE(B6:B1198))/(STDEV(B6:B1198)+1E-12))</f>
        <v/>
      </c>
      <c r="D986" s="3">
        <f>IF('3a Raw'!D986="","",MAX(-3,MIN(3,('3a Raw'!D986-$D3)/$D4)))</f>
        <v/>
      </c>
      <c r="E986" s="3">
        <f>IF(D986="","",(D986-AVERAGE(D6:D1198))/(STDEV(D6:D1198)+1E-12))</f>
        <v/>
      </c>
      <c r="F986" s="3">
        <f>IF('3a Raw'!E986="","",MAX(-3,MIN(3,('3a Raw'!E986-$F3)/$F4)))</f>
        <v/>
      </c>
      <c r="G986" s="3">
        <f>IF(F986="","",(F986-AVERAGE(F6:F1198))/(STDEV(F6:F1198)+1E-12))</f>
        <v/>
      </c>
      <c r="H986" s="3">
        <f>IF('3a Raw'!F986="","",MAX(-3,MIN(3,('3a Raw'!F986-$H3)/$H4)))</f>
        <v/>
      </c>
      <c r="I986" s="3">
        <f>IF(H986="","",(H986-AVERAGE(H6:H1198))/(STDEV(H6:H1198)+1E-12))</f>
        <v/>
      </c>
      <c r="J986" s="3">
        <f>IF('3a Raw'!G986="","",MAX(-3,MIN(3,('3a Raw'!G986-$J3)/$J4)))</f>
        <v/>
      </c>
      <c r="K986" s="3">
        <f>IF(J986="","",(J986-AVERAGE(J6:J1198))/(STDEV(J6:J1198)+1E-12))</f>
        <v/>
      </c>
      <c r="L986" s="3">
        <f>IF('3a Raw'!H986="","",MAX(-3,MIN(3,('3a Raw'!H986-$L3)/$L4)))</f>
        <v/>
      </c>
      <c r="M986" s="3">
        <f>IF(L986="","",(L986-AVERAGE(L6:L1198))/(STDEV(L6:L1198)+1E-12))</f>
        <v/>
      </c>
      <c r="N986" s="3">
        <f>IF('3a Raw'!I986="","",MAX(-3,MIN(3,('3a Raw'!I986-$N3)/$N4)))</f>
        <v/>
      </c>
      <c r="O986" s="3">
        <f>IF(N986="","",(N986-AVERAGE(N6:N1198))/(STDEV(N6:N1198)+1E-12))</f>
        <v/>
      </c>
      <c r="P986" s="3">
        <f>IF('3a Raw'!J986="","",MAX(-3,MIN(3,('3a Raw'!J986-$P3)/$P4)))</f>
        <v/>
      </c>
      <c r="Q986" s="3">
        <f>IF(P986="","",(P986-AVERAGE(P6:P1198))/(STDEV(P6:P1198)+1E-12))</f>
        <v/>
      </c>
      <c r="R986" s="3">
        <f>IF('3a Raw'!K986="","",MAX(-3,MIN(3,('3a Raw'!K986-$R3)/$R4)))</f>
        <v/>
      </c>
      <c r="S986" s="3">
        <f>IF(R986="","",(R986-AVERAGE(R6:R1198))/(STDEV(R6:R1198)+1E-12))</f>
        <v/>
      </c>
      <c r="T986" s="3">
        <f>IF('3a Raw'!L986="","",MAX(-3,MIN(3,('3a Raw'!L986-$T3)/$T4)))</f>
        <v/>
      </c>
      <c r="U986" s="3">
        <f>IF(T986="","",(T986-AVERAGE(T6:T1198))/(STDEV(T6:T1198)+1E-12))</f>
        <v/>
      </c>
      <c r="X986" s="3">
        <f>IF(U986="","",U986-($V$3*G986+$W$3))</f>
        <v/>
      </c>
      <c r="Y986" s="3">
        <f>IF(X986="","",MAX(-3,MIN(3,(X986-$X3)/$X4)))</f>
        <v/>
      </c>
      <c r="Z986" s="3">
        <f>IF(Y986="","",(Y986-AVERAGE(Y6:Y1198))/(STDEV(Y6:Y1198)+1E-12))</f>
        <v/>
      </c>
    </row>
    <row r="987">
      <c r="A987" t="inlineStr">
        <is>
          <t>BBG000CL9JV4</t>
        </is>
      </c>
      <c r="B987" s="3">
        <f>IF('3a Raw'!C987="","",MAX(-3,MIN(3,('3a Raw'!C987-$B3)/$B4)))</f>
        <v/>
      </c>
      <c r="C987" s="3">
        <f>IF(B987="","",(B987-AVERAGE(B6:B1198))/(STDEV(B6:B1198)+1E-12))</f>
        <v/>
      </c>
      <c r="D987" s="3">
        <f>IF('3a Raw'!D987="","",MAX(-3,MIN(3,('3a Raw'!D987-$D3)/$D4)))</f>
        <v/>
      </c>
      <c r="E987" s="3">
        <f>IF(D987="","",(D987-AVERAGE(D6:D1198))/(STDEV(D6:D1198)+1E-12))</f>
        <v/>
      </c>
      <c r="F987" s="3">
        <f>IF('3a Raw'!E987="","",MAX(-3,MIN(3,('3a Raw'!E987-$F3)/$F4)))</f>
        <v/>
      </c>
      <c r="G987" s="3">
        <f>IF(F987="","",(F987-AVERAGE(F6:F1198))/(STDEV(F6:F1198)+1E-12))</f>
        <v/>
      </c>
      <c r="H987" s="3">
        <f>IF('3a Raw'!F987="","",MAX(-3,MIN(3,('3a Raw'!F987-$H3)/$H4)))</f>
        <v/>
      </c>
      <c r="I987" s="3">
        <f>IF(H987="","",(H987-AVERAGE(H6:H1198))/(STDEV(H6:H1198)+1E-12))</f>
        <v/>
      </c>
      <c r="J987" s="3">
        <f>IF('3a Raw'!G987="","",MAX(-3,MIN(3,('3a Raw'!G987-$J3)/$J4)))</f>
        <v/>
      </c>
      <c r="K987" s="3">
        <f>IF(J987="","",(J987-AVERAGE(J6:J1198))/(STDEV(J6:J1198)+1E-12))</f>
        <v/>
      </c>
      <c r="L987" s="3">
        <f>IF('3a Raw'!H987="","",MAX(-3,MIN(3,('3a Raw'!H987-$L3)/$L4)))</f>
        <v/>
      </c>
      <c r="M987" s="3">
        <f>IF(L987="","",(L987-AVERAGE(L6:L1198))/(STDEV(L6:L1198)+1E-12))</f>
        <v/>
      </c>
      <c r="N987" s="3">
        <f>IF('3a Raw'!I987="","",MAX(-3,MIN(3,('3a Raw'!I987-$N3)/$N4)))</f>
        <v/>
      </c>
      <c r="O987" s="3">
        <f>IF(N987="","",(N987-AVERAGE(N6:N1198))/(STDEV(N6:N1198)+1E-12))</f>
        <v/>
      </c>
      <c r="P987" s="3">
        <f>IF('3a Raw'!J987="","",MAX(-3,MIN(3,('3a Raw'!J987-$P3)/$P4)))</f>
        <v/>
      </c>
      <c r="Q987" s="3">
        <f>IF(P987="","",(P987-AVERAGE(P6:P1198))/(STDEV(P6:P1198)+1E-12))</f>
        <v/>
      </c>
      <c r="R987" s="3">
        <f>IF('3a Raw'!K987="","",MAX(-3,MIN(3,('3a Raw'!K987-$R3)/$R4)))</f>
        <v/>
      </c>
      <c r="S987" s="3">
        <f>IF(R987="","",(R987-AVERAGE(R6:R1198))/(STDEV(R6:R1198)+1E-12))</f>
        <v/>
      </c>
      <c r="T987" s="3">
        <f>IF('3a Raw'!L987="","",MAX(-3,MIN(3,('3a Raw'!L987-$T3)/$T4)))</f>
        <v/>
      </c>
      <c r="U987" s="3">
        <f>IF(T987="","",(T987-AVERAGE(T6:T1198))/(STDEV(T6:T1198)+1E-12))</f>
        <v/>
      </c>
      <c r="X987" s="3">
        <f>IF(U987="","",U987-($V$3*G987+$W$3))</f>
        <v/>
      </c>
      <c r="Y987" s="3">
        <f>IF(X987="","",MAX(-3,MIN(3,(X987-$X3)/$X4)))</f>
        <v/>
      </c>
      <c r="Z987" s="3">
        <f>IF(Y987="","",(Y987-AVERAGE(Y6:Y1198))/(STDEV(Y6:Y1198)+1E-12))</f>
        <v/>
      </c>
    </row>
    <row r="988">
      <c r="A988" t="inlineStr">
        <is>
          <t>BBG000BBD5N1</t>
        </is>
      </c>
      <c r="B988" s="3">
        <f>IF('3a Raw'!C988="","",MAX(-3,MIN(3,('3a Raw'!C988-$B3)/$B4)))</f>
        <v/>
      </c>
      <c r="C988" s="3">
        <f>IF(B988="","",(B988-AVERAGE(B6:B1198))/(STDEV(B6:B1198)+1E-12))</f>
        <v/>
      </c>
      <c r="D988" s="3">
        <f>IF('3a Raw'!D988="","",MAX(-3,MIN(3,('3a Raw'!D988-$D3)/$D4)))</f>
        <v/>
      </c>
      <c r="E988" s="3">
        <f>IF(D988="","",(D988-AVERAGE(D6:D1198))/(STDEV(D6:D1198)+1E-12))</f>
        <v/>
      </c>
      <c r="F988" s="3">
        <f>IF('3a Raw'!E988="","",MAX(-3,MIN(3,('3a Raw'!E988-$F3)/$F4)))</f>
        <v/>
      </c>
      <c r="G988" s="3">
        <f>IF(F988="","",(F988-AVERAGE(F6:F1198))/(STDEV(F6:F1198)+1E-12))</f>
        <v/>
      </c>
      <c r="H988" s="3">
        <f>IF('3a Raw'!F988="","",MAX(-3,MIN(3,('3a Raw'!F988-$H3)/$H4)))</f>
        <v/>
      </c>
      <c r="I988" s="3">
        <f>IF(H988="","",(H988-AVERAGE(H6:H1198))/(STDEV(H6:H1198)+1E-12))</f>
        <v/>
      </c>
      <c r="J988" s="3">
        <f>IF('3a Raw'!G988="","",MAX(-3,MIN(3,('3a Raw'!G988-$J3)/$J4)))</f>
        <v/>
      </c>
      <c r="K988" s="3">
        <f>IF(J988="","",(J988-AVERAGE(J6:J1198))/(STDEV(J6:J1198)+1E-12))</f>
        <v/>
      </c>
      <c r="L988" s="3">
        <f>IF('3a Raw'!H988="","",MAX(-3,MIN(3,('3a Raw'!H988-$L3)/$L4)))</f>
        <v/>
      </c>
      <c r="M988" s="3">
        <f>IF(L988="","",(L988-AVERAGE(L6:L1198))/(STDEV(L6:L1198)+1E-12))</f>
        <v/>
      </c>
      <c r="N988" s="3">
        <f>IF('3a Raw'!I988="","",MAX(-3,MIN(3,('3a Raw'!I988-$N3)/$N4)))</f>
        <v/>
      </c>
      <c r="O988" s="3">
        <f>IF(N988="","",(N988-AVERAGE(N6:N1198))/(STDEV(N6:N1198)+1E-12))</f>
        <v/>
      </c>
      <c r="P988" s="3">
        <f>IF('3a Raw'!J988="","",MAX(-3,MIN(3,('3a Raw'!J988-$P3)/$P4)))</f>
        <v/>
      </c>
      <c r="Q988" s="3">
        <f>IF(P988="","",(P988-AVERAGE(P6:P1198))/(STDEV(P6:P1198)+1E-12))</f>
        <v/>
      </c>
      <c r="R988" s="3">
        <f>IF('3a Raw'!K988="","",MAX(-3,MIN(3,('3a Raw'!K988-$R3)/$R4)))</f>
        <v/>
      </c>
      <c r="S988" s="3">
        <f>IF(R988="","",(R988-AVERAGE(R6:R1198))/(STDEV(R6:R1198)+1E-12))</f>
        <v/>
      </c>
      <c r="T988" s="3">
        <f>IF('3a Raw'!L988="","",MAX(-3,MIN(3,('3a Raw'!L988-$T3)/$T4)))</f>
        <v/>
      </c>
      <c r="U988" s="3">
        <f>IF(T988="","",(T988-AVERAGE(T6:T1198))/(STDEV(T6:T1198)+1E-12))</f>
        <v/>
      </c>
      <c r="X988" s="3">
        <f>IF(U988="","",U988-($V$3*G988+$W$3))</f>
        <v/>
      </c>
      <c r="Y988" s="3">
        <f>IF(X988="","",MAX(-3,MIN(3,(X988-$X3)/$X4)))</f>
        <v/>
      </c>
      <c r="Z988" s="3">
        <f>IF(Y988="","",(Y988-AVERAGE(Y6:Y1198))/(STDEV(Y6:Y1198)+1E-12))</f>
        <v/>
      </c>
    </row>
    <row r="989">
      <c r="A989" t="inlineStr">
        <is>
          <t>BBG000BT9DW0</t>
        </is>
      </c>
      <c r="B989" s="3">
        <f>IF('3a Raw'!C989="","",MAX(-3,MIN(3,('3a Raw'!C989-$B3)/$B4)))</f>
        <v/>
      </c>
      <c r="C989" s="3">
        <f>IF(B989="","",(B989-AVERAGE(B6:B1198))/(STDEV(B6:B1198)+1E-12))</f>
        <v/>
      </c>
      <c r="D989" s="3">
        <f>IF('3a Raw'!D989="","",MAX(-3,MIN(3,('3a Raw'!D989-$D3)/$D4)))</f>
        <v/>
      </c>
      <c r="E989" s="3">
        <f>IF(D989="","",(D989-AVERAGE(D6:D1198))/(STDEV(D6:D1198)+1E-12))</f>
        <v/>
      </c>
      <c r="F989" s="3">
        <f>IF('3a Raw'!E989="","",MAX(-3,MIN(3,('3a Raw'!E989-$F3)/$F4)))</f>
        <v/>
      </c>
      <c r="G989" s="3">
        <f>IF(F989="","",(F989-AVERAGE(F6:F1198))/(STDEV(F6:F1198)+1E-12))</f>
        <v/>
      </c>
      <c r="H989" s="3">
        <f>IF('3a Raw'!F989="","",MAX(-3,MIN(3,('3a Raw'!F989-$H3)/$H4)))</f>
        <v/>
      </c>
      <c r="I989" s="3">
        <f>IF(H989="","",(H989-AVERAGE(H6:H1198))/(STDEV(H6:H1198)+1E-12))</f>
        <v/>
      </c>
      <c r="J989" s="3">
        <f>IF('3a Raw'!G989="","",MAX(-3,MIN(3,('3a Raw'!G989-$J3)/$J4)))</f>
        <v/>
      </c>
      <c r="K989" s="3">
        <f>IF(J989="","",(J989-AVERAGE(J6:J1198))/(STDEV(J6:J1198)+1E-12))</f>
        <v/>
      </c>
      <c r="L989" s="3">
        <f>IF('3a Raw'!H989="","",MAX(-3,MIN(3,('3a Raw'!H989-$L3)/$L4)))</f>
        <v/>
      </c>
      <c r="M989" s="3">
        <f>IF(L989="","",(L989-AVERAGE(L6:L1198))/(STDEV(L6:L1198)+1E-12))</f>
        <v/>
      </c>
      <c r="N989" s="3">
        <f>IF('3a Raw'!I989="","",MAX(-3,MIN(3,('3a Raw'!I989-$N3)/$N4)))</f>
        <v/>
      </c>
      <c r="O989" s="3">
        <f>IF(N989="","",(N989-AVERAGE(N6:N1198))/(STDEV(N6:N1198)+1E-12))</f>
        <v/>
      </c>
      <c r="P989" s="3">
        <f>IF('3a Raw'!J989="","",MAX(-3,MIN(3,('3a Raw'!J989-$P3)/$P4)))</f>
        <v/>
      </c>
      <c r="Q989" s="3">
        <f>IF(P989="","",(P989-AVERAGE(P6:P1198))/(STDEV(P6:P1198)+1E-12))</f>
        <v/>
      </c>
      <c r="R989" s="3">
        <f>IF('3a Raw'!K989="","",MAX(-3,MIN(3,('3a Raw'!K989-$R3)/$R4)))</f>
        <v/>
      </c>
      <c r="S989" s="3">
        <f>IF(R989="","",(R989-AVERAGE(R6:R1198))/(STDEV(R6:R1198)+1E-12))</f>
        <v/>
      </c>
      <c r="T989" s="3">
        <f>IF('3a Raw'!L989="","",MAX(-3,MIN(3,('3a Raw'!L989-$T3)/$T4)))</f>
        <v/>
      </c>
      <c r="U989" s="3">
        <f>IF(T989="","",(T989-AVERAGE(T6:T1198))/(STDEV(T6:T1198)+1E-12))</f>
        <v/>
      </c>
      <c r="X989" s="3">
        <f>IF(U989="","",U989-($V$3*G989+$W$3))</f>
        <v/>
      </c>
      <c r="Y989" s="3">
        <f>IF(X989="","",MAX(-3,MIN(3,(X989-$X3)/$X4)))</f>
        <v/>
      </c>
      <c r="Z989" s="3">
        <f>IF(Y989="","",(Y989-AVERAGE(Y6:Y1198))/(STDEV(Y6:Y1198)+1E-12))</f>
        <v/>
      </c>
    </row>
    <row r="990">
      <c r="A990" t="inlineStr">
        <is>
          <t>BBG00YB1ZD58</t>
        </is>
      </c>
      <c r="B990" s="3">
        <f>IF('3a Raw'!C990="","",MAX(-3,MIN(3,('3a Raw'!C990-$B3)/$B4)))</f>
        <v/>
      </c>
      <c r="C990" s="3">
        <f>IF(B990="","",(B990-AVERAGE(B6:B1198))/(STDEV(B6:B1198)+1E-12))</f>
        <v/>
      </c>
      <c r="D990" s="3">
        <f>IF('3a Raw'!D990="","",MAX(-3,MIN(3,('3a Raw'!D990-$D3)/$D4)))</f>
        <v/>
      </c>
      <c r="E990" s="3">
        <f>IF(D990="","",(D990-AVERAGE(D6:D1198))/(STDEV(D6:D1198)+1E-12))</f>
        <v/>
      </c>
      <c r="F990" s="3">
        <f>IF('3a Raw'!E990="","",MAX(-3,MIN(3,('3a Raw'!E990-$F3)/$F4)))</f>
        <v/>
      </c>
      <c r="G990" s="3">
        <f>IF(F990="","",(F990-AVERAGE(F6:F1198))/(STDEV(F6:F1198)+1E-12))</f>
        <v/>
      </c>
      <c r="H990" s="3">
        <f>IF('3a Raw'!F990="","",MAX(-3,MIN(3,('3a Raw'!F990-$H3)/$H4)))</f>
        <v/>
      </c>
      <c r="I990" s="3">
        <f>IF(H990="","",(H990-AVERAGE(H6:H1198))/(STDEV(H6:H1198)+1E-12))</f>
        <v/>
      </c>
      <c r="J990" s="3">
        <f>IF('3a Raw'!G990="","",MAX(-3,MIN(3,('3a Raw'!G990-$J3)/$J4)))</f>
        <v/>
      </c>
      <c r="K990" s="3">
        <f>IF(J990="","",(J990-AVERAGE(J6:J1198))/(STDEV(J6:J1198)+1E-12))</f>
        <v/>
      </c>
      <c r="L990" s="3">
        <f>IF('3a Raw'!H990="","",MAX(-3,MIN(3,('3a Raw'!H990-$L3)/$L4)))</f>
        <v/>
      </c>
      <c r="M990" s="3">
        <f>IF(L990="","",(L990-AVERAGE(L6:L1198))/(STDEV(L6:L1198)+1E-12))</f>
        <v/>
      </c>
      <c r="N990" s="3">
        <f>IF('3a Raw'!I990="","",MAX(-3,MIN(3,('3a Raw'!I990-$N3)/$N4)))</f>
        <v/>
      </c>
      <c r="O990" s="3">
        <f>IF(N990="","",(N990-AVERAGE(N6:N1198))/(STDEV(N6:N1198)+1E-12))</f>
        <v/>
      </c>
      <c r="P990" s="3">
        <f>IF('3a Raw'!J990="","",MAX(-3,MIN(3,('3a Raw'!J990-$P3)/$P4)))</f>
        <v/>
      </c>
      <c r="Q990" s="3">
        <f>IF(P990="","",(P990-AVERAGE(P6:P1198))/(STDEV(P6:P1198)+1E-12))</f>
        <v/>
      </c>
      <c r="R990" s="3">
        <f>IF('3a Raw'!K990="","",MAX(-3,MIN(3,('3a Raw'!K990-$R3)/$R4)))</f>
        <v/>
      </c>
      <c r="S990" s="3">
        <f>IF(R990="","",(R990-AVERAGE(R6:R1198))/(STDEV(R6:R1198)+1E-12))</f>
        <v/>
      </c>
      <c r="T990" s="3">
        <f>IF('3a Raw'!L990="","",MAX(-3,MIN(3,('3a Raw'!L990-$T3)/$T4)))</f>
        <v/>
      </c>
      <c r="U990" s="3">
        <f>IF(T990="","",(T990-AVERAGE(T6:T1198))/(STDEV(T6:T1198)+1E-12))</f>
        <v/>
      </c>
      <c r="X990" s="3">
        <f>IF(U990="","",U990-($V$3*G990+$W$3))</f>
        <v/>
      </c>
      <c r="Y990" s="3">
        <f>IF(X990="","",MAX(-3,MIN(3,(X990-$X3)/$X4)))</f>
        <v/>
      </c>
      <c r="Z990" s="3">
        <f>IF(Y990="","",(Y990-AVERAGE(Y6:Y1198))/(STDEV(Y6:Y1198)+1E-12))</f>
        <v/>
      </c>
    </row>
    <row r="991">
      <c r="A991" t="inlineStr">
        <is>
          <t>BBG018YZH6T3</t>
        </is>
      </c>
      <c r="B991" s="3">
        <f>IF('3a Raw'!C991="","",MAX(-3,MIN(3,('3a Raw'!C991-$B3)/$B4)))</f>
        <v/>
      </c>
      <c r="C991" s="3">
        <f>IF(B991="","",(B991-AVERAGE(B6:B1198))/(STDEV(B6:B1198)+1E-12))</f>
        <v/>
      </c>
      <c r="D991" s="3">
        <f>IF('3a Raw'!D991="","",MAX(-3,MIN(3,('3a Raw'!D991-$D3)/$D4)))</f>
        <v/>
      </c>
      <c r="E991" s="3">
        <f>IF(D991="","",(D991-AVERAGE(D6:D1198))/(STDEV(D6:D1198)+1E-12))</f>
        <v/>
      </c>
      <c r="F991" s="3">
        <f>IF('3a Raw'!E991="","",MAX(-3,MIN(3,('3a Raw'!E991-$F3)/$F4)))</f>
        <v/>
      </c>
      <c r="G991" s="3">
        <f>IF(F991="","",(F991-AVERAGE(F6:F1198))/(STDEV(F6:F1198)+1E-12))</f>
        <v/>
      </c>
      <c r="H991" s="3">
        <f>IF('3a Raw'!F991="","",MAX(-3,MIN(3,('3a Raw'!F991-$H3)/$H4)))</f>
        <v/>
      </c>
      <c r="I991" s="3">
        <f>IF(H991="","",(H991-AVERAGE(H6:H1198))/(STDEV(H6:H1198)+1E-12))</f>
        <v/>
      </c>
      <c r="J991" s="3">
        <f>IF('3a Raw'!G991="","",MAX(-3,MIN(3,('3a Raw'!G991-$J3)/$J4)))</f>
        <v/>
      </c>
      <c r="K991" s="3">
        <f>IF(J991="","",(J991-AVERAGE(J6:J1198))/(STDEV(J6:J1198)+1E-12))</f>
        <v/>
      </c>
      <c r="L991" s="3">
        <f>IF('3a Raw'!H991="","",MAX(-3,MIN(3,('3a Raw'!H991-$L3)/$L4)))</f>
        <v/>
      </c>
      <c r="M991" s="3">
        <f>IF(L991="","",(L991-AVERAGE(L6:L1198))/(STDEV(L6:L1198)+1E-12))</f>
        <v/>
      </c>
      <c r="N991" s="3">
        <f>IF('3a Raw'!I991="","",MAX(-3,MIN(3,('3a Raw'!I991-$N3)/$N4)))</f>
        <v/>
      </c>
      <c r="O991" s="3">
        <f>IF(N991="","",(N991-AVERAGE(N6:N1198))/(STDEV(N6:N1198)+1E-12))</f>
        <v/>
      </c>
      <c r="P991" s="3">
        <f>IF('3a Raw'!J991="","",MAX(-3,MIN(3,('3a Raw'!J991-$P3)/$P4)))</f>
        <v/>
      </c>
      <c r="Q991" s="3">
        <f>IF(P991="","",(P991-AVERAGE(P6:P1198))/(STDEV(P6:P1198)+1E-12))</f>
        <v/>
      </c>
      <c r="R991" s="3">
        <f>IF('3a Raw'!K991="","",MAX(-3,MIN(3,('3a Raw'!K991-$R3)/$R4)))</f>
        <v/>
      </c>
      <c r="S991" s="3">
        <f>IF(R991="","",(R991-AVERAGE(R6:R1198))/(STDEV(R6:R1198)+1E-12))</f>
        <v/>
      </c>
      <c r="T991" s="3">
        <f>IF('3a Raw'!L991="","",MAX(-3,MIN(3,('3a Raw'!L991-$T3)/$T4)))</f>
        <v/>
      </c>
      <c r="U991" s="3">
        <f>IF(T991="","",(T991-AVERAGE(T6:T1198))/(STDEV(T6:T1198)+1E-12))</f>
        <v/>
      </c>
      <c r="X991" s="3">
        <f>IF(U991="","",U991-($V$3*G991+$W$3))</f>
        <v/>
      </c>
      <c r="Y991" s="3">
        <f>IF(X991="","",MAX(-3,MIN(3,(X991-$X3)/$X4)))</f>
        <v/>
      </c>
      <c r="Z991" s="3">
        <f>IF(Y991="","",(Y991-AVERAGE(Y6:Y1198))/(STDEV(Y6:Y1198)+1E-12))</f>
        <v/>
      </c>
    </row>
    <row r="992">
      <c r="A992" t="inlineStr">
        <is>
          <t>BBG000BJ2D31</t>
        </is>
      </c>
      <c r="B992" s="3">
        <f>IF('3a Raw'!C992="","",MAX(-3,MIN(3,('3a Raw'!C992-$B3)/$B4)))</f>
        <v/>
      </c>
      <c r="C992" s="3">
        <f>IF(B992="","",(B992-AVERAGE(B6:B1198))/(STDEV(B6:B1198)+1E-12))</f>
        <v/>
      </c>
      <c r="D992" s="3">
        <f>IF('3a Raw'!D992="","",MAX(-3,MIN(3,('3a Raw'!D992-$D3)/$D4)))</f>
        <v/>
      </c>
      <c r="E992" s="3">
        <f>IF(D992="","",(D992-AVERAGE(D6:D1198))/(STDEV(D6:D1198)+1E-12))</f>
        <v/>
      </c>
      <c r="F992" s="3">
        <f>IF('3a Raw'!E992="","",MAX(-3,MIN(3,('3a Raw'!E992-$F3)/$F4)))</f>
        <v/>
      </c>
      <c r="G992" s="3">
        <f>IF(F992="","",(F992-AVERAGE(F6:F1198))/(STDEV(F6:F1198)+1E-12))</f>
        <v/>
      </c>
      <c r="H992" s="3">
        <f>IF('3a Raw'!F992="","",MAX(-3,MIN(3,('3a Raw'!F992-$H3)/$H4)))</f>
        <v/>
      </c>
      <c r="I992" s="3">
        <f>IF(H992="","",(H992-AVERAGE(H6:H1198))/(STDEV(H6:H1198)+1E-12))</f>
        <v/>
      </c>
      <c r="J992" s="3">
        <f>IF('3a Raw'!G992="","",MAX(-3,MIN(3,('3a Raw'!G992-$J3)/$J4)))</f>
        <v/>
      </c>
      <c r="K992" s="3">
        <f>IF(J992="","",(J992-AVERAGE(J6:J1198))/(STDEV(J6:J1198)+1E-12))</f>
        <v/>
      </c>
      <c r="L992" s="3">
        <f>IF('3a Raw'!H992="","",MAX(-3,MIN(3,('3a Raw'!H992-$L3)/$L4)))</f>
        <v/>
      </c>
      <c r="M992" s="3">
        <f>IF(L992="","",(L992-AVERAGE(L6:L1198))/(STDEV(L6:L1198)+1E-12))</f>
        <v/>
      </c>
      <c r="N992" s="3">
        <f>IF('3a Raw'!I992="","",MAX(-3,MIN(3,('3a Raw'!I992-$N3)/$N4)))</f>
        <v/>
      </c>
      <c r="O992" s="3">
        <f>IF(N992="","",(N992-AVERAGE(N6:N1198))/(STDEV(N6:N1198)+1E-12))</f>
        <v/>
      </c>
      <c r="P992" s="3">
        <f>IF('3a Raw'!J992="","",MAX(-3,MIN(3,('3a Raw'!J992-$P3)/$P4)))</f>
        <v/>
      </c>
      <c r="Q992" s="3">
        <f>IF(P992="","",(P992-AVERAGE(P6:P1198))/(STDEV(P6:P1198)+1E-12))</f>
        <v/>
      </c>
      <c r="R992" s="3">
        <f>IF('3a Raw'!K992="","",MAX(-3,MIN(3,('3a Raw'!K992-$R3)/$R4)))</f>
        <v/>
      </c>
      <c r="S992" s="3">
        <f>IF(R992="","",(R992-AVERAGE(R6:R1198))/(STDEV(R6:R1198)+1E-12))</f>
        <v/>
      </c>
      <c r="T992" s="3">
        <f>IF('3a Raw'!L992="","",MAX(-3,MIN(3,('3a Raw'!L992-$T3)/$T4)))</f>
        <v/>
      </c>
      <c r="U992" s="3">
        <f>IF(T992="","",(T992-AVERAGE(T6:T1198))/(STDEV(T6:T1198)+1E-12))</f>
        <v/>
      </c>
      <c r="X992" s="3">
        <f>IF(U992="","",U992-($V$3*G992+$W$3))</f>
        <v/>
      </c>
      <c r="Y992" s="3">
        <f>IF(X992="","",MAX(-3,MIN(3,(X992-$X3)/$X4)))</f>
        <v/>
      </c>
      <c r="Z992" s="3">
        <f>IF(Y992="","",(Y992-AVERAGE(Y6:Y1198))/(STDEV(Y6:Y1198)+1E-12))</f>
        <v/>
      </c>
    </row>
    <row r="993">
      <c r="A993" t="inlineStr">
        <is>
          <t>BBG000BP1Q11</t>
        </is>
      </c>
      <c r="B993" s="3">
        <f>IF('3a Raw'!C993="","",MAX(-3,MIN(3,('3a Raw'!C993-$B3)/$B4)))</f>
        <v/>
      </c>
      <c r="C993" s="3">
        <f>IF(B993="","",(B993-AVERAGE(B6:B1198))/(STDEV(B6:B1198)+1E-12))</f>
        <v/>
      </c>
      <c r="D993" s="3">
        <f>IF('3a Raw'!D993="","",MAX(-3,MIN(3,('3a Raw'!D993-$D3)/$D4)))</f>
        <v/>
      </c>
      <c r="E993" s="3">
        <f>IF(D993="","",(D993-AVERAGE(D6:D1198))/(STDEV(D6:D1198)+1E-12))</f>
        <v/>
      </c>
      <c r="F993" s="3">
        <f>IF('3a Raw'!E993="","",MAX(-3,MIN(3,('3a Raw'!E993-$F3)/$F4)))</f>
        <v/>
      </c>
      <c r="G993" s="3">
        <f>IF(F993="","",(F993-AVERAGE(F6:F1198))/(STDEV(F6:F1198)+1E-12))</f>
        <v/>
      </c>
      <c r="H993" s="3">
        <f>IF('3a Raw'!F993="","",MAX(-3,MIN(3,('3a Raw'!F993-$H3)/$H4)))</f>
        <v/>
      </c>
      <c r="I993" s="3">
        <f>IF(H993="","",(H993-AVERAGE(H6:H1198))/(STDEV(H6:H1198)+1E-12))</f>
        <v/>
      </c>
      <c r="J993" s="3">
        <f>IF('3a Raw'!G993="","",MAX(-3,MIN(3,('3a Raw'!G993-$J3)/$J4)))</f>
        <v/>
      </c>
      <c r="K993" s="3">
        <f>IF(J993="","",(J993-AVERAGE(J6:J1198))/(STDEV(J6:J1198)+1E-12))</f>
        <v/>
      </c>
      <c r="L993" s="3">
        <f>IF('3a Raw'!H993="","",MAX(-3,MIN(3,('3a Raw'!H993-$L3)/$L4)))</f>
        <v/>
      </c>
      <c r="M993" s="3">
        <f>IF(L993="","",(L993-AVERAGE(L6:L1198))/(STDEV(L6:L1198)+1E-12))</f>
        <v/>
      </c>
      <c r="N993" s="3">
        <f>IF('3a Raw'!I993="","",MAX(-3,MIN(3,('3a Raw'!I993-$N3)/$N4)))</f>
        <v/>
      </c>
      <c r="O993" s="3">
        <f>IF(N993="","",(N993-AVERAGE(N6:N1198))/(STDEV(N6:N1198)+1E-12))</f>
        <v/>
      </c>
      <c r="P993" s="3">
        <f>IF('3a Raw'!J993="","",MAX(-3,MIN(3,('3a Raw'!J993-$P3)/$P4)))</f>
        <v/>
      </c>
      <c r="Q993" s="3">
        <f>IF(P993="","",(P993-AVERAGE(P6:P1198))/(STDEV(P6:P1198)+1E-12))</f>
        <v/>
      </c>
      <c r="R993" s="3">
        <f>IF('3a Raw'!K993="","",MAX(-3,MIN(3,('3a Raw'!K993-$R3)/$R4)))</f>
        <v/>
      </c>
      <c r="S993" s="3">
        <f>IF(R993="","",(R993-AVERAGE(R6:R1198))/(STDEV(R6:R1198)+1E-12))</f>
        <v/>
      </c>
      <c r="T993" s="3">
        <f>IF('3a Raw'!L993="","",MAX(-3,MIN(3,('3a Raw'!L993-$T3)/$T4)))</f>
        <v/>
      </c>
      <c r="U993" s="3">
        <f>IF(T993="","",(T993-AVERAGE(T6:T1198))/(STDEV(T6:T1198)+1E-12))</f>
        <v/>
      </c>
      <c r="X993" s="3">
        <f>IF(U993="","",U993-($V$3*G993+$W$3))</f>
        <v/>
      </c>
      <c r="Y993" s="3">
        <f>IF(X993="","",MAX(-3,MIN(3,(X993-$X3)/$X4)))</f>
        <v/>
      </c>
      <c r="Z993" s="3">
        <f>IF(Y993="","",(Y993-AVERAGE(Y6:Y1198))/(STDEV(Y6:Y1198)+1E-12))</f>
        <v/>
      </c>
    </row>
    <row r="994">
      <c r="A994" t="inlineStr">
        <is>
          <t>BBG000BDTBL9</t>
        </is>
      </c>
      <c r="B994" s="3">
        <f>IF('3a Raw'!C994="","",MAX(-3,MIN(3,('3a Raw'!C994-$B3)/$B4)))</f>
        <v/>
      </c>
      <c r="C994" s="3">
        <f>IF(B994="","",(B994-AVERAGE(B6:B1198))/(STDEV(B6:B1198)+1E-12))</f>
        <v/>
      </c>
      <c r="D994" s="3">
        <f>IF('3a Raw'!D994="","",MAX(-3,MIN(3,('3a Raw'!D994-$D3)/$D4)))</f>
        <v/>
      </c>
      <c r="E994" s="3">
        <f>IF(D994="","",(D994-AVERAGE(D6:D1198))/(STDEV(D6:D1198)+1E-12))</f>
        <v/>
      </c>
      <c r="F994" s="3">
        <f>IF('3a Raw'!E994="","",MAX(-3,MIN(3,('3a Raw'!E994-$F3)/$F4)))</f>
        <v/>
      </c>
      <c r="G994" s="3">
        <f>IF(F994="","",(F994-AVERAGE(F6:F1198))/(STDEV(F6:F1198)+1E-12))</f>
        <v/>
      </c>
      <c r="H994" s="3">
        <f>IF('3a Raw'!F994="","",MAX(-3,MIN(3,('3a Raw'!F994-$H3)/$H4)))</f>
        <v/>
      </c>
      <c r="I994" s="3">
        <f>IF(H994="","",(H994-AVERAGE(H6:H1198))/(STDEV(H6:H1198)+1E-12))</f>
        <v/>
      </c>
      <c r="J994" s="3">
        <f>IF('3a Raw'!G994="","",MAX(-3,MIN(3,('3a Raw'!G994-$J3)/$J4)))</f>
        <v/>
      </c>
      <c r="K994" s="3">
        <f>IF(J994="","",(J994-AVERAGE(J6:J1198))/(STDEV(J6:J1198)+1E-12))</f>
        <v/>
      </c>
      <c r="L994" s="3">
        <f>IF('3a Raw'!H994="","",MAX(-3,MIN(3,('3a Raw'!H994-$L3)/$L4)))</f>
        <v/>
      </c>
      <c r="M994" s="3">
        <f>IF(L994="","",(L994-AVERAGE(L6:L1198))/(STDEV(L6:L1198)+1E-12))</f>
        <v/>
      </c>
      <c r="N994" s="3">
        <f>IF('3a Raw'!I994="","",MAX(-3,MIN(3,('3a Raw'!I994-$N3)/$N4)))</f>
        <v/>
      </c>
      <c r="O994" s="3">
        <f>IF(N994="","",(N994-AVERAGE(N6:N1198))/(STDEV(N6:N1198)+1E-12))</f>
        <v/>
      </c>
      <c r="P994" s="3">
        <f>IF('3a Raw'!J994="","",MAX(-3,MIN(3,('3a Raw'!J994-$P3)/$P4)))</f>
        <v/>
      </c>
      <c r="Q994" s="3">
        <f>IF(P994="","",(P994-AVERAGE(P6:P1198))/(STDEV(P6:P1198)+1E-12))</f>
        <v/>
      </c>
      <c r="R994" s="3">
        <f>IF('3a Raw'!K994="","",MAX(-3,MIN(3,('3a Raw'!K994-$R3)/$R4)))</f>
        <v/>
      </c>
      <c r="S994" s="3">
        <f>IF(R994="","",(R994-AVERAGE(R6:R1198))/(STDEV(R6:R1198)+1E-12))</f>
        <v/>
      </c>
      <c r="T994" s="3">
        <f>IF('3a Raw'!L994="","",MAX(-3,MIN(3,('3a Raw'!L994-$T3)/$T4)))</f>
        <v/>
      </c>
      <c r="U994" s="3">
        <f>IF(T994="","",(T994-AVERAGE(T6:T1198))/(STDEV(T6:T1198)+1E-12))</f>
        <v/>
      </c>
      <c r="X994" s="3">
        <f>IF(U994="","",U994-($V$3*G994+$W$3))</f>
        <v/>
      </c>
      <c r="Y994" s="3">
        <f>IF(X994="","",MAX(-3,MIN(3,(X994-$X3)/$X4)))</f>
        <v/>
      </c>
      <c r="Z994" s="3">
        <f>IF(Y994="","",(Y994-AVERAGE(Y6:Y1198))/(STDEV(Y6:Y1198)+1E-12))</f>
        <v/>
      </c>
    </row>
    <row r="995">
      <c r="A995" t="inlineStr">
        <is>
          <t>BBG000BKK4S1</t>
        </is>
      </c>
      <c r="B995" s="3">
        <f>IF('3a Raw'!C995="","",MAX(-3,MIN(3,('3a Raw'!C995-$B3)/$B4)))</f>
        <v/>
      </c>
      <c r="C995" s="3">
        <f>IF(B995="","",(B995-AVERAGE(B6:B1198))/(STDEV(B6:B1198)+1E-12))</f>
        <v/>
      </c>
      <c r="D995" s="3">
        <f>IF('3a Raw'!D995="","",MAX(-3,MIN(3,('3a Raw'!D995-$D3)/$D4)))</f>
        <v/>
      </c>
      <c r="E995" s="3">
        <f>IF(D995="","",(D995-AVERAGE(D6:D1198))/(STDEV(D6:D1198)+1E-12))</f>
        <v/>
      </c>
      <c r="F995" s="3">
        <f>IF('3a Raw'!E995="","",MAX(-3,MIN(3,('3a Raw'!E995-$F3)/$F4)))</f>
        <v/>
      </c>
      <c r="G995" s="3">
        <f>IF(F995="","",(F995-AVERAGE(F6:F1198))/(STDEV(F6:F1198)+1E-12))</f>
        <v/>
      </c>
      <c r="H995" s="3">
        <f>IF('3a Raw'!F995="","",MAX(-3,MIN(3,('3a Raw'!F995-$H3)/$H4)))</f>
        <v/>
      </c>
      <c r="I995" s="3">
        <f>IF(H995="","",(H995-AVERAGE(H6:H1198))/(STDEV(H6:H1198)+1E-12))</f>
        <v/>
      </c>
      <c r="J995" s="3">
        <f>IF('3a Raw'!G995="","",MAX(-3,MIN(3,('3a Raw'!G995-$J3)/$J4)))</f>
        <v/>
      </c>
      <c r="K995" s="3">
        <f>IF(J995="","",(J995-AVERAGE(J6:J1198))/(STDEV(J6:J1198)+1E-12))</f>
        <v/>
      </c>
      <c r="L995" s="3">
        <f>IF('3a Raw'!H995="","",MAX(-3,MIN(3,('3a Raw'!H995-$L3)/$L4)))</f>
        <v/>
      </c>
      <c r="M995" s="3">
        <f>IF(L995="","",(L995-AVERAGE(L6:L1198))/(STDEV(L6:L1198)+1E-12))</f>
        <v/>
      </c>
      <c r="N995" s="3">
        <f>IF('3a Raw'!I995="","",MAX(-3,MIN(3,('3a Raw'!I995-$N3)/$N4)))</f>
        <v/>
      </c>
      <c r="O995" s="3">
        <f>IF(N995="","",(N995-AVERAGE(N6:N1198))/(STDEV(N6:N1198)+1E-12))</f>
        <v/>
      </c>
      <c r="P995" s="3">
        <f>IF('3a Raw'!J995="","",MAX(-3,MIN(3,('3a Raw'!J995-$P3)/$P4)))</f>
        <v/>
      </c>
      <c r="Q995" s="3">
        <f>IF(P995="","",(P995-AVERAGE(P6:P1198))/(STDEV(P6:P1198)+1E-12))</f>
        <v/>
      </c>
      <c r="R995" s="3">
        <f>IF('3a Raw'!K995="","",MAX(-3,MIN(3,('3a Raw'!K995-$R3)/$R4)))</f>
        <v/>
      </c>
      <c r="S995" s="3">
        <f>IF(R995="","",(R995-AVERAGE(R6:R1198))/(STDEV(R6:R1198)+1E-12))</f>
        <v/>
      </c>
      <c r="T995" s="3">
        <f>IF('3a Raw'!L995="","",MAX(-3,MIN(3,('3a Raw'!L995-$T3)/$T4)))</f>
        <v/>
      </c>
      <c r="U995" s="3">
        <f>IF(T995="","",(T995-AVERAGE(T6:T1198))/(STDEV(T6:T1198)+1E-12))</f>
        <v/>
      </c>
      <c r="X995" s="3">
        <f>IF(U995="","",U995-($V$3*G995+$W$3))</f>
        <v/>
      </c>
      <c r="Y995" s="3">
        <f>IF(X995="","",MAX(-3,MIN(3,(X995-$X3)/$X4)))</f>
        <v/>
      </c>
      <c r="Z995" s="3">
        <f>IF(Y995="","",(Y995-AVERAGE(Y6:Y1198))/(STDEV(Y6:Y1198)+1E-12))</f>
        <v/>
      </c>
    </row>
    <row r="996">
      <c r="A996" t="inlineStr">
        <is>
          <t>BBG000C2ZCH8</t>
        </is>
      </c>
      <c r="B996" s="3">
        <f>IF('3a Raw'!C996="","",MAX(-3,MIN(3,('3a Raw'!C996-$B3)/$B4)))</f>
        <v/>
      </c>
      <c r="C996" s="3">
        <f>IF(B996="","",(B996-AVERAGE(B6:B1198))/(STDEV(B6:B1198)+1E-12))</f>
        <v/>
      </c>
      <c r="D996" s="3">
        <f>IF('3a Raw'!D996="","",MAX(-3,MIN(3,('3a Raw'!D996-$D3)/$D4)))</f>
        <v/>
      </c>
      <c r="E996" s="3">
        <f>IF(D996="","",(D996-AVERAGE(D6:D1198))/(STDEV(D6:D1198)+1E-12))</f>
        <v/>
      </c>
      <c r="F996" s="3">
        <f>IF('3a Raw'!E996="","",MAX(-3,MIN(3,('3a Raw'!E996-$F3)/$F4)))</f>
        <v/>
      </c>
      <c r="G996" s="3">
        <f>IF(F996="","",(F996-AVERAGE(F6:F1198))/(STDEV(F6:F1198)+1E-12))</f>
        <v/>
      </c>
      <c r="H996" s="3">
        <f>IF('3a Raw'!F996="","",MAX(-3,MIN(3,('3a Raw'!F996-$H3)/$H4)))</f>
        <v/>
      </c>
      <c r="I996" s="3">
        <f>IF(H996="","",(H996-AVERAGE(H6:H1198))/(STDEV(H6:H1198)+1E-12))</f>
        <v/>
      </c>
      <c r="J996" s="3">
        <f>IF('3a Raw'!G996="","",MAX(-3,MIN(3,('3a Raw'!G996-$J3)/$J4)))</f>
        <v/>
      </c>
      <c r="K996" s="3">
        <f>IF(J996="","",(J996-AVERAGE(J6:J1198))/(STDEV(J6:J1198)+1E-12))</f>
        <v/>
      </c>
      <c r="L996" s="3">
        <f>IF('3a Raw'!H996="","",MAX(-3,MIN(3,('3a Raw'!H996-$L3)/$L4)))</f>
        <v/>
      </c>
      <c r="M996" s="3">
        <f>IF(L996="","",(L996-AVERAGE(L6:L1198))/(STDEV(L6:L1198)+1E-12))</f>
        <v/>
      </c>
      <c r="N996" s="3">
        <f>IF('3a Raw'!I996="","",MAX(-3,MIN(3,('3a Raw'!I996-$N3)/$N4)))</f>
        <v/>
      </c>
      <c r="O996" s="3">
        <f>IF(N996="","",(N996-AVERAGE(N6:N1198))/(STDEV(N6:N1198)+1E-12))</f>
        <v/>
      </c>
      <c r="P996" s="3">
        <f>IF('3a Raw'!J996="","",MAX(-3,MIN(3,('3a Raw'!J996-$P3)/$P4)))</f>
        <v/>
      </c>
      <c r="Q996" s="3">
        <f>IF(P996="","",(P996-AVERAGE(P6:P1198))/(STDEV(P6:P1198)+1E-12))</f>
        <v/>
      </c>
      <c r="R996" s="3">
        <f>IF('3a Raw'!K996="","",MAX(-3,MIN(3,('3a Raw'!K996-$R3)/$R4)))</f>
        <v/>
      </c>
      <c r="S996" s="3">
        <f>IF(R996="","",(R996-AVERAGE(R6:R1198))/(STDEV(R6:R1198)+1E-12))</f>
        <v/>
      </c>
      <c r="T996" s="3">
        <f>IF('3a Raw'!L996="","",MAX(-3,MIN(3,('3a Raw'!L996-$T3)/$T4)))</f>
        <v/>
      </c>
      <c r="U996" s="3">
        <f>IF(T996="","",(T996-AVERAGE(T6:T1198))/(STDEV(T6:T1198)+1E-12))</f>
        <v/>
      </c>
      <c r="X996" s="3">
        <f>IF(U996="","",U996-($V$3*G996+$W$3))</f>
        <v/>
      </c>
      <c r="Y996" s="3">
        <f>IF(X996="","",MAX(-3,MIN(3,(X996-$X3)/$X4)))</f>
        <v/>
      </c>
      <c r="Z996" s="3">
        <f>IF(Y996="","",(Y996-AVERAGE(Y6:Y1198))/(STDEV(Y6:Y1198)+1E-12))</f>
        <v/>
      </c>
    </row>
    <row r="997">
      <c r="A997" t="inlineStr">
        <is>
          <t>BBG000BCJ161</t>
        </is>
      </c>
      <c r="B997" s="3">
        <f>IF('3a Raw'!C997="","",MAX(-3,MIN(3,('3a Raw'!C997-$B3)/$B4)))</f>
        <v/>
      </c>
      <c r="C997" s="3">
        <f>IF(B997="","",(B997-AVERAGE(B6:B1198))/(STDEV(B6:B1198)+1E-12))</f>
        <v/>
      </c>
      <c r="D997" s="3">
        <f>IF('3a Raw'!D997="","",MAX(-3,MIN(3,('3a Raw'!D997-$D3)/$D4)))</f>
        <v/>
      </c>
      <c r="E997" s="3">
        <f>IF(D997="","",(D997-AVERAGE(D6:D1198))/(STDEV(D6:D1198)+1E-12))</f>
        <v/>
      </c>
      <c r="F997" s="3">
        <f>IF('3a Raw'!E997="","",MAX(-3,MIN(3,('3a Raw'!E997-$F3)/$F4)))</f>
        <v/>
      </c>
      <c r="G997" s="3">
        <f>IF(F997="","",(F997-AVERAGE(F6:F1198))/(STDEV(F6:F1198)+1E-12))</f>
        <v/>
      </c>
      <c r="H997" s="3">
        <f>IF('3a Raw'!F997="","",MAX(-3,MIN(3,('3a Raw'!F997-$H3)/$H4)))</f>
        <v/>
      </c>
      <c r="I997" s="3">
        <f>IF(H997="","",(H997-AVERAGE(H6:H1198))/(STDEV(H6:H1198)+1E-12))</f>
        <v/>
      </c>
      <c r="J997" s="3">
        <f>IF('3a Raw'!G997="","",MAX(-3,MIN(3,('3a Raw'!G997-$J3)/$J4)))</f>
        <v/>
      </c>
      <c r="K997" s="3">
        <f>IF(J997="","",(J997-AVERAGE(J6:J1198))/(STDEV(J6:J1198)+1E-12))</f>
        <v/>
      </c>
      <c r="L997" s="3">
        <f>IF('3a Raw'!H997="","",MAX(-3,MIN(3,('3a Raw'!H997-$L3)/$L4)))</f>
        <v/>
      </c>
      <c r="M997" s="3">
        <f>IF(L997="","",(L997-AVERAGE(L6:L1198))/(STDEV(L6:L1198)+1E-12))</f>
        <v/>
      </c>
      <c r="N997" s="3">
        <f>IF('3a Raw'!I997="","",MAX(-3,MIN(3,('3a Raw'!I997-$N3)/$N4)))</f>
        <v/>
      </c>
      <c r="O997" s="3">
        <f>IF(N997="","",(N997-AVERAGE(N6:N1198))/(STDEV(N6:N1198)+1E-12))</f>
        <v/>
      </c>
      <c r="P997" s="3">
        <f>IF('3a Raw'!J997="","",MAX(-3,MIN(3,('3a Raw'!J997-$P3)/$P4)))</f>
        <v/>
      </c>
      <c r="Q997" s="3">
        <f>IF(P997="","",(P997-AVERAGE(P6:P1198))/(STDEV(P6:P1198)+1E-12))</f>
        <v/>
      </c>
      <c r="R997" s="3">
        <f>IF('3a Raw'!K997="","",MAX(-3,MIN(3,('3a Raw'!K997-$R3)/$R4)))</f>
        <v/>
      </c>
      <c r="S997" s="3">
        <f>IF(R997="","",(R997-AVERAGE(R6:R1198))/(STDEV(R6:R1198)+1E-12))</f>
        <v/>
      </c>
      <c r="T997" s="3">
        <f>IF('3a Raw'!L997="","",MAX(-3,MIN(3,('3a Raw'!L997-$T3)/$T4)))</f>
        <v/>
      </c>
      <c r="U997" s="3">
        <f>IF(T997="","",(T997-AVERAGE(T6:T1198))/(STDEV(T6:T1198)+1E-12))</f>
        <v/>
      </c>
      <c r="X997" s="3">
        <f>IF(U997="","",U997-($V$3*G997+$W$3))</f>
        <v/>
      </c>
      <c r="Y997" s="3">
        <f>IF(X997="","",MAX(-3,MIN(3,(X997-$X3)/$X4)))</f>
        <v/>
      </c>
      <c r="Z997" s="3">
        <f>IF(Y997="","",(Y997-AVERAGE(Y6:Y1198))/(STDEV(Y6:Y1198)+1E-12))</f>
        <v/>
      </c>
    </row>
    <row r="998">
      <c r="A998" t="inlineStr">
        <is>
          <t>BBG000RJ2J04</t>
        </is>
      </c>
      <c r="B998" s="3">
        <f>IF('3a Raw'!C998="","",MAX(-3,MIN(3,('3a Raw'!C998-$B3)/$B4)))</f>
        <v/>
      </c>
      <c r="C998" s="3">
        <f>IF(B998="","",(B998-AVERAGE(B6:B1198))/(STDEV(B6:B1198)+1E-12))</f>
        <v/>
      </c>
      <c r="D998" s="3">
        <f>IF('3a Raw'!D998="","",MAX(-3,MIN(3,('3a Raw'!D998-$D3)/$D4)))</f>
        <v/>
      </c>
      <c r="E998" s="3">
        <f>IF(D998="","",(D998-AVERAGE(D6:D1198))/(STDEV(D6:D1198)+1E-12))</f>
        <v/>
      </c>
      <c r="F998" s="3">
        <f>IF('3a Raw'!E998="","",MAX(-3,MIN(3,('3a Raw'!E998-$F3)/$F4)))</f>
        <v/>
      </c>
      <c r="G998" s="3">
        <f>IF(F998="","",(F998-AVERAGE(F6:F1198))/(STDEV(F6:F1198)+1E-12))</f>
        <v/>
      </c>
      <c r="H998" s="3">
        <f>IF('3a Raw'!F998="","",MAX(-3,MIN(3,('3a Raw'!F998-$H3)/$H4)))</f>
        <v/>
      </c>
      <c r="I998" s="3">
        <f>IF(H998="","",(H998-AVERAGE(H6:H1198))/(STDEV(H6:H1198)+1E-12))</f>
        <v/>
      </c>
      <c r="J998" s="3">
        <f>IF('3a Raw'!G998="","",MAX(-3,MIN(3,('3a Raw'!G998-$J3)/$J4)))</f>
        <v/>
      </c>
      <c r="K998" s="3">
        <f>IF(J998="","",(J998-AVERAGE(J6:J1198))/(STDEV(J6:J1198)+1E-12))</f>
        <v/>
      </c>
      <c r="L998" s="3">
        <f>IF('3a Raw'!H998="","",MAX(-3,MIN(3,('3a Raw'!H998-$L3)/$L4)))</f>
        <v/>
      </c>
      <c r="M998" s="3">
        <f>IF(L998="","",(L998-AVERAGE(L6:L1198))/(STDEV(L6:L1198)+1E-12))</f>
        <v/>
      </c>
      <c r="N998" s="3">
        <f>IF('3a Raw'!I998="","",MAX(-3,MIN(3,('3a Raw'!I998-$N3)/$N4)))</f>
        <v/>
      </c>
      <c r="O998" s="3">
        <f>IF(N998="","",(N998-AVERAGE(N6:N1198))/(STDEV(N6:N1198)+1E-12))</f>
        <v/>
      </c>
      <c r="P998" s="3">
        <f>IF('3a Raw'!J998="","",MAX(-3,MIN(3,('3a Raw'!J998-$P3)/$P4)))</f>
        <v/>
      </c>
      <c r="Q998" s="3">
        <f>IF(P998="","",(P998-AVERAGE(P6:P1198))/(STDEV(P6:P1198)+1E-12))</f>
        <v/>
      </c>
      <c r="R998" s="3">
        <f>IF('3a Raw'!K998="","",MAX(-3,MIN(3,('3a Raw'!K998-$R3)/$R4)))</f>
        <v/>
      </c>
      <c r="S998" s="3">
        <f>IF(R998="","",(R998-AVERAGE(R6:R1198))/(STDEV(R6:R1198)+1E-12))</f>
        <v/>
      </c>
      <c r="T998" s="3">
        <f>IF('3a Raw'!L998="","",MAX(-3,MIN(3,('3a Raw'!L998-$T3)/$T4)))</f>
        <v/>
      </c>
      <c r="U998" s="3">
        <f>IF(T998="","",(T998-AVERAGE(T6:T1198))/(STDEV(T6:T1198)+1E-12))</f>
        <v/>
      </c>
      <c r="X998" s="3">
        <f>IF(U998="","",U998-($V$3*G998+$W$3))</f>
        <v/>
      </c>
      <c r="Y998" s="3">
        <f>IF(X998="","",MAX(-3,MIN(3,(X998-$X3)/$X4)))</f>
        <v/>
      </c>
      <c r="Z998" s="3">
        <f>IF(Y998="","",(Y998-AVERAGE(Y6:Y1198))/(STDEV(Y6:Y1198)+1E-12))</f>
        <v/>
      </c>
    </row>
    <row r="999">
      <c r="A999" t="inlineStr">
        <is>
          <t>BBG002ZCK2V9</t>
        </is>
      </c>
      <c r="B999" s="3">
        <f>IF('3a Raw'!C999="","",MAX(-3,MIN(3,('3a Raw'!C999-$B3)/$B4)))</f>
        <v/>
      </c>
      <c r="C999" s="3">
        <f>IF(B999="","",(B999-AVERAGE(B6:B1198))/(STDEV(B6:B1198)+1E-12))</f>
        <v/>
      </c>
      <c r="D999" s="3">
        <f>IF('3a Raw'!D999="","",MAX(-3,MIN(3,('3a Raw'!D999-$D3)/$D4)))</f>
        <v/>
      </c>
      <c r="E999" s="3">
        <f>IF(D999="","",(D999-AVERAGE(D6:D1198))/(STDEV(D6:D1198)+1E-12))</f>
        <v/>
      </c>
      <c r="F999" s="3">
        <f>IF('3a Raw'!E999="","",MAX(-3,MIN(3,('3a Raw'!E999-$F3)/$F4)))</f>
        <v/>
      </c>
      <c r="G999" s="3">
        <f>IF(F999="","",(F999-AVERAGE(F6:F1198))/(STDEV(F6:F1198)+1E-12))</f>
        <v/>
      </c>
      <c r="H999" s="3">
        <f>IF('3a Raw'!F999="","",MAX(-3,MIN(3,('3a Raw'!F999-$H3)/$H4)))</f>
        <v/>
      </c>
      <c r="I999" s="3">
        <f>IF(H999="","",(H999-AVERAGE(H6:H1198))/(STDEV(H6:H1198)+1E-12))</f>
        <v/>
      </c>
      <c r="J999" s="3">
        <f>IF('3a Raw'!G999="","",MAX(-3,MIN(3,('3a Raw'!G999-$J3)/$J4)))</f>
        <v/>
      </c>
      <c r="K999" s="3">
        <f>IF(J999="","",(J999-AVERAGE(J6:J1198))/(STDEV(J6:J1198)+1E-12))</f>
        <v/>
      </c>
      <c r="L999" s="3">
        <f>IF('3a Raw'!H999="","",MAX(-3,MIN(3,('3a Raw'!H999-$L3)/$L4)))</f>
        <v/>
      </c>
      <c r="M999" s="3">
        <f>IF(L999="","",(L999-AVERAGE(L6:L1198))/(STDEV(L6:L1198)+1E-12))</f>
        <v/>
      </c>
      <c r="N999" s="3">
        <f>IF('3a Raw'!I999="","",MAX(-3,MIN(3,('3a Raw'!I999-$N3)/$N4)))</f>
        <v/>
      </c>
      <c r="O999" s="3">
        <f>IF(N999="","",(N999-AVERAGE(N6:N1198))/(STDEV(N6:N1198)+1E-12))</f>
        <v/>
      </c>
      <c r="P999" s="3">
        <f>IF('3a Raw'!J999="","",MAX(-3,MIN(3,('3a Raw'!J999-$P3)/$P4)))</f>
        <v/>
      </c>
      <c r="Q999" s="3">
        <f>IF(P999="","",(P999-AVERAGE(P6:P1198))/(STDEV(P6:P1198)+1E-12))</f>
        <v/>
      </c>
      <c r="R999" s="3">
        <f>IF('3a Raw'!K999="","",MAX(-3,MIN(3,('3a Raw'!K999-$R3)/$R4)))</f>
        <v/>
      </c>
      <c r="S999" s="3">
        <f>IF(R999="","",(R999-AVERAGE(R6:R1198))/(STDEV(R6:R1198)+1E-12))</f>
        <v/>
      </c>
      <c r="T999" s="3">
        <f>IF('3a Raw'!L999="","",MAX(-3,MIN(3,('3a Raw'!L999-$T3)/$T4)))</f>
        <v/>
      </c>
      <c r="U999" s="3">
        <f>IF(T999="","",(T999-AVERAGE(T6:T1198))/(STDEV(T6:T1198)+1E-12))</f>
        <v/>
      </c>
      <c r="X999" s="3">
        <f>IF(U999="","",U999-($V$3*G999+$W$3))</f>
        <v/>
      </c>
      <c r="Y999" s="3">
        <f>IF(X999="","",MAX(-3,MIN(3,(X999-$X3)/$X4)))</f>
        <v/>
      </c>
      <c r="Z999" s="3">
        <f>IF(Y999="","",(Y999-AVERAGE(Y6:Y1198))/(STDEV(Y6:Y1198)+1E-12))</f>
        <v/>
      </c>
    </row>
    <row r="1000">
      <c r="A1000" t="inlineStr">
        <is>
          <t>ste</t>
        </is>
      </c>
      <c r="B1000" s="3">
        <f>IF('3a Raw'!C1000="","",MAX(-3,MIN(3,('3a Raw'!C1000-$B3)/$B4)))</f>
        <v/>
      </c>
      <c r="C1000" s="3">
        <f>IF(B1000="","",(B1000-AVERAGE(B6:B1198))/(STDEV(B6:B1198)+1E-12))</f>
        <v/>
      </c>
      <c r="D1000" s="3">
        <f>IF('3a Raw'!D1000="","",MAX(-3,MIN(3,('3a Raw'!D1000-$D3)/$D4)))</f>
        <v/>
      </c>
      <c r="E1000" s="3">
        <f>IF(D1000="","",(D1000-AVERAGE(D6:D1198))/(STDEV(D6:D1198)+1E-12))</f>
        <v/>
      </c>
      <c r="F1000" s="3">
        <f>IF('3a Raw'!E1000="","",MAX(-3,MIN(3,('3a Raw'!E1000-$F3)/$F4)))</f>
        <v/>
      </c>
      <c r="G1000" s="3">
        <f>IF(F1000="","",(F1000-AVERAGE(F6:F1198))/(STDEV(F6:F1198)+1E-12))</f>
        <v/>
      </c>
      <c r="H1000" s="3">
        <f>IF('3a Raw'!F1000="","",MAX(-3,MIN(3,('3a Raw'!F1000-$H3)/$H4)))</f>
        <v/>
      </c>
      <c r="I1000" s="3">
        <f>IF(H1000="","",(H1000-AVERAGE(H6:H1198))/(STDEV(H6:H1198)+1E-12))</f>
        <v/>
      </c>
      <c r="J1000" s="3">
        <f>IF('3a Raw'!G1000="","",MAX(-3,MIN(3,('3a Raw'!G1000-$J3)/$J4)))</f>
        <v/>
      </c>
      <c r="K1000" s="3">
        <f>IF(J1000="","",(J1000-AVERAGE(J6:J1198))/(STDEV(J6:J1198)+1E-12))</f>
        <v/>
      </c>
      <c r="L1000" s="3">
        <f>IF('3a Raw'!H1000="","",MAX(-3,MIN(3,('3a Raw'!H1000-$L3)/$L4)))</f>
        <v/>
      </c>
      <c r="M1000" s="3">
        <f>IF(L1000="","",(L1000-AVERAGE(L6:L1198))/(STDEV(L6:L1198)+1E-12))</f>
        <v/>
      </c>
      <c r="N1000" s="3">
        <f>IF('3a Raw'!I1000="","",MAX(-3,MIN(3,('3a Raw'!I1000-$N3)/$N4)))</f>
        <v/>
      </c>
      <c r="O1000" s="3">
        <f>IF(N1000="","",(N1000-AVERAGE(N6:N1198))/(STDEV(N6:N1198)+1E-12))</f>
        <v/>
      </c>
      <c r="P1000" s="3">
        <f>IF('3a Raw'!J1000="","",MAX(-3,MIN(3,('3a Raw'!J1000-$P3)/$P4)))</f>
        <v/>
      </c>
      <c r="Q1000" s="3">
        <f>IF(P1000="","",(P1000-AVERAGE(P6:P1198))/(STDEV(P6:P1198)+1E-12))</f>
        <v/>
      </c>
      <c r="R1000" s="3">
        <f>IF('3a Raw'!K1000="","",MAX(-3,MIN(3,('3a Raw'!K1000-$R3)/$R4)))</f>
        <v/>
      </c>
      <c r="S1000" s="3">
        <f>IF(R1000="","",(R1000-AVERAGE(R6:R1198))/(STDEV(R6:R1198)+1E-12))</f>
        <v/>
      </c>
      <c r="T1000" s="3">
        <f>IF('3a Raw'!L1000="","",MAX(-3,MIN(3,('3a Raw'!L1000-$T3)/$T4)))</f>
        <v/>
      </c>
      <c r="U1000" s="3">
        <f>IF(T1000="","",(T1000-AVERAGE(T6:T1198))/(STDEV(T6:T1198)+1E-12))</f>
        <v/>
      </c>
      <c r="X1000" s="3">
        <f>IF(U1000="","",U1000-($V$3*G1000+$W$3))</f>
        <v/>
      </c>
      <c r="Y1000" s="3">
        <f>IF(X1000="","",MAX(-3,MIN(3,(X1000-$X3)/$X4)))</f>
        <v/>
      </c>
      <c r="Z1000" s="3">
        <f>IF(Y1000="","",(Y1000-AVERAGE(Y6:Y1198))/(STDEV(Y6:Y1198)+1E-12))</f>
        <v/>
      </c>
    </row>
    <row r="1001">
      <c r="A1001" t="inlineStr">
        <is>
          <t>BBG000HGYNZ9</t>
        </is>
      </c>
      <c r="B1001" s="3">
        <f>IF('3a Raw'!C1001="","",MAX(-3,MIN(3,('3a Raw'!C1001-$B3)/$B4)))</f>
        <v/>
      </c>
      <c r="C1001" s="3">
        <f>IF(B1001="","",(B1001-AVERAGE(B6:B1198))/(STDEV(B6:B1198)+1E-12))</f>
        <v/>
      </c>
      <c r="D1001" s="3">
        <f>IF('3a Raw'!D1001="","",MAX(-3,MIN(3,('3a Raw'!D1001-$D3)/$D4)))</f>
        <v/>
      </c>
      <c r="E1001" s="3">
        <f>IF(D1001="","",(D1001-AVERAGE(D6:D1198))/(STDEV(D6:D1198)+1E-12))</f>
        <v/>
      </c>
      <c r="F1001" s="3">
        <f>IF('3a Raw'!E1001="","",MAX(-3,MIN(3,('3a Raw'!E1001-$F3)/$F4)))</f>
        <v/>
      </c>
      <c r="G1001" s="3">
        <f>IF(F1001="","",(F1001-AVERAGE(F6:F1198))/(STDEV(F6:F1198)+1E-12))</f>
        <v/>
      </c>
      <c r="H1001" s="3">
        <f>IF('3a Raw'!F1001="","",MAX(-3,MIN(3,('3a Raw'!F1001-$H3)/$H4)))</f>
        <v/>
      </c>
      <c r="I1001" s="3">
        <f>IF(H1001="","",(H1001-AVERAGE(H6:H1198))/(STDEV(H6:H1198)+1E-12))</f>
        <v/>
      </c>
      <c r="J1001" s="3">
        <f>IF('3a Raw'!G1001="","",MAX(-3,MIN(3,('3a Raw'!G1001-$J3)/$J4)))</f>
        <v/>
      </c>
      <c r="K1001" s="3">
        <f>IF(J1001="","",(J1001-AVERAGE(J6:J1198))/(STDEV(J6:J1198)+1E-12))</f>
        <v/>
      </c>
      <c r="L1001" s="3">
        <f>IF('3a Raw'!H1001="","",MAX(-3,MIN(3,('3a Raw'!H1001-$L3)/$L4)))</f>
        <v/>
      </c>
      <c r="M1001" s="3">
        <f>IF(L1001="","",(L1001-AVERAGE(L6:L1198))/(STDEV(L6:L1198)+1E-12))</f>
        <v/>
      </c>
      <c r="N1001" s="3">
        <f>IF('3a Raw'!I1001="","",MAX(-3,MIN(3,('3a Raw'!I1001-$N3)/$N4)))</f>
        <v/>
      </c>
      <c r="O1001" s="3">
        <f>IF(N1001="","",(N1001-AVERAGE(N6:N1198))/(STDEV(N6:N1198)+1E-12))</f>
        <v/>
      </c>
      <c r="P1001" s="3">
        <f>IF('3a Raw'!J1001="","",MAX(-3,MIN(3,('3a Raw'!J1001-$P3)/$P4)))</f>
        <v/>
      </c>
      <c r="Q1001" s="3">
        <f>IF(P1001="","",(P1001-AVERAGE(P6:P1198))/(STDEV(P6:P1198)+1E-12))</f>
        <v/>
      </c>
      <c r="R1001" s="3">
        <f>IF('3a Raw'!K1001="","",MAX(-3,MIN(3,('3a Raw'!K1001-$R3)/$R4)))</f>
        <v/>
      </c>
      <c r="S1001" s="3">
        <f>IF(R1001="","",(R1001-AVERAGE(R6:R1198))/(STDEV(R6:R1198)+1E-12))</f>
        <v/>
      </c>
      <c r="T1001" s="3">
        <f>IF('3a Raw'!L1001="","",MAX(-3,MIN(3,('3a Raw'!L1001-$T3)/$T4)))</f>
        <v/>
      </c>
      <c r="U1001" s="3">
        <f>IF(T1001="","",(T1001-AVERAGE(T6:T1198))/(STDEV(T6:T1198)+1E-12))</f>
        <v/>
      </c>
      <c r="X1001" s="3">
        <f>IF(U1001="","",U1001-($V$3*G1001+$W$3))</f>
        <v/>
      </c>
      <c r="Y1001" s="3">
        <f>IF(X1001="","",MAX(-3,MIN(3,(X1001-$X3)/$X4)))</f>
        <v/>
      </c>
      <c r="Z1001" s="3">
        <f>IF(Y1001="","",(Y1001-AVERAGE(Y6:Y1198))/(STDEV(Y6:Y1198)+1E-12))</f>
        <v/>
      </c>
    </row>
    <row r="1002">
      <c r="A1002" t="inlineStr">
        <is>
          <t>BBG000BD4GX2</t>
        </is>
      </c>
      <c r="B1002" s="3">
        <f>IF('3a Raw'!C1002="","",MAX(-3,MIN(3,('3a Raw'!C1002-$B3)/$B4)))</f>
        <v/>
      </c>
      <c r="C1002" s="3">
        <f>IF(B1002="","",(B1002-AVERAGE(B6:B1198))/(STDEV(B6:B1198)+1E-12))</f>
        <v/>
      </c>
      <c r="D1002" s="3">
        <f>IF('3a Raw'!D1002="","",MAX(-3,MIN(3,('3a Raw'!D1002-$D3)/$D4)))</f>
        <v/>
      </c>
      <c r="E1002" s="3">
        <f>IF(D1002="","",(D1002-AVERAGE(D6:D1198))/(STDEV(D6:D1198)+1E-12))</f>
        <v/>
      </c>
      <c r="F1002" s="3">
        <f>IF('3a Raw'!E1002="","",MAX(-3,MIN(3,('3a Raw'!E1002-$F3)/$F4)))</f>
        <v/>
      </c>
      <c r="G1002" s="3">
        <f>IF(F1002="","",(F1002-AVERAGE(F6:F1198))/(STDEV(F6:F1198)+1E-12))</f>
        <v/>
      </c>
      <c r="H1002" s="3">
        <f>IF('3a Raw'!F1002="","",MAX(-3,MIN(3,('3a Raw'!F1002-$H3)/$H4)))</f>
        <v/>
      </c>
      <c r="I1002" s="3">
        <f>IF(H1002="","",(H1002-AVERAGE(H6:H1198))/(STDEV(H6:H1198)+1E-12))</f>
        <v/>
      </c>
      <c r="J1002" s="3">
        <f>IF('3a Raw'!G1002="","",MAX(-3,MIN(3,('3a Raw'!G1002-$J3)/$J4)))</f>
        <v/>
      </c>
      <c r="K1002" s="3">
        <f>IF(J1002="","",(J1002-AVERAGE(J6:J1198))/(STDEV(J6:J1198)+1E-12))</f>
        <v/>
      </c>
      <c r="L1002" s="3">
        <f>IF('3a Raw'!H1002="","",MAX(-3,MIN(3,('3a Raw'!H1002-$L3)/$L4)))</f>
        <v/>
      </c>
      <c r="M1002" s="3">
        <f>IF(L1002="","",(L1002-AVERAGE(L6:L1198))/(STDEV(L6:L1198)+1E-12))</f>
        <v/>
      </c>
      <c r="N1002" s="3">
        <f>IF('3a Raw'!I1002="","",MAX(-3,MIN(3,('3a Raw'!I1002-$N3)/$N4)))</f>
        <v/>
      </c>
      <c r="O1002" s="3">
        <f>IF(N1002="","",(N1002-AVERAGE(N6:N1198))/(STDEV(N6:N1198)+1E-12))</f>
        <v/>
      </c>
      <c r="P1002" s="3">
        <f>IF('3a Raw'!J1002="","",MAX(-3,MIN(3,('3a Raw'!J1002-$P3)/$P4)))</f>
        <v/>
      </c>
      <c r="Q1002" s="3">
        <f>IF(P1002="","",(P1002-AVERAGE(P6:P1198))/(STDEV(P6:P1198)+1E-12))</f>
        <v/>
      </c>
      <c r="R1002" s="3">
        <f>IF('3a Raw'!K1002="","",MAX(-3,MIN(3,('3a Raw'!K1002-$R3)/$R4)))</f>
        <v/>
      </c>
      <c r="S1002" s="3">
        <f>IF(R1002="","",(R1002-AVERAGE(R6:R1198))/(STDEV(R6:R1198)+1E-12))</f>
        <v/>
      </c>
      <c r="T1002" s="3">
        <f>IF('3a Raw'!L1002="","",MAX(-3,MIN(3,('3a Raw'!L1002-$T3)/$T4)))</f>
        <v/>
      </c>
      <c r="U1002" s="3">
        <f>IF(T1002="","",(T1002-AVERAGE(T6:T1198))/(STDEV(T6:T1198)+1E-12))</f>
        <v/>
      </c>
      <c r="X1002" s="3">
        <f>IF(U1002="","",U1002-($V$3*G1002+$W$3))</f>
        <v/>
      </c>
      <c r="Y1002" s="3">
        <f>IF(X1002="","",MAX(-3,MIN(3,(X1002-$X3)/$X4)))</f>
        <v/>
      </c>
      <c r="Z1002" s="3">
        <f>IF(Y1002="","",(Y1002-AVERAGE(Y6:Y1198))/(STDEV(Y6:Y1198)+1E-12))</f>
        <v/>
      </c>
    </row>
    <row r="1003">
      <c r="A1003" t="inlineStr">
        <is>
          <t>BBG000BKFBD7</t>
        </is>
      </c>
      <c r="B1003" s="3">
        <f>IF('3a Raw'!C1003="","",MAX(-3,MIN(3,('3a Raw'!C1003-$B3)/$B4)))</f>
        <v/>
      </c>
      <c r="C1003" s="3">
        <f>IF(B1003="","",(B1003-AVERAGE(B6:B1198))/(STDEV(B6:B1198)+1E-12))</f>
        <v/>
      </c>
      <c r="D1003" s="3">
        <f>IF('3a Raw'!D1003="","",MAX(-3,MIN(3,('3a Raw'!D1003-$D3)/$D4)))</f>
        <v/>
      </c>
      <c r="E1003" s="3">
        <f>IF(D1003="","",(D1003-AVERAGE(D6:D1198))/(STDEV(D6:D1198)+1E-12))</f>
        <v/>
      </c>
      <c r="F1003" s="3">
        <f>IF('3a Raw'!E1003="","",MAX(-3,MIN(3,('3a Raw'!E1003-$F3)/$F4)))</f>
        <v/>
      </c>
      <c r="G1003" s="3">
        <f>IF(F1003="","",(F1003-AVERAGE(F6:F1198))/(STDEV(F6:F1198)+1E-12))</f>
        <v/>
      </c>
      <c r="H1003" s="3">
        <f>IF('3a Raw'!F1003="","",MAX(-3,MIN(3,('3a Raw'!F1003-$H3)/$H4)))</f>
        <v/>
      </c>
      <c r="I1003" s="3">
        <f>IF(H1003="","",(H1003-AVERAGE(H6:H1198))/(STDEV(H6:H1198)+1E-12))</f>
        <v/>
      </c>
      <c r="J1003" s="3">
        <f>IF('3a Raw'!G1003="","",MAX(-3,MIN(3,('3a Raw'!G1003-$J3)/$J4)))</f>
        <v/>
      </c>
      <c r="K1003" s="3">
        <f>IF(J1003="","",(J1003-AVERAGE(J6:J1198))/(STDEV(J6:J1198)+1E-12))</f>
        <v/>
      </c>
      <c r="L1003" s="3">
        <f>IF('3a Raw'!H1003="","",MAX(-3,MIN(3,('3a Raw'!H1003-$L3)/$L4)))</f>
        <v/>
      </c>
      <c r="M1003" s="3">
        <f>IF(L1003="","",(L1003-AVERAGE(L6:L1198))/(STDEV(L6:L1198)+1E-12))</f>
        <v/>
      </c>
      <c r="N1003" s="3">
        <f>IF('3a Raw'!I1003="","",MAX(-3,MIN(3,('3a Raw'!I1003-$N3)/$N4)))</f>
        <v/>
      </c>
      <c r="O1003" s="3">
        <f>IF(N1003="","",(N1003-AVERAGE(N6:N1198))/(STDEV(N6:N1198)+1E-12))</f>
        <v/>
      </c>
      <c r="P1003" s="3">
        <f>IF('3a Raw'!J1003="","",MAX(-3,MIN(3,('3a Raw'!J1003-$P3)/$P4)))</f>
        <v/>
      </c>
      <c r="Q1003" s="3">
        <f>IF(P1003="","",(P1003-AVERAGE(P6:P1198))/(STDEV(P6:P1198)+1E-12))</f>
        <v/>
      </c>
      <c r="R1003" s="3">
        <f>IF('3a Raw'!K1003="","",MAX(-3,MIN(3,('3a Raw'!K1003-$R3)/$R4)))</f>
        <v/>
      </c>
      <c r="S1003" s="3">
        <f>IF(R1003="","",(R1003-AVERAGE(R6:R1198))/(STDEV(R6:R1198)+1E-12))</f>
        <v/>
      </c>
      <c r="T1003" s="3">
        <f>IF('3a Raw'!L1003="","",MAX(-3,MIN(3,('3a Raw'!L1003-$T3)/$T4)))</f>
        <v/>
      </c>
      <c r="U1003" s="3">
        <f>IF(T1003="","",(T1003-AVERAGE(T6:T1198))/(STDEV(T6:T1198)+1E-12))</f>
        <v/>
      </c>
      <c r="X1003" s="3">
        <f>IF(U1003="","",U1003-($V$3*G1003+$W$3))</f>
        <v/>
      </c>
      <c r="Y1003" s="3">
        <f>IF(X1003="","",MAX(-3,MIN(3,(X1003-$X3)/$X4)))</f>
        <v/>
      </c>
      <c r="Z1003" s="3">
        <f>IF(Y1003="","",(Y1003-AVERAGE(Y6:Y1198))/(STDEV(Y6:Y1198)+1E-12))</f>
        <v/>
      </c>
    </row>
    <row r="1004">
      <c r="A1004" t="inlineStr">
        <is>
          <t>BBG00RFFBJZ8</t>
        </is>
      </c>
      <c r="B1004" s="3">
        <f>IF('3a Raw'!C1004="","",MAX(-3,MIN(3,('3a Raw'!C1004-$B3)/$B4)))</f>
        <v/>
      </c>
      <c r="C1004" s="3">
        <f>IF(B1004="","",(B1004-AVERAGE(B6:B1198))/(STDEV(B6:B1198)+1E-12))</f>
        <v/>
      </c>
      <c r="D1004" s="3">
        <f>IF('3a Raw'!D1004="","",MAX(-3,MIN(3,('3a Raw'!D1004-$D3)/$D4)))</f>
        <v/>
      </c>
      <c r="E1004" s="3">
        <f>IF(D1004="","",(D1004-AVERAGE(D6:D1198))/(STDEV(D6:D1198)+1E-12))</f>
        <v/>
      </c>
      <c r="F1004" s="3">
        <f>IF('3a Raw'!E1004="","",MAX(-3,MIN(3,('3a Raw'!E1004-$F3)/$F4)))</f>
        <v/>
      </c>
      <c r="G1004" s="3">
        <f>IF(F1004="","",(F1004-AVERAGE(F6:F1198))/(STDEV(F6:F1198)+1E-12))</f>
        <v/>
      </c>
      <c r="H1004" s="3">
        <f>IF('3a Raw'!F1004="","",MAX(-3,MIN(3,('3a Raw'!F1004-$H3)/$H4)))</f>
        <v/>
      </c>
      <c r="I1004" s="3">
        <f>IF(H1004="","",(H1004-AVERAGE(H6:H1198))/(STDEV(H6:H1198)+1E-12))</f>
        <v/>
      </c>
      <c r="J1004" s="3">
        <f>IF('3a Raw'!G1004="","",MAX(-3,MIN(3,('3a Raw'!G1004-$J3)/$J4)))</f>
        <v/>
      </c>
      <c r="K1004" s="3">
        <f>IF(J1004="","",(J1004-AVERAGE(J6:J1198))/(STDEV(J6:J1198)+1E-12))</f>
        <v/>
      </c>
      <c r="L1004" s="3">
        <f>IF('3a Raw'!H1004="","",MAX(-3,MIN(3,('3a Raw'!H1004-$L3)/$L4)))</f>
        <v/>
      </c>
      <c r="M1004" s="3">
        <f>IF(L1004="","",(L1004-AVERAGE(L6:L1198))/(STDEV(L6:L1198)+1E-12))</f>
        <v/>
      </c>
      <c r="N1004" s="3">
        <f>IF('3a Raw'!I1004="","",MAX(-3,MIN(3,('3a Raw'!I1004-$N3)/$N4)))</f>
        <v/>
      </c>
      <c r="O1004" s="3">
        <f>IF(N1004="","",(N1004-AVERAGE(N6:N1198))/(STDEV(N6:N1198)+1E-12))</f>
        <v/>
      </c>
      <c r="P1004" s="3">
        <f>IF('3a Raw'!J1004="","",MAX(-3,MIN(3,('3a Raw'!J1004-$P3)/$P4)))</f>
        <v/>
      </c>
      <c r="Q1004" s="3">
        <f>IF(P1004="","",(P1004-AVERAGE(P6:P1198))/(STDEV(P6:P1198)+1E-12))</f>
        <v/>
      </c>
      <c r="R1004" s="3">
        <f>IF('3a Raw'!K1004="","",MAX(-3,MIN(3,('3a Raw'!K1004-$R3)/$R4)))</f>
        <v/>
      </c>
      <c r="S1004" s="3">
        <f>IF(R1004="","",(R1004-AVERAGE(R6:R1198))/(STDEV(R6:R1198)+1E-12))</f>
        <v/>
      </c>
      <c r="T1004" s="3">
        <f>IF('3a Raw'!L1004="","",MAX(-3,MIN(3,('3a Raw'!L1004-$T3)/$T4)))</f>
        <v/>
      </c>
      <c r="U1004" s="3">
        <f>IF(T1004="","",(T1004-AVERAGE(T6:T1198))/(STDEV(T6:T1198)+1E-12))</f>
        <v/>
      </c>
      <c r="X1004" s="3">
        <f>IF(U1004="","",U1004-($V$3*G1004+$W$3))</f>
        <v/>
      </c>
      <c r="Y1004" s="3">
        <f>IF(X1004="","",MAX(-3,MIN(3,(X1004-$X3)/$X4)))</f>
        <v/>
      </c>
      <c r="Z1004" s="3">
        <f>IF(Y1004="","",(Y1004-AVERAGE(Y6:Y1198))/(STDEV(Y6:Y1198)+1E-12))</f>
        <v/>
      </c>
    </row>
    <row r="1005">
      <c r="A1005" t="inlineStr">
        <is>
          <t>BBG000M1J270</t>
        </is>
      </c>
      <c r="B1005" s="3">
        <f>IF('3a Raw'!C1005="","",MAX(-3,MIN(3,('3a Raw'!C1005-$B3)/$B4)))</f>
        <v/>
      </c>
      <c r="C1005" s="3">
        <f>IF(B1005="","",(B1005-AVERAGE(B6:B1198))/(STDEV(B6:B1198)+1E-12))</f>
        <v/>
      </c>
      <c r="D1005" s="3">
        <f>IF('3a Raw'!D1005="","",MAX(-3,MIN(3,('3a Raw'!D1005-$D3)/$D4)))</f>
        <v/>
      </c>
      <c r="E1005" s="3">
        <f>IF(D1005="","",(D1005-AVERAGE(D6:D1198))/(STDEV(D6:D1198)+1E-12))</f>
        <v/>
      </c>
      <c r="F1005" s="3">
        <f>IF('3a Raw'!E1005="","",MAX(-3,MIN(3,('3a Raw'!E1005-$F3)/$F4)))</f>
        <v/>
      </c>
      <c r="G1005" s="3">
        <f>IF(F1005="","",(F1005-AVERAGE(F6:F1198))/(STDEV(F6:F1198)+1E-12))</f>
        <v/>
      </c>
      <c r="H1005" s="3">
        <f>IF('3a Raw'!F1005="","",MAX(-3,MIN(3,('3a Raw'!F1005-$H3)/$H4)))</f>
        <v/>
      </c>
      <c r="I1005" s="3">
        <f>IF(H1005="","",(H1005-AVERAGE(H6:H1198))/(STDEV(H6:H1198)+1E-12))</f>
        <v/>
      </c>
      <c r="J1005" s="3">
        <f>IF('3a Raw'!G1005="","",MAX(-3,MIN(3,('3a Raw'!G1005-$J3)/$J4)))</f>
        <v/>
      </c>
      <c r="K1005" s="3">
        <f>IF(J1005="","",(J1005-AVERAGE(J6:J1198))/(STDEV(J6:J1198)+1E-12))</f>
        <v/>
      </c>
      <c r="L1005" s="3">
        <f>IF('3a Raw'!H1005="","",MAX(-3,MIN(3,('3a Raw'!H1005-$L3)/$L4)))</f>
        <v/>
      </c>
      <c r="M1005" s="3">
        <f>IF(L1005="","",(L1005-AVERAGE(L6:L1198))/(STDEV(L6:L1198)+1E-12))</f>
        <v/>
      </c>
      <c r="N1005" s="3">
        <f>IF('3a Raw'!I1005="","",MAX(-3,MIN(3,('3a Raw'!I1005-$N3)/$N4)))</f>
        <v/>
      </c>
      <c r="O1005" s="3">
        <f>IF(N1005="","",(N1005-AVERAGE(N6:N1198))/(STDEV(N6:N1198)+1E-12))</f>
        <v/>
      </c>
      <c r="P1005" s="3">
        <f>IF('3a Raw'!J1005="","",MAX(-3,MIN(3,('3a Raw'!J1005-$P3)/$P4)))</f>
        <v/>
      </c>
      <c r="Q1005" s="3">
        <f>IF(P1005="","",(P1005-AVERAGE(P6:P1198))/(STDEV(P6:P1198)+1E-12))</f>
        <v/>
      </c>
      <c r="R1005" s="3">
        <f>IF('3a Raw'!K1005="","",MAX(-3,MIN(3,('3a Raw'!K1005-$R3)/$R4)))</f>
        <v/>
      </c>
      <c r="S1005" s="3">
        <f>IF(R1005="","",(R1005-AVERAGE(R6:R1198))/(STDEV(R6:R1198)+1E-12))</f>
        <v/>
      </c>
      <c r="T1005" s="3">
        <f>IF('3a Raw'!L1005="","",MAX(-3,MIN(3,('3a Raw'!L1005-$T3)/$T4)))</f>
        <v/>
      </c>
      <c r="U1005" s="3">
        <f>IF(T1005="","",(T1005-AVERAGE(T6:T1198))/(STDEV(T6:T1198)+1E-12))</f>
        <v/>
      </c>
      <c r="X1005" s="3">
        <f>IF(U1005="","",U1005-($V$3*G1005+$W$3))</f>
        <v/>
      </c>
      <c r="Y1005" s="3">
        <f>IF(X1005="","",MAX(-3,MIN(3,(X1005-$X3)/$X4)))</f>
        <v/>
      </c>
      <c r="Z1005" s="3">
        <f>IF(Y1005="","",(Y1005-AVERAGE(Y6:Y1198))/(STDEV(Y6:Y1198)+1E-12))</f>
        <v/>
      </c>
    </row>
    <row r="1006">
      <c r="A1006" t="inlineStr">
        <is>
          <t>stx</t>
        </is>
      </c>
      <c r="B1006" s="3">
        <f>IF('3a Raw'!C1006="","",MAX(-3,MIN(3,('3a Raw'!C1006-$B3)/$B4)))</f>
        <v/>
      </c>
      <c r="C1006" s="3">
        <f>IF(B1006="","",(B1006-AVERAGE(B6:B1198))/(STDEV(B6:B1198)+1E-12))</f>
        <v/>
      </c>
      <c r="D1006" s="3">
        <f>IF('3a Raw'!D1006="","",MAX(-3,MIN(3,('3a Raw'!D1006-$D3)/$D4)))</f>
        <v/>
      </c>
      <c r="E1006" s="3">
        <f>IF(D1006="","",(D1006-AVERAGE(D6:D1198))/(STDEV(D6:D1198)+1E-12))</f>
        <v/>
      </c>
      <c r="F1006" s="3">
        <f>IF('3a Raw'!E1006="","",MAX(-3,MIN(3,('3a Raw'!E1006-$F3)/$F4)))</f>
        <v/>
      </c>
      <c r="G1006" s="3">
        <f>IF(F1006="","",(F1006-AVERAGE(F6:F1198))/(STDEV(F6:F1198)+1E-12))</f>
        <v/>
      </c>
      <c r="H1006" s="3">
        <f>IF('3a Raw'!F1006="","",MAX(-3,MIN(3,('3a Raw'!F1006-$H3)/$H4)))</f>
        <v/>
      </c>
      <c r="I1006" s="3">
        <f>IF(H1006="","",(H1006-AVERAGE(H6:H1198))/(STDEV(H6:H1198)+1E-12))</f>
        <v/>
      </c>
      <c r="J1006" s="3">
        <f>IF('3a Raw'!G1006="","",MAX(-3,MIN(3,('3a Raw'!G1006-$J3)/$J4)))</f>
        <v/>
      </c>
      <c r="K1006" s="3">
        <f>IF(J1006="","",(J1006-AVERAGE(J6:J1198))/(STDEV(J6:J1198)+1E-12))</f>
        <v/>
      </c>
      <c r="L1006" s="3">
        <f>IF('3a Raw'!H1006="","",MAX(-3,MIN(3,('3a Raw'!H1006-$L3)/$L4)))</f>
        <v/>
      </c>
      <c r="M1006" s="3">
        <f>IF(L1006="","",(L1006-AVERAGE(L6:L1198))/(STDEV(L6:L1198)+1E-12))</f>
        <v/>
      </c>
      <c r="N1006" s="3">
        <f>IF('3a Raw'!I1006="","",MAX(-3,MIN(3,('3a Raw'!I1006-$N3)/$N4)))</f>
        <v/>
      </c>
      <c r="O1006" s="3">
        <f>IF(N1006="","",(N1006-AVERAGE(N6:N1198))/(STDEV(N6:N1198)+1E-12))</f>
        <v/>
      </c>
      <c r="P1006" s="3">
        <f>IF('3a Raw'!J1006="","",MAX(-3,MIN(3,('3a Raw'!J1006-$P3)/$P4)))</f>
        <v/>
      </c>
      <c r="Q1006" s="3">
        <f>IF(P1006="","",(P1006-AVERAGE(P6:P1198))/(STDEV(P6:P1198)+1E-12))</f>
        <v/>
      </c>
      <c r="R1006" s="3">
        <f>IF('3a Raw'!K1006="","",MAX(-3,MIN(3,('3a Raw'!K1006-$R3)/$R4)))</f>
        <v/>
      </c>
      <c r="S1006" s="3">
        <f>IF(R1006="","",(R1006-AVERAGE(R6:R1198))/(STDEV(R6:R1198)+1E-12))</f>
        <v/>
      </c>
      <c r="T1006" s="3">
        <f>IF('3a Raw'!L1006="","",MAX(-3,MIN(3,('3a Raw'!L1006-$T3)/$T4)))</f>
        <v/>
      </c>
      <c r="U1006" s="3">
        <f>IF(T1006="","",(T1006-AVERAGE(T6:T1198))/(STDEV(T6:T1198)+1E-12))</f>
        <v/>
      </c>
      <c r="X1006" s="3">
        <f>IF(U1006="","",U1006-($V$3*G1006+$W$3))</f>
        <v/>
      </c>
      <c r="Y1006" s="3">
        <f>IF(X1006="","",MAX(-3,MIN(3,(X1006-$X3)/$X4)))</f>
        <v/>
      </c>
      <c r="Z1006" s="3">
        <f>IF(Y1006="","",(Y1006-AVERAGE(Y6:Y1198))/(STDEV(Y6:Y1198)+1E-12))</f>
        <v/>
      </c>
    </row>
    <row r="1007">
      <c r="A1007" t="inlineStr">
        <is>
          <t>BBG000J1QLT0</t>
        </is>
      </c>
      <c r="B1007" s="3">
        <f>IF('3a Raw'!C1007="","",MAX(-3,MIN(3,('3a Raw'!C1007-$B3)/$B4)))</f>
        <v/>
      </c>
      <c r="C1007" s="3">
        <f>IF(B1007="","",(B1007-AVERAGE(B6:B1198))/(STDEV(B6:B1198)+1E-12))</f>
        <v/>
      </c>
      <c r="D1007" s="3">
        <f>IF('3a Raw'!D1007="","",MAX(-3,MIN(3,('3a Raw'!D1007-$D3)/$D4)))</f>
        <v/>
      </c>
      <c r="E1007" s="3">
        <f>IF(D1007="","",(D1007-AVERAGE(D6:D1198))/(STDEV(D6:D1198)+1E-12))</f>
        <v/>
      </c>
      <c r="F1007" s="3">
        <f>IF('3a Raw'!E1007="","",MAX(-3,MIN(3,('3a Raw'!E1007-$F3)/$F4)))</f>
        <v/>
      </c>
      <c r="G1007" s="3">
        <f>IF(F1007="","",(F1007-AVERAGE(F6:F1198))/(STDEV(F6:F1198)+1E-12))</f>
        <v/>
      </c>
      <c r="H1007" s="3">
        <f>IF('3a Raw'!F1007="","",MAX(-3,MIN(3,('3a Raw'!F1007-$H3)/$H4)))</f>
        <v/>
      </c>
      <c r="I1007" s="3">
        <f>IF(H1007="","",(H1007-AVERAGE(H6:H1198))/(STDEV(H6:H1198)+1E-12))</f>
        <v/>
      </c>
      <c r="J1007" s="3">
        <f>IF('3a Raw'!G1007="","",MAX(-3,MIN(3,('3a Raw'!G1007-$J3)/$J4)))</f>
        <v/>
      </c>
      <c r="K1007" s="3">
        <f>IF(J1007="","",(J1007-AVERAGE(J6:J1198))/(STDEV(J6:J1198)+1E-12))</f>
        <v/>
      </c>
      <c r="L1007" s="3">
        <f>IF('3a Raw'!H1007="","",MAX(-3,MIN(3,('3a Raw'!H1007-$L3)/$L4)))</f>
        <v/>
      </c>
      <c r="M1007" s="3">
        <f>IF(L1007="","",(L1007-AVERAGE(L6:L1198))/(STDEV(L6:L1198)+1E-12))</f>
        <v/>
      </c>
      <c r="N1007" s="3">
        <f>IF('3a Raw'!I1007="","",MAX(-3,MIN(3,('3a Raw'!I1007-$N3)/$N4)))</f>
        <v/>
      </c>
      <c r="O1007" s="3">
        <f>IF(N1007="","",(N1007-AVERAGE(N6:N1198))/(STDEV(N6:N1198)+1E-12))</f>
        <v/>
      </c>
      <c r="P1007" s="3">
        <f>IF('3a Raw'!J1007="","",MAX(-3,MIN(3,('3a Raw'!J1007-$P3)/$P4)))</f>
        <v/>
      </c>
      <c r="Q1007" s="3">
        <f>IF(P1007="","",(P1007-AVERAGE(P6:P1198))/(STDEV(P6:P1198)+1E-12))</f>
        <v/>
      </c>
      <c r="R1007" s="3">
        <f>IF('3a Raw'!K1007="","",MAX(-3,MIN(3,('3a Raw'!K1007-$R3)/$R4)))</f>
        <v/>
      </c>
      <c r="S1007" s="3">
        <f>IF(R1007="","",(R1007-AVERAGE(R6:R1198))/(STDEV(R6:R1198)+1E-12))</f>
        <v/>
      </c>
      <c r="T1007" s="3">
        <f>IF('3a Raw'!L1007="","",MAX(-3,MIN(3,('3a Raw'!L1007-$T3)/$T4)))</f>
        <v/>
      </c>
      <c r="U1007" s="3">
        <f>IF(T1007="","",(T1007-AVERAGE(T6:T1198))/(STDEV(T6:T1198)+1E-12))</f>
        <v/>
      </c>
      <c r="X1007" s="3">
        <f>IF(U1007="","",U1007-($V$3*G1007+$W$3))</f>
        <v/>
      </c>
      <c r="Y1007" s="3">
        <f>IF(X1007="","",MAX(-3,MIN(3,(X1007-$X3)/$X4)))</f>
        <v/>
      </c>
      <c r="Z1007" s="3">
        <f>IF(Y1007="","",(Y1007-AVERAGE(Y6:Y1198))/(STDEV(Y6:Y1198)+1E-12))</f>
        <v/>
      </c>
    </row>
    <row r="1008">
      <c r="A1008" t="inlineStr">
        <is>
          <t>BBG000BRK7L6</t>
        </is>
      </c>
      <c r="B1008" s="3">
        <f>IF('3a Raw'!C1008="","",MAX(-3,MIN(3,('3a Raw'!C1008-$B3)/$B4)))</f>
        <v/>
      </c>
      <c r="C1008" s="3">
        <f>IF(B1008="","",(B1008-AVERAGE(B6:B1198))/(STDEV(B6:B1198)+1E-12))</f>
        <v/>
      </c>
      <c r="D1008" s="3">
        <f>IF('3a Raw'!D1008="","",MAX(-3,MIN(3,('3a Raw'!D1008-$D3)/$D4)))</f>
        <v/>
      </c>
      <c r="E1008" s="3">
        <f>IF(D1008="","",(D1008-AVERAGE(D6:D1198))/(STDEV(D6:D1198)+1E-12))</f>
        <v/>
      </c>
      <c r="F1008" s="3">
        <f>IF('3a Raw'!E1008="","",MAX(-3,MIN(3,('3a Raw'!E1008-$F3)/$F4)))</f>
        <v/>
      </c>
      <c r="G1008" s="3">
        <f>IF(F1008="","",(F1008-AVERAGE(F6:F1198))/(STDEV(F6:F1198)+1E-12))</f>
        <v/>
      </c>
      <c r="H1008" s="3">
        <f>IF('3a Raw'!F1008="","",MAX(-3,MIN(3,('3a Raw'!F1008-$H3)/$H4)))</f>
        <v/>
      </c>
      <c r="I1008" s="3">
        <f>IF(H1008="","",(H1008-AVERAGE(H6:H1198))/(STDEV(H6:H1198)+1E-12))</f>
        <v/>
      </c>
      <c r="J1008" s="3">
        <f>IF('3a Raw'!G1008="","",MAX(-3,MIN(3,('3a Raw'!G1008-$J3)/$J4)))</f>
        <v/>
      </c>
      <c r="K1008" s="3">
        <f>IF(J1008="","",(J1008-AVERAGE(J6:J1198))/(STDEV(J6:J1198)+1E-12))</f>
        <v/>
      </c>
      <c r="L1008" s="3">
        <f>IF('3a Raw'!H1008="","",MAX(-3,MIN(3,('3a Raw'!H1008-$L3)/$L4)))</f>
        <v/>
      </c>
      <c r="M1008" s="3">
        <f>IF(L1008="","",(L1008-AVERAGE(L6:L1198))/(STDEV(L6:L1198)+1E-12))</f>
        <v/>
      </c>
      <c r="N1008" s="3">
        <f>IF('3a Raw'!I1008="","",MAX(-3,MIN(3,('3a Raw'!I1008-$N3)/$N4)))</f>
        <v/>
      </c>
      <c r="O1008" s="3">
        <f>IF(N1008="","",(N1008-AVERAGE(N6:N1198))/(STDEV(N6:N1198)+1E-12))</f>
        <v/>
      </c>
      <c r="P1008" s="3">
        <f>IF('3a Raw'!J1008="","",MAX(-3,MIN(3,('3a Raw'!J1008-$P3)/$P4)))</f>
        <v/>
      </c>
      <c r="Q1008" s="3">
        <f>IF(P1008="","",(P1008-AVERAGE(P6:P1198))/(STDEV(P6:P1198)+1E-12))</f>
        <v/>
      </c>
      <c r="R1008" s="3">
        <f>IF('3a Raw'!K1008="","",MAX(-3,MIN(3,('3a Raw'!K1008-$R3)/$R4)))</f>
        <v/>
      </c>
      <c r="S1008" s="3">
        <f>IF(R1008="","",(R1008-AVERAGE(R6:R1198))/(STDEV(R6:R1198)+1E-12))</f>
        <v/>
      </c>
      <c r="T1008" s="3">
        <f>IF('3a Raw'!L1008="","",MAX(-3,MIN(3,('3a Raw'!L1008-$T3)/$T4)))</f>
        <v/>
      </c>
      <c r="U1008" s="3">
        <f>IF(T1008="","",(T1008-AVERAGE(T6:T1198))/(STDEV(T6:T1198)+1E-12))</f>
        <v/>
      </c>
      <c r="X1008" s="3">
        <f>IF(U1008="","",U1008-($V$3*G1008+$W$3))</f>
        <v/>
      </c>
      <c r="Y1008" s="3">
        <f>IF(X1008="","",MAX(-3,MIN(3,(X1008-$X3)/$X4)))</f>
        <v/>
      </c>
      <c r="Z1008" s="3">
        <f>IF(Y1008="","",(Y1008-AVERAGE(Y6:Y1198))/(STDEV(Y6:Y1198)+1E-12))</f>
        <v/>
      </c>
    </row>
    <row r="1009">
      <c r="A1009" t="inlineStr">
        <is>
          <t>BBG01ZZ7RBW8</t>
        </is>
      </c>
      <c r="B1009" s="3">
        <f>IF('3a Raw'!C1009="","",MAX(-3,MIN(3,('3a Raw'!C1009-$B3)/$B4)))</f>
        <v/>
      </c>
      <c r="C1009" s="3">
        <f>IF(B1009="","",(B1009-AVERAGE(B6:B1198))/(STDEV(B6:B1198)+1E-12))</f>
        <v/>
      </c>
      <c r="D1009" s="3">
        <f>IF('3a Raw'!D1009="","",MAX(-3,MIN(3,('3a Raw'!D1009-$D3)/$D4)))</f>
        <v/>
      </c>
      <c r="E1009" s="3">
        <f>IF(D1009="","",(D1009-AVERAGE(D6:D1198))/(STDEV(D6:D1198)+1E-12))</f>
        <v/>
      </c>
      <c r="F1009" s="3">
        <f>IF('3a Raw'!E1009="","",MAX(-3,MIN(3,('3a Raw'!E1009-$F3)/$F4)))</f>
        <v/>
      </c>
      <c r="G1009" s="3">
        <f>IF(F1009="","",(F1009-AVERAGE(F6:F1198))/(STDEV(F6:F1198)+1E-12))</f>
        <v/>
      </c>
      <c r="H1009" s="3">
        <f>IF('3a Raw'!F1009="","",MAX(-3,MIN(3,('3a Raw'!F1009-$H3)/$H4)))</f>
        <v/>
      </c>
      <c r="I1009" s="3">
        <f>IF(H1009="","",(H1009-AVERAGE(H6:H1198))/(STDEV(H6:H1198)+1E-12))</f>
        <v/>
      </c>
      <c r="J1009" s="3">
        <f>IF('3a Raw'!G1009="","",MAX(-3,MIN(3,('3a Raw'!G1009-$J3)/$J4)))</f>
        <v/>
      </c>
      <c r="K1009" s="3">
        <f>IF(J1009="","",(J1009-AVERAGE(J6:J1198))/(STDEV(J6:J1198)+1E-12))</f>
        <v/>
      </c>
      <c r="L1009" s="3">
        <f>IF('3a Raw'!H1009="","",MAX(-3,MIN(3,('3a Raw'!H1009-$L3)/$L4)))</f>
        <v/>
      </c>
      <c r="M1009" s="3">
        <f>IF(L1009="","",(L1009-AVERAGE(L6:L1198))/(STDEV(L6:L1198)+1E-12))</f>
        <v/>
      </c>
      <c r="N1009" s="3">
        <f>IF('3a Raw'!I1009="","",MAX(-3,MIN(3,('3a Raw'!I1009-$N3)/$N4)))</f>
        <v/>
      </c>
      <c r="O1009" s="3">
        <f>IF(N1009="","",(N1009-AVERAGE(N6:N1198))/(STDEV(N6:N1198)+1E-12))</f>
        <v/>
      </c>
      <c r="P1009" s="3">
        <f>IF('3a Raw'!J1009="","",MAX(-3,MIN(3,('3a Raw'!J1009-$P3)/$P4)))</f>
        <v/>
      </c>
      <c r="Q1009" s="3">
        <f>IF(P1009="","",(P1009-AVERAGE(P6:P1198))/(STDEV(P6:P1198)+1E-12))</f>
        <v/>
      </c>
      <c r="R1009" s="3">
        <f>IF('3a Raw'!K1009="","",MAX(-3,MIN(3,('3a Raw'!K1009-$R3)/$R4)))</f>
        <v/>
      </c>
      <c r="S1009" s="3">
        <f>IF(R1009="","",(R1009-AVERAGE(R6:R1198))/(STDEV(R6:R1198)+1E-12))</f>
        <v/>
      </c>
      <c r="T1009" s="3">
        <f>IF('3a Raw'!L1009="","",MAX(-3,MIN(3,('3a Raw'!L1009-$T3)/$T4)))</f>
        <v/>
      </c>
      <c r="U1009" s="3">
        <f>IF(T1009="","",(T1009-AVERAGE(T6:T1198))/(STDEV(T6:T1198)+1E-12))</f>
        <v/>
      </c>
      <c r="X1009" s="3">
        <f>IF(U1009="","",U1009-($V$3*G1009+$W$3))</f>
        <v/>
      </c>
      <c r="Y1009" s="3">
        <f>IF(X1009="","",MAX(-3,MIN(3,(X1009-$X3)/$X4)))</f>
        <v/>
      </c>
      <c r="Z1009" s="3">
        <f>IF(Y1009="","",(Y1009-AVERAGE(Y6:Y1198))/(STDEV(Y6:Y1198)+1E-12))</f>
        <v/>
      </c>
    </row>
    <row r="1010">
      <c r="A1010" t="inlineStr">
        <is>
          <t>BBG000BP0HX7</t>
        </is>
      </c>
      <c r="B1010" s="3">
        <f>IF('3a Raw'!C1010="","",MAX(-3,MIN(3,('3a Raw'!C1010-$B3)/$B4)))</f>
        <v/>
      </c>
      <c r="C1010" s="3">
        <f>IF(B1010="","",(B1010-AVERAGE(B6:B1198))/(STDEV(B6:B1198)+1E-12))</f>
        <v/>
      </c>
      <c r="D1010" s="3">
        <f>IF('3a Raw'!D1010="","",MAX(-3,MIN(3,('3a Raw'!D1010-$D3)/$D4)))</f>
        <v/>
      </c>
      <c r="E1010" s="3">
        <f>IF(D1010="","",(D1010-AVERAGE(D6:D1198))/(STDEV(D6:D1198)+1E-12))</f>
        <v/>
      </c>
      <c r="F1010" s="3">
        <f>IF('3a Raw'!E1010="","",MAX(-3,MIN(3,('3a Raw'!E1010-$F3)/$F4)))</f>
        <v/>
      </c>
      <c r="G1010" s="3">
        <f>IF(F1010="","",(F1010-AVERAGE(F6:F1198))/(STDEV(F6:F1198)+1E-12))</f>
        <v/>
      </c>
      <c r="H1010" s="3">
        <f>IF('3a Raw'!F1010="","",MAX(-3,MIN(3,('3a Raw'!F1010-$H3)/$H4)))</f>
        <v/>
      </c>
      <c r="I1010" s="3">
        <f>IF(H1010="","",(H1010-AVERAGE(H6:H1198))/(STDEV(H6:H1198)+1E-12))</f>
        <v/>
      </c>
      <c r="J1010" s="3">
        <f>IF('3a Raw'!G1010="","",MAX(-3,MIN(3,('3a Raw'!G1010-$J3)/$J4)))</f>
        <v/>
      </c>
      <c r="K1010" s="3">
        <f>IF(J1010="","",(J1010-AVERAGE(J6:J1198))/(STDEV(J6:J1198)+1E-12))</f>
        <v/>
      </c>
      <c r="L1010" s="3">
        <f>IF('3a Raw'!H1010="","",MAX(-3,MIN(3,('3a Raw'!H1010-$L3)/$L4)))</f>
        <v/>
      </c>
      <c r="M1010" s="3">
        <f>IF(L1010="","",(L1010-AVERAGE(L6:L1198))/(STDEV(L6:L1198)+1E-12))</f>
        <v/>
      </c>
      <c r="N1010" s="3">
        <f>IF('3a Raw'!I1010="","",MAX(-3,MIN(3,('3a Raw'!I1010-$N3)/$N4)))</f>
        <v/>
      </c>
      <c r="O1010" s="3">
        <f>IF(N1010="","",(N1010-AVERAGE(N6:N1198))/(STDEV(N6:N1198)+1E-12))</f>
        <v/>
      </c>
      <c r="P1010" s="3">
        <f>IF('3a Raw'!J1010="","",MAX(-3,MIN(3,('3a Raw'!J1010-$P3)/$P4)))</f>
        <v/>
      </c>
      <c r="Q1010" s="3">
        <f>IF(P1010="","",(P1010-AVERAGE(P6:P1198))/(STDEV(P6:P1198)+1E-12))</f>
        <v/>
      </c>
      <c r="R1010" s="3">
        <f>IF('3a Raw'!K1010="","",MAX(-3,MIN(3,('3a Raw'!K1010-$R3)/$R4)))</f>
        <v/>
      </c>
      <c r="S1010" s="3">
        <f>IF(R1010="","",(R1010-AVERAGE(R6:R1198))/(STDEV(R6:R1198)+1E-12))</f>
        <v/>
      </c>
      <c r="T1010" s="3">
        <f>IF('3a Raw'!L1010="","",MAX(-3,MIN(3,('3a Raw'!L1010-$T3)/$T4)))</f>
        <v/>
      </c>
      <c r="U1010" s="3">
        <f>IF(T1010="","",(T1010-AVERAGE(T6:T1198))/(STDEV(T6:T1198)+1E-12))</f>
        <v/>
      </c>
      <c r="X1010" s="3">
        <f>IF(U1010="","",U1010-($V$3*G1010+$W$3))</f>
        <v/>
      </c>
      <c r="Y1010" s="3">
        <f>IF(X1010="","",MAX(-3,MIN(3,(X1010-$X3)/$X4)))</f>
        <v/>
      </c>
      <c r="Z1010" s="3">
        <f>IF(Y1010="","",(Y1010-AVERAGE(Y6:Y1198))/(STDEV(Y6:Y1198)+1E-12))</f>
        <v/>
      </c>
    </row>
    <row r="1011">
      <c r="A1011" t="inlineStr">
        <is>
          <t>BBG00BTHHZ55</t>
        </is>
      </c>
      <c r="B1011" s="3">
        <f>IF('3a Raw'!C1011="","",MAX(-3,MIN(3,('3a Raw'!C1011-$B3)/$B4)))</f>
        <v/>
      </c>
      <c r="C1011" s="3">
        <f>IF(B1011="","",(B1011-AVERAGE(B6:B1198))/(STDEV(B6:B1198)+1E-12))</f>
        <v/>
      </c>
      <c r="D1011" s="3">
        <f>IF('3a Raw'!D1011="","",MAX(-3,MIN(3,('3a Raw'!D1011-$D3)/$D4)))</f>
        <v/>
      </c>
      <c r="E1011" s="3">
        <f>IF(D1011="","",(D1011-AVERAGE(D6:D1198))/(STDEV(D6:D1198)+1E-12))</f>
        <v/>
      </c>
      <c r="F1011" s="3">
        <f>IF('3a Raw'!E1011="","",MAX(-3,MIN(3,('3a Raw'!E1011-$F3)/$F4)))</f>
        <v/>
      </c>
      <c r="G1011" s="3">
        <f>IF(F1011="","",(F1011-AVERAGE(F6:F1198))/(STDEV(F6:F1198)+1E-12))</f>
        <v/>
      </c>
      <c r="H1011" s="3">
        <f>IF('3a Raw'!F1011="","",MAX(-3,MIN(3,('3a Raw'!F1011-$H3)/$H4)))</f>
        <v/>
      </c>
      <c r="I1011" s="3">
        <f>IF(H1011="","",(H1011-AVERAGE(H6:H1198))/(STDEV(H6:H1198)+1E-12))</f>
        <v/>
      </c>
      <c r="J1011" s="3">
        <f>IF('3a Raw'!G1011="","",MAX(-3,MIN(3,('3a Raw'!G1011-$J3)/$J4)))</f>
        <v/>
      </c>
      <c r="K1011" s="3">
        <f>IF(J1011="","",(J1011-AVERAGE(J6:J1198))/(STDEV(J6:J1198)+1E-12))</f>
        <v/>
      </c>
      <c r="L1011" s="3">
        <f>IF('3a Raw'!H1011="","",MAX(-3,MIN(3,('3a Raw'!H1011-$L3)/$L4)))</f>
        <v/>
      </c>
      <c r="M1011" s="3">
        <f>IF(L1011="","",(L1011-AVERAGE(L6:L1198))/(STDEV(L6:L1198)+1E-12))</f>
        <v/>
      </c>
      <c r="N1011" s="3">
        <f>IF('3a Raw'!I1011="","",MAX(-3,MIN(3,('3a Raw'!I1011-$N3)/$N4)))</f>
        <v/>
      </c>
      <c r="O1011" s="3">
        <f>IF(N1011="","",(N1011-AVERAGE(N6:N1198))/(STDEV(N6:N1198)+1E-12))</f>
        <v/>
      </c>
      <c r="P1011" s="3">
        <f>IF('3a Raw'!J1011="","",MAX(-3,MIN(3,('3a Raw'!J1011-$P3)/$P4)))</f>
        <v/>
      </c>
      <c r="Q1011" s="3">
        <f>IF(P1011="","",(P1011-AVERAGE(P6:P1198))/(STDEV(P6:P1198)+1E-12))</f>
        <v/>
      </c>
      <c r="R1011" s="3">
        <f>IF('3a Raw'!K1011="","",MAX(-3,MIN(3,('3a Raw'!K1011-$R3)/$R4)))</f>
        <v/>
      </c>
      <c r="S1011" s="3">
        <f>IF(R1011="","",(R1011-AVERAGE(R6:R1198))/(STDEV(R6:R1198)+1E-12))</f>
        <v/>
      </c>
      <c r="T1011" s="3">
        <f>IF('3a Raw'!L1011="","",MAX(-3,MIN(3,('3a Raw'!L1011-$T3)/$T4)))</f>
        <v/>
      </c>
      <c r="U1011" s="3">
        <f>IF(T1011="","",(T1011-AVERAGE(T6:T1198))/(STDEV(T6:T1198)+1E-12))</f>
        <v/>
      </c>
      <c r="X1011" s="3">
        <f>IF(U1011="","",U1011-($V$3*G1011+$W$3))</f>
        <v/>
      </c>
      <c r="Y1011" s="3">
        <f>IF(X1011="","",MAX(-3,MIN(3,(X1011-$X3)/$X4)))</f>
        <v/>
      </c>
      <c r="Z1011" s="3">
        <f>IF(Y1011="","",(Y1011-AVERAGE(Y6:Y1198))/(STDEV(Y6:Y1198)+1E-12))</f>
        <v/>
      </c>
    </row>
    <row r="1012">
      <c r="A1012" t="inlineStr">
        <is>
          <t>BBG01MF5HF91</t>
        </is>
      </c>
      <c r="B1012" s="3">
        <f>IF('3a Raw'!C1012="","",MAX(-3,MIN(3,('3a Raw'!C1012-$B3)/$B4)))</f>
        <v/>
      </c>
      <c r="C1012" s="3">
        <f>IF(B1012="","",(B1012-AVERAGE(B6:B1198))/(STDEV(B6:B1198)+1E-12))</f>
        <v/>
      </c>
      <c r="D1012" s="3">
        <f>IF('3a Raw'!D1012="","",MAX(-3,MIN(3,('3a Raw'!D1012-$D3)/$D4)))</f>
        <v/>
      </c>
      <c r="E1012" s="3">
        <f>IF(D1012="","",(D1012-AVERAGE(D6:D1198))/(STDEV(D6:D1198)+1E-12))</f>
        <v/>
      </c>
      <c r="F1012" s="3">
        <f>IF('3a Raw'!E1012="","",MAX(-3,MIN(3,('3a Raw'!E1012-$F3)/$F4)))</f>
        <v/>
      </c>
      <c r="G1012" s="3">
        <f>IF(F1012="","",(F1012-AVERAGE(F6:F1198))/(STDEV(F6:F1198)+1E-12))</f>
        <v/>
      </c>
      <c r="H1012" s="3">
        <f>IF('3a Raw'!F1012="","",MAX(-3,MIN(3,('3a Raw'!F1012-$H3)/$H4)))</f>
        <v/>
      </c>
      <c r="I1012" s="3">
        <f>IF(H1012="","",(H1012-AVERAGE(H6:H1198))/(STDEV(H6:H1198)+1E-12))</f>
        <v/>
      </c>
      <c r="J1012" s="3">
        <f>IF('3a Raw'!G1012="","",MAX(-3,MIN(3,('3a Raw'!G1012-$J3)/$J4)))</f>
        <v/>
      </c>
      <c r="K1012" s="3">
        <f>IF(J1012="","",(J1012-AVERAGE(J6:J1198))/(STDEV(J6:J1198)+1E-12))</f>
        <v/>
      </c>
      <c r="L1012" s="3">
        <f>IF('3a Raw'!H1012="","",MAX(-3,MIN(3,('3a Raw'!H1012-$L3)/$L4)))</f>
        <v/>
      </c>
      <c r="M1012" s="3">
        <f>IF(L1012="","",(L1012-AVERAGE(L6:L1198))/(STDEV(L6:L1198)+1E-12))</f>
        <v/>
      </c>
      <c r="N1012" s="3">
        <f>IF('3a Raw'!I1012="","",MAX(-3,MIN(3,('3a Raw'!I1012-$N3)/$N4)))</f>
        <v/>
      </c>
      <c r="O1012" s="3">
        <f>IF(N1012="","",(N1012-AVERAGE(N6:N1198))/(STDEV(N6:N1198)+1E-12))</f>
        <v/>
      </c>
      <c r="P1012" s="3">
        <f>IF('3a Raw'!J1012="","",MAX(-3,MIN(3,('3a Raw'!J1012-$P3)/$P4)))</f>
        <v/>
      </c>
      <c r="Q1012" s="3">
        <f>IF(P1012="","",(P1012-AVERAGE(P6:P1198))/(STDEV(P6:P1198)+1E-12))</f>
        <v/>
      </c>
      <c r="R1012" s="3">
        <f>IF('3a Raw'!K1012="","",MAX(-3,MIN(3,('3a Raw'!K1012-$R3)/$R4)))</f>
        <v/>
      </c>
      <c r="S1012" s="3">
        <f>IF(R1012="","",(R1012-AVERAGE(R6:R1198))/(STDEV(R6:R1198)+1E-12))</f>
        <v/>
      </c>
      <c r="T1012" s="3">
        <f>IF('3a Raw'!L1012="","",MAX(-3,MIN(3,('3a Raw'!L1012-$T3)/$T4)))</f>
        <v/>
      </c>
      <c r="U1012" s="3">
        <f>IF(T1012="","",(T1012-AVERAGE(T6:T1198))/(STDEV(T6:T1198)+1E-12))</f>
        <v/>
      </c>
      <c r="X1012" s="3">
        <f>IF(U1012="","",U1012-($V$3*G1012+$W$3))</f>
        <v/>
      </c>
      <c r="Y1012" s="3">
        <f>IF(X1012="","",MAX(-3,MIN(3,(X1012-$X3)/$X4)))</f>
        <v/>
      </c>
      <c r="Z1012" s="3">
        <f>IF(Y1012="","",(Y1012-AVERAGE(Y6:Y1198))/(STDEV(Y6:Y1198)+1E-12))</f>
        <v/>
      </c>
    </row>
    <row r="1013">
      <c r="A1013" t="inlineStr">
        <is>
          <t>BBG01F5T0KZ3</t>
        </is>
      </c>
      <c r="B1013" s="3">
        <f>IF('3a Raw'!C1013="","",MAX(-3,MIN(3,('3a Raw'!C1013-$B3)/$B4)))</f>
        <v/>
      </c>
      <c r="C1013" s="3">
        <f>IF(B1013="","",(B1013-AVERAGE(B6:B1198))/(STDEV(B6:B1198)+1E-12))</f>
        <v/>
      </c>
      <c r="D1013" s="3">
        <f>IF('3a Raw'!D1013="","",MAX(-3,MIN(3,('3a Raw'!D1013-$D3)/$D4)))</f>
        <v/>
      </c>
      <c r="E1013" s="3">
        <f>IF(D1013="","",(D1013-AVERAGE(D6:D1198))/(STDEV(D6:D1198)+1E-12))</f>
        <v/>
      </c>
      <c r="F1013" s="3">
        <f>IF('3a Raw'!E1013="","",MAX(-3,MIN(3,('3a Raw'!E1013-$F3)/$F4)))</f>
        <v/>
      </c>
      <c r="G1013" s="3">
        <f>IF(F1013="","",(F1013-AVERAGE(F6:F1198))/(STDEV(F6:F1198)+1E-12))</f>
        <v/>
      </c>
      <c r="H1013" s="3">
        <f>IF('3a Raw'!F1013="","",MAX(-3,MIN(3,('3a Raw'!F1013-$H3)/$H4)))</f>
        <v/>
      </c>
      <c r="I1013" s="3">
        <f>IF(H1013="","",(H1013-AVERAGE(H6:H1198))/(STDEV(H6:H1198)+1E-12))</f>
        <v/>
      </c>
      <c r="J1013" s="3">
        <f>IF('3a Raw'!G1013="","",MAX(-3,MIN(3,('3a Raw'!G1013-$J3)/$J4)))</f>
        <v/>
      </c>
      <c r="K1013" s="3">
        <f>IF(J1013="","",(J1013-AVERAGE(J6:J1198))/(STDEV(J6:J1198)+1E-12))</f>
        <v/>
      </c>
      <c r="L1013" s="3">
        <f>IF('3a Raw'!H1013="","",MAX(-3,MIN(3,('3a Raw'!H1013-$L3)/$L4)))</f>
        <v/>
      </c>
      <c r="M1013" s="3">
        <f>IF(L1013="","",(L1013-AVERAGE(L6:L1198))/(STDEV(L6:L1198)+1E-12))</f>
        <v/>
      </c>
      <c r="N1013" s="3">
        <f>IF('3a Raw'!I1013="","",MAX(-3,MIN(3,('3a Raw'!I1013-$N3)/$N4)))</f>
        <v/>
      </c>
      <c r="O1013" s="3">
        <f>IF(N1013="","",(N1013-AVERAGE(N6:N1198))/(STDEV(N6:N1198)+1E-12))</f>
        <v/>
      </c>
      <c r="P1013" s="3">
        <f>IF('3a Raw'!J1013="","",MAX(-3,MIN(3,('3a Raw'!J1013-$P3)/$P4)))</f>
        <v/>
      </c>
      <c r="Q1013" s="3">
        <f>IF(P1013="","",(P1013-AVERAGE(P6:P1198))/(STDEV(P6:P1198)+1E-12))</f>
        <v/>
      </c>
      <c r="R1013" s="3">
        <f>IF('3a Raw'!K1013="","",MAX(-3,MIN(3,('3a Raw'!K1013-$R3)/$R4)))</f>
        <v/>
      </c>
      <c r="S1013" s="3">
        <f>IF(R1013="","",(R1013-AVERAGE(R6:R1198))/(STDEV(R6:R1198)+1E-12))</f>
        <v/>
      </c>
      <c r="T1013" s="3">
        <f>IF('3a Raw'!L1013="","",MAX(-3,MIN(3,('3a Raw'!L1013-$T3)/$T4)))</f>
        <v/>
      </c>
      <c r="U1013" s="3">
        <f>IF(T1013="","",(T1013-AVERAGE(T6:T1198))/(STDEV(T6:T1198)+1E-12))</f>
        <v/>
      </c>
      <c r="X1013" s="3">
        <f>IF(U1013="","",U1013-($V$3*G1013+$W$3))</f>
        <v/>
      </c>
      <c r="Y1013" s="3">
        <f>IF(X1013="","",MAX(-3,MIN(3,(X1013-$X3)/$X4)))</f>
        <v/>
      </c>
      <c r="Z1013" s="3">
        <f>IF(Y1013="","",(Y1013-AVERAGE(Y6:Y1198))/(STDEV(Y6:Y1198)+1E-12))</f>
        <v/>
      </c>
    </row>
    <row r="1014">
      <c r="A1014" t="inlineStr">
        <is>
          <t>sw</t>
        </is>
      </c>
      <c r="B1014" s="3">
        <f>IF('3a Raw'!C1014="","",MAX(-3,MIN(3,('3a Raw'!C1014-$B3)/$B4)))</f>
        <v/>
      </c>
      <c r="C1014" s="3">
        <f>IF(B1014="","",(B1014-AVERAGE(B6:B1198))/(STDEV(B6:B1198)+1E-12))</f>
        <v/>
      </c>
      <c r="D1014" s="3">
        <f>IF('3a Raw'!D1014="","",MAX(-3,MIN(3,('3a Raw'!D1014-$D3)/$D4)))</f>
        <v/>
      </c>
      <c r="E1014" s="3">
        <f>IF(D1014="","",(D1014-AVERAGE(D6:D1198))/(STDEV(D6:D1198)+1E-12))</f>
        <v/>
      </c>
      <c r="F1014" s="3">
        <f>IF('3a Raw'!E1014="","",MAX(-3,MIN(3,('3a Raw'!E1014-$F3)/$F4)))</f>
        <v/>
      </c>
      <c r="G1014" s="3">
        <f>IF(F1014="","",(F1014-AVERAGE(F6:F1198))/(STDEV(F6:F1198)+1E-12))</f>
        <v/>
      </c>
      <c r="H1014" s="3">
        <f>IF('3a Raw'!F1014="","",MAX(-3,MIN(3,('3a Raw'!F1014-$H3)/$H4)))</f>
        <v/>
      </c>
      <c r="I1014" s="3">
        <f>IF(H1014="","",(H1014-AVERAGE(H6:H1198))/(STDEV(H6:H1198)+1E-12))</f>
        <v/>
      </c>
      <c r="J1014" s="3">
        <f>IF('3a Raw'!G1014="","",MAX(-3,MIN(3,('3a Raw'!G1014-$J3)/$J4)))</f>
        <v/>
      </c>
      <c r="K1014" s="3">
        <f>IF(J1014="","",(J1014-AVERAGE(J6:J1198))/(STDEV(J6:J1198)+1E-12))</f>
        <v/>
      </c>
      <c r="L1014" s="3">
        <f>IF('3a Raw'!H1014="","",MAX(-3,MIN(3,('3a Raw'!H1014-$L3)/$L4)))</f>
        <v/>
      </c>
      <c r="M1014" s="3">
        <f>IF(L1014="","",(L1014-AVERAGE(L6:L1198))/(STDEV(L6:L1198)+1E-12))</f>
        <v/>
      </c>
      <c r="N1014" s="3">
        <f>IF('3a Raw'!I1014="","",MAX(-3,MIN(3,('3a Raw'!I1014-$N3)/$N4)))</f>
        <v/>
      </c>
      <c r="O1014" s="3">
        <f>IF(N1014="","",(N1014-AVERAGE(N6:N1198))/(STDEV(N6:N1198)+1E-12))</f>
        <v/>
      </c>
      <c r="P1014" s="3">
        <f>IF('3a Raw'!J1014="","",MAX(-3,MIN(3,('3a Raw'!J1014-$P3)/$P4)))</f>
        <v/>
      </c>
      <c r="Q1014" s="3">
        <f>IF(P1014="","",(P1014-AVERAGE(P6:P1198))/(STDEV(P6:P1198)+1E-12))</f>
        <v/>
      </c>
      <c r="R1014" s="3">
        <f>IF('3a Raw'!K1014="","",MAX(-3,MIN(3,('3a Raw'!K1014-$R3)/$R4)))</f>
        <v/>
      </c>
      <c r="S1014" s="3">
        <f>IF(R1014="","",(R1014-AVERAGE(R6:R1198))/(STDEV(R6:R1198)+1E-12))</f>
        <v/>
      </c>
      <c r="T1014" s="3">
        <f>IF('3a Raw'!L1014="","",MAX(-3,MIN(3,('3a Raw'!L1014-$T3)/$T4)))</f>
        <v/>
      </c>
      <c r="U1014" s="3">
        <f>IF(T1014="","",(T1014-AVERAGE(T6:T1198))/(STDEV(T6:T1198)+1E-12))</f>
        <v/>
      </c>
      <c r="X1014" s="3">
        <f>IF(U1014="","",U1014-($V$3*G1014+$W$3))</f>
        <v/>
      </c>
      <c r="Y1014" s="3">
        <f>IF(X1014="","",MAX(-3,MIN(3,(X1014-$X3)/$X4)))</f>
        <v/>
      </c>
      <c r="Z1014" s="3">
        <f>IF(Y1014="","",(Y1014-AVERAGE(Y6:Y1198))/(STDEV(Y6:Y1198)+1E-12))</f>
        <v/>
      </c>
    </row>
    <row r="1015">
      <c r="A1015" t="inlineStr">
        <is>
          <t>BBG000BTQR96</t>
        </is>
      </c>
      <c r="B1015" s="3">
        <f>IF('3a Raw'!C1015="","",MAX(-3,MIN(3,('3a Raw'!C1015-$B3)/$B4)))</f>
        <v/>
      </c>
      <c r="C1015" s="3">
        <f>IF(B1015="","",(B1015-AVERAGE(B6:B1198))/(STDEV(B6:B1198)+1E-12))</f>
        <v/>
      </c>
      <c r="D1015" s="3">
        <f>IF('3a Raw'!D1015="","",MAX(-3,MIN(3,('3a Raw'!D1015-$D3)/$D4)))</f>
        <v/>
      </c>
      <c r="E1015" s="3">
        <f>IF(D1015="","",(D1015-AVERAGE(D6:D1198))/(STDEV(D6:D1198)+1E-12))</f>
        <v/>
      </c>
      <c r="F1015" s="3">
        <f>IF('3a Raw'!E1015="","",MAX(-3,MIN(3,('3a Raw'!E1015-$F3)/$F4)))</f>
        <v/>
      </c>
      <c r="G1015" s="3">
        <f>IF(F1015="","",(F1015-AVERAGE(F6:F1198))/(STDEV(F6:F1198)+1E-12))</f>
        <v/>
      </c>
      <c r="H1015" s="3">
        <f>IF('3a Raw'!F1015="","",MAX(-3,MIN(3,('3a Raw'!F1015-$H3)/$H4)))</f>
        <v/>
      </c>
      <c r="I1015" s="3">
        <f>IF(H1015="","",(H1015-AVERAGE(H6:H1198))/(STDEV(H6:H1198)+1E-12))</f>
        <v/>
      </c>
      <c r="J1015" s="3">
        <f>IF('3a Raw'!G1015="","",MAX(-3,MIN(3,('3a Raw'!G1015-$J3)/$J4)))</f>
        <v/>
      </c>
      <c r="K1015" s="3">
        <f>IF(J1015="","",(J1015-AVERAGE(J6:J1198))/(STDEV(J6:J1198)+1E-12))</f>
        <v/>
      </c>
      <c r="L1015" s="3">
        <f>IF('3a Raw'!H1015="","",MAX(-3,MIN(3,('3a Raw'!H1015-$L3)/$L4)))</f>
        <v/>
      </c>
      <c r="M1015" s="3">
        <f>IF(L1015="","",(L1015-AVERAGE(L6:L1198))/(STDEV(L6:L1198)+1E-12))</f>
        <v/>
      </c>
      <c r="N1015" s="3">
        <f>IF('3a Raw'!I1015="","",MAX(-3,MIN(3,('3a Raw'!I1015-$N3)/$N4)))</f>
        <v/>
      </c>
      <c r="O1015" s="3">
        <f>IF(N1015="","",(N1015-AVERAGE(N6:N1198))/(STDEV(N6:N1198)+1E-12))</f>
        <v/>
      </c>
      <c r="P1015" s="3">
        <f>IF('3a Raw'!J1015="","",MAX(-3,MIN(3,('3a Raw'!J1015-$P3)/$P4)))</f>
        <v/>
      </c>
      <c r="Q1015" s="3">
        <f>IF(P1015="","",(P1015-AVERAGE(P6:P1198))/(STDEV(P6:P1198)+1E-12))</f>
        <v/>
      </c>
      <c r="R1015" s="3">
        <f>IF('3a Raw'!K1015="","",MAX(-3,MIN(3,('3a Raw'!K1015-$R3)/$R4)))</f>
        <v/>
      </c>
      <c r="S1015" s="3">
        <f>IF(R1015="","",(R1015-AVERAGE(R6:R1198))/(STDEV(R6:R1198)+1E-12))</f>
        <v/>
      </c>
      <c r="T1015" s="3">
        <f>IF('3a Raw'!L1015="","",MAX(-3,MIN(3,('3a Raw'!L1015-$T3)/$T4)))</f>
        <v/>
      </c>
      <c r="U1015" s="3">
        <f>IF(T1015="","",(T1015-AVERAGE(T6:T1198))/(STDEV(T6:T1198)+1E-12))</f>
        <v/>
      </c>
      <c r="X1015" s="3">
        <f>IF(U1015="","",U1015-($V$3*G1015+$W$3))</f>
        <v/>
      </c>
      <c r="Y1015" s="3">
        <f>IF(X1015="","",MAX(-3,MIN(3,(X1015-$X3)/$X4)))</f>
        <v/>
      </c>
      <c r="Z1015" s="3">
        <f>IF(Y1015="","",(Y1015-AVERAGE(Y6:Y1198))/(STDEV(Y6:Y1198)+1E-12))</f>
        <v/>
      </c>
    </row>
    <row r="1016">
      <c r="A1016" t="inlineStr">
        <is>
          <t>BBG000KLB4Q1</t>
        </is>
      </c>
      <c r="B1016" s="3">
        <f>IF('3a Raw'!C1016="","",MAX(-3,MIN(3,('3a Raw'!C1016-$B3)/$B4)))</f>
        <v/>
      </c>
      <c r="C1016" s="3">
        <f>IF(B1016="","",(B1016-AVERAGE(B6:B1198))/(STDEV(B6:B1198)+1E-12))</f>
        <v/>
      </c>
      <c r="D1016" s="3">
        <f>IF('3a Raw'!D1016="","",MAX(-3,MIN(3,('3a Raw'!D1016-$D3)/$D4)))</f>
        <v/>
      </c>
      <c r="E1016" s="3">
        <f>IF(D1016="","",(D1016-AVERAGE(D6:D1198))/(STDEV(D6:D1198)+1E-12))</f>
        <v/>
      </c>
      <c r="F1016" s="3">
        <f>IF('3a Raw'!E1016="","",MAX(-3,MIN(3,('3a Raw'!E1016-$F3)/$F4)))</f>
        <v/>
      </c>
      <c r="G1016" s="3">
        <f>IF(F1016="","",(F1016-AVERAGE(F6:F1198))/(STDEV(F6:F1198)+1E-12))</f>
        <v/>
      </c>
      <c r="H1016" s="3">
        <f>IF('3a Raw'!F1016="","",MAX(-3,MIN(3,('3a Raw'!F1016-$H3)/$H4)))</f>
        <v/>
      </c>
      <c r="I1016" s="3">
        <f>IF(H1016="","",(H1016-AVERAGE(H6:H1198))/(STDEV(H6:H1198)+1E-12))</f>
        <v/>
      </c>
      <c r="J1016" s="3">
        <f>IF('3a Raw'!G1016="","",MAX(-3,MIN(3,('3a Raw'!G1016-$J3)/$J4)))</f>
        <v/>
      </c>
      <c r="K1016" s="3">
        <f>IF(J1016="","",(J1016-AVERAGE(J6:J1198))/(STDEV(J6:J1198)+1E-12))</f>
        <v/>
      </c>
      <c r="L1016" s="3">
        <f>IF('3a Raw'!H1016="","",MAX(-3,MIN(3,('3a Raw'!H1016-$L3)/$L4)))</f>
        <v/>
      </c>
      <c r="M1016" s="3">
        <f>IF(L1016="","",(L1016-AVERAGE(L6:L1198))/(STDEV(L6:L1198)+1E-12))</f>
        <v/>
      </c>
      <c r="N1016" s="3">
        <f>IF('3a Raw'!I1016="","",MAX(-3,MIN(3,('3a Raw'!I1016-$N3)/$N4)))</f>
        <v/>
      </c>
      <c r="O1016" s="3">
        <f>IF(N1016="","",(N1016-AVERAGE(N6:N1198))/(STDEV(N6:N1198)+1E-12))</f>
        <v/>
      </c>
      <c r="P1016" s="3">
        <f>IF('3a Raw'!J1016="","",MAX(-3,MIN(3,('3a Raw'!J1016-$P3)/$P4)))</f>
        <v/>
      </c>
      <c r="Q1016" s="3">
        <f>IF(P1016="","",(P1016-AVERAGE(P6:P1198))/(STDEV(P6:P1198)+1E-12))</f>
        <v/>
      </c>
      <c r="R1016" s="3">
        <f>IF('3a Raw'!K1016="","",MAX(-3,MIN(3,('3a Raw'!K1016-$R3)/$R4)))</f>
        <v/>
      </c>
      <c r="S1016" s="3">
        <f>IF(R1016="","",(R1016-AVERAGE(R6:R1198))/(STDEV(R6:R1198)+1E-12))</f>
        <v/>
      </c>
      <c r="T1016" s="3">
        <f>IF('3a Raw'!L1016="","",MAX(-3,MIN(3,('3a Raw'!L1016-$T3)/$T4)))</f>
        <v/>
      </c>
      <c r="U1016" s="3">
        <f>IF(T1016="","",(T1016-AVERAGE(T6:T1198))/(STDEV(T6:T1198)+1E-12))</f>
        <v/>
      </c>
      <c r="X1016" s="3">
        <f>IF(U1016="","",U1016-($V$3*G1016+$W$3))</f>
        <v/>
      </c>
      <c r="Y1016" s="3">
        <f>IF(X1016="","",MAX(-3,MIN(3,(X1016-$X3)/$X4)))</f>
        <v/>
      </c>
      <c r="Z1016" s="3">
        <f>IF(Y1016="","",(Y1016-AVERAGE(Y6:Y1198))/(STDEV(Y6:Y1198)+1E-12))</f>
        <v/>
      </c>
    </row>
    <row r="1017">
      <c r="A1017" t="inlineStr">
        <is>
          <t>BBG00658F3P3</t>
        </is>
      </c>
      <c r="B1017" s="3">
        <f>IF('3a Raw'!C1017="","",MAX(-3,MIN(3,('3a Raw'!C1017-$B3)/$B4)))</f>
        <v/>
      </c>
      <c r="C1017" s="3">
        <f>IF(B1017="","",(B1017-AVERAGE(B6:B1198))/(STDEV(B6:B1198)+1E-12))</f>
        <v/>
      </c>
      <c r="D1017" s="3">
        <f>IF('3a Raw'!D1017="","",MAX(-3,MIN(3,('3a Raw'!D1017-$D3)/$D4)))</f>
        <v/>
      </c>
      <c r="E1017" s="3">
        <f>IF(D1017="","",(D1017-AVERAGE(D6:D1198))/(STDEV(D6:D1198)+1E-12))</f>
        <v/>
      </c>
      <c r="F1017" s="3">
        <f>IF('3a Raw'!E1017="","",MAX(-3,MIN(3,('3a Raw'!E1017-$F3)/$F4)))</f>
        <v/>
      </c>
      <c r="G1017" s="3">
        <f>IF(F1017="","",(F1017-AVERAGE(F6:F1198))/(STDEV(F6:F1198)+1E-12))</f>
        <v/>
      </c>
      <c r="H1017" s="3">
        <f>IF('3a Raw'!F1017="","",MAX(-3,MIN(3,('3a Raw'!F1017-$H3)/$H4)))</f>
        <v/>
      </c>
      <c r="I1017" s="3">
        <f>IF(H1017="","",(H1017-AVERAGE(H6:H1198))/(STDEV(H6:H1198)+1E-12))</f>
        <v/>
      </c>
      <c r="J1017" s="3">
        <f>IF('3a Raw'!G1017="","",MAX(-3,MIN(3,('3a Raw'!G1017-$J3)/$J4)))</f>
        <v/>
      </c>
      <c r="K1017" s="3">
        <f>IF(J1017="","",(J1017-AVERAGE(J6:J1198))/(STDEV(J6:J1198)+1E-12))</f>
        <v/>
      </c>
      <c r="L1017" s="3">
        <f>IF('3a Raw'!H1017="","",MAX(-3,MIN(3,('3a Raw'!H1017-$L3)/$L4)))</f>
        <v/>
      </c>
      <c r="M1017" s="3">
        <f>IF(L1017="","",(L1017-AVERAGE(L6:L1198))/(STDEV(L6:L1198)+1E-12))</f>
        <v/>
      </c>
      <c r="N1017" s="3">
        <f>IF('3a Raw'!I1017="","",MAX(-3,MIN(3,('3a Raw'!I1017-$N3)/$N4)))</f>
        <v/>
      </c>
      <c r="O1017" s="3">
        <f>IF(N1017="","",(N1017-AVERAGE(N6:N1198))/(STDEV(N6:N1198)+1E-12))</f>
        <v/>
      </c>
      <c r="P1017" s="3">
        <f>IF('3a Raw'!J1017="","",MAX(-3,MIN(3,('3a Raw'!J1017-$P3)/$P4)))</f>
        <v/>
      </c>
      <c r="Q1017" s="3">
        <f>IF(P1017="","",(P1017-AVERAGE(P6:P1198))/(STDEV(P6:P1198)+1E-12))</f>
        <v/>
      </c>
      <c r="R1017" s="3">
        <f>IF('3a Raw'!K1017="","",MAX(-3,MIN(3,('3a Raw'!K1017-$R3)/$R4)))</f>
        <v/>
      </c>
      <c r="S1017" s="3">
        <f>IF(R1017="","",(R1017-AVERAGE(R6:R1198))/(STDEV(R6:R1198)+1E-12))</f>
        <v/>
      </c>
      <c r="T1017" s="3">
        <f>IF('3a Raw'!L1017="","",MAX(-3,MIN(3,('3a Raw'!L1017-$T3)/$T4)))</f>
        <v/>
      </c>
      <c r="U1017" s="3">
        <f>IF(T1017="","",(T1017-AVERAGE(T6:T1198))/(STDEV(T6:T1198)+1E-12))</f>
        <v/>
      </c>
      <c r="X1017" s="3">
        <f>IF(U1017="","",U1017-($V$3*G1017+$W$3))</f>
        <v/>
      </c>
      <c r="Y1017" s="3">
        <f>IF(X1017="","",MAX(-3,MIN(3,(X1017-$X3)/$X4)))</f>
        <v/>
      </c>
      <c r="Z1017" s="3">
        <f>IF(Y1017="","",(Y1017-AVERAGE(Y6:Y1198))/(STDEV(Y6:Y1198)+1E-12))</f>
        <v/>
      </c>
    </row>
    <row r="1018">
      <c r="A1018" t="inlineStr">
        <is>
          <t>BBG000DN7P92</t>
        </is>
      </c>
      <c r="B1018" s="3">
        <f>IF('3a Raw'!C1018="","",MAX(-3,MIN(3,('3a Raw'!C1018-$B3)/$B4)))</f>
        <v/>
      </c>
      <c r="C1018" s="3">
        <f>IF(B1018="","",(B1018-AVERAGE(B6:B1198))/(STDEV(B6:B1198)+1E-12))</f>
        <v/>
      </c>
      <c r="D1018" s="3">
        <f>IF('3a Raw'!D1018="","",MAX(-3,MIN(3,('3a Raw'!D1018-$D3)/$D4)))</f>
        <v/>
      </c>
      <c r="E1018" s="3">
        <f>IF(D1018="","",(D1018-AVERAGE(D6:D1198))/(STDEV(D6:D1198)+1E-12))</f>
        <v/>
      </c>
      <c r="F1018" s="3">
        <f>IF('3a Raw'!E1018="","",MAX(-3,MIN(3,('3a Raw'!E1018-$F3)/$F4)))</f>
        <v/>
      </c>
      <c r="G1018" s="3">
        <f>IF(F1018="","",(F1018-AVERAGE(F6:F1198))/(STDEV(F6:F1198)+1E-12))</f>
        <v/>
      </c>
      <c r="H1018" s="3">
        <f>IF('3a Raw'!F1018="","",MAX(-3,MIN(3,('3a Raw'!F1018-$H3)/$H4)))</f>
        <v/>
      </c>
      <c r="I1018" s="3">
        <f>IF(H1018="","",(H1018-AVERAGE(H6:H1198))/(STDEV(H6:H1198)+1E-12))</f>
        <v/>
      </c>
      <c r="J1018" s="3">
        <f>IF('3a Raw'!G1018="","",MAX(-3,MIN(3,('3a Raw'!G1018-$J3)/$J4)))</f>
        <v/>
      </c>
      <c r="K1018" s="3">
        <f>IF(J1018="","",(J1018-AVERAGE(J6:J1198))/(STDEV(J6:J1198)+1E-12))</f>
        <v/>
      </c>
      <c r="L1018" s="3">
        <f>IF('3a Raw'!H1018="","",MAX(-3,MIN(3,('3a Raw'!H1018-$L3)/$L4)))</f>
        <v/>
      </c>
      <c r="M1018" s="3">
        <f>IF(L1018="","",(L1018-AVERAGE(L6:L1198))/(STDEV(L6:L1198)+1E-12))</f>
        <v/>
      </c>
      <c r="N1018" s="3">
        <f>IF('3a Raw'!I1018="","",MAX(-3,MIN(3,('3a Raw'!I1018-$N3)/$N4)))</f>
        <v/>
      </c>
      <c r="O1018" s="3">
        <f>IF(N1018="","",(N1018-AVERAGE(N6:N1198))/(STDEV(N6:N1198)+1E-12))</f>
        <v/>
      </c>
      <c r="P1018" s="3">
        <f>IF('3a Raw'!J1018="","",MAX(-3,MIN(3,('3a Raw'!J1018-$P3)/$P4)))</f>
        <v/>
      </c>
      <c r="Q1018" s="3">
        <f>IF(P1018="","",(P1018-AVERAGE(P6:P1198))/(STDEV(P6:P1198)+1E-12))</f>
        <v/>
      </c>
      <c r="R1018" s="3">
        <f>IF('3a Raw'!K1018="","",MAX(-3,MIN(3,('3a Raw'!K1018-$R3)/$R4)))</f>
        <v/>
      </c>
      <c r="S1018" s="3">
        <f>IF(R1018="","",(R1018-AVERAGE(R6:R1198))/(STDEV(R6:R1198)+1E-12))</f>
        <v/>
      </c>
      <c r="T1018" s="3">
        <f>IF('3a Raw'!L1018="","",MAX(-3,MIN(3,('3a Raw'!L1018-$T3)/$T4)))</f>
        <v/>
      </c>
      <c r="U1018" s="3">
        <f>IF(T1018="","",(T1018-AVERAGE(T6:T1198))/(STDEV(T6:T1198)+1E-12))</f>
        <v/>
      </c>
      <c r="X1018" s="3">
        <f>IF(U1018="","",U1018-($V$3*G1018+$W$3))</f>
        <v/>
      </c>
      <c r="Y1018" s="3">
        <f>IF(X1018="","",MAX(-3,MIN(3,(X1018-$X3)/$X4)))</f>
        <v/>
      </c>
      <c r="Z1018" s="3">
        <f>IF(Y1018="","",(Y1018-AVERAGE(Y6:Y1198))/(STDEV(Y6:Y1198)+1E-12))</f>
        <v/>
      </c>
    </row>
    <row r="1019">
      <c r="A1019" t="inlineStr">
        <is>
          <t>BBG000BQV1S2</t>
        </is>
      </c>
      <c r="B1019" s="3">
        <f>IF('3a Raw'!C1019="","",MAX(-3,MIN(3,('3a Raw'!C1019-$B3)/$B4)))</f>
        <v/>
      </c>
      <c r="C1019" s="3">
        <f>IF(B1019="","",(B1019-AVERAGE(B6:B1198))/(STDEV(B6:B1198)+1E-12))</f>
        <v/>
      </c>
      <c r="D1019" s="3">
        <f>IF('3a Raw'!D1019="","",MAX(-3,MIN(3,('3a Raw'!D1019-$D3)/$D4)))</f>
        <v/>
      </c>
      <c r="E1019" s="3">
        <f>IF(D1019="","",(D1019-AVERAGE(D6:D1198))/(STDEV(D6:D1198)+1E-12))</f>
        <v/>
      </c>
      <c r="F1019" s="3">
        <f>IF('3a Raw'!E1019="","",MAX(-3,MIN(3,('3a Raw'!E1019-$F3)/$F4)))</f>
        <v/>
      </c>
      <c r="G1019" s="3">
        <f>IF(F1019="","",(F1019-AVERAGE(F6:F1198))/(STDEV(F6:F1198)+1E-12))</f>
        <v/>
      </c>
      <c r="H1019" s="3">
        <f>IF('3a Raw'!F1019="","",MAX(-3,MIN(3,('3a Raw'!F1019-$H3)/$H4)))</f>
        <v/>
      </c>
      <c r="I1019" s="3">
        <f>IF(H1019="","",(H1019-AVERAGE(H6:H1198))/(STDEV(H6:H1198)+1E-12))</f>
        <v/>
      </c>
      <c r="J1019" s="3">
        <f>IF('3a Raw'!G1019="","",MAX(-3,MIN(3,('3a Raw'!G1019-$J3)/$J4)))</f>
        <v/>
      </c>
      <c r="K1019" s="3">
        <f>IF(J1019="","",(J1019-AVERAGE(J6:J1198))/(STDEV(J6:J1198)+1E-12))</f>
        <v/>
      </c>
      <c r="L1019" s="3">
        <f>IF('3a Raw'!H1019="","",MAX(-3,MIN(3,('3a Raw'!H1019-$L3)/$L4)))</f>
        <v/>
      </c>
      <c r="M1019" s="3">
        <f>IF(L1019="","",(L1019-AVERAGE(L6:L1198))/(STDEV(L6:L1198)+1E-12))</f>
        <v/>
      </c>
      <c r="N1019" s="3">
        <f>IF('3a Raw'!I1019="","",MAX(-3,MIN(3,('3a Raw'!I1019-$N3)/$N4)))</f>
        <v/>
      </c>
      <c r="O1019" s="3">
        <f>IF(N1019="","",(N1019-AVERAGE(N6:N1198))/(STDEV(N6:N1198)+1E-12))</f>
        <v/>
      </c>
      <c r="P1019" s="3">
        <f>IF('3a Raw'!J1019="","",MAX(-3,MIN(3,('3a Raw'!J1019-$P3)/$P4)))</f>
        <v/>
      </c>
      <c r="Q1019" s="3">
        <f>IF(P1019="","",(P1019-AVERAGE(P6:P1198))/(STDEV(P6:P1198)+1E-12))</f>
        <v/>
      </c>
      <c r="R1019" s="3">
        <f>IF('3a Raw'!K1019="","",MAX(-3,MIN(3,('3a Raw'!K1019-$R3)/$R4)))</f>
        <v/>
      </c>
      <c r="S1019" s="3">
        <f>IF(R1019="","",(R1019-AVERAGE(R6:R1198))/(STDEV(R6:R1198)+1E-12))</f>
        <v/>
      </c>
      <c r="T1019" s="3">
        <f>IF('3a Raw'!L1019="","",MAX(-3,MIN(3,('3a Raw'!L1019-$T3)/$T4)))</f>
        <v/>
      </c>
      <c r="U1019" s="3">
        <f>IF(T1019="","",(T1019-AVERAGE(T6:T1198))/(STDEV(T6:T1198)+1E-12))</f>
        <v/>
      </c>
      <c r="X1019" s="3">
        <f>IF(U1019="","",U1019-($V$3*G1019+$W$3))</f>
        <v/>
      </c>
      <c r="Y1019" s="3">
        <f>IF(X1019="","",MAX(-3,MIN(3,(X1019-$X3)/$X4)))</f>
        <v/>
      </c>
      <c r="Z1019" s="3">
        <f>IF(Y1019="","",(Y1019-AVERAGE(Y6:Y1198))/(STDEV(Y6:Y1198)+1E-12))</f>
        <v/>
      </c>
    </row>
    <row r="1020">
      <c r="A1020" t="inlineStr">
        <is>
          <t>BBG0067L94B2</t>
        </is>
      </c>
      <c r="B1020" s="3">
        <f>IF('3a Raw'!C1020="","",MAX(-3,MIN(3,('3a Raw'!C1020-$B3)/$B4)))</f>
        <v/>
      </c>
      <c r="C1020" s="3">
        <f>IF(B1020="","",(B1020-AVERAGE(B6:B1198))/(STDEV(B6:B1198)+1E-12))</f>
        <v/>
      </c>
      <c r="D1020" s="3">
        <f>IF('3a Raw'!D1020="","",MAX(-3,MIN(3,('3a Raw'!D1020-$D3)/$D4)))</f>
        <v/>
      </c>
      <c r="E1020" s="3">
        <f>IF(D1020="","",(D1020-AVERAGE(D6:D1198))/(STDEV(D6:D1198)+1E-12))</f>
        <v/>
      </c>
      <c r="F1020" s="3">
        <f>IF('3a Raw'!E1020="","",MAX(-3,MIN(3,('3a Raw'!E1020-$F3)/$F4)))</f>
        <v/>
      </c>
      <c r="G1020" s="3">
        <f>IF(F1020="","",(F1020-AVERAGE(F6:F1198))/(STDEV(F6:F1198)+1E-12))</f>
        <v/>
      </c>
      <c r="H1020" s="3">
        <f>IF('3a Raw'!F1020="","",MAX(-3,MIN(3,('3a Raw'!F1020-$H3)/$H4)))</f>
        <v/>
      </c>
      <c r="I1020" s="3">
        <f>IF(H1020="","",(H1020-AVERAGE(H6:H1198))/(STDEV(H6:H1198)+1E-12))</f>
        <v/>
      </c>
      <c r="J1020" s="3">
        <f>IF('3a Raw'!G1020="","",MAX(-3,MIN(3,('3a Raw'!G1020-$J3)/$J4)))</f>
        <v/>
      </c>
      <c r="K1020" s="3">
        <f>IF(J1020="","",(J1020-AVERAGE(J6:J1198))/(STDEV(J6:J1198)+1E-12))</f>
        <v/>
      </c>
      <c r="L1020" s="3">
        <f>IF('3a Raw'!H1020="","",MAX(-3,MIN(3,('3a Raw'!H1020-$L3)/$L4)))</f>
        <v/>
      </c>
      <c r="M1020" s="3">
        <f>IF(L1020="","",(L1020-AVERAGE(L6:L1198))/(STDEV(L6:L1198)+1E-12))</f>
        <v/>
      </c>
      <c r="N1020" s="3">
        <f>IF('3a Raw'!I1020="","",MAX(-3,MIN(3,('3a Raw'!I1020-$N3)/$N4)))</f>
        <v/>
      </c>
      <c r="O1020" s="3">
        <f>IF(N1020="","",(N1020-AVERAGE(N6:N1198))/(STDEV(N6:N1198)+1E-12))</f>
        <v/>
      </c>
      <c r="P1020" s="3">
        <f>IF('3a Raw'!J1020="","",MAX(-3,MIN(3,('3a Raw'!J1020-$P3)/$P4)))</f>
        <v/>
      </c>
      <c r="Q1020" s="3">
        <f>IF(P1020="","",(P1020-AVERAGE(P6:P1198))/(STDEV(P6:P1198)+1E-12))</f>
        <v/>
      </c>
      <c r="R1020" s="3">
        <f>IF('3a Raw'!K1020="","",MAX(-3,MIN(3,('3a Raw'!K1020-$R3)/$R4)))</f>
        <v/>
      </c>
      <c r="S1020" s="3">
        <f>IF(R1020="","",(R1020-AVERAGE(R6:R1198))/(STDEV(R6:R1198)+1E-12))</f>
        <v/>
      </c>
      <c r="T1020" s="3">
        <f>IF('3a Raw'!L1020="","",MAX(-3,MIN(3,('3a Raw'!L1020-$T3)/$T4)))</f>
        <v/>
      </c>
      <c r="U1020" s="3">
        <f>IF(T1020="","",(T1020-AVERAGE(T6:T1198))/(STDEV(T6:T1198)+1E-12))</f>
        <v/>
      </c>
      <c r="X1020" s="3">
        <f>IF(U1020="","",U1020-($V$3*G1020+$W$3))</f>
        <v/>
      </c>
      <c r="Y1020" s="3">
        <f>IF(X1020="","",MAX(-3,MIN(3,(X1020-$X3)/$X4)))</f>
        <v/>
      </c>
      <c r="Z1020" s="3">
        <f>IF(Y1020="","",(Y1020-AVERAGE(Y6:Y1198))/(STDEV(Y6:Y1198)+1E-12))</f>
        <v/>
      </c>
    </row>
    <row r="1021">
      <c r="A1021" t="inlineStr">
        <is>
          <t>syy</t>
        </is>
      </c>
      <c r="B1021" s="3">
        <f>IF('3a Raw'!C1021="","",MAX(-3,MIN(3,('3a Raw'!C1021-$B3)/$B4)))</f>
        <v/>
      </c>
      <c r="C1021" s="3">
        <f>IF(B1021="","",(B1021-AVERAGE(B6:B1198))/(STDEV(B6:B1198)+1E-12))</f>
        <v/>
      </c>
      <c r="D1021" s="3">
        <f>IF('3a Raw'!D1021="","",MAX(-3,MIN(3,('3a Raw'!D1021-$D3)/$D4)))</f>
        <v/>
      </c>
      <c r="E1021" s="3">
        <f>IF(D1021="","",(D1021-AVERAGE(D6:D1198))/(STDEV(D6:D1198)+1E-12))</f>
        <v/>
      </c>
      <c r="F1021" s="3">
        <f>IF('3a Raw'!E1021="","",MAX(-3,MIN(3,('3a Raw'!E1021-$F3)/$F4)))</f>
        <v/>
      </c>
      <c r="G1021" s="3">
        <f>IF(F1021="","",(F1021-AVERAGE(F6:F1198))/(STDEV(F6:F1198)+1E-12))</f>
        <v/>
      </c>
      <c r="H1021" s="3">
        <f>IF('3a Raw'!F1021="","",MAX(-3,MIN(3,('3a Raw'!F1021-$H3)/$H4)))</f>
        <v/>
      </c>
      <c r="I1021" s="3">
        <f>IF(H1021="","",(H1021-AVERAGE(H6:H1198))/(STDEV(H6:H1198)+1E-12))</f>
        <v/>
      </c>
      <c r="J1021" s="3">
        <f>IF('3a Raw'!G1021="","",MAX(-3,MIN(3,('3a Raw'!G1021-$J3)/$J4)))</f>
        <v/>
      </c>
      <c r="K1021" s="3">
        <f>IF(J1021="","",(J1021-AVERAGE(J6:J1198))/(STDEV(J6:J1198)+1E-12))</f>
        <v/>
      </c>
      <c r="L1021" s="3">
        <f>IF('3a Raw'!H1021="","",MAX(-3,MIN(3,('3a Raw'!H1021-$L3)/$L4)))</f>
        <v/>
      </c>
      <c r="M1021" s="3">
        <f>IF(L1021="","",(L1021-AVERAGE(L6:L1198))/(STDEV(L6:L1198)+1E-12))</f>
        <v/>
      </c>
      <c r="N1021" s="3">
        <f>IF('3a Raw'!I1021="","",MAX(-3,MIN(3,('3a Raw'!I1021-$N3)/$N4)))</f>
        <v/>
      </c>
      <c r="O1021" s="3">
        <f>IF(N1021="","",(N1021-AVERAGE(N6:N1198))/(STDEV(N6:N1198)+1E-12))</f>
        <v/>
      </c>
      <c r="P1021" s="3">
        <f>IF('3a Raw'!J1021="","",MAX(-3,MIN(3,('3a Raw'!J1021-$P3)/$P4)))</f>
        <v/>
      </c>
      <c r="Q1021" s="3">
        <f>IF(P1021="","",(P1021-AVERAGE(P6:P1198))/(STDEV(P6:P1198)+1E-12))</f>
        <v/>
      </c>
      <c r="R1021" s="3">
        <f>IF('3a Raw'!K1021="","",MAX(-3,MIN(3,('3a Raw'!K1021-$R3)/$R4)))</f>
        <v/>
      </c>
      <c r="S1021" s="3">
        <f>IF(R1021="","",(R1021-AVERAGE(R6:R1198))/(STDEV(R6:R1198)+1E-12))</f>
        <v/>
      </c>
      <c r="T1021" s="3">
        <f>IF('3a Raw'!L1021="","",MAX(-3,MIN(3,('3a Raw'!L1021-$T3)/$T4)))</f>
        <v/>
      </c>
      <c r="U1021" s="3">
        <f>IF(T1021="","",(T1021-AVERAGE(T6:T1198))/(STDEV(T6:T1198)+1E-12))</f>
        <v/>
      </c>
      <c r="X1021" s="3">
        <f>IF(U1021="","",U1021-($V$3*G1021+$W$3))</f>
        <v/>
      </c>
      <c r="Y1021" s="3">
        <f>IF(X1021="","",MAX(-3,MIN(3,(X1021-$X3)/$X4)))</f>
        <v/>
      </c>
      <c r="Z1021" s="3">
        <f>IF(Y1021="","",(Y1021-AVERAGE(Y6:Y1198))/(STDEV(Y6:Y1198)+1E-12))</f>
        <v/>
      </c>
    </row>
    <row r="1022">
      <c r="A1022" t="inlineStr">
        <is>
          <t>BBG000BSJK37</t>
        </is>
      </c>
      <c r="B1022" s="3">
        <f>IF('3a Raw'!C1022="","",MAX(-3,MIN(3,('3a Raw'!C1022-$B3)/$B4)))</f>
        <v/>
      </c>
      <c r="C1022" s="3">
        <f>IF(B1022="","",(B1022-AVERAGE(B6:B1198))/(STDEV(B6:B1198)+1E-12))</f>
        <v/>
      </c>
      <c r="D1022" s="3">
        <f>IF('3a Raw'!D1022="","",MAX(-3,MIN(3,('3a Raw'!D1022-$D3)/$D4)))</f>
        <v/>
      </c>
      <c r="E1022" s="3">
        <f>IF(D1022="","",(D1022-AVERAGE(D6:D1198))/(STDEV(D6:D1198)+1E-12))</f>
        <v/>
      </c>
      <c r="F1022" s="3">
        <f>IF('3a Raw'!E1022="","",MAX(-3,MIN(3,('3a Raw'!E1022-$F3)/$F4)))</f>
        <v/>
      </c>
      <c r="G1022" s="3">
        <f>IF(F1022="","",(F1022-AVERAGE(F6:F1198))/(STDEV(F6:F1198)+1E-12))</f>
        <v/>
      </c>
      <c r="H1022" s="3">
        <f>IF('3a Raw'!F1022="","",MAX(-3,MIN(3,('3a Raw'!F1022-$H3)/$H4)))</f>
        <v/>
      </c>
      <c r="I1022" s="3">
        <f>IF(H1022="","",(H1022-AVERAGE(H6:H1198))/(STDEV(H6:H1198)+1E-12))</f>
        <v/>
      </c>
      <c r="J1022" s="3">
        <f>IF('3a Raw'!G1022="","",MAX(-3,MIN(3,('3a Raw'!G1022-$J3)/$J4)))</f>
        <v/>
      </c>
      <c r="K1022" s="3">
        <f>IF(J1022="","",(J1022-AVERAGE(J6:J1198))/(STDEV(J6:J1198)+1E-12))</f>
        <v/>
      </c>
      <c r="L1022" s="3">
        <f>IF('3a Raw'!H1022="","",MAX(-3,MIN(3,('3a Raw'!H1022-$L3)/$L4)))</f>
        <v/>
      </c>
      <c r="M1022" s="3">
        <f>IF(L1022="","",(L1022-AVERAGE(L6:L1198))/(STDEV(L6:L1198)+1E-12))</f>
        <v/>
      </c>
      <c r="N1022" s="3">
        <f>IF('3a Raw'!I1022="","",MAX(-3,MIN(3,('3a Raw'!I1022-$N3)/$N4)))</f>
        <v/>
      </c>
      <c r="O1022" s="3">
        <f>IF(N1022="","",(N1022-AVERAGE(N6:N1198))/(STDEV(N6:N1198)+1E-12))</f>
        <v/>
      </c>
      <c r="P1022" s="3">
        <f>IF('3a Raw'!J1022="","",MAX(-3,MIN(3,('3a Raw'!J1022-$P3)/$P4)))</f>
        <v/>
      </c>
      <c r="Q1022" s="3">
        <f>IF(P1022="","",(P1022-AVERAGE(P6:P1198))/(STDEV(P6:P1198)+1E-12))</f>
        <v/>
      </c>
      <c r="R1022" s="3">
        <f>IF('3a Raw'!K1022="","",MAX(-3,MIN(3,('3a Raw'!K1022-$R3)/$R4)))</f>
        <v/>
      </c>
      <c r="S1022" s="3">
        <f>IF(R1022="","",(R1022-AVERAGE(R6:R1198))/(STDEV(R6:R1198)+1E-12))</f>
        <v/>
      </c>
      <c r="T1022" s="3">
        <f>IF('3a Raw'!L1022="","",MAX(-3,MIN(3,('3a Raw'!L1022-$T3)/$T4)))</f>
        <v/>
      </c>
      <c r="U1022" s="3">
        <f>IF(T1022="","",(T1022-AVERAGE(T6:T1198))/(STDEV(T6:T1198)+1E-12))</f>
        <v/>
      </c>
      <c r="X1022" s="3">
        <f>IF(U1022="","",U1022-($V$3*G1022+$W$3))</f>
        <v/>
      </c>
      <c r="Y1022" s="3">
        <f>IF(X1022="","",MAX(-3,MIN(3,(X1022-$X3)/$X4)))</f>
        <v/>
      </c>
      <c r="Z1022" s="3">
        <f>IF(Y1022="","",(Y1022-AVERAGE(Y6:Y1198))/(STDEV(Y6:Y1198)+1E-12))</f>
        <v/>
      </c>
    </row>
    <row r="1023">
      <c r="A1023" t="inlineStr">
        <is>
          <t>BBG00V317301</t>
        </is>
      </c>
      <c r="B1023" s="3">
        <f>IF('3a Raw'!C1023="","",MAX(-3,MIN(3,('3a Raw'!C1023-$B3)/$B4)))</f>
        <v/>
      </c>
      <c r="C1023" s="3">
        <f>IF(B1023="","",(B1023-AVERAGE(B6:B1198))/(STDEV(B6:B1198)+1E-12))</f>
        <v/>
      </c>
      <c r="D1023" s="3">
        <f>IF('3a Raw'!D1023="","",MAX(-3,MIN(3,('3a Raw'!D1023-$D3)/$D4)))</f>
        <v/>
      </c>
      <c r="E1023" s="3">
        <f>IF(D1023="","",(D1023-AVERAGE(D6:D1198))/(STDEV(D6:D1198)+1E-12))</f>
        <v/>
      </c>
      <c r="F1023" s="3">
        <f>IF('3a Raw'!E1023="","",MAX(-3,MIN(3,('3a Raw'!E1023-$F3)/$F4)))</f>
        <v/>
      </c>
      <c r="G1023" s="3">
        <f>IF(F1023="","",(F1023-AVERAGE(F6:F1198))/(STDEV(F6:F1198)+1E-12))</f>
        <v/>
      </c>
      <c r="H1023" s="3">
        <f>IF('3a Raw'!F1023="","",MAX(-3,MIN(3,('3a Raw'!F1023-$H3)/$H4)))</f>
        <v/>
      </c>
      <c r="I1023" s="3">
        <f>IF(H1023="","",(H1023-AVERAGE(H6:H1198))/(STDEV(H6:H1198)+1E-12))</f>
        <v/>
      </c>
      <c r="J1023" s="3">
        <f>IF('3a Raw'!G1023="","",MAX(-3,MIN(3,('3a Raw'!G1023-$J3)/$J4)))</f>
        <v/>
      </c>
      <c r="K1023" s="3">
        <f>IF(J1023="","",(J1023-AVERAGE(J6:J1198))/(STDEV(J6:J1198)+1E-12))</f>
        <v/>
      </c>
      <c r="L1023" s="3">
        <f>IF('3a Raw'!H1023="","",MAX(-3,MIN(3,('3a Raw'!H1023-$L3)/$L4)))</f>
        <v/>
      </c>
      <c r="M1023" s="3">
        <f>IF(L1023="","",(L1023-AVERAGE(L6:L1198))/(STDEV(L6:L1198)+1E-12))</f>
        <v/>
      </c>
      <c r="N1023" s="3">
        <f>IF('3a Raw'!I1023="","",MAX(-3,MIN(3,('3a Raw'!I1023-$N3)/$N4)))</f>
        <v/>
      </c>
      <c r="O1023" s="3">
        <f>IF(N1023="","",(N1023-AVERAGE(N6:N1198))/(STDEV(N6:N1198)+1E-12))</f>
        <v/>
      </c>
      <c r="P1023" s="3">
        <f>IF('3a Raw'!J1023="","",MAX(-3,MIN(3,('3a Raw'!J1023-$P3)/$P4)))</f>
        <v/>
      </c>
      <c r="Q1023" s="3">
        <f>IF(P1023="","",(P1023-AVERAGE(P6:P1198))/(STDEV(P6:P1198)+1E-12))</f>
        <v/>
      </c>
      <c r="R1023" s="3">
        <f>IF('3a Raw'!K1023="","",MAX(-3,MIN(3,('3a Raw'!K1023-$R3)/$R4)))</f>
        <v/>
      </c>
      <c r="S1023" s="3">
        <f>IF(R1023="","",(R1023-AVERAGE(R6:R1198))/(STDEV(R6:R1198)+1E-12))</f>
        <v/>
      </c>
      <c r="T1023" s="3">
        <f>IF('3a Raw'!L1023="","",MAX(-3,MIN(3,('3a Raw'!L1023-$T3)/$T4)))</f>
        <v/>
      </c>
      <c r="U1023" s="3">
        <f>IF(T1023="","",(T1023-AVERAGE(T6:T1198))/(STDEV(T6:T1198)+1E-12))</f>
        <v/>
      </c>
      <c r="X1023" s="3">
        <f>IF(U1023="","",U1023-($V$3*G1023+$W$3))</f>
        <v/>
      </c>
      <c r="Y1023" s="3">
        <f>IF(X1023="","",MAX(-3,MIN(3,(X1023-$X3)/$X4)))</f>
        <v/>
      </c>
      <c r="Z1023" s="3">
        <f>IF(Y1023="","",(Y1023-AVERAGE(Y6:Y1198))/(STDEV(Y6:Y1198)+1E-12))</f>
        <v/>
      </c>
    </row>
    <row r="1024">
      <c r="A1024" t="inlineStr">
        <is>
          <t>BBG000BS7KS3</t>
        </is>
      </c>
      <c r="B1024" s="3">
        <f>IF('3a Raw'!C1024="","",MAX(-3,MIN(3,('3a Raw'!C1024-$B3)/$B4)))</f>
        <v/>
      </c>
      <c r="C1024" s="3">
        <f>IF(B1024="","",(B1024-AVERAGE(B6:B1198))/(STDEV(B6:B1198)+1E-12))</f>
        <v/>
      </c>
      <c r="D1024" s="3">
        <f>IF('3a Raw'!D1024="","",MAX(-3,MIN(3,('3a Raw'!D1024-$D3)/$D4)))</f>
        <v/>
      </c>
      <c r="E1024" s="3">
        <f>IF(D1024="","",(D1024-AVERAGE(D6:D1198))/(STDEV(D6:D1198)+1E-12))</f>
        <v/>
      </c>
      <c r="F1024" s="3">
        <f>IF('3a Raw'!E1024="","",MAX(-3,MIN(3,('3a Raw'!E1024-$F3)/$F4)))</f>
        <v/>
      </c>
      <c r="G1024" s="3">
        <f>IF(F1024="","",(F1024-AVERAGE(F6:F1198))/(STDEV(F6:F1198)+1E-12))</f>
        <v/>
      </c>
      <c r="H1024" s="3">
        <f>IF('3a Raw'!F1024="","",MAX(-3,MIN(3,('3a Raw'!F1024-$H3)/$H4)))</f>
        <v/>
      </c>
      <c r="I1024" s="3">
        <f>IF(H1024="","",(H1024-AVERAGE(H6:H1198))/(STDEV(H6:H1198)+1E-12))</f>
        <v/>
      </c>
      <c r="J1024" s="3">
        <f>IF('3a Raw'!G1024="","",MAX(-3,MIN(3,('3a Raw'!G1024-$J3)/$J4)))</f>
        <v/>
      </c>
      <c r="K1024" s="3">
        <f>IF(J1024="","",(J1024-AVERAGE(J6:J1198))/(STDEV(J6:J1198)+1E-12))</f>
        <v/>
      </c>
      <c r="L1024" s="3">
        <f>IF('3a Raw'!H1024="","",MAX(-3,MIN(3,('3a Raw'!H1024-$L3)/$L4)))</f>
        <v/>
      </c>
      <c r="M1024" s="3">
        <f>IF(L1024="","",(L1024-AVERAGE(L6:L1198))/(STDEV(L6:L1198)+1E-12))</f>
        <v/>
      </c>
      <c r="N1024" s="3">
        <f>IF('3a Raw'!I1024="","",MAX(-3,MIN(3,('3a Raw'!I1024-$N3)/$N4)))</f>
        <v/>
      </c>
      <c r="O1024" s="3">
        <f>IF(N1024="","",(N1024-AVERAGE(N6:N1198))/(STDEV(N6:N1198)+1E-12))</f>
        <v/>
      </c>
      <c r="P1024" s="3">
        <f>IF('3a Raw'!J1024="","",MAX(-3,MIN(3,('3a Raw'!J1024-$P3)/$P4)))</f>
        <v/>
      </c>
      <c r="Q1024" s="3">
        <f>IF(P1024="","",(P1024-AVERAGE(P6:P1198))/(STDEV(P6:P1198)+1E-12))</f>
        <v/>
      </c>
      <c r="R1024" s="3">
        <f>IF('3a Raw'!K1024="","",MAX(-3,MIN(3,('3a Raw'!K1024-$R3)/$R4)))</f>
        <v/>
      </c>
      <c r="S1024" s="3">
        <f>IF(R1024="","",(R1024-AVERAGE(R6:R1198))/(STDEV(R6:R1198)+1E-12))</f>
        <v/>
      </c>
      <c r="T1024" s="3">
        <f>IF('3a Raw'!L1024="","",MAX(-3,MIN(3,('3a Raw'!L1024-$T3)/$T4)))</f>
        <v/>
      </c>
      <c r="U1024" s="3">
        <f>IF(T1024="","",(T1024-AVERAGE(T6:T1198))/(STDEV(T6:T1198)+1E-12))</f>
        <v/>
      </c>
      <c r="X1024" s="3">
        <f>IF(U1024="","",U1024-($V$3*G1024+$W$3))</f>
        <v/>
      </c>
      <c r="Y1024" s="3">
        <f>IF(X1024="","",MAX(-3,MIN(3,(X1024-$X3)/$X4)))</f>
        <v/>
      </c>
      <c r="Z1024" s="3">
        <f>IF(Y1024="","",(Y1024-AVERAGE(Y6:Y1198))/(STDEV(Y6:Y1198)+1E-12))</f>
        <v/>
      </c>
    </row>
    <row r="1025">
      <c r="A1025" t="inlineStr">
        <is>
          <t>BBG000CWKYS8</t>
        </is>
      </c>
      <c r="B1025" s="3">
        <f>IF('3a Raw'!C1025="","",MAX(-3,MIN(3,('3a Raw'!C1025-$B3)/$B4)))</f>
        <v/>
      </c>
      <c r="C1025" s="3">
        <f>IF(B1025="","",(B1025-AVERAGE(B6:B1198))/(STDEV(B6:B1198)+1E-12))</f>
        <v/>
      </c>
      <c r="D1025" s="3">
        <f>IF('3a Raw'!D1025="","",MAX(-3,MIN(3,('3a Raw'!D1025-$D3)/$D4)))</f>
        <v/>
      </c>
      <c r="E1025" s="3">
        <f>IF(D1025="","",(D1025-AVERAGE(D6:D1198))/(STDEV(D6:D1198)+1E-12))</f>
        <v/>
      </c>
      <c r="F1025" s="3">
        <f>IF('3a Raw'!E1025="","",MAX(-3,MIN(3,('3a Raw'!E1025-$F3)/$F4)))</f>
        <v/>
      </c>
      <c r="G1025" s="3">
        <f>IF(F1025="","",(F1025-AVERAGE(F6:F1198))/(STDEV(F6:F1198)+1E-12))</f>
        <v/>
      </c>
      <c r="H1025" s="3">
        <f>IF('3a Raw'!F1025="","",MAX(-3,MIN(3,('3a Raw'!F1025-$H3)/$H4)))</f>
        <v/>
      </c>
      <c r="I1025" s="3">
        <f>IF(H1025="","",(H1025-AVERAGE(H6:H1198))/(STDEV(H6:H1198)+1E-12))</f>
        <v/>
      </c>
      <c r="J1025" s="3">
        <f>IF('3a Raw'!G1025="","",MAX(-3,MIN(3,('3a Raw'!G1025-$J3)/$J4)))</f>
        <v/>
      </c>
      <c r="K1025" s="3">
        <f>IF(J1025="","",(J1025-AVERAGE(J6:J1198))/(STDEV(J6:J1198)+1E-12))</f>
        <v/>
      </c>
      <c r="L1025" s="3">
        <f>IF('3a Raw'!H1025="","",MAX(-3,MIN(3,('3a Raw'!H1025-$L3)/$L4)))</f>
        <v/>
      </c>
      <c r="M1025" s="3">
        <f>IF(L1025="","",(L1025-AVERAGE(L6:L1198))/(STDEV(L6:L1198)+1E-12))</f>
        <v/>
      </c>
      <c r="N1025" s="3">
        <f>IF('3a Raw'!I1025="","",MAX(-3,MIN(3,('3a Raw'!I1025-$N3)/$N4)))</f>
        <v/>
      </c>
      <c r="O1025" s="3">
        <f>IF(N1025="","",(N1025-AVERAGE(N6:N1198))/(STDEV(N6:N1198)+1E-12))</f>
        <v/>
      </c>
      <c r="P1025" s="3">
        <f>IF('3a Raw'!J1025="","",MAX(-3,MIN(3,('3a Raw'!J1025-$P3)/$P4)))</f>
        <v/>
      </c>
      <c r="Q1025" s="3">
        <f>IF(P1025="","",(P1025-AVERAGE(P6:P1198))/(STDEV(P6:P1198)+1E-12))</f>
        <v/>
      </c>
      <c r="R1025" s="3">
        <f>IF('3a Raw'!K1025="","",MAX(-3,MIN(3,('3a Raw'!K1025-$R3)/$R4)))</f>
        <v/>
      </c>
      <c r="S1025" s="3">
        <f>IF(R1025="","",(R1025-AVERAGE(R6:R1198))/(STDEV(R6:R1198)+1E-12))</f>
        <v/>
      </c>
      <c r="T1025" s="3">
        <f>IF('3a Raw'!L1025="","",MAX(-3,MIN(3,('3a Raw'!L1025-$T3)/$T4)))</f>
        <v/>
      </c>
      <c r="U1025" s="3">
        <f>IF(T1025="","",(T1025-AVERAGE(T6:T1198))/(STDEV(T6:T1198)+1E-12))</f>
        <v/>
      </c>
      <c r="X1025" s="3">
        <f>IF(U1025="","",U1025-($V$3*G1025+$W$3))</f>
        <v/>
      </c>
      <c r="Y1025" s="3">
        <f>IF(X1025="","",MAX(-3,MIN(3,(X1025-$X3)/$X4)))</f>
        <v/>
      </c>
      <c r="Z1025" s="3">
        <f>IF(Y1025="","",(Y1025-AVERAGE(Y6:Y1198))/(STDEV(Y6:Y1198)+1E-12))</f>
        <v/>
      </c>
    </row>
    <row r="1026">
      <c r="A1026" t="inlineStr">
        <is>
          <t>BBG000R0L5J4</t>
        </is>
      </c>
      <c r="B1026" s="3">
        <f>IF('3a Raw'!C1026="","",MAX(-3,MIN(3,('3a Raw'!C1026-$B3)/$B4)))</f>
        <v/>
      </c>
      <c r="C1026" s="3">
        <f>IF(B1026="","",(B1026-AVERAGE(B6:B1198))/(STDEV(B6:B1198)+1E-12))</f>
        <v/>
      </c>
      <c r="D1026" s="3">
        <f>IF('3a Raw'!D1026="","",MAX(-3,MIN(3,('3a Raw'!D1026-$D3)/$D4)))</f>
        <v/>
      </c>
      <c r="E1026" s="3">
        <f>IF(D1026="","",(D1026-AVERAGE(D6:D1198))/(STDEV(D6:D1198)+1E-12))</f>
        <v/>
      </c>
      <c r="F1026" s="3">
        <f>IF('3a Raw'!E1026="","",MAX(-3,MIN(3,('3a Raw'!E1026-$F3)/$F4)))</f>
        <v/>
      </c>
      <c r="G1026" s="3">
        <f>IF(F1026="","",(F1026-AVERAGE(F6:F1198))/(STDEV(F6:F1198)+1E-12))</f>
        <v/>
      </c>
      <c r="H1026" s="3">
        <f>IF('3a Raw'!F1026="","",MAX(-3,MIN(3,('3a Raw'!F1026-$H3)/$H4)))</f>
        <v/>
      </c>
      <c r="I1026" s="3">
        <f>IF(H1026="","",(H1026-AVERAGE(H6:H1198))/(STDEV(H6:H1198)+1E-12))</f>
        <v/>
      </c>
      <c r="J1026" s="3">
        <f>IF('3a Raw'!G1026="","",MAX(-3,MIN(3,('3a Raw'!G1026-$J3)/$J4)))</f>
        <v/>
      </c>
      <c r="K1026" s="3">
        <f>IF(J1026="","",(J1026-AVERAGE(J6:J1198))/(STDEV(J6:J1198)+1E-12))</f>
        <v/>
      </c>
      <c r="L1026" s="3">
        <f>IF('3a Raw'!H1026="","",MAX(-3,MIN(3,('3a Raw'!H1026-$L3)/$L4)))</f>
        <v/>
      </c>
      <c r="M1026" s="3">
        <f>IF(L1026="","",(L1026-AVERAGE(L6:L1198))/(STDEV(L6:L1198)+1E-12))</f>
        <v/>
      </c>
      <c r="N1026" s="3">
        <f>IF('3a Raw'!I1026="","",MAX(-3,MIN(3,('3a Raw'!I1026-$N3)/$N4)))</f>
        <v/>
      </c>
      <c r="O1026" s="3">
        <f>IF(N1026="","",(N1026-AVERAGE(N6:N1198))/(STDEV(N6:N1198)+1E-12))</f>
        <v/>
      </c>
      <c r="P1026" s="3">
        <f>IF('3a Raw'!J1026="","",MAX(-3,MIN(3,('3a Raw'!J1026-$P3)/$P4)))</f>
        <v/>
      </c>
      <c r="Q1026" s="3">
        <f>IF(P1026="","",(P1026-AVERAGE(P6:P1198))/(STDEV(P6:P1198)+1E-12))</f>
        <v/>
      </c>
      <c r="R1026" s="3">
        <f>IF('3a Raw'!K1026="","",MAX(-3,MIN(3,('3a Raw'!K1026-$R3)/$R4)))</f>
        <v/>
      </c>
      <c r="S1026" s="3">
        <f>IF(R1026="","",(R1026-AVERAGE(R6:R1198))/(STDEV(R6:R1198)+1E-12))</f>
        <v/>
      </c>
      <c r="T1026" s="3">
        <f>IF('3a Raw'!L1026="","",MAX(-3,MIN(3,('3a Raw'!L1026-$T3)/$T4)))</f>
        <v/>
      </c>
      <c r="U1026" s="3">
        <f>IF(T1026="","",(T1026-AVERAGE(T6:T1198))/(STDEV(T6:T1198)+1E-12))</f>
        <v/>
      </c>
      <c r="X1026" s="3">
        <f>IF(U1026="","",U1026-($V$3*G1026+$W$3))</f>
        <v/>
      </c>
      <c r="Y1026" s="3">
        <f>IF(X1026="","",MAX(-3,MIN(3,(X1026-$X3)/$X4)))</f>
        <v/>
      </c>
      <c r="Z1026" s="3">
        <f>IF(Y1026="","",(Y1026-AVERAGE(Y6:Y1198))/(STDEV(Y6:Y1198)+1E-12))</f>
        <v/>
      </c>
    </row>
    <row r="1027">
      <c r="A1027" t="inlineStr">
        <is>
          <t>BBG000L8CBX4</t>
        </is>
      </c>
      <c r="B1027" s="3">
        <f>IF('3a Raw'!C1027="","",MAX(-3,MIN(3,('3a Raw'!C1027-$B3)/$B4)))</f>
        <v/>
      </c>
      <c r="C1027" s="3">
        <f>IF(B1027="","",(B1027-AVERAGE(B6:B1198))/(STDEV(B6:B1198)+1E-12))</f>
        <v/>
      </c>
      <c r="D1027" s="3">
        <f>IF('3a Raw'!D1027="","",MAX(-3,MIN(3,('3a Raw'!D1027-$D3)/$D4)))</f>
        <v/>
      </c>
      <c r="E1027" s="3">
        <f>IF(D1027="","",(D1027-AVERAGE(D6:D1198))/(STDEV(D6:D1198)+1E-12))</f>
        <v/>
      </c>
      <c r="F1027" s="3">
        <f>IF('3a Raw'!E1027="","",MAX(-3,MIN(3,('3a Raw'!E1027-$F3)/$F4)))</f>
        <v/>
      </c>
      <c r="G1027" s="3">
        <f>IF(F1027="","",(F1027-AVERAGE(F6:F1198))/(STDEV(F6:F1198)+1E-12))</f>
        <v/>
      </c>
      <c r="H1027" s="3">
        <f>IF('3a Raw'!F1027="","",MAX(-3,MIN(3,('3a Raw'!F1027-$H3)/$H4)))</f>
        <v/>
      </c>
      <c r="I1027" s="3">
        <f>IF(H1027="","",(H1027-AVERAGE(H6:H1198))/(STDEV(H6:H1198)+1E-12))</f>
        <v/>
      </c>
      <c r="J1027" s="3">
        <f>IF('3a Raw'!G1027="","",MAX(-3,MIN(3,('3a Raw'!G1027-$J3)/$J4)))</f>
        <v/>
      </c>
      <c r="K1027" s="3">
        <f>IF(J1027="","",(J1027-AVERAGE(J6:J1198))/(STDEV(J6:J1198)+1E-12))</f>
        <v/>
      </c>
      <c r="L1027" s="3">
        <f>IF('3a Raw'!H1027="","",MAX(-3,MIN(3,('3a Raw'!H1027-$L3)/$L4)))</f>
        <v/>
      </c>
      <c r="M1027" s="3">
        <f>IF(L1027="","",(L1027-AVERAGE(L6:L1198))/(STDEV(L6:L1198)+1E-12))</f>
        <v/>
      </c>
      <c r="N1027" s="3">
        <f>IF('3a Raw'!I1027="","",MAX(-3,MIN(3,('3a Raw'!I1027-$N3)/$N4)))</f>
        <v/>
      </c>
      <c r="O1027" s="3">
        <f>IF(N1027="","",(N1027-AVERAGE(N6:N1198))/(STDEV(N6:N1198)+1E-12))</f>
        <v/>
      </c>
      <c r="P1027" s="3">
        <f>IF('3a Raw'!J1027="","",MAX(-3,MIN(3,('3a Raw'!J1027-$P3)/$P4)))</f>
        <v/>
      </c>
      <c r="Q1027" s="3">
        <f>IF(P1027="","",(P1027-AVERAGE(P6:P1198))/(STDEV(P6:P1198)+1E-12))</f>
        <v/>
      </c>
      <c r="R1027" s="3">
        <f>IF('3a Raw'!K1027="","",MAX(-3,MIN(3,('3a Raw'!K1027-$R3)/$R4)))</f>
        <v/>
      </c>
      <c r="S1027" s="3">
        <f>IF(R1027="","",(R1027-AVERAGE(R6:R1198))/(STDEV(R6:R1198)+1E-12))</f>
        <v/>
      </c>
      <c r="T1027" s="3">
        <f>IF('3a Raw'!L1027="","",MAX(-3,MIN(3,('3a Raw'!L1027-$T3)/$T4)))</f>
        <v/>
      </c>
      <c r="U1027" s="3">
        <f>IF(T1027="","",(T1027-AVERAGE(T6:T1198))/(STDEV(T6:T1198)+1E-12))</f>
        <v/>
      </c>
      <c r="X1027" s="3">
        <f>IF(U1027="","",U1027-($V$3*G1027+$W$3))</f>
        <v/>
      </c>
      <c r="Y1027" s="3">
        <f>IF(X1027="","",MAX(-3,MIN(3,(X1027-$X3)/$X4)))</f>
        <v/>
      </c>
      <c r="Z1027" s="3">
        <f>IF(Y1027="","",(Y1027-AVERAGE(Y6:Y1198))/(STDEV(Y6:Y1198)+1E-12))</f>
        <v/>
      </c>
    </row>
    <row r="1028">
      <c r="A1028" t="inlineStr">
        <is>
          <t>BBG000BMT9T6</t>
        </is>
      </c>
      <c r="B1028" s="3">
        <f>IF('3a Raw'!C1028="","",MAX(-3,MIN(3,('3a Raw'!C1028-$B3)/$B4)))</f>
        <v/>
      </c>
      <c r="C1028" s="3">
        <f>IF(B1028="","",(B1028-AVERAGE(B6:B1198))/(STDEV(B6:B1198)+1E-12))</f>
        <v/>
      </c>
      <c r="D1028" s="3">
        <f>IF('3a Raw'!D1028="","",MAX(-3,MIN(3,('3a Raw'!D1028-$D3)/$D4)))</f>
        <v/>
      </c>
      <c r="E1028" s="3">
        <f>IF(D1028="","",(D1028-AVERAGE(D6:D1198))/(STDEV(D6:D1198)+1E-12))</f>
        <v/>
      </c>
      <c r="F1028" s="3">
        <f>IF('3a Raw'!E1028="","",MAX(-3,MIN(3,('3a Raw'!E1028-$F3)/$F4)))</f>
        <v/>
      </c>
      <c r="G1028" s="3">
        <f>IF(F1028="","",(F1028-AVERAGE(F6:F1198))/(STDEV(F6:F1198)+1E-12))</f>
        <v/>
      </c>
      <c r="H1028" s="3">
        <f>IF('3a Raw'!F1028="","",MAX(-3,MIN(3,('3a Raw'!F1028-$H3)/$H4)))</f>
        <v/>
      </c>
      <c r="I1028" s="3">
        <f>IF(H1028="","",(H1028-AVERAGE(H6:H1198))/(STDEV(H6:H1198)+1E-12))</f>
        <v/>
      </c>
      <c r="J1028" s="3">
        <f>IF('3a Raw'!G1028="","",MAX(-3,MIN(3,('3a Raw'!G1028-$J3)/$J4)))</f>
        <v/>
      </c>
      <c r="K1028" s="3">
        <f>IF(J1028="","",(J1028-AVERAGE(J6:J1198))/(STDEV(J6:J1198)+1E-12))</f>
        <v/>
      </c>
      <c r="L1028" s="3">
        <f>IF('3a Raw'!H1028="","",MAX(-3,MIN(3,('3a Raw'!H1028-$L3)/$L4)))</f>
        <v/>
      </c>
      <c r="M1028" s="3">
        <f>IF(L1028="","",(L1028-AVERAGE(L6:L1198))/(STDEV(L6:L1198)+1E-12))</f>
        <v/>
      </c>
      <c r="N1028" s="3">
        <f>IF('3a Raw'!I1028="","",MAX(-3,MIN(3,('3a Raw'!I1028-$N3)/$N4)))</f>
        <v/>
      </c>
      <c r="O1028" s="3">
        <f>IF(N1028="","",(N1028-AVERAGE(N6:N1198))/(STDEV(N6:N1198)+1E-12))</f>
        <v/>
      </c>
      <c r="P1028" s="3">
        <f>IF('3a Raw'!J1028="","",MAX(-3,MIN(3,('3a Raw'!J1028-$P3)/$P4)))</f>
        <v/>
      </c>
      <c r="Q1028" s="3">
        <f>IF(P1028="","",(P1028-AVERAGE(P6:P1198))/(STDEV(P6:P1198)+1E-12))</f>
        <v/>
      </c>
      <c r="R1028" s="3">
        <f>IF('3a Raw'!K1028="","",MAX(-3,MIN(3,('3a Raw'!K1028-$R3)/$R4)))</f>
        <v/>
      </c>
      <c r="S1028" s="3">
        <f>IF(R1028="","",(R1028-AVERAGE(R6:R1198))/(STDEV(R6:R1198)+1E-12))</f>
        <v/>
      </c>
      <c r="T1028" s="3">
        <f>IF('3a Raw'!L1028="","",MAX(-3,MIN(3,('3a Raw'!L1028-$T3)/$T4)))</f>
        <v/>
      </c>
      <c r="U1028" s="3">
        <f>IF(T1028="","",(T1028-AVERAGE(T6:T1198))/(STDEV(T6:T1198)+1E-12))</f>
        <v/>
      </c>
      <c r="X1028" s="3">
        <f>IF(U1028="","",U1028-($V$3*G1028+$W$3))</f>
        <v/>
      </c>
      <c r="Y1028" s="3">
        <f>IF(X1028="","",MAX(-3,MIN(3,(X1028-$X3)/$X4)))</f>
        <v/>
      </c>
      <c r="Z1028" s="3">
        <f>IF(Y1028="","",(Y1028-AVERAGE(Y6:Y1198))/(STDEV(Y6:Y1198)+1E-12))</f>
        <v/>
      </c>
    </row>
    <row r="1029">
      <c r="A1029" t="inlineStr">
        <is>
          <t>BBG01KR6BS70</t>
        </is>
      </c>
      <c r="B1029" s="3">
        <f>IF('3a Raw'!C1029="","",MAX(-3,MIN(3,('3a Raw'!C1029-$B3)/$B4)))</f>
        <v/>
      </c>
      <c r="C1029" s="3">
        <f>IF(B1029="","",(B1029-AVERAGE(B6:B1198))/(STDEV(B6:B1198)+1E-12))</f>
        <v/>
      </c>
      <c r="D1029" s="3">
        <f>IF('3a Raw'!D1029="","",MAX(-3,MIN(3,('3a Raw'!D1029-$D3)/$D4)))</f>
        <v/>
      </c>
      <c r="E1029" s="3">
        <f>IF(D1029="","",(D1029-AVERAGE(D6:D1198))/(STDEV(D6:D1198)+1E-12))</f>
        <v/>
      </c>
      <c r="F1029" s="3">
        <f>IF('3a Raw'!E1029="","",MAX(-3,MIN(3,('3a Raw'!E1029-$F3)/$F4)))</f>
        <v/>
      </c>
      <c r="G1029" s="3">
        <f>IF(F1029="","",(F1029-AVERAGE(F6:F1198))/(STDEV(F6:F1198)+1E-12))</f>
        <v/>
      </c>
      <c r="H1029" s="3">
        <f>IF('3a Raw'!F1029="","",MAX(-3,MIN(3,('3a Raw'!F1029-$H3)/$H4)))</f>
        <v/>
      </c>
      <c r="I1029" s="3">
        <f>IF(H1029="","",(H1029-AVERAGE(H6:H1198))/(STDEV(H6:H1198)+1E-12))</f>
        <v/>
      </c>
      <c r="J1029" s="3">
        <f>IF('3a Raw'!G1029="","",MAX(-3,MIN(3,('3a Raw'!G1029-$J3)/$J4)))</f>
        <v/>
      </c>
      <c r="K1029" s="3">
        <f>IF(J1029="","",(J1029-AVERAGE(J6:J1198))/(STDEV(J6:J1198)+1E-12))</f>
        <v/>
      </c>
      <c r="L1029" s="3">
        <f>IF('3a Raw'!H1029="","",MAX(-3,MIN(3,('3a Raw'!H1029-$L3)/$L4)))</f>
        <v/>
      </c>
      <c r="M1029" s="3">
        <f>IF(L1029="","",(L1029-AVERAGE(L6:L1198))/(STDEV(L6:L1198)+1E-12))</f>
        <v/>
      </c>
      <c r="N1029" s="3">
        <f>IF('3a Raw'!I1029="","",MAX(-3,MIN(3,('3a Raw'!I1029-$N3)/$N4)))</f>
        <v/>
      </c>
      <c r="O1029" s="3">
        <f>IF(N1029="","",(N1029-AVERAGE(N6:N1198))/(STDEV(N6:N1198)+1E-12))</f>
        <v/>
      </c>
      <c r="P1029" s="3">
        <f>IF('3a Raw'!J1029="","",MAX(-3,MIN(3,('3a Raw'!J1029-$P3)/$P4)))</f>
        <v/>
      </c>
      <c r="Q1029" s="3">
        <f>IF(P1029="","",(P1029-AVERAGE(P6:P1198))/(STDEV(P6:P1198)+1E-12))</f>
        <v/>
      </c>
      <c r="R1029" s="3">
        <f>IF('3a Raw'!K1029="","",MAX(-3,MIN(3,('3a Raw'!K1029-$R3)/$R4)))</f>
        <v/>
      </c>
      <c r="S1029" s="3">
        <f>IF(R1029="","",(R1029-AVERAGE(R6:R1198))/(STDEV(R6:R1198)+1E-12))</f>
        <v/>
      </c>
      <c r="T1029" s="3">
        <f>IF('3a Raw'!L1029="","",MAX(-3,MIN(3,('3a Raw'!L1029-$T3)/$T4)))</f>
        <v/>
      </c>
      <c r="U1029" s="3">
        <f>IF(T1029="","",(T1029-AVERAGE(T6:T1198))/(STDEV(T6:T1198)+1E-12))</f>
        <v/>
      </c>
      <c r="X1029" s="3">
        <f>IF(U1029="","",U1029-($V$3*G1029+$W$3))</f>
        <v/>
      </c>
      <c r="Y1029" s="3">
        <f>IF(X1029="","",MAX(-3,MIN(3,(X1029-$X3)/$X4)))</f>
        <v/>
      </c>
      <c r="Z1029" s="3">
        <f>IF(Y1029="","",(Y1029-AVERAGE(Y6:Y1198))/(STDEV(Y6:Y1198)+1E-12))</f>
        <v/>
      </c>
    </row>
    <row r="1030">
      <c r="A1030" t="inlineStr">
        <is>
          <t>BBG01BGWHFR5</t>
        </is>
      </c>
      <c r="B1030" s="3">
        <f>IF('3a Raw'!C1030="","",MAX(-3,MIN(3,('3a Raw'!C1030-$B3)/$B4)))</f>
        <v/>
      </c>
      <c r="C1030" s="3">
        <f>IF(B1030="","",(B1030-AVERAGE(B6:B1198))/(STDEV(B6:B1198)+1E-12))</f>
        <v/>
      </c>
      <c r="D1030" s="3">
        <f>IF('3a Raw'!D1030="","",MAX(-3,MIN(3,('3a Raw'!D1030-$D3)/$D4)))</f>
        <v/>
      </c>
      <c r="E1030" s="3">
        <f>IF(D1030="","",(D1030-AVERAGE(D6:D1198))/(STDEV(D6:D1198)+1E-12))</f>
        <v/>
      </c>
      <c r="F1030" s="3">
        <f>IF('3a Raw'!E1030="","",MAX(-3,MIN(3,('3a Raw'!E1030-$F3)/$F4)))</f>
        <v/>
      </c>
      <c r="G1030" s="3">
        <f>IF(F1030="","",(F1030-AVERAGE(F6:F1198))/(STDEV(F6:F1198)+1E-12))</f>
        <v/>
      </c>
      <c r="H1030" s="3">
        <f>IF('3a Raw'!F1030="","",MAX(-3,MIN(3,('3a Raw'!F1030-$H3)/$H4)))</f>
        <v/>
      </c>
      <c r="I1030" s="3">
        <f>IF(H1030="","",(H1030-AVERAGE(H6:H1198))/(STDEV(H6:H1198)+1E-12))</f>
        <v/>
      </c>
      <c r="J1030" s="3">
        <f>IF('3a Raw'!G1030="","",MAX(-3,MIN(3,('3a Raw'!G1030-$J3)/$J4)))</f>
        <v/>
      </c>
      <c r="K1030" s="3">
        <f>IF(J1030="","",(J1030-AVERAGE(J6:J1198))/(STDEV(J6:J1198)+1E-12))</f>
        <v/>
      </c>
      <c r="L1030" s="3">
        <f>IF('3a Raw'!H1030="","",MAX(-3,MIN(3,('3a Raw'!H1030-$L3)/$L4)))</f>
        <v/>
      </c>
      <c r="M1030" s="3">
        <f>IF(L1030="","",(L1030-AVERAGE(L6:L1198))/(STDEV(L6:L1198)+1E-12))</f>
        <v/>
      </c>
      <c r="N1030" s="3">
        <f>IF('3a Raw'!I1030="","",MAX(-3,MIN(3,('3a Raw'!I1030-$N3)/$N4)))</f>
        <v/>
      </c>
      <c r="O1030" s="3">
        <f>IF(N1030="","",(N1030-AVERAGE(N6:N1198))/(STDEV(N6:N1198)+1E-12))</f>
        <v/>
      </c>
      <c r="P1030" s="3">
        <f>IF('3a Raw'!J1030="","",MAX(-3,MIN(3,('3a Raw'!J1030-$P3)/$P4)))</f>
        <v/>
      </c>
      <c r="Q1030" s="3">
        <f>IF(P1030="","",(P1030-AVERAGE(P6:P1198))/(STDEV(P6:P1198)+1E-12))</f>
        <v/>
      </c>
      <c r="R1030" s="3">
        <f>IF('3a Raw'!K1030="","",MAX(-3,MIN(3,('3a Raw'!K1030-$R3)/$R4)))</f>
        <v/>
      </c>
      <c r="S1030" s="3">
        <f>IF(R1030="","",(R1030-AVERAGE(R6:R1198))/(STDEV(R6:R1198)+1E-12))</f>
        <v/>
      </c>
      <c r="T1030" s="3">
        <f>IF('3a Raw'!L1030="","",MAX(-3,MIN(3,('3a Raw'!L1030-$T3)/$T4)))</f>
        <v/>
      </c>
      <c r="U1030" s="3">
        <f>IF(T1030="","",(T1030-AVERAGE(T6:T1198))/(STDEV(T6:T1198)+1E-12))</f>
        <v/>
      </c>
      <c r="X1030" s="3">
        <f>IF(U1030="","",U1030-($V$3*G1030+$W$3))</f>
        <v/>
      </c>
      <c r="Y1030" s="3">
        <f>IF(X1030="","",MAX(-3,MIN(3,(X1030-$X3)/$X4)))</f>
        <v/>
      </c>
      <c r="Z1030" s="3">
        <f>IF(Y1030="","",(Y1030-AVERAGE(Y6:Y1198))/(STDEV(Y6:Y1198)+1E-12))</f>
        <v/>
      </c>
    </row>
    <row r="1031">
      <c r="A1031" t="inlineStr">
        <is>
          <t>BBG000C15114</t>
        </is>
      </c>
      <c r="B1031" s="3">
        <f>IF('3a Raw'!C1031="","",MAX(-3,MIN(3,('3a Raw'!C1031-$B3)/$B4)))</f>
        <v/>
      </c>
      <c r="C1031" s="3">
        <f>IF(B1031="","",(B1031-AVERAGE(B6:B1198))/(STDEV(B6:B1198)+1E-12))</f>
        <v/>
      </c>
      <c r="D1031" s="3">
        <f>IF('3a Raw'!D1031="","",MAX(-3,MIN(3,('3a Raw'!D1031-$D3)/$D4)))</f>
        <v/>
      </c>
      <c r="E1031" s="3">
        <f>IF(D1031="","",(D1031-AVERAGE(D6:D1198))/(STDEV(D6:D1198)+1E-12))</f>
        <v/>
      </c>
      <c r="F1031" s="3">
        <f>IF('3a Raw'!E1031="","",MAX(-3,MIN(3,('3a Raw'!E1031-$F3)/$F4)))</f>
        <v/>
      </c>
      <c r="G1031" s="3">
        <f>IF(F1031="","",(F1031-AVERAGE(F6:F1198))/(STDEV(F6:F1198)+1E-12))</f>
        <v/>
      </c>
      <c r="H1031" s="3">
        <f>IF('3a Raw'!F1031="","",MAX(-3,MIN(3,('3a Raw'!F1031-$H3)/$H4)))</f>
        <v/>
      </c>
      <c r="I1031" s="3">
        <f>IF(H1031="","",(H1031-AVERAGE(H6:H1198))/(STDEV(H6:H1198)+1E-12))</f>
        <v/>
      </c>
      <c r="J1031" s="3">
        <f>IF('3a Raw'!G1031="","",MAX(-3,MIN(3,('3a Raw'!G1031-$J3)/$J4)))</f>
        <v/>
      </c>
      <c r="K1031" s="3">
        <f>IF(J1031="","",(J1031-AVERAGE(J6:J1198))/(STDEV(J6:J1198)+1E-12))</f>
        <v/>
      </c>
      <c r="L1031" s="3">
        <f>IF('3a Raw'!H1031="","",MAX(-3,MIN(3,('3a Raw'!H1031-$L3)/$L4)))</f>
        <v/>
      </c>
      <c r="M1031" s="3">
        <f>IF(L1031="","",(L1031-AVERAGE(L6:L1198))/(STDEV(L6:L1198)+1E-12))</f>
        <v/>
      </c>
      <c r="N1031" s="3">
        <f>IF('3a Raw'!I1031="","",MAX(-3,MIN(3,('3a Raw'!I1031-$N3)/$N4)))</f>
        <v/>
      </c>
      <c r="O1031" s="3">
        <f>IF(N1031="","",(N1031-AVERAGE(N6:N1198))/(STDEV(N6:N1198)+1E-12))</f>
        <v/>
      </c>
      <c r="P1031" s="3">
        <f>IF('3a Raw'!J1031="","",MAX(-3,MIN(3,('3a Raw'!J1031-$P3)/$P4)))</f>
        <v/>
      </c>
      <c r="Q1031" s="3">
        <f>IF(P1031="","",(P1031-AVERAGE(P6:P1198))/(STDEV(P6:P1198)+1E-12))</f>
        <v/>
      </c>
      <c r="R1031" s="3">
        <f>IF('3a Raw'!K1031="","",MAX(-3,MIN(3,('3a Raw'!K1031-$R3)/$R4)))</f>
        <v/>
      </c>
      <c r="S1031" s="3">
        <f>IF(R1031="","",(R1031-AVERAGE(R6:R1198))/(STDEV(R6:R1198)+1E-12))</f>
        <v/>
      </c>
      <c r="T1031" s="3">
        <f>IF('3a Raw'!L1031="","",MAX(-3,MIN(3,('3a Raw'!L1031-$T3)/$T4)))</f>
        <v/>
      </c>
      <c r="U1031" s="3">
        <f>IF(T1031="","",(T1031-AVERAGE(T6:T1198))/(STDEV(T6:T1198)+1E-12))</f>
        <v/>
      </c>
      <c r="X1031" s="3">
        <f>IF(U1031="","",U1031-($V$3*G1031+$W$3))</f>
        <v/>
      </c>
      <c r="Y1031" s="3">
        <f>IF(X1031="","",MAX(-3,MIN(3,(X1031-$X3)/$X4)))</f>
        <v/>
      </c>
      <c r="Z1031" s="3">
        <f>IF(Y1031="","",(Y1031-AVERAGE(Y6:Y1198))/(STDEV(Y6:Y1198)+1E-12))</f>
        <v/>
      </c>
    </row>
    <row r="1032">
      <c r="A1032" t="inlineStr">
        <is>
          <t>BBG000BSJTT0</t>
        </is>
      </c>
      <c r="B1032" s="3">
        <f>IF('3a Raw'!C1032="","",MAX(-3,MIN(3,('3a Raw'!C1032-$B3)/$B4)))</f>
        <v/>
      </c>
      <c r="C1032" s="3">
        <f>IF(B1032="","",(B1032-AVERAGE(B6:B1198))/(STDEV(B6:B1198)+1E-12))</f>
        <v/>
      </c>
      <c r="D1032" s="3">
        <f>IF('3a Raw'!D1032="","",MAX(-3,MIN(3,('3a Raw'!D1032-$D3)/$D4)))</f>
        <v/>
      </c>
      <c r="E1032" s="3">
        <f>IF(D1032="","",(D1032-AVERAGE(D6:D1198))/(STDEV(D6:D1198)+1E-12))</f>
        <v/>
      </c>
      <c r="F1032" s="3">
        <f>IF('3a Raw'!E1032="","",MAX(-3,MIN(3,('3a Raw'!E1032-$F3)/$F4)))</f>
        <v/>
      </c>
      <c r="G1032" s="3">
        <f>IF(F1032="","",(F1032-AVERAGE(F6:F1198))/(STDEV(F6:F1198)+1E-12))</f>
        <v/>
      </c>
      <c r="H1032" s="3">
        <f>IF('3a Raw'!F1032="","",MAX(-3,MIN(3,('3a Raw'!F1032-$H3)/$H4)))</f>
        <v/>
      </c>
      <c r="I1032" s="3">
        <f>IF(H1032="","",(H1032-AVERAGE(H6:H1198))/(STDEV(H6:H1198)+1E-12))</f>
        <v/>
      </c>
      <c r="J1032" s="3">
        <f>IF('3a Raw'!G1032="","",MAX(-3,MIN(3,('3a Raw'!G1032-$J3)/$J4)))</f>
        <v/>
      </c>
      <c r="K1032" s="3">
        <f>IF(J1032="","",(J1032-AVERAGE(J6:J1198))/(STDEV(J6:J1198)+1E-12))</f>
        <v/>
      </c>
      <c r="L1032" s="3">
        <f>IF('3a Raw'!H1032="","",MAX(-3,MIN(3,('3a Raw'!H1032-$L3)/$L4)))</f>
        <v/>
      </c>
      <c r="M1032" s="3">
        <f>IF(L1032="","",(L1032-AVERAGE(L6:L1198))/(STDEV(L6:L1198)+1E-12))</f>
        <v/>
      </c>
      <c r="N1032" s="3">
        <f>IF('3a Raw'!I1032="","",MAX(-3,MIN(3,('3a Raw'!I1032-$N3)/$N4)))</f>
        <v/>
      </c>
      <c r="O1032" s="3">
        <f>IF(N1032="","",(N1032-AVERAGE(N6:N1198))/(STDEV(N6:N1198)+1E-12))</f>
        <v/>
      </c>
      <c r="P1032" s="3">
        <f>IF('3a Raw'!J1032="","",MAX(-3,MIN(3,('3a Raw'!J1032-$P3)/$P4)))</f>
        <v/>
      </c>
      <c r="Q1032" s="3">
        <f>IF(P1032="","",(P1032-AVERAGE(P6:P1198))/(STDEV(P6:P1198)+1E-12))</f>
        <v/>
      </c>
      <c r="R1032" s="3">
        <f>IF('3a Raw'!K1032="","",MAX(-3,MIN(3,('3a Raw'!K1032-$R3)/$R4)))</f>
        <v/>
      </c>
      <c r="S1032" s="3">
        <f>IF(R1032="","",(R1032-AVERAGE(R6:R1198))/(STDEV(R6:R1198)+1E-12))</f>
        <v/>
      </c>
      <c r="T1032" s="3">
        <f>IF('3a Raw'!L1032="","",MAX(-3,MIN(3,('3a Raw'!L1032-$T3)/$T4)))</f>
        <v/>
      </c>
      <c r="U1032" s="3">
        <f>IF(T1032="","",(T1032-AVERAGE(T6:T1198))/(STDEV(T6:T1198)+1E-12))</f>
        <v/>
      </c>
      <c r="X1032" s="3">
        <f>IF(U1032="","",U1032-($V$3*G1032+$W$3))</f>
        <v/>
      </c>
      <c r="Y1032" s="3">
        <f>IF(X1032="","",MAX(-3,MIN(3,(X1032-$X3)/$X4)))</f>
        <v/>
      </c>
      <c r="Z1032" s="3">
        <f>IF(Y1032="","",(Y1032-AVERAGE(Y6:Y1198))/(STDEV(Y6:Y1198)+1E-12))</f>
        <v/>
      </c>
    </row>
    <row r="1033">
      <c r="A1033" t="inlineStr">
        <is>
          <t>tel</t>
        </is>
      </c>
      <c r="B1033" s="3">
        <f>IF('3a Raw'!C1033="","",MAX(-3,MIN(3,('3a Raw'!C1033-$B3)/$B4)))</f>
        <v/>
      </c>
      <c r="C1033" s="3">
        <f>IF(B1033="","",(B1033-AVERAGE(B6:B1198))/(STDEV(B6:B1198)+1E-12))</f>
        <v/>
      </c>
      <c r="D1033" s="3">
        <f>IF('3a Raw'!D1033="","",MAX(-3,MIN(3,('3a Raw'!D1033-$D3)/$D4)))</f>
        <v/>
      </c>
      <c r="E1033" s="3">
        <f>IF(D1033="","",(D1033-AVERAGE(D6:D1198))/(STDEV(D6:D1198)+1E-12))</f>
        <v/>
      </c>
      <c r="F1033" s="3">
        <f>IF('3a Raw'!E1033="","",MAX(-3,MIN(3,('3a Raw'!E1033-$F3)/$F4)))</f>
        <v/>
      </c>
      <c r="G1033" s="3">
        <f>IF(F1033="","",(F1033-AVERAGE(F6:F1198))/(STDEV(F6:F1198)+1E-12))</f>
        <v/>
      </c>
      <c r="H1033" s="3">
        <f>IF('3a Raw'!F1033="","",MAX(-3,MIN(3,('3a Raw'!F1033-$H3)/$H4)))</f>
        <v/>
      </c>
      <c r="I1033" s="3">
        <f>IF(H1033="","",(H1033-AVERAGE(H6:H1198))/(STDEV(H6:H1198)+1E-12))</f>
        <v/>
      </c>
      <c r="J1033" s="3">
        <f>IF('3a Raw'!G1033="","",MAX(-3,MIN(3,('3a Raw'!G1033-$J3)/$J4)))</f>
        <v/>
      </c>
      <c r="K1033" s="3">
        <f>IF(J1033="","",(J1033-AVERAGE(J6:J1198))/(STDEV(J6:J1198)+1E-12))</f>
        <v/>
      </c>
      <c r="L1033" s="3">
        <f>IF('3a Raw'!H1033="","",MAX(-3,MIN(3,('3a Raw'!H1033-$L3)/$L4)))</f>
        <v/>
      </c>
      <c r="M1033" s="3">
        <f>IF(L1033="","",(L1033-AVERAGE(L6:L1198))/(STDEV(L6:L1198)+1E-12))</f>
        <v/>
      </c>
      <c r="N1033" s="3">
        <f>IF('3a Raw'!I1033="","",MAX(-3,MIN(3,('3a Raw'!I1033-$N3)/$N4)))</f>
        <v/>
      </c>
      <c r="O1033" s="3">
        <f>IF(N1033="","",(N1033-AVERAGE(N6:N1198))/(STDEV(N6:N1198)+1E-12))</f>
        <v/>
      </c>
      <c r="P1033" s="3">
        <f>IF('3a Raw'!J1033="","",MAX(-3,MIN(3,('3a Raw'!J1033-$P3)/$P4)))</f>
        <v/>
      </c>
      <c r="Q1033" s="3">
        <f>IF(P1033="","",(P1033-AVERAGE(P6:P1198))/(STDEV(P6:P1198)+1E-12))</f>
        <v/>
      </c>
      <c r="R1033" s="3">
        <f>IF('3a Raw'!K1033="","",MAX(-3,MIN(3,('3a Raw'!K1033-$R3)/$R4)))</f>
        <v/>
      </c>
      <c r="S1033" s="3">
        <f>IF(R1033="","",(R1033-AVERAGE(R6:R1198))/(STDEV(R6:R1198)+1E-12))</f>
        <v/>
      </c>
      <c r="T1033" s="3">
        <f>IF('3a Raw'!L1033="","",MAX(-3,MIN(3,('3a Raw'!L1033-$T3)/$T4)))</f>
        <v/>
      </c>
      <c r="U1033" s="3">
        <f>IF(T1033="","",(T1033-AVERAGE(T6:T1198))/(STDEV(T6:T1198)+1E-12))</f>
        <v/>
      </c>
      <c r="X1033" s="3">
        <f>IF(U1033="","",U1033-($V$3*G1033+$W$3))</f>
        <v/>
      </c>
      <c r="Y1033" s="3">
        <f>IF(X1033="","",MAX(-3,MIN(3,(X1033-$X3)/$X4)))</f>
        <v/>
      </c>
      <c r="Z1033" s="3">
        <f>IF(Y1033="","",(Y1033-AVERAGE(Y6:Y1198))/(STDEV(Y6:Y1198)+1E-12))</f>
        <v/>
      </c>
    </row>
    <row r="1034">
      <c r="A1034" t="inlineStr">
        <is>
          <t>BBG000BL1FQ7</t>
        </is>
      </c>
      <c r="B1034" s="3">
        <f>IF('3a Raw'!C1034="","",MAX(-3,MIN(3,('3a Raw'!C1034-$B3)/$B4)))</f>
        <v/>
      </c>
      <c r="C1034" s="3">
        <f>IF(B1034="","",(B1034-AVERAGE(B6:B1198))/(STDEV(B6:B1198)+1E-12))</f>
        <v/>
      </c>
      <c r="D1034" s="3">
        <f>IF('3a Raw'!D1034="","",MAX(-3,MIN(3,('3a Raw'!D1034-$D3)/$D4)))</f>
        <v/>
      </c>
      <c r="E1034" s="3">
        <f>IF(D1034="","",(D1034-AVERAGE(D6:D1198))/(STDEV(D6:D1198)+1E-12))</f>
        <v/>
      </c>
      <c r="F1034" s="3">
        <f>IF('3a Raw'!E1034="","",MAX(-3,MIN(3,('3a Raw'!E1034-$F3)/$F4)))</f>
        <v/>
      </c>
      <c r="G1034" s="3">
        <f>IF(F1034="","",(F1034-AVERAGE(F6:F1198))/(STDEV(F6:F1198)+1E-12))</f>
        <v/>
      </c>
      <c r="H1034" s="3">
        <f>IF('3a Raw'!F1034="","",MAX(-3,MIN(3,('3a Raw'!F1034-$H3)/$H4)))</f>
        <v/>
      </c>
      <c r="I1034" s="3">
        <f>IF(H1034="","",(H1034-AVERAGE(H6:H1198))/(STDEV(H6:H1198)+1E-12))</f>
        <v/>
      </c>
      <c r="J1034" s="3">
        <f>IF('3a Raw'!G1034="","",MAX(-3,MIN(3,('3a Raw'!G1034-$J3)/$J4)))</f>
        <v/>
      </c>
      <c r="K1034" s="3">
        <f>IF(J1034="","",(J1034-AVERAGE(J6:J1198))/(STDEV(J6:J1198)+1E-12))</f>
        <v/>
      </c>
      <c r="L1034" s="3">
        <f>IF('3a Raw'!H1034="","",MAX(-3,MIN(3,('3a Raw'!H1034-$L3)/$L4)))</f>
        <v/>
      </c>
      <c r="M1034" s="3">
        <f>IF(L1034="","",(L1034-AVERAGE(L6:L1198))/(STDEV(L6:L1198)+1E-12))</f>
        <v/>
      </c>
      <c r="N1034" s="3">
        <f>IF('3a Raw'!I1034="","",MAX(-3,MIN(3,('3a Raw'!I1034-$N3)/$N4)))</f>
        <v/>
      </c>
      <c r="O1034" s="3">
        <f>IF(N1034="","",(N1034-AVERAGE(N6:N1198))/(STDEV(N6:N1198)+1E-12))</f>
        <v/>
      </c>
      <c r="P1034" s="3">
        <f>IF('3a Raw'!J1034="","",MAX(-3,MIN(3,('3a Raw'!J1034-$P3)/$P4)))</f>
        <v/>
      </c>
      <c r="Q1034" s="3">
        <f>IF(P1034="","",(P1034-AVERAGE(P6:P1198))/(STDEV(P6:P1198)+1E-12))</f>
        <v/>
      </c>
      <c r="R1034" s="3">
        <f>IF('3a Raw'!K1034="","",MAX(-3,MIN(3,('3a Raw'!K1034-$R3)/$R4)))</f>
        <v/>
      </c>
      <c r="S1034" s="3">
        <f>IF(R1034="","",(R1034-AVERAGE(R6:R1198))/(STDEV(R6:R1198)+1E-12))</f>
        <v/>
      </c>
      <c r="T1034" s="3">
        <f>IF('3a Raw'!L1034="","",MAX(-3,MIN(3,('3a Raw'!L1034-$T3)/$T4)))</f>
        <v/>
      </c>
      <c r="U1034" s="3">
        <f>IF(T1034="","",(T1034-AVERAGE(T6:T1198))/(STDEV(T6:T1198)+1E-12))</f>
        <v/>
      </c>
      <c r="X1034" s="3">
        <f>IF(U1034="","",U1034-($V$3*G1034+$W$3))</f>
        <v/>
      </c>
      <c r="Y1034" s="3">
        <f>IF(X1034="","",MAX(-3,MIN(3,(X1034-$X3)/$X4)))</f>
        <v/>
      </c>
      <c r="Z1034" s="3">
        <f>IF(Y1034="","",(Y1034-AVERAGE(Y6:Y1198))/(STDEV(Y6:Y1198)+1E-12))</f>
        <v/>
      </c>
    </row>
    <row r="1035">
      <c r="A1035" t="inlineStr">
        <is>
          <t>BBG000BV4DR6</t>
        </is>
      </c>
      <c r="B1035" s="3">
        <f>IF('3a Raw'!C1035="","",MAX(-3,MIN(3,('3a Raw'!C1035-$B3)/$B4)))</f>
        <v/>
      </c>
      <c r="C1035" s="3">
        <f>IF(B1035="","",(B1035-AVERAGE(B6:B1198))/(STDEV(B6:B1198)+1E-12))</f>
        <v/>
      </c>
      <c r="D1035" s="3">
        <f>IF('3a Raw'!D1035="","",MAX(-3,MIN(3,('3a Raw'!D1035-$D3)/$D4)))</f>
        <v/>
      </c>
      <c r="E1035" s="3">
        <f>IF(D1035="","",(D1035-AVERAGE(D6:D1198))/(STDEV(D6:D1198)+1E-12))</f>
        <v/>
      </c>
      <c r="F1035" s="3">
        <f>IF('3a Raw'!E1035="","",MAX(-3,MIN(3,('3a Raw'!E1035-$F3)/$F4)))</f>
        <v/>
      </c>
      <c r="G1035" s="3">
        <f>IF(F1035="","",(F1035-AVERAGE(F6:F1198))/(STDEV(F6:F1198)+1E-12))</f>
        <v/>
      </c>
      <c r="H1035" s="3">
        <f>IF('3a Raw'!F1035="","",MAX(-3,MIN(3,('3a Raw'!F1035-$H3)/$H4)))</f>
        <v/>
      </c>
      <c r="I1035" s="3">
        <f>IF(H1035="","",(H1035-AVERAGE(H6:H1198))/(STDEV(H6:H1198)+1E-12))</f>
        <v/>
      </c>
      <c r="J1035" s="3">
        <f>IF('3a Raw'!G1035="","",MAX(-3,MIN(3,('3a Raw'!G1035-$J3)/$J4)))</f>
        <v/>
      </c>
      <c r="K1035" s="3">
        <f>IF(J1035="","",(J1035-AVERAGE(J6:J1198))/(STDEV(J6:J1198)+1E-12))</f>
        <v/>
      </c>
      <c r="L1035" s="3">
        <f>IF('3a Raw'!H1035="","",MAX(-3,MIN(3,('3a Raw'!H1035-$L3)/$L4)))</f>
        <v/>
      </c>
      <c r="M1035" s="3">
        <f>IF(L1035="","",(L1035-AVERAGE(L6:L1198))/(STDEV(L6:L1198)+1E-12))</f>
        <v/>
      </c>
      <c r="N1035" s="3">
        <f>IF('3a Raw'!I1035="","",MAX(-3,MIN(3,('3a Raw'!I1035-$N3)/$N4)))</f>
        <v/>
      </c>
      <c r="O1035" s="3">
        <f>IF(N1035="","",(N1035-AVERAGE(N6:N1198))/(STDEV(N6:N1198)+1E-12))</f>
        <v/>
      </c>
      <c r="P1035" s="3">
        <f>IF('3a Raw'!J1035="","",MAX(-3,MIN(3,('3a Raw'!J1035-$P3)/$P4)))</f>
        <v/>
      </c>
      <c r="Q1035" s="3">
        <f>IF(P1035="","",(P1035-AVERAGE(P6:P1198))/(STDEV(P6:P1198)+1E-12))</f>
        <v/>
      </c>
      <c r="R1035" s="3">
        <f>IF('3a Raw'!K1035="","",MAX(-3,MIN(3,('3a Raw'!K1035-$R3)/$R4)))</f>
        <v/>
      </c>
      <c r="S1035" s="3">
        <f>IF(R1035="","",(R1035-AVERAGE(R6:R1198))/(STDEV(R6:R1198)+1E-12))</f>
        <v/>
      </c>
      <c r="T1035" s="3">
        <f>IF('3a Raw'!L1035="","",MAX(-3,MIN(3,('3a Raw'!L1035-$T3)/$T4)))</f>
        <v/>
      </c>
      <c r="U1035" s="3">
        <f>IF(T1035="","",(T1035-AVERAGE(T6:T1198))/(STDEV(T6:T1198)+1E-12))</f>
        <v/>
      </c>
      <c r="X1035" s="3">
        <f>IF(U1035="","",U1035-($V$3*G1035+$W$3))</f>
        <v/>
      </c>
      <c r="Y1035" s="3">
        <f>IF(X1035="","",MAX(-3,MIN(3,(X1035-$X3)/$X4)))</f>
        <v/>
      </c>
      <c r="Z1035" s="3">
        <f>IF(Y1035="","",(Y1035-AVERAGE(Y6:Y1198))/(STDEV(Y6:Y1198)+1E-12))</f>
        <v/>
      </c>
    </row>
    <row r="1036">
      <c r="A1036" t="inlineStr">
        <is>
          <t>BBG000C0CD58</t>
        </is>
      </c>
      <c r="B1036" s="3">
        <f>IF('3a Raw'!C1036="","",MAX(-3,MIN(3,('3a Raw'!C1036-$B3)/$B4)))</f>
        <v/>
      </c>
      <c r="C1036" s="3">
        <f>IF(B1036="","",(B1036-AVERAGE(B6:B1198))/(STDEV(B6:B1198)+1E-12))</f>
        <v/>
      </c>
      <c r="D1036" s="3">
        <f>IF('3a Raw'!D1036="","",MAX(-3,MIN(3,('3a Raw'!D1036-$D3)/$D4)))</f>
        <v/>
      </c>
      <c r="E1036" s="3">
        <f>IF(D1036="","",(D1036-AVERAGE(D6:D1198))/(STDEV(D6:D1198)+1E-12))</f>
        <v/>
      </c>
      <c r="F1036" s="3">
        <f>IF('3a Raw'!E1036="","",MAX(-3,MIN(3,('3a Raw'!E1036-$F3)/$F4)))</f>
        <v/>
      </c>
      <c r="G1036" s="3">
        <f>IF(F1036="","",(F1036-AVERAGE(F6:F1198))/(STDEV(F6:F1198)+1E-12))</f>
        <v/>
      </c>
      <c r="H1036" s="3">
        <f>IF('3a Raw'!F1036="","",MAX(-3,MIN(3,('3a Raw'!F1036-$H3)/$H4)))</f>
        <v/>
      </c>
      <c r="I1036" s="3">
        <f>IF(H1036="","",(H1036-AVERAGE(H6:H1198))/(STDEV(H6:H1198)+1E-12))</f>
        <v/>
      </c>
      <c r="J1036" s="3">
        <f>IF('3a Raw'!G1036="","",MAX(-3,MIN(3,('3a Raw'!G1036-$J3)/$J4)))</f>
        <v/>
      </c>
      <c r="K1036" s="3">
        <f>IF(J1036="","",(J1036-AVERAGE(J6:J1198))/(STDEV(J6:J1198)+1E-12))</f>
        <v/>
      </c>
      <c r="L1036" s="3">
        <f>IF('3a Raw'!H1036="","",MAX(-3,MIN(3,('3a Raw'!H1036-$L3)/$L4)))</f>
        <v/>
      </c>
      <c r="M1036" s="3">
        <f>IF(L1036="","",(L1036-AVERAGE(L6:L1198))/(STDEV(L6:L1198)+1E-12))</f>
        <v/>
      </c>
      <c r="N1036" s="3">
        <f>IF('3a Raw'!I1036="","",MAX(-3,MIN(3,('3a Raw'!I1036-$N3)/$N4)))</f>
        <v/>
      </c>
      <c r="O1036" s="3">
        <f>IF(N1036="","",(N1036-AVERAGE(N6:N1198))/(STDEV(N6:N1198)+1E-12))</f>
        <v/>
      </c>
      <c r="P1036" s="3">
        <f>IF('3a Raw'!J1036="","",MAX(-3,MIN(3,('3a Raw'!J1036-$P3)/$P4)))</f>
        <v/>
      </c>
      <c r="Q1036" s="3">
        <f>IF(P1036="","",(P1036-AVERAGE(P6:P1198))/(STDEV(P6:P1198)+1E-12))</f>
        <v/>
      </c>
      <c r="R1036" s="3">
        <f>IF('3a Raw'!K1036="","",MAX(-3,MIN(3,('3a Raw'!K1036-$R3)/$R4)))</f>
        <v/>
      </c>
      <c r="S1036" s="3">
        <f>IF(R1036="","",(R1036-AVERAGE(R6:R1198))/(STDEV(R6:R1198)+1E-12))</f>
        <v/>
      </c>
      <c r="T1036" s="3">
        <f>IF('3a Raw'!L1036="","",MAX(-3,MIN(3,('3a Raw'!L1036-$T3)/$T4)))</f>
        <v/>
      </c>
      <c r="U1036" s="3">
        <f>IF(T1036="","",(T1036-AVERAGE(T6:T1198))/(STDEV(T6:T1198)+1E-12))</f>
        <v/>
      </c>
      <c r="X1036" s="3">
        <f>IF(U1036="","",U1036-($V$3*G1036+$W$3))</f>
        <v/>
      </c>
      <c r="Y1036" s="3">
        <f>IF(X1036="","",MAX(-3,MIN(3,(X1036-$X3)/$X4)))</f>
        <v/>
      </c>
      <c r="Z1036" s="3">
        <f>IF(Y1036="","",(Y1036-AVERAGE(Y6:Y1198))/(STDEV(Y6:Y1198)+1E-12))</f>
        <v/>
      </c>
    </row>
    <row r="1037">
      <c r="A1037" t="inlineStr">
        <is>
          <t>BBG000BYYLS8</t>
        </is>
      </c>
      <c r="B1037" s="3">
        <f>IF('3a Raw'!C1037="","",MAX(-3,MIN(3,('3a Raw'!C1037-$B3)/$B4)))</f>
        <v/>
      </c>
      <c r="C1037" s="3">
        <f>IF(B1037="","",(B1037-AVERAGE(B6:B1198))/(STDEV(B6:B1198)+1E-12))</f>
        <v/>
      </c>
      <c r="D1037" s="3">
        <f>IF('3a Raw'!D1037="","",MAX(-3,MIN(3,('3a Raw'!D1037-$D3)/$D4)))</f>
        <v/>
      </c>
      <c r="E1037" s="3">
        <f>IF(D1037="","",(D1037-AVERAGE(D6:D1198))/(STDEV(D6:D1198)+1E-12))</f>
        <v/>
      </c>
      <c r="F1037" s="3">
        <f>IF('3a Raw'!E1037="","",MAX(-3,MIN(3,('3a Raw'!E1037-$F3)/$F4)))</f>
        <v/>
      </c>
      <c r="G1037" s="3">
        <f>IF(F1037="","",(F1037-AVERAGE(F6:F1198))/(STDEV(F6:F1198)+1E-12))</f>
        <v/>
      </c>
      <c r="H1037" s="3">
        <f>IF('3a Raw'!F1037="","",MAX(-3,MIN(3,('3a Raw'!F1037-$H3)/$H4)))</f>
        <v/>
      </c>
      <c r="I1037" s="3">
        <f>IF(H1037="","",(H1037-AVERAGE(H6:H1198))/(STDEV(H6:H1198)+1E-12))</f>
        <v/>
      </c>
      <c r="J1037" s="3">
        <f>IF('3a Raw'!G1037="","",MAX(-3,MIN(3,('3a Raw'!G1037-$J3)/$J4)))</f>
        <v/>
      </c>
      <c r="K1037" s="3">
        <f>IF(J1037="","",(J1037-AVERAGE(J6:J1198))/(STDEV(J6:J1198)+1E-12))</f>
        <v/>
      </c>
      <c r="L1037" s="3">
        <f>IF('3a Raw'!H1037="","",MAX(-3,MIN(3,('3a Raw'!H1037-$L3)/$L4)))</f>
        <v/>
      </c>
      <c r="M1037" s="3">
        <f>IF(L1037="","",(L1037-AVERAGE(L6:L1198))/(STDEV(L6:L1198)+1E-12))</f>
        <v/>
      </c>
      <c r="N1037" s="3">
        <f>IF('3a Raw'!I1037="","",MAX(-3,MIN(3,('3a Raw'!I1037-$N3)/$N4)))</f>
        <v/>
      </c>
      <c r="O1037" s="3">
        <f>IF(N1037="","",(N1037-AVERAGE(N6:N1198))/(STDEV(N6:N1198)+1E-12))</f>
        <v/>
      </c>
      <c r="P1037" s="3">
        <f>IF('3a Raw'!J1037="","",MAX(-3,MIN(3,('3a Raw'!J1037-$P3)/$P4)))</f>
        <v/>
      </c>
      <c r="Q1037" s="3">
        <f>IF(P1037="","",(P1037-AVERAGE(P6:P1198))/(STDEV(P6:P1198)+1E-12))</f>
        <v/>
      </c>
      <c r="R1037" s="3">
        <f>IF('3a Raw'!K1037="","",MAX(-3,MIN(3,('3a Raw'!K1037-$R3)/$R4)))</f>
        <v/>
      </c>
      <c r="S1037" s="3">
        <f>IF(R1037="","",(R1037-AVERAGE(R6:R1198))/(STDEV(R6:R1198)+1E-12))</f>
        <v/>
      </c>
      <c r="T1037" s="3">
        <f>IF('3a Raw'!L1037="","",MAX(-3,MIN(3,('3a Raw'!L1037-$T3)/$T4)))</f>
        <v/>
      </c>
      <c r="U1037" s="3">
        <f>IF(T1037="","",(T1037-AVERAGE(T6:T1198))/(STDEV(T6:T1198)+1E-12))</f>
        <v/>
      </c>
      <c r="X1037" s="3">
        <f>IF(U1037="","",U1037-($V$3*G1037+$W$3))</f>
        <v/>
      </c>
      <c r="Y1037" s="3">
        <f>IF(X1037="","",MAX(-3,MIN(3,(X1037-$X3)/$X4)))</f>
        <v/>
      </c>
      <c r="Z1037" s="3">
        <f>IF(Y1037="","",(Y1037-AVERAGE(Y6:Y1198))/(STDEV(Y6:Y1198)+1E-12))</f>
        <v/>
      </c>
    </row>
    <row r="1038">
      <c r="A1038" t="inlineStr">
        <is>
          <t>BBG000BV59Y6</t>
        </is>
      </c>
      <c r="B1038" s="3">
        <f>IF('3a Raw'!C1038="","",MAX(-3,MIN(3,('3a Raw'!C1038-$B3)/$B4)))</f>
        <v/>
      </c>
      <c r="C1038" s="3">
        <f>IF(B1038="","",(B1038-AVERAGE(B6:B1198))/(STDEV(B6:B1198)+1E-12))</f>
        <v/>
      </c>
      <c r="D1038" s="3">
        <f>IF('3a Raw'!D1038="","",MAX(-3,MIN(3,('3a Raw'!D1038-$D3)/$D4)))</f>
        <v/>
      </c>
      <c r="E1038" s="3">
        <f>IF(D1038="","",(D1038-AVERAGE(D6:D1198))/(STDEV(D6:D1198)+1E-12))</f>
        <v/>
      </c>
      <c r="F1038" s="3">
        <f>IF('3a Raw'!E1038="","",MAX(-3,MIN(3,('3a Raw'!E1038-$F3)/$F4)))</f>
        <v/>
      </c>
      <c r="G1038" s="3">
        <f>IF(F1038="","",(F1038-AVERAGE(F6:F1198))/(STDEV(F6:F1198)+1E-12))</f>
        <v/>
      </c>
      <c r="H1038" s="3">
        <f>IF('3a Raw'!F1038="","",MAX(-3,MIN(3,('3a Raw'!F1038-$H3)/$H4)))</f>
        <v/>
      </c>
      <c r="I1038" s="3">
        <f>IF(H1038="","",(H1038-AVERAGE(H6:H1198))/(STDEV(H6:H1198)+1E-12))</f>
        <v/>
      </c>
      <c r="J1038" s="3">
        <f>IF('3a Raw'!G1038="","",MAX(-3,MIN(3,('3a Raw'!G1038-$J3)/$J4)))</f>
        <v/>
      </c>
      <c r="K1038" s="3">
        <f>IF(J1038="","",(J1038-AVERAGE(J6:J1198))/(STDEV(J6:J1198)+1E-12))</f>
        <v/>
      </c>
      <c r="L1038" s="3">
        <f>IF('3a Raw'!H1038="","",MAX(-3,MIN(3,('3a Raw'!H1038-$L3)/$L4)))</f>
        <v/>
      </c>
      <c r="M1038" s="3">
        <f>IF(L1038="","",(L1038-AVERAGE(L6:L1198))/(STDEV(L6:L1198)+1E-12))</f>
        <v/>
      </c>
      <c r="N1038" s="3">
        <f>IF('3a Raw'!I1038="","",MAX(-3,MIN(3,('3a Raw'!I1038-$N3)/$N4)))</f>
        <v/>
      </c>
      <c r="O1038" s="3">
        <f>IF(N1038="","",(N1038-AVERAGE(N6:N1198))/(STDEV(N6:N1198)+1E-12))</f>
        <v/>
      </c>
      <c r="P1038" s="3">
        <f>IF('3a Raw'!J1038="","",MAX(-3,MIN(3,('3a Raw'!J1038-$P3)/$P4)))</f>
        <v/>
      </c>
      <c r="Q1038" s="3">
        <f>IF(P1038="","",(P1038-AVERAGE(P6:P1198))/(STDEV(P6:P1198)+1E-12))</f>
        <v/>
      </c>
      <c r="R1038" s="3">
        <f>IF('3a Raw'!K1038="","",MAX(-3,MIN(3,('3a Raw'!K1038-$R3)/$R4)))</f>
        <v/>
      </c>
      <c r="S1038" s="3">
        <f>IF(R1038="","",(R1038-AVERAGE(R6:R1198))/(STDEV(R6:R1198)+1E-12))</f>
        <v/>
      </c>
      <c r="T1038" s="3">
        <f>IF('3a Raw'!L1038="","",MAX(-3,MIN(3,('3a Raw'!L1038-$T3)/$T4)))</f>
        <v/>
      </c>
      <c r="U1038" s="3">
        <f>IF(T1038="","",(T1038-AVERAGE(T6:T1198))/(STDEV(T6:T1198)+1E-12))</f>
        <v/>
      </c>
      <c r="X1038" s="3">
        <f>IF(U1038="","",U1038-($V$3*G1038+$W$3))</f>
        <v/>
      </c>
      <c r="Y1038" s="3">
        <f>IF(X1038="","",MAX(-3,MIN(3,(X1038-$X3)/$X4)))</f>
        <v/>
      </c>
      <c r="Z1038" s="3">
        <f>IF(Y1038="","",(Y1038-AVERAGE(Y6:Y1198))/(STDEV(Y6:Y1198)+1E-12))</f>
        <v/>
      </c>
    </row>
    <row r="1039">
      <c r="A1039" t="inlineStr">
        <is>
          <t>BBG000H8TVT2</t>
        </is>
      </c>
      <c r="B1039" s="3">
        <f>IF('3a Raw'!C1039="","",MAX(-3,MIN(3,('3a Raw'!C1039-$B3)/$B4)))</f>
        <v/>
      </c>
      <c r="C1039" s="3">
        <f>IF(B1039="","",(B1039-AVERAGE(B6:B1198))/(STDEV(B6:B1198)+1E-12))</f>
        <v/>
      </c>
      <c r="D1039" s="3">
        <f>IF('3a Raw'!D1039="","",MAX(-3,MIN(3,('3a Raw'!D1039-$D3)/$D4)))</f>
        <v/>
      </c>
      <c r="E1039" s="3">
        <f>IF(D1039="","",(D1039-AVERAGE(D6:D1198))/(STDEV(D6:D1198)+1E-12))</f>
        <v/>
      </c>
      <c r="F1039" s="3">
        <f>IF('3a Raw'!E1039="","",MAX(-3,MIN(3,('3a Raw'!E1039-$F3)/$F4)))</f>
        <v/>
      </c>
      <c r="G1039" s="3">
        <f>IF(F1039="","",(F1039-AVERAGE(F6:F1198))/(STDEV(F6:F1198)+1E-12))</f>
        <v/>
      </c>
      <c r="H1039" s="3">
        <f>IF('3a Raw'!F1039="","",MAX(-3,MIN(3,('3a Raw'!F1039-$H3)/$H4)))</f>
        <v/>
      </c>
      <c r="I1039" s="3">
        <f>IF(H1039="","",(H1039-AVERAGE(H6:H1198))/(STDEV(H6:H1198)+1E-12))</f>
        <v/>
      </c>
      <c r="J1039" s="3">
        <f>IF('3a Raw'!G1039="","",MAX(-3,MIN(3,('3a Raw'!G1039-$J3)/$J4)))</f>
        <v/>
      </c>
      <c r="K1039" s="3">
        <f>IF(J1039="","",(J1039-AVERAGE(J6:J1198))/(STDEV(J6:J1198)+1E-12))</f>
        <v/>
      </c>
      <c r="L1039" s="3">
        <f>IF('3a Raw'!H1039="","",MAX(-3,MIN(3,('3a Raw'!H1039-$L3)/$L4)))</f>
        <v/>
      </c>
      <c r="M1039" s="3">
        <f>IF(L1039="","",(L1039-AVERAGE(L6:L1198))/(STDEV(L6:L1198)+1E-12))</f>
        <v/>
      </c>
      <c r="N1039" s="3">
        <f>IF('3a Raw'!I1039="","",MAX(-3,MIN(3,('3a Raw'!I1039-$N3)/$N4)))</f>
        <v/>
      </c>
      <c r="O1039" s="3">
        <f>IF(N1039="","",(N1039-AVERAGE(N6:N1198))/(STDEV(N6:N1198)+1E-12))</f>
        <v/>
      </c>
      <c r="P1039" s="3">
        <f>IF('3a Raw'!J1039="","",MAX(-3,MIN(3,('3a Raw'!J1039-$P3)/$P4)))</f>
        <v/>
      </c>
      <c r="Q1039" s="3">
        <f>IF(P1039="","",(P1039-AVERAGE(P6:P1198))/(STDEV(P6:P1198)+1E-12))</f>
        <v/>
      </c>
      <c r="R1039" s="3">
        <f>IF('3a Raw'!K1039="","",MAX(-3,MIN(3,('3a Raw'!K1039-$R3)/$R4)))</f>
        <v/>
      </c>
      <c r="S1039" s="3">
        <f>IF(R1039="","",(R1039-AVERAGE(R6:R1198))/(STDEV(R6:R1198)+1E-12))</f>
        <v/>
      </c>
      <c r="T1039" s="3">
        <f>IF('3a Raw'!L1039="","",MAX(-3,MIN(3,('3a Raw'!L1039-$T3)/$T4)))</f>
        <v/>
      </c>
      <c r="U1039" s="3">
        <f>IF(T1039="","",(T1039-AVERAGE(T6:T1198))/(STDEV(T6:T1198)+1E-12))</f>
        <v/>
      </c>
      <c r="X1039" s="3">
        <f>IF(U1039="","",U1039-($V$3*G1039+$W$3))</f>
        <v/>
      </c>
      <c r="Y1039" s="3">
        <f>IF(X1039="","",MAX(-3,MIN(3,(X1039-$X3)/$X4)))</f>
        <v/>
      </c>
      <c r="Z1039" s="3">
        <f>IF(Y1039="","",(Y1039-AVERAGE(Y6:Y1198))/(STDEV(Y6:Y1198)+1E-12))</f>
        <v/>
      </c>
    </row>
    <row r="1040">
      <c r="A1040" t="inlineStr">
        <is>
          <t>BBG000CPHYL4</t>
        </is>
      </c>
      <c r="B1040" s="3">
        <f>IF('3a Raw'!C1040="","",MAX(-3,MIN(3,('3a Raw'!C1040-$B3)/$B4)))</f>
        <v/>
      </c>
      <c r="C1040" s="3">
        <f>IF(B1040="","",(B1040-AVERAGE(B6:B1198))/(STDEV(B6:B1198)+1E-12))</f>
        <v/>
      </c>
      <c r="D1040" s="3">
        <f>IF('3a Raw'!D1040="","",MAX(-3,MIN(3,('3a Raw'!D1040-$D3)/$D4)))</f>
        <v/>
      </c>
      <c r="E1040" s="3">
        <f>IF(D1040="","",(D1040-AVERAGE(D6:D1198))/(STDEV(D6:D1198)+1E-12))</f>
        <v/>
      </c>
      <c r="F1040" s="3">
        <f>IF('3a Raw'!E1040="","",MAX(-3,MIN(3,('3a Raw'!E1040-$F3)/$F4)))</f>
        <v/>
      </c>
      <c r="G1040" s="3">
        <f>IF(F1040="","",(F1040-AVERAGE(F6:F1198))/(STDEV(F6:F1198)+1E-12))</f>
        <v/>
      </c>
      <c r="H1040" s="3">
        <f>IF('3a Raw'!F1040="","",MAX(-3,MIN(3,('3a Raw'!F1040-$H3)/$H4)))</f>
        <v/>
      </c>
      <c r="I1040" s="3">
        <f>IF(H1040="","",(H1040-AVERAGE(H6:H1198))/(STDEV(H6:H1198)+1E-12))</f>
        <v/>
      </c>
      <c r="J1040" s="3">
        <f>IF('3a Raw'!G1040="","",MAX(-3,MIN(3,('3a Raw'!G1040-$J3)/$J4)))</f>
        <v/>
      </c>
      <c r="K1040" s="3">
        <f>IF(J1040="","",(J1040-AVERAGE(J6:J1198))/(STDEV(J6:J1198)+1E-12))</f>
        <v/>
      </c>
      <c r="L1040" s="3">
        <f>IF('3a Raw'!H1040="","",MAX(-3,MIN(3,('3a Raw'!H1040-$L3)/$L4)))</f>
        <v/>
      </c>
      <c r="M1040" s="3">
        <f>IF(L1040="","",(L1040-AVERAGE(L6:L1198))/(STDEV(L6:L1198)+1E-12))</f>
        <v/>
      </c>
      <c r="N1040" s="3">
        <f>IF('3a Raw'!I1040="","",MAX(-3,MIN(3,('3a Raw'!I1040-$N3)/$N4)))</f>
        <v/>
      </c>
      <c r="O1040" s="3">
        <f>IF(N1040="","",(N1040-AVERAGE(N6:N1198))/(STDEV(N6:N1198)+1E-12))</f>
        <v/>
      </c>
      <c r="P1040" s="3">
        <f>IF('3a Raw'!J1040="","",MAX(-3,MIN(3,('3a Raw'!J1040-$P3)/$P4)))</f>
        <v/>
      </c>
      <c r="Q1040" s="3">
        <f>IF(P1040="","",(P1040-AVERAGE(P6:P1198))/(STDEV(P6:P1198)+1E-12))</f>
        <v/>
      </c>
      <c r="R1040" s="3">
        <f>IF('3a Raw'!K1040="","",MAX(-3,MIN(3,('3a Raw'!K1040-$R3)/$R4)))</f>
        <v/>
      </c>
      <c r="S1040" s="3">
        <f>IF(R1040="","",(R1040-AVERAGE(R6:R1198))/(STDEV(R6:R1198)+1E-12))</f>
        <v/>
      </c>
      <c r="T1040" s="3">
        <f>IF('3a Raw'!L1040="","",MAX(-3,MIN(3,('3a Raw'!L1040-$T3)/$T4)))</f>
        <v/>
      </c>
      <c r="U1040" s="3">
        <f>IF(T1040="","",(T1040-AVERAGE(T6:T1198))/(STDEV(T6:T1198)+1E-12))</f>
        <v/>
      </c>
      <c r="X1040" s="3">
        <f>IF(U1040="","",U1040-($V$3*G1040+$W$3))</f>
        <v/>
      </c>
      <c r="Y1040" s="3">
        <f>IF(X1040="","",MAX(-3,MIN(3,(X1040-$X3)/$X4)))</f>
        <v/>
      </c>
      <c r="Z1040" s="3">
        <f>IF(Y1040="","",(Y1040-AVERAGE(Y6:Y1198))/(STDEV(Y6:Y1198)+1E-12))</f>
        <v/>
      </c>
    </row>
    <row r="1041">
      <c r="A1041" t="inlineStr">
        <is>
          <t>BBG000BQLM34</t>
        </is>
      </c>
      <c r="B1041" s="3">
        <f>IF('3a Raw'!C1041="","",MAX(-3,MIN(3,('3a Raw'!C1041-$B3)/$B4)))</f>
        <v/>
      </c>
      <c r="C1041" s="3">
        <f>IF(B1041="","",(B1041-AVERAGE(B6:B1198))/(STDEV(B6:B1198)+1E-12))</f>
        <v/>
      </c>
      <c r="D1041" s="3">
        <f>IF('3a Raw'!D1041="","",MAX(-3,MIN(3,('3a Raw'!D1041-$D3)/$D4)))</f>
        <v/>
      </c>
      <c r="E1041" s="3">
        <f>IF(D1041="","",(D1041-AVERAGE(D6:D1198))/(STDEV(D6:D1198)+1E-12))</f>
        <v/>
      </c>
      <c r="F1041" s="3">
        <f>IF('3a Raw'!E1041="","",MAX(-3,MIN(3,('3a Raw'!E1041-$F3)/$F4)))</f>
        <v/>
      </c>
      <c r="G1041" s="3">
        <f>IF(F1041="","",(F1041-AVERAGE(F6:F1198))/(STDEV(F6:F1198)+1E-12))</f>
        <v/>
      </c>
      <c r="H1041" s="3">
        <f>IF('3a Raw'!F1041="","",MAX(-3,MIN(3,('3a Raw'!F1041-$H3)/$H4)))</f>
        <v/>
      </c>
      <c r="I1041" s="3">
        <f>IF(H1041="","",(H1041-AVERAGE(H6:H1198))/(STDEV(H6:H1198)+1E-12))</f>
        <v/>
      </c>
      <c r="J1041" s="3">
        <f>IF('3a Raw'!G1041="","",MAX(-3,MIN(3,('3a Raw'!G1041-$J3)/$J4)))</f>
        <v/>
      </c>
      <c r="K1041" s="3">
        <f>IF(J1041="","",(J1041-AVERAGE(J6:J1198))/(STDEV(J6:J1198)+1E-12))</f>
        <v/>
      </c>
      <c r="L1041" s="3">
        <f>IF('3a Raw'!H1041="","",MAX(-3,MIN(3,('3a Raw'!H1041-$L3)/$L4)))</f>
        <v/>
      </c>
      <c r="M1041" s="3">
        <f>IF(L1041="","",(L1041-AVERAGE(L6:L1198))/(STDEV(L6:L1198)+1E-12))</f>
        <v/>
      </c>
      <c r="N1041" s="3">
        <f>IF('3a Raw'!I1041="","",MAX(-3,MIN(3,('3a Raw'!I1041-$N3)/$N4)))</f>
        <v/>
      </c>
      <c r="O1041" s="3">
        <f>IF(N1041="","",(N1041-AVERAGE(N6:N1198))/(STDEV(N6:N1198)+1E-12))</f>
        <v/>
      </c>
      <c r="P1041" s="3">
        <f>IF('3a Raw'!J1041="","",MAX(-3,MIN(3,('3a Raw'!J1041-$P3)/$P4)))</f>
        <v/>
      </c>
      <c r="Q1041" s="3">
        <f>IF(P1041="","",(P1041-AVERAGE(P6:P1198))/(STDEV(P6:P1198)+1E-12))</f>
        <v/>
      </c>
      <c r="R1041" s="3">
        <f>IF('3a Raw'!K1041="","",MAX(-3,MIN(3,('3a Raw'!K1041-$R3)/$R4)))</f>
        <v/>
      </c>
      <c r="S1041" s="3">
        <f>IF(R1041="","",(R1041-AVERAGE(R6:R1198))/(STDEV(R6:R1198)+1E-12))</f>
        <v/>
      </c>
      <c r="T1041" s="3">
        <f>IF('3a Raw'!L1041="","",MAX(-3,MIN(3,('3a Raw'!L1041-$T3)/$T4)))</f>
        <v/>
      </c>
      <c r="U1041" s="3">
        <f>IF(T1041="","",(T1041-AVERAGE(T6:T1198))/(STDEV(T6:T1198)+1E-12))</f>
        <v/>
      </c>
      <c r="X1041" s="3">
        <f>IF(U1041="","",U1041-($V$3*G1041+$W$3))</f>
        <v/>
      </c>
      <c r="Y1041" s="3">
        <f>IF(X1041="","",MAX(-3,MIN(3,(X1041-$X3)/$X4)))</f>
        <v/>
      </c>
      <c r="Z1041" s="3">
        <f>IF(Y1041="","",(Y1041-AVERAGE(Y6:Y1198))/(STDEV(Y6:Y1198)+1E-12))</f>
        <v/>
      </c>
    </row>
    <row r="1042">
      <c r="A1042" t="inlineStr">
        <is>
          <t>BBG00FWL3J63</t>
        </is>
      </c>
      <c r="B1042" s="3">
        <f>IF('3a Raw'!C1042="","",MAX(-3,MIN(3,('3a Raw'!C1042-$B3)/$B4)))</f>
        <v/>
      </c>
      <c r="C1042" s="3">
        <f>IF(B1042="","",(B1042-AVERAGE(B6:B1198))/(STDEV(B6:B1198)+1E-12))</f>
        <v/>
      </c>
      <c r="D1042" s="3">
        <f>IF('3a Raw'!D1042="","",MAX(-3,MIN(3,('3a Raw'!D1042-$D3)/$D4)))</f>
        <v/>
      </c>
      <c r="E1042" s="3">
        <f>IF(D1042="","",(D1042-AVERAGE(D6:D1198))/(STDEV(D6:D1198)+1E-12))</f>
        <v/>
      </c>
      <c r="F1042" s="3">
        <f>IF('3a Raw'!E1042="","",MAX(-3,MIN(3,('3a Raw'!E1042-$F3)/$F4)))</f>
        <v/>
      </c>
      <c r="G1042" s="3">
        <f>IF(F1042="","",(F1042-AVERAGE(F6:F1198))/(STDEV(F6:F1198)+1E-12))</f>
        <v/>
      </c>
      <c r="H1042" s="3">
        <f>IF('3a Raw'!F1042="","",MAX(-3,MIN(3,('3a Raw'!F1042-$H3)/$H4)))</f>
        <v/>
      </c>
      <c r="I1042" s="3">
        <f>IF(H1042="","",(H1042-AVERAGE(H6:H1198))/(STDEV(H6:H1198)+1E-12))</f>
        <v/>
      </c>
      <c r="J1042" s="3">
        <f>IF('3a Raw'!G1042="","",MAX(-3,MIN(3,('3a Raw'!G1042-$J3)/$J4)))</f>
        <v/>
      </c>
      <c r="K1042" s="3">
        <f>IF(J1042="","",(J1042-AVERAGE(J6:J1198))/(STDEV(J6:J1198)+1E-12))</f>
        <v/>
      </c>
      <c r="L1042" s="3">
        <f>IF('3a Raw'!H1042="","",MAX(-3,MIN(3,('3a Raw'!H1042-$L3)/$L4)))</f>
        <v/>
      </c>
      <c r="M1042" s="3">
        <f>IF(L1042="","",(L1042-AVERAGE(L6:L1198))/(STDEV(L6:L1198)+1E-12))</f>
        <v/>
      </c>
      <c r="N1042" s="3">
        <f>IF('3a Raw'!I1042="","",MAX(-3,MIN(3,('3a Raw'!I1042-$N3)/$N4)))</f>
        <v/>
      </c>
      <c r="O1042" s="3">
        <f>IF(N1042="","",(N1042-AVERAGE(N6:N1198))/(STDEV(N6:N1198)+1E-12))</f>
        <v/>
      </c>
      <c r="P1042" s="3">
        <f>IF('3a Raw'!J1042="","",MAX(-3,MIN(3,('3a Raw'!J1042-$P3)/$P4)))</f>
        <v/>
      </c>
      <c r="Q1042" s="3">
        <f>IF(P1042="","",(P1042-AVERAGE(P6:P1198))/(STDEV(P6:P1198)+1E-12))</f>
        <v/>
      </c>
      <c r="R1042" s="3">
        <f>IF('3a Raw'!K1042="","",MAX(-3,MIN(3,('3a Raw'!K1042-$R3)/$R4)))</f>
        <v/>
      </c>
      <c r="S1042" s="3">
        <f>IF(R1042="","",(R1042-AVERAGE(R6:R1198))/(STDEV(R6:R1198)+1E-12))</f>
        <v/>
      </c>
      <c r="T1042" s="3">
        <f>IF('3a Raw'!L1042="","",MAX(-3,MIN(3,('3a Raw'!L1042-$T3)/$T4)))</f>
        <v/>
      </c>
      <c r="U1042" s="3">
        <f>IF(T1042="","",(T1042-AVERAGE(T6:T1198))/(STDEV(T6:T1198)+1E-12))</f>
        <v/>
      </c>
      <c r="X1042" s="3">
        <f>IF(U1042="","",U1042-($V$3*G1042+$W$3))</f>
        <v/>
      </c>
      <c r="Y1042" s="3">
        <f>IF(X1042="","",MAX(-3,MIN(3,(X1042-$X3)/$X4)))</f>
        <v/>
      </c>
      <c r="Z1042" s="3">
        <f>IF(Y1042="","",(Y1042-AVERAGE(Y6:Y1198))/(STDEV(Y6:Y1198)+1E-12))</f>
        <v/>
      </c>
    </row>
    <row r="1043">
      <c r="A1043" t="inlineStr">
        <is>
          <t>BBG000BV8DN6</t>
        </is>
      </c>
      <c r="B1043" s="3">
        <f>IF('3a Raw'!C1043="","",MAX(-3,MIN(3,('3a Raw'!C1043-$B3)/$B4)))</f>
        <v/>
      </c>
      <c r="C1043" s="3">
        <f>IF(B1043="","",(B1043-AVERAGE(B6:B1198))/(STDEV(B6:B1198)+1E-12))</f>
        <v/>
      </c>
      <c r="D1043" s="3">
        <f>IF('3a Raw'!D1043="","",MAX(-3,MIN(3,('3a Raw'!D1043-$D3)/$D4)))</f>
        <v/>
      </c>
      <c r="E1043" s="3">
        <f>IF(D1043="","",(D1043-AVERAGE(D6:D1198))/(STDEV(D6:D1198)+1E-12))</f>
        <v/>
      </c>
      <c r="F1043" s="3">
        <f>IF('3a Raw'!E1043="","",MAX(-3,MIN(3,('3a Raw'!E1043-$F3)/$F4)))</f>
        <v/>
      </c>
      <c r="G1043" s="3">
        <f>IF(F1043="","",(F1043-AVERAGE(F6:F1198))/(STDEV(F6:F1198)+1E-12))</f>
        <v/>
      </c>
      <c r="H1043" s="3">
        <f>IF('3a Raw'!F1043="","",MAX(-3,MIN(3,('3a Raw'!F1043-$H3)/$H4)))</f>
        <v/>
      </c>
      <c r="I1043" s="3">
        <f>IF(H1043="","",(H1043-AVERAGE(H6:H1198))/(STDEV(H6:H1198)+1E-12))</f>
        <v/>
      </c>
      <c r="J1043" s="3">
        <f>IF('3a Raw'!G1043="","",MAX(-3,MIN(3,('3a Raw'!G1043-$J3)/$J4)))</f>
        <v/>
      </c>
      <c r="K1043" s="3">
        <f>IF(J1043="","",(J1043-AVERAGE(J6:J1198))/(STDEV(J6:J1198)+1E-12))</f>
        <v/>
      </c>
      <c r="L1043" s="3">
        <f>IF('3a Raw'!H1043="","",MAX(-3,MIN(3,('3a Raw'!H1043-$L3)/$L4)))</f>
        <v/>
      </c>
      <c r="M1043" s="3">
        <f>IF(L1043="","",(L1043-AVERAGE(L6:L1198))/(STDEV(L6:L1198)+1E-12))</f>
        <v/>
      </c>
      <c r="N1043" s="3">
        <f>IF('3a Raw'!I1043="","",MAX(-3,MIN(3,('3a Raw'!I1043-$N3)/$N4)))</f>
        <v/>
      </c>
      <c r="O1043" s="3">
        <f>IF(N1043="","",(N1043-AVERAGE(N6:N1198))/(STDEV(N6:N1198)+1E-12))</f>
        <v/>
      </c>
      <c r="P1043" s="3">
        <f>IF('3a Raw'!J1043="","",MAX(-3,MIN(3,('3a Raw'!J1043-$P3)/$P4)))</f>
        <v/>
      </c>
      <c r="Q1043" s="3">
        <f>IF(P1043="","",(P1043-AVERAGE(P6:P1198))/(STDEV(P6:P1198)+1E-12))</f>
        <v/>
      </c>
      <c r="R1043" s="3">
        <f>IF('3a Raw'!K1043="","",MAX(-3,MIN(3,('3a Raw'!K1043-$R3)/$R4)))</f>
        <v/>
      </c>
      <c r="S1043" s="3">
        <f>IF(R1043="","",(R1043-AVERAGE(R6:R1198))/(STDEV(R6:R1198)+1E-12))</f>
        <v/>
      </c>
      <c r="T1043" s="3">
        <f>IF('3a Raw'!L1043="","",MAX(-3,MIN(3,('3a Raw'!L1043-$T3)/$T4)))</f>
        <v/>
      </c>
      <c r="U1043" s="3">
        <f>IF(T1043="","",(T1043-AVERAGE(T6:T1198))/(STDEV(T6:T1198)+1E-12))</f>
        <v/>
      </c>
      <c r="X1043" s="3">
        <f>IF(U1043="","",U1043-($V$3*G1043+$W$3))</f>
        <v/>
      </c>
      <c r="Y1043" s="3">
        <f>IF(X1043="","",MAX(-3,MIN(3,(X1043-$X3)/$X4)))</f>
        <v/>
      </c>
      <c r="Z1043" s="3">
        <f>IF(Y1043="","",(Y1043-AVERAGE(Y6:Y1198))/(STDEV(Y6:Y1198)+1E-12))</f>
        <v/>
      </c>
    </row>
    <row r="1044">
      <c r="A1044" t="inlineStr">
        <is>
          <t>BBG01G9JKWV5</t>
        </is>
      </c>
      <c r="B1044" s="3">
        <f>IF('3a Raw'!C1044="","",MAX(-3,MIN(3,('3a Raw'!C1044-$B3)/$B4)))</f>
        <v/>
      </c>
      <c r="C1044" s="3">
        <f>IF(B1044="","",(B1044-AVERAGE(B6:B1198))/(STDEV(B6:B1198)+1E-12))</f>
        <v/>
      </c>
      <c r="D1044" s="3">
        <f>IF('3a Raw'!D1044="","",MAX(-3,MIN(3,('3a Raw'!D1044-$D3)/$D4)))</f>
        <v/>
      </c>
      <c r="E1044" s="3">
        <f>IF(D1044="","",(D1044-AVERAGE(D6:D1198))/(STDEV(D6:D1198)+1E-12))</f>
        <v/>
      </c>
      <c r="F1044" s="3">
        <f>IF('3a Raw'!E1044="","",MAX(-3,MIN(3,('3a Raw'!E1044-$F3)/$F4)))</f>
        <v/>
      </c>
      <c r="G1044" s="3">
        <f>IF(F1044="","",(F1044-AVERAGE(F6:F1198))/(STDEV(F6:F1198)+1E-12))</f>
        <v/>
      </c>
      <c r="H1044" s="3">
        <f>IF('3a Raw'!F1044="","",MAX(-3,MIN(3,('3a Raw'!F1044-$H3)/$H4)))</f>
        <v/>
      </c>
      <c r="I1044" s="3">
        <f>IF(H1044="","",(H1044-AVERAGE(H6:H1198))/(STDEV(H6:H1198)+1E-12))</f>
        <v/>
      </c>
      <c r="J1044" s="3">
        <f>IF('3a Raw'!G1044="","",MAX(-3,MIN(3,('3a Raw'!G1044-$J3)/$J4)))</f>
        <v/>
      </c>
      <c r="K1044" s="3">
        <f>IF(J1044="","",(J1044-AVERAGE(J6:J1198))/(STDEV(J6:J1198)+1E-12))</f>
        <v/>
      </c>
      <c r="L1044" s="3">
        <f>IF('3a Raw'!H1044="","",MAX(-3,MIN(3,('3a Raw'!H1044-$L3)/$L4)))</f>
        <v/>
      </c>
      <c r="M1044" s="3">
        <f>IF(L1044="","",(L1044-AVERAGE(L6:L1198))/(STDEV(L6:L1198)+1E-12))</f>
        <v/>
      </c>
      <c r="N1044" s="3">
        <f>IF('3a Raw'!I1044="","",MAX(-3,MIN(3,('3a Raw'!I1044-$N3)/$N4)))</f>
        <v/>
      </c>
      <c r="O1044" s="3">
        <f>IF(N1044="","",(N1044-AVERAGE(N6:N1198))/(STDEV(N6:N1198)+1E-12))</f>
        <v/>
      </c>
      <c r="P1044" s="3">
        <f>IF('3a Raw'!J1044="","",MAX(-3,MIN(3,('3a Raw'!J1044-$P3)/$P4)))</f>
        <v/>
      </c>
      <c r="Q1044" s="3">
        <f>IF(P1044="","",(P1044-AVERAGE(P6:P1198))/(STDEV(P6:P1198)+1E-12))</f>
        <v/>
      </c>
      <c r="R1044" s="3">
        <f>IF('3a Raw'!K1044="","",MAX(-3,MIN(3,('3a Raw'!K1044-$R3)/$R4)))</f>
        <v/>
      </c>
      <c r="S1044" s="3">
        <f>IF(R1044="","",(R1044-AVERAGE(R6:R1198))/(STDEV(R6:R1198)+1E-12))</f>
        <v/>
      </c>
      <c r="T1044" s="3">
        <f>IF('3a Raw'!L1044="","",MAX(-3,MIN(3,('3a Raw'!L1044-$T3)/$T4)))</f>
        <v/>
      </c>
      <c r="U1044" s="3">
        <f>IF(T1044="","",(T1044-AVERAGE(T6:T1198))/(STDEV(T6:T1198)+1E-12))</f>
        <v/>
      </c>
      <c r="X1044" s="3">
        <f>IF(U1044="","",U1044-($V$3*G1044+$W$3))</f>
        <v/>
      </c>
      <c r="Y1044" s="3">
        <f>IF(X1044="","",MAX(-3,MIN(3,(X1044-$X3)/$X4)))</f>
        <v/>
      </c>
      <c r="Z1044" s="3">
        <f>IF(Y1044="","",(Y1044-AVERAGE(Y6:Y1198))/(STDEV(Y6:Y1198)+1E-12))</f>
        <v/>
      </c>
    </row>
    <row r="1045">
      <c r="A1045" t="inlineStr">
        <is>
          <t>BBG000BPH299</t>
        </is>
      </c>
      <c r="B1045" s="3">
        <f>IF('3a Raw'!C1045="","",MAX(-3,MIN(3,('3a Raw'!C1045-$B3)/$B4)))</f>
        <v/>
      </c>
      <c r="C1045" s="3">
        <f>IF(B1045="","",(B1045-AVERAGE(B6:B1198))/(STDEV(B6:B1198)+1E-12))</f>
        <v/>
      </c>
      <c r="D1045" s="3">
        <f>IF('3a Raw'!D1045="","",MAX(-3,MIN(3,('3a Raw'!D1045-$D3)/$D4)))</f>
        <v/>
      </c>
      <c r="E1045" s="3">
        <f>IF(D1045="","",(D1045-AVERAGE(D6:D1198))/(STDEV(D6:D1198)+1E-12))</f>
        <v/>
      </c>
      <c r="F1045" s="3">
        <f>IF('3a Raw'!E1045="","",MAX(-3,MIN(3,('3a Raw'!E1045-$F3)/$F4)))</f>
        <v/>
      </c>
      <c r="G1045" s="3">
        <f>IF(F1045="","",(F1045-AVERAGE(F6:F1198))/(STDEV(F6:F1198)+1E-12))</f>
        <v/>
      </c>
      <c r="H1045" s="3">
        <f>IF('3a Raw'!F1045="","",MAX(-3,MIN(3,('3a Raw'!F1045-$H3)/$H4)))</f>
        <v/>
      </c>
      <c r="I1045" s="3">
        <f>IF(H1045="","",(H1045-AVERAGE(H6:H1198))/(STDEV(H6:H1198)+1E-12))</f>
        <v/>
      </c>
      <c r="J1045" s="3">
        <f>IF('3a Raw'!G1045="","",MAX(-3,MIN(3,('3a Raw'!G1045-$J3)/$J4)))</f>
        <v/>
      </c>
      <c r="K1045" s="3">
        <f>IF(J1045="","",(J1045-AVERAGE(J6:J1198))/(STDEV(J6:J1198)+1E-12))</f>
        <v/>
      </c>
      <c r="L1045" s="3">
        <f>IF('3a Raw'!H1045="","",MAX(-3,MIN(3,('3a Raw'!H1045-$L3)/$L4)))</f>
        <v/>
      </c>
      <c r="M1045" s="3">
        <f>IF(L1045="","",(L1045-AVERAGE(L6:L1198))/(STDEV(L6:L1198)+1E-12))</f>
        <v/>
      </c>
      <c r="N1045" s="3">
        <f>IF('3a Raw'!I1045="","",MAX(-3,MIN(3,('3a Raw'!I1045-$N3)/$N4)))</f>
        <v/>
      </c>
      <c r="O1045" s="3">
        <f>IF(N1045="","",(N1045-AVERAGE(N6:N1198))/(STDEV(N6:N1198)+1E-12))</f>
        <v/>
      </c>
      <c r="P1045" s="3">
        <f>IF('3a Raw'!J1045="","",MAX(-3,MIN(3,('3a Raw'!J1045-$P3)/$P4)))</f>
        <v/>
      </c>
      <c r="Q1045" s="3">
        <f>IF(P1045="","",(P1045-AVERAGE(P6:P1198))/(STDEV(P6:P1198)+1E-12))</f>
        <v/>
      </c>
      <c r="R1045" s="3">
        <f>IF('3a Raw'!K1045="","",MAX(-3,MIN(3,('3a Raw'!K1045-$R3)/$R4)))</f>
        <v/>
      </c>
      <c r="S1045" s="3">
        <f>IF(R1045="","",(R1045-AVERAGE(R6:R1198))/(STDEV(R6:R1198)+1E-12))</f>
        <v/>
      </c>
      <c r="T1045" s="3">
        <f>IF('3a Raw'!L1045="","",MAX(-3,MIN(3,('3a Raw'!L1045-$T3)/$T4)))</f>
        <v/>
      </c>
      <c r="U1045" s="3">
        <f>IF(T1045="","",(T1045-AVERAGE(T6:T1198))/(STDEV(T6:T1198)+1E-12))</f>
        <v/>
      </c>
      <c r="X1045" s="3">
        <f>IF(U1045="","",U1045-($V$3*G1045+$W$3))</f>
        <v/>
      </c>
      <c r="Y1045" s="3">
        <f>IF(X1045="","",MAX(-3,MIN(3,(X1045-$X3)/$X4)))</f>
        <v/>
      </c>
      <c r="Z1045" s="3">
        <f>IF(Y1045="","",(Y1045-AVERAGE(Y6:Y1198))/(STDEV(Y6:Y1198)+1E-12))</f>
        <v/>
      </c>
    </row>
    <row r="1046">
      <c r="A1046" t="inlineStr">
        <is>
          <t>BBG00LDC5RK5</t>
        </is>
      </c>
      <c r="B1046" s="3">
        <f>IF('3a Raw'!C1046="","",MAX(-3,MIN(3,('3a Raw'!C1046-$B3)/$B4)))</f>
        <v/>
      </c>
      <c r="C1046" s="3">
        <f>IF(B1046="","",(B1046-AVERAGE(B6:B1198))/(STDEV(B6:B1198)+1E-12))</f>
        <v/>
      </c>
      <c r="D1046" s="3">
        <f>IF('3a Raw'!D1046="","",MAX(-3,MIN(3,('3a Raw'!D1046-$D3)/$D4)))</f>
        <v/>
      </c>
      <c r="E1046" s="3">
        <f>IF(D1046="","",(D1046-AVERAGE(D6:D1198))/(STDEV(D6:D1198)+1E-12))</f>
        <v/>
      </c>
      <c r="F1046" s="3">
        <f>IF('3a Raw'!E1046="","",MAX(-3,MIN(3,('3a Raw'!E1046-$F3)/$F4)))</f>
        <v/>
      </c>
      <c r="G1046" s="3">
        <f>IF(F1046="","",(F1046-AVERAGE(F6:F1198))/(STDEV(F6:F1198)+1E-12))</f>
        <v/>
      </c>
      <c r="H1046" s="3">
        <f>IF('3a Raw'!F1046="","",MAX(-3,MIN(3,('3a Raw'!F1046-$H3)/$H4)))</f>
        <v/>
      </c>
      <c r="I1046" s="3">
        <f>IF(H1046="","",(H1046-AVERAGE(H6:H1198))/(STDEV(H6:H1198)+1E-12))</f>
        <v/>
      </c>
      <c r="J1046" s="3">
        <f>IF('3a Raw'!G1046="","",MAX(-3,MIN(3,('3a Raw'!G1046-$J3)/$J4)))</f>
        <v/>
      </c>
      <c r="K1046" s="3">
        <f>IF(J1046="","",(J1046-AVERAGE(J6:J1198))/(STDEV(J6:J1198)+1E-12))</f>
        <v/>
      </c>
      <c r="L1046" s="3">
        <f>IF('3a Raw'!H1046="","",MAX(-3,MIN(3,('3a Raw'!H1046-$L3)/$L4)))</f>
        <v/>
      </c>
      <c r="M1046" s="3">
        <f>IF(L1046="","",(L1046-AVERAGE(L6:L1198))/(STDEV(L6:L1198)+1E-12))</f>
        <v/>
      </c>
      <c r="N1046" s="3">
        <f>IF('3a Raw'!I1046="","",MAX(-3,MIN(3,('3a Raw'!I1046-$N3)/$N4)))</f>
        <v/>
      </c>
      <c r="O1046" s="3">
        <f>IF(N1046="","",(N1046-AVERAGE(N6:N1198))/(STDEV(N6:N1198)+1E-12))</f>
        <v/>
      </c>
      <c r="P1046" s="3">
        <f>IF('3a Raw'!J1046="","",MAX(-3,MIN(3,('3a Raw'!J1046-$P3)/$P4)))</f>
        <v/>
      </c>
      <c r="Q1046" s="3">
        <f>IF(P1046="","",(P1046-AVERAGE(P6:P1198))/(STDEV(P6:P1198)+1E-12))</f>
        <v/>
      </c>
      <c r="R1046" s="3">
        <f>IF('3a Raw'!K1046="","",MAX(-3,MIN(3,('3a Raw'!K1046-$R3)/$R4)))</f>
        <v/>
      </c>
      <c r="S1046" s="3">
        <f>IF(R1046="","",(R1046-AVERAGE(R6:R1198))/(STDEV(R6:R1198)+1E-12))</f>
        <v/>
      </c>
      <c r="T1046" s="3">
        <f>IF('3a Raw'!L1046="","",MAX(-3,MIN(3,('3a Raw'!L1046-$T3)/$T4)))</f>
        <v/>
      </c>
      <c r="U1046" s="3">
        <f>IF(T1046="","",(T1046-AVERAGE(T6:T1198))/(STDEV(T6:T1198)+1E-12))</f>
        <v/>
      </c>
      <c r="X1046" s="3">
        <f>IF(U1046="","",U1046-($V$3*G1046+$W$3))</f>
        <v/>
      </c>
      <c r="Y1046" s="3">
        <f>IF(X1046="","",MAX(-3,MIN(3,(X1046-$X3)/$X4)))</f>
        <v/>
      </c>
      <c r="Z1046" s="3">
        <f>IF(Y1046="","",(Y1046-AVERAGE(Y6:Y1198))/(STDEV(Y6:Y1198)+1E-12))</f>
        <v/>
      </c>
    </row>
    <row r="1047">
      <c r="A1047" t="inlineStr">
        <is>
          <t>BBG003PGJHP5</t>
        </is>
      </c>
      <c r="B1047" s="3">
        <f>IF('3a Raw'!C1047="","",MAX(-3,MIN(3,('3a Raw'!C1047-$B3)/$B4)))</f>
        <v/>
      </c>
      <c r="C1047" s="3">
        <f>IF(B1047="","",(B1047-AVERAGE(B6:B1198))/(STDEV(B6:B1198)+1E-12))</f>
        <v/>
      </c>
      <c r="D1047" s="3">
        <f>IF('3a Raw'!D1047="","",MAX(-3,MIN(3,('3a Raw'!D1047-$D3)/$D4)))</f>
        <v/>
      </c>
      <c r="E1047" s="3">
        <f>IF(D1047="","",(D1047-AVERAGE(D6:D1198))/(STDEV(D6:D1198)+1E-12))</f>
        <v/>
      </c>
      <c r="F1047" s="3">
        <f>IF('3a Raw'!E1047="","",MAX(-3,MIN(3,('3a Raw'!E1047-$F3)/$F4)))</f>
        <v/>
      </c>
      <c r="G1047" s="3">
        <f>IF(F1047="","",(F1047-AVERAGE(F6:F1198))/(STDEV(F6:F1198)+1E-12))</f>
        <v/>
      </c>
      <c r="H1047" s="3">
        <f>IF('3a Raw'!F1047="","",MAX(-3,MIN(3,('3a Raw'!F1047-$H3)/$H4)))</f>
        <v/>
      </c>
      <c r="I1047" s="3">
        <f>IF(H1047="","",(H1047-AVERAGE(H6:H1198))/(STDEV(H6:H1198)+1E-12))</f>
        <v/>
      </c>
      <c r="J1047" s="3">
        <f>IF('3a Raw'!G1047="","",MAX(-3,MIN(3,('3a Raw'!G1047-$J3)/$J4)))</f>
        <v/>
      </c>
      <c r="K1047" s="3">
        <f>IF(J1047="","",(J1047-AVERAGE(J6:J1198))/(STDEV(J6:J1198)+1E-12))</f>
        <v/>
      </c>
      <c r="L1047" s="3">
        <f>IF('3a Raw'!H1047="","",MAX(-3,MIN(3,('3a Raw'!H1047-$L3)/$L4)))</f>
        <v/>
      </c>
      <c r="M1047" s="3">
        <f>IF(L1047="","",(L1047-AVERAGE(L6:L1198))/(STDEV(L6:L1198)+1E-12))</f>
        <v/>
      </c>
      <c r="N1047" s="3">
        <f>IF('3a Raw'!I1047="","",MAX(-3,MIN(3,('3a Raw'!I1047-$N3)/$N4)))</f>
        <v/>
      </c>
      <c r="O1047" s="3">
        <f>IF(N1047="","",(N1047-AVERAGE(N6:N1198))/(STDEV(N6:N1198)+1E-12))</f>
        <v/>
      </c>
      <c r="P1047" s="3">
        <f>IF('3a Raw'!J1047="","",MAX(-3,MIN(3,('3a Raw'!J1047-$P3)/$P4)))</f>
        <v/>
      </c>
      <c r="Q1047" s="3">
        <f>IF(P1047="","",(P1047-AVERAGE(P6:P1198))/(STDEV(P6:P1198)+1E-12))</f>
        <v/>
      </c>
      <c r="R1047" s="3">
        <f>IF('3a Raw'!K1047="","",MAX(-3,MIN(3,('3a Raw'!K1047-$R3)/$R4)))</f>
        <v/>
      </c>
      <c r="S1047" s="3">
        <f>IF(R1047="","",(R1047-AVERAGE(R6:R1198))/(STDEV(R6:R1198)+1E-12))</f>
        <v/>
      </c>
      <c r="T1047" s="3">
        <f>IF('3a Raw'!L1047="","",MAX(-3,MIN(3,('3a Raw'!L1047-$T3)/$T4)))</f>
        <v/>
      </c>
      <c r="U1047" s="3">
        <f>IF(T1047="","",(T1047-AVERAGE(T6:T1198))/(STDEV(T6:T1198)+1E-12))</f>
        <v/>
      </c>
      <c r="X1047" s="3">
        <f>IF(U1047="","",U1047-($V$3*G1047+$W$3))</f>
        <v/>
      </c>
      <c r="Y1047" s="3">
        <f>IF(X1047="","",MAX(-3,MIN(3,(X1047-$X3)/$X4)))</f>
        <v/>
      </c>
      <c r="Z1047" s="3">
        <f>IF(Y1047="","",(Y1047-AVERAGE(Y6:Y1198))/(STDEV(Y6:Y1198)+1E-12))</f>
        <v/>
      </c>
    </row>
    <row r="1048">
      <c r="A1048" t="inlineStr">
        <is>
          <t>BBG000BVDLH9</t>
        </is>
      </c>
      <c r="B1048" s="3">
        <f>IF('3a Raw'!C1048="","",MAX(-3,MIN(3,('3a Raw'!C1048-$B3)/$B4)))</f>
        <v/>
      </c>
      <c r="C1048" s="3">
        <f>IF(B1048="","",(B1048-AVERAGE(B6:B1198))/(STDEV(B6:B1198)+1E-12))</f>
        <v/>
      </c>
      <c r="D1048" s="3">
        <f>IF('3a Raw'!D1048="","",MAX(-3,MIN(3,('3a Raw'!D1048-$D3)/$D4)))</f>
        <v/>
      </c>
      <c r="E1048" s="3">
        <f>IF(D1048="","",(D1048-AVERAGE(D6:D1198))/(STDEV(D6:D1198)+1E-12))</f>
        <v/>
      </c>
      <c r="F1048" s="3">
        <f>IF('3a Raw'!E1048="","",MAX(-3,MIN(3,('3a Raw'!E1048-$F3)/$F4)))</f>
        <v/>
      </c>
      <c r="G1048" s="3">
        <f>IF(F1048="","",(F1048-AVERAGE(F6:F1198))/(STDEV(F6:F1198)+1E-12))</f>
        <v/>
      </c>
      <c r="H1048" s="3">
        <f>IF('3a Raw'!F1048="","",MAX(-3,MIN(3,('3a Raw'!F1048-$H3)/$H4)))</f>
        <v/>
      </c>
      <c r="I1048" s="3">
        <f>IF(H1048="","",(H1048-AVERAGE(H6:H1198))/(STDEV(H6:H1198)+1E-12))</f>
        <v/>
      </c>
      <c r="J1048" s="3">
        <f>IF('3a Raw'!G1048="","",MAX(-3,MIN(3,('3a Raw'!G1048-$J3)/$J4)))</f>
        <v/>
      </c>
      <c r="K1048" s="3">
        <f>IF(J1048="","",(J1048-AVERAGE(J6:J1198))/(STDEV(J6:J1198)+1E-12))</f>
        <v/>
      </c>
      <c r="L1048" s="3">
        <f>IF('3a Raw'!H1048="","",MAX(-3,MIN(3,('3a Raw'!H1048-$L3)/$L4)))</f>
        <v/>
      </c>
      <c r="M1048" s="3">
        <f>IF(L1048="","",(L1048-AVERAGE(L6:L1198))/(STDEV(L6:L1198)+1E-12))</f>
        <v/>
      </c>
      <c r="N1048" s="3">
        <f>IF('3a Raw'!I1048="","",MAX(-3,MIN(3,('3a Raw'!I1048-$N3)/$N4)))</f>
        <v/>
      </c>
      <c r="O1048" s="3">
        <f>IF(N1048="","",(N1048-AVERAGE(N6:N1198))/(STDEV(N6:N1198)+1E-12))</f>
        <v/>
      </c>
      <c r="P1048" s="3">
        <f>IF('3a Raw'!J1048="","",MAX(-3,MIN(3,('3a Raw'!J1048-$P3)/$P4)))</f>
        <v/>
      </c>
      <c r="Q1048" s="3">
        <f>IF(P1048="","",(P1048-AVERAGE(P6:P1198))/(STDEV(P6:P1198)+1E-12))</f>
        <v/>
      </c>
      <c r="R1048" s="3">
        <f>IF('3a Raw'!K1048="","",MAX(-3,MIN(3,('3a Raw'!K1048-$R3)/$R4)))</f>
        <v/>
      </c>
      <c r="S1048" s="3">
        <f>IF(R1048="","",(R1048-AVERAGE(R6:R1198))/(STDEV(R6:R1198)+1E-12))</f>
        <v/>
      </c>
      <c r="T1048" s="3">
        <f>IF('3a Raw'!L1048="","",MAX(-3,MIN(3,('3a Raw'!L1048-$T3)/$T4)))</f>
        <v/>
      </c>
      <c r="U1048" s="3">
        <f>IF(T1048="","",(T1048-AVERAGE(T6:T1198))/(STDEV(T6:T1198)+1E-12))</f>
        <v/>
      </c>
      <c r="X1048" s="3">
        <f>IF(U1048="","",U1048-($V$3*G1048+$W$3))</f>
        <v/>
      </c>
      <c r="Y1048" s="3">
        <f>IF(X1048="","",MAX(-3,MIN(3,(X1048-$X3)/$X4)))</f>
        <v/>
      </c>
      <c r="Z1048" s="3">
        <f>IF(Y1048="","",(Y1048-AVERAGE(Y6:Y1198))/(STDEV(Y6:Y1198)+1E-12))</f>
        <v/>
      </c>
    </row>
    <row r="1049">
      <c r="A1049" t="inlineStr">
        <is>
          <t>BBG000NDV1D4</t>
        </is>
      </c>
      <c r="B1049" s="3">
        <f>IF('3a Raw'!C1049="","",MAX(-3,MIN(3,('3a Raw'!C1049-$B3)/$B4)))</f>
        <v/>
      </c>
      <c r="C1049" s="3">
        <f>IF(B1049="","",(B1049-AVERAGE(B6:B1198))/(STDEV(B6:B1198)+1E-12))</f>
        <v/>
      </c>
      <c r="D1049" s="3">
        <f>IF('3a Raw'!D1049="","",MAX(-3,MIN(3,('3a Raw'!D1049-$D3)/$D4)))</f>
        <v/>
      </c>
      <c r="E1049" s="3">
        <f>IF(D1049="","",(D1049-AVERAGE(D6:D1198))/(STDEV(D6:D1198)+1E-12))</f>
        <v/>
      </c>
      <c r="F1049" s="3">
        <f>IF('3a Raw'!E1049="","",MAX(-3,MIN(3,('3a Raw'!E1049-$F3)/$F4)))</f>
        <v/>
      </c>
      <c r="G1049" s="3">
        <f>IF(F1049="","",(F1049-AVERAGE(F6:F1198))/(STDEV(F6:F1198)+1E-12))</f>
        <v/>
      </c>
      <c r="H1049" s="3">
        <f>IF('3a Raw'!F1049="","",MAX(-3,MIN(3,('3a Raw'!F1049-$H3)/$H4)))</f>
        <v/>
      </c>
      <c r="I1049" s="3">
        <f>IF(H1049="","",(H1049-AVERAGE(H6:H1198))/(STDEV(H6:H1198)+1E-12))</f>
        <v/>
      </c>
      <c r="J1049" s="3">
        <f>IF('3a Raw'!G1049="","",MAX(-3,MIN(3,('3a Raw'!G1049-$J3)/$J4)))</f>
        <v/>
      </c>
      <c r="K1049" s="3">
        <f>IF(J1049="","",(J1049-AVERAGE(J6:J1198))/(STDEV(J6:J1198)+1E-12))</f>
        <v/>
      </c>
      <c r="L1049" s="3">
        <f>IF('3a Raw'!H1049="","",MAX(-3,MIN(3,('3a Raw'!H1049-$L3)/$L4)))</f>
        <v/>
      </c>
      <c r="M1049" s="3">
        <f>IF(L1049="","",(L1049-AVERAGE(L6:L1198))/(STDEV(L6:L1198)+1E-12))</f>
        <v/>
      </c>
      <c r="N1049" s="3">
        <f>IF('3a Raw'!I1049="","",MAX(-3,MIN(3,('3a Raw'!I1049-$N3)/$N4)))</f>
        <v/>
      </c>
      <c r="O1049" s="3">
        <f>IF(N1049="","",(N1049-AVERAGE(N6:N1198))/(STDEV(N6:N1198)+1E-12))</f>
        <v/>
      </c>
      <c r="P1049" s="3">
        <f>IF('3a Raw'!J1049="","",MAX(-3,MIN(3,('3a Raw'!J1049-$P3)/$P4)))</f>
        <v/>
      </c>
      <c r="Q1049" s="3">
        <f>IF(P1049="","",(P1049-AVERAGE(P6:P1198))/(STDEV(P6:P1198)+1E-12))</f>
        <v/>
      </c>
      <c r="R1049" s="3">
        <f>IF('3a Raw'!K1049="","",MAX(-3,MIN(3,('3a Raw'!K1049-$R3)/$R4)))</f>
        <v/>
      </c>
      <c r="S1049" s="3">
        <f>IF(R1049="","",(R1049-AVERAGE(R6:R1198))/(STDEV(R6:R1198)+1E-12))</f>
        <v/>
      </c>
      <c r="T1049" s="3">
        <f>IF('3a Raw'!L1049="","",MAX(-3,MIN(3,('3a Raw'!L1049-$T3)/$T4)))</f>
        <v/>
      </c>
      <c r="U1049" s="3">
        <f>IF(T1049="","",(T1049-AVERAGE(T6:T1198))/(STDEV(T6:T1198)+1E-12))</f>
        <v/>
      </c>
      <c r="X1049" s="3">
        <f>IF(U1049="","",U1049-($V$3*G1049+$W$3))</f>
        <v/>
      </c>
      <c r="Y1049" s="3">
        <f>IF(X1049="","",MAX(-3,MIN(3,(X1049-$X3)/$X4)))</f>
        <v/>
      </c>
      <c r="Z1049" s="3">
        <f>IF(Y1049="","",(Y1049-AVERAGE(Y6:Y1198))/(STDEV(Y6:Y1198)+1E-12))</f>
        <v/>
      </c>
    </row>
    <row r="1050">
      <c r="A1050" t="inlineStr">
        <is>
          <t>BBG000JCZJS2</t>
        </is>
      </c>
      <c r="B1050" s="3">
        <f>IF('3a Raw'!C1050="","",MAX(-3,MIN(3,('3a Raw'!C1050-$B3)/$B4)))</f>
        <v/>
      </c>
      <c r="C1050" s="3">
        <f>IF(B1050="","",(B1050-AVERAGE(B6:B1198))/(STDEV(B6:B1198)+1E-12))</f>
        <v/>
      </c>
      <c r="D1050" s="3">
        <f>IF('3a Raw'!D1050="","",MAX(-3,MIN(3,('3a Raw'!D1050-$D3)/$D4)))</f>
        <v/>
      </c>
      <c r="E1050" s="3">
        <f>IF(D1050="","",(D1050-AVERAGE(D6:D1198))/(STDEV(D6:D1198)+1E-12))</f>
        <v/>
      </c>
      <c r="F1050" s="3">
        <f>IF('3a Raw'!E1050="","",MAX(-3,MIN(3,('3a Raw'!E1050-$F3)/$F4)))</f>
        <v/>
      </c>
      <c r="G1050" s="3">
        <f>IF(F1050="","",(F1050-AVERAGE(F6:F1198))/(STDEV(F6:F1198)+1E-12))</f>
        <v/>
      </c>
      <c r="H1050" s="3">
        <f>IF('3a Raw'!F1050="","",MAX(-3,MIN(3,('3a Raw'!F1050-$H3)/$H4)))</f>
        <v/>
      </c>
      <c r="I1050" s="3">
        <f>IF(H1050="","",(H1050-AVERAGE(H6:H1198))/(STDEV(H6:H1198)+1E-12))</f>
        <v/>
      </c>
      <c r="J1050" s="3">
        <f>IF('3a Raw'!G1050="","",MAX(-3,MIN(3,('3a Raw'!G1050-$J3)/$J4)))</f>
        <v/>
      </c>
      <c r="K1050" s="3">
        <f>IF(J1050="","",(J1050-AVERAGE(J6:J1198))/(STDEV(J6:J1198)+1E-12))</f>
        <v/>
      </c>
      <c r="L1050" s="3">
        <f>IF('3a Raw'!H1050="","",MAX(-3,MIN(3,('3a Raw'!H1050-$L3)/$L4)))</f>
        <v/>
      </c>
      <c r="M1050" s="3">
        <f>IF(L1050="","",(L1050-AVERAGE(L6:L1198))/(STDEV(L6:L1198)+1E-12))</f>
        <v/>
      </c>
      <c r="N1050" s="3">
        <f>IF('3a Raw'!I1050="","",MAX(-3,MIN(3,('3a Raw'!I1050-$N3)/$N4)))</f>
        <v/>
      </c>
      <c r="O1050" s="3">
        <f>IF(N1050="","",(N1050-AVERAGE(N6:N1198))/(STDEV(N6:N1198)+1E-12))</f>
        <v/>
      </c>
      <c r="P1050" s="3">
        <f>IF('3a Raw'!J1050="","",MAX(-3,MIN(3,('3a Raw'!J1050-$P3)/$P4)))</f>
        <v/>
      </c>
      <c r="Q1050" s="3">
        <f>IF(P1050="","",(P1050-AVERAGE(P6:P1198))/(STDEV(P6:P1198)+1E-12))</f>
        <v/>
      </c>
      <c r="R1050" s="3">
        <f>IF('3a Raw'!K1050="","",MAX(-3,MIN(3,('3a Raw'!K1050-$R3)/$R4)))</f>
        <v/>
      </c>
      <c r="S1050" s="3">
        <f>IF(R1050="","",(R1050-AVERAGE(R6:R1198))/(STDEV(R6:R1198)+1E-12))</f>
        <v/>
      </c>
      <c r="T1050" s="3">
        <f>IF('3a Raw'!L1050="","",MAX(-3,MIN(3,('3a Raw'!L1050-$T3)/$T4)))</f>
        <v/>
      </c>
      <c r="U1050" s="3">
        <f>IF(T1050="","",(T1050-AVERAGE(T6:T1198))/(STDEV(T6:T1198)+1E-12))</f>
        <v/>
      </c>
      <c r="X1050" s="3">
        <f>IF(U1050="","",U1050-($V$3*G1050+$W$3))</f>
        <v/>
      </c>
      <c r="Y1050" s="3">
        <f>IF(X1050="","",MAX(-3,MIN(3,(X1050-$X3)/$X4)))</f>
        <v/>
      </c>
      <c r="Z1050" s="3">
        <f>IF(Y1050="","",(Y1050-AVERAGE(Y6:Y1198))/(STDEV(Y6:Y1198)+1E-12))</f>
        <v/>
      </c>
    </row>
    <row r="1051">
      <c r="A1051" t="inlineStr">
        <is>
          <t>BBG000BVHBM1</t>
        </is>
      </c>
      <c r="B1051" s="3">
        <f>IF('3a Raw'!C1051="","",MAX(-3,MIN(3,('3a Raw'!C1051-$B3)/$B4)))</f>
        <v/>
      </c>
      <c r="C1051" s="3">
        <f>IF(B1051="","",(B1051-AVERAGE(B6:B1198))/(STDEV(B6:B1198)+1E-12))</f>
        <v/>
      </c>
      <c r="D1051" s="3">
        <f>IF('3a Raw'!D1051="","",MAX(-3,MIN(3,('3a Raw'!D1051-$D3)/$D4)))</f>
        <v/>
      </c>
      <c r="E1051" s="3">
        <f>IF(D1051="","",(D1051-AVERAGE(D6:D1198))/(STDEV(D6:D1198)+1E-12))</f>
        <v/>
      </c>
      <c r="F1051" s="3">
        <f>IF('3a Raw'!E1051="","",MAX(-3,MIN(3,('3a Raw'!E1051-$F3)/$F4)))</f>
        <v/>
      </c>
      <c r="G1051" s="3">
        <f>IF(F1051="","",(F1051-AVERAGE(F6:F1198))/(STDEV(F6:F1198)+1E-12))</f>
        <v/>
      </c>
      <c r="H1051" s="3">
        <f>IF('3a Raw'!F1051="","",MAX(-3,MIN(3,('3a Raw'!F1051-$H3)/$H4)))</f>
        <v/>
      </c>
      <c r="I1051" s="3">
        <f>IF(H1051="","",(H1051-AVERAGE(H6:H1198))/(STDEV(H6:H1198)+1E-12))</f>
        <v/>
      </c>
      <c r="J1051" s="3">
        <f>IF('3a Raw'!G1051="","",MAX(-3,MIN(3,('3a Raw'!G1051-$J3)/$J4)))</f>
        <v/>
      </c>
      <c r="K1051" s="3">
        <f>IF(J1051="","",(J1051-AVERAGE(J6:J1198))/(STDEV(J6:J1198)+1E-12))</f>
        <v/>
      </c>
      <c r="L1051" s="3">
        <f>IF('3a Raw'!H1051="","",MAX(-3,MIN(3,('3a Raw'!H1051-$L3)/$L4)))</f>
        <v/>
      </c>
      <c r="M1051" s="3">
        <f>IF(L1051="","",(L1051-AVERAGE(L6:L1198))/(STDEV(L6:L1198)+1E-12))</f>
        <v/>
      </c>
      <c r="N1051" s="3">
        <f>IF('3a Raw'!I1051="","",MAX(-3,MIN(3,('3a Raw'!I1051-$N3)/$N4)))</f>
        <v/>
      </c>
      <c r="O1051" s="3">
        <f>IF(N1051="","",(N1051-AVERAGE(N6:N1198))/(STDEV(N6:N1198)+1E-12))</f>
        <v/>
      </c>
      <c r="P1051" s="3">
        <f>IF('3a Raw'!J1051="","",MAX(-3,MIN(3,('3a Raw'!J1051-$P3)/$P4)))</f>
        <v/>
      </c>
      <c r="Q1051" s="3">
        <f>IF(P1051="","",(P1051-AVERAGE(P6:P1198))/(STDEV(P6:P1198)+1E-12))</f>
        <v/>
      </c>
      <c r="R1051" s="3">
        <f>IF('3a Raw'!K1051="","",MAX(-3,MIN(3,('3a Raw'!K1051-$R3)/$R4)))</f>
        <v/>
      </c>
      <c r="S1051" s="3">
        <f>IF(R1051="","",(R1051-AVERAGE(R6:R1198))/(STDEV(R6:R1198)+1E-12))</f>
        <v/>
      </c>
      <c r="T1051" s="3">
        <f>IF('3a Raw'!L1051="","",MAX(-3,MIN(3,('3a Raw'!L1051-$T3)/$T4)))</f>
        <v/>
      </c>
      <c r="U1051" s="3">
        <f>IF(T1051="","",(T1051-AVERAGE(T6:T1198))/(STDEV(T6:T1198)+1E-12))</f>
        <v/>
      </c>
      <c r="X1051" s="3">
        <f>IF(U1051="","",U1051-($V$3*G1051+$W$3))</f>
        <v/>
      </c>
      <c r="Y1051" s="3">
        <f>IF(X1051="","",MAX(-3,MIN(3,(X1051-$X3)/$X4)))</f>
        <v/>
      </c>
      <c r="Z1051" s="3">
        <f>IF(Y1051="","",(Y1051-AVERAGE(Y6:Y1198))/(STDEV(Y6:Y1198)+1E-12))</f>
        <v/>
      </c>
    </row>
    <row r="1052">
      <c r="A1052" t="inlineStr">
        <is>
          <t>BBG00BTJVK94</t>
        </is>
      </c>
      <c r="B1052" s="3">
        <f>IF('3a Raw'!C1052="","",MAX(-3,MIN(3,('3a Raw'!C1052-$B3)/$B4)))</f>
        <v/>
      </c>
      <c r="C1052" s="3">
        <f>IF(B1052="","",(B1052-AVERAGE(B6:B1198))/(STDEV(B6:B1198)+1E-12))</f>
        <v/>
      </c>
      <c r="D1052" s="3">
        <f>IF('3a Raw'!D1052="","",MAX(-3,MIN(3,('3a Raw'!D1052-$D3)/$D4)))</f>
        <v/>
      </c>
      <c r="E1052" s="3">
        <f>IF(D1052="","",(D1052-AVERAGE(D6:D1198))/(STDEV(D6:D1198)+1E-12))</f>
        <v/>
      </c>
      <c r="F1052" s="3">
        <f>IF('3a Raw'!E1052="","",MAX(-3,MIN(3,('3a Raw'!E1052-$F3)/$F4)))</f>
        <v/>
      </c>
      <c r="G1052" s="3">
        <f>IF(F1052="","",(F1052-AVERAGE(F6:F1198))/(STDEV(F6:F1198)+1E-12))</f>
        <v/>
      </c>
      <c r="H1052" s="3">
        <f>IF('3a Raw'!F1052="","",MAX(-3,MIN(3,('3a Raw'!F1052-$H3)/$H4)))</f>
        <v/>
      </c>
      <c r="I1052" s="3">
        <f>IF(H1052="","",(H1052-AVERAGE(H6:H1198))/(STDEV(H6:H1198)+1E-12))</f>
        <v/>
      </c>
      <c r="J1052" s="3">
        <f>IF('3a Raw'!G1052="","",MAX(-3,MIN(3,('3a Raw'!G1052-$J3)/$J4)))</f>
        <v/>
      </c>
      <c r="K1052" s="3">
        <f>IF(J1052="","",(J1052-AVERAGE(J6:J1198))/(STDEV(J6:J1198)+1E-12))</f>
        <v/>
      </c>
      <c r="L1052" s="3">
        <f>IF('3a Raw'!H1052="","",MAX(-3,MIN(3,('3a Raw'!H1052-$L3)/$L4)))</f>
        <v/>
      </c>
      <c r="M1052" s="3">
        <f>IF(L1052="","",(L1052-AVERAGE(L6:L1198))/(STDEV(L6:L1198)+1E-12))</f>
        <v/>
      </c>
      <c r="N1052" s="3">
        <f>IF('3a Raw'!I1052="","",MAX(-3,MIN(3,('3a Raw'!I1052-$N3)/$N4)))</f>
        <v/>
      </c>
      <c r="O1052" s="3">
        <f>IF(N1052="","",(N1052-AVERAGE(N6:N1198))/(STDEV(N6:N1198)+1E-12))</f>
        <v/>
      </c>
      <c r="P1052" s="3">
        <f>IF('3a Raw'!J1052="","",MAX(-3,MIN(3,('3a Raw'!J1052-$P3)/$P4)))</f>
        <v/>
      </c>
      <c r="Q1052" s="3">
        <f>IF(P1052="","",(P1052-AVERAGE(P6:P1198))/(STDEV(P6:P1198)+1E-12))</f>
        <v/>
      </c>
      <c r="R1052" s="3">
        <f>IF('3a Raw'!K1052="","",MAX(-3,MIN(3,('3a Raw'!K1052-$R3)/$R4)))</f>
        <v/>
      </c>
      <c r="S1052" s="3">
        <f>IF(R1052="","",(R1052-AVERAGE(R6:R1198))/(STDEV(R6:R1198)+1E-12))</f>
        <v/>
      </c>
      <c r="T1052" s="3">
        <f>IF('3a Raw'!L1052="","",MAX(-3,MIN(3,('3a Raw'!L1052-$T3)/$T4)))</f>
        <v/>
      </c>
      <c r="U1052" s="3">
        <f>IF(T1052="","",(T1052-AVERAGE(T6:T1198))/(STDEV(T6:T1198)+1E-12))</f>
        <v/>
      </c>
      <c r="X1052" s="3">
        <f>IF(U1052="","",U1052-($V$3*G1052+$W$3))</f>
        <v/>
      </c>
      <c r="Y1052" s="3">
        <f>IF(X1052="","",MAX(-3,MIN(3,(X1052-$X3)/$X4)))</f>
        <v/>
      </c>
      <c r="Z1052" s="3">
        <f>IF(Y1052="","",(Y1052-AVERAGE(Y6:Y1198))/(STDEV(Y6:Y1198)+1E-12))</f>
        <v/>
      </c>
    </row>
    <row r="1053">
      <c r="A1053" t="inlineStr">
        <is>
          <t>BBG0145FSNR1</t>
        </is>
      </c>
      <c r="B1053" s="3">
        <f>IF('3a Raw'!C1053="","",MAX(-3,MIN(3,('3a Raw'!C1053-$B3)/$B4)))</f>
        <v/>
      </c>
      <c r="C1053" s="3">
        <f>IF(B1053="","",(B1053-AVERAGE(B6:B1198))/(STDEV(B6:B1198)+1E-12))</f>
        <v/>
      </c>
      <c r="D1053" s="3">
        <f>IF('3a Raw'!D1053="","",MAX(-3,MIN(3,('3a Raw'!D1053-$D3)/$D4)))</f>
        <v/>
      </c>
      <c r="E1053" s="3">
        <f>IF(D1053="","",(D1053-AVERAGE(D6:D1198))/(STDEV(D6:D1198)+1E-12))</f>
        <v/>
      </c>
      <c r="F1053" s="3">
        <f>IF('3a Raw'!E1053="","",MAX(-3,MIN(3,('3a Raw'!E1053-$F3)/$F4)))</f>
        <v/>
      </c>
      <c r="G1053" s="3">
        <f>IF(F1053="","",(F1053-AVERAGE(F6:F1198))/(STDEV(F6:F1198)+1E-12))</f>
        <v/>
      </c>
      <c r="H1053" s="3">
        <f>IF('3a Raw'!F1053="","",MAX(-3,MIN(3,('3a Raw'!F1053-$H3)/$H4)))</f>
        <v/>
      </c>
      <c r="I1053" s="3">
        <f>IF(H1053="","",(H1053-AVERAGE(H6:H1198))/(STDEV(H6:H1198)+1E-12))</f>
        <v/>
      </c>
      <c r="J1053" s="3">
        <f>IF('3a Raw'!G1053="","",MAX(-3,MIN(3,('3a Raw'!G1053-$J3)/$J4)))</f>
        <v/>
      </c>
      <c r="K1053" s="3">
        <f>IF(J1053="","",(J1053-AVERAGE(J6:J1198))/(STDEV(J6:J1198)+1E-12))</f>
        <v/>
      </c>
      <c r="L1053" s="3">
        <f>IF('3a Raw'!H1053="","",MAX(-3,MIN(3,('3a Raw'!H1053-$L3)/$L4)))</f>
        <v/>
      </c>
      <c r="M1053" s="3">
        <f>IF(L1053="","",(L1053-AVERAGE(L6:L1198))/(STDEV(L6:L1198)+1E-12))</f>
        <v/>
      </c>
      <c r="N1053" s="3">
        <f>IF('3a Raw'!I1053="","",MAX(-3,MIN(3,('3a Raw'!I1053-$N3)/$N4)))</f>
        <v/>
      </c>
      <c r="O1053" s="3">
        <f>IF(N1053="","",(N1053-AVERAGE(N6:N1198))/(STDEV(N6:N1198)+1E-12))</f>
        <v/>
      </c>
      <c r="P1053" s="3">
        <f>IF('3a Raw'!J1053="","",MAX(-3,MIN(3,('3a Raw'!J1053-$P3)/$P4)))</f>
        <v/>
      </c>
      <c r="Q1053" s="3">
        <f>IF(P1053="","",(P1053-AVERAGE(P6:P1198))/(STDEV(P6:P1198)+1E-12))</f>
        <v/>
      </c>
      <c r="R1053" s="3">
        <f>IF('3a Raw'!K1053="","",MAX(-3,MIN(3,('3a Raw'!K1053-$R3)/$R4)))</f>
        <v/>
      </c>
      <c r="S1053" s="3">
        <f>IF(R1053="","",(R1053-AVERAGE(R6:R1198))/(STDEV(R6:R1198)+1E-12))</f>
        <v/>
      </c>
      <c r="T1053" s="3">
        <f>IF('3a Raw'!L1053="","",MAX(-3,MIN(3,('3a Raw'!L1053-$T3)/$T4)))</f>
        <v/>
      </c>
      <c r="U1053" s="3">
        <f>IF(T1053="","",(T1053-AVERAGE(T6:T1198))/(STDEV(T6:T1198)+1E-12))</f>
        <v/>
      </c>
      <c r="X1053" s="3">
        <f>IF(U1053="","",U1053-($V$3*G1053+$W$3))</f>
        <v/>
      </c>
      <c r="Y1053" s="3">
        <f>IF(X1053="","",MAX(-3,MIN(3,(X1053-$X3)/$X4)))</f>
        <v/>
      </c>
      <c r="Z1053" s="3">
        <f>IF(Y1053="","",(Y1053-AVERAGE(Y6:Y1198))/(STDEV(Y6:Y1198)+1E-12))</f>
        <v/>
      </c>
    </row>
    <row r="1054">
      <c r="A1054" t="inlineStr">
        <is>
          <t>tpl</t>
        </is>
      </c>
      <c r="B1054" s="3">
        <f>IF('3a Raw'!C1054="","",MAX(-3,MIN(3,('3a Raw'!C1054-$B3)/$B4)))</f>
        <v/>
      </c>
      <c r="C1054" s="3">
        <f>IF(B1054="","",(B1054-AVERAGE(B6:B1198))/(STDEV(B6:B1198)+1E-12))</f>
        <v/>
      </c>
      <c r="D1054" s="3">
        <f>IF('3a Raw'!D1054="","",MAX(-3,MIN(3,('3a Raw'!D1054-$D3)/$D4)))</f>
        <v/>
      </c>
      <c r="E1054" s="3">
        <f>IF(D1054="","",(D1054-AVERAGE(D6:D1198))/(STDEV(D6:D1198)+1E-12))</f>
        <v/>
      </c>
      <c r="F1054" s="3">
        <f>IF('3a Raw'!E1054="","",MAX(-3,MIN(3,('3a Raw'!E1054-$F3)/$F4)))</f>
        <v/>
      </c>
      <c r="G1054" s="3">
        <f>IF(F1054="","",(F1054-AVERAGE(F6:F1198))/(STDEV(F6:F1198)+1E-12))</f>
        <v/>
      </c>
      <c r="H1054" s="3">
        <f>IF('3a Raw'!F1054="","",MAX(-3,MIN(3,('3a Raw'!F1054-$H3)/$H4)))</f>
        <v/>
      </c>
      <c r="I1054" s="3">
        <f>IF(H1054="","",(H1054-AVERAGE(H6:H1198))/(STDEV(H6:H1198)+1E-12))</f>
        <v/>
      </c>
      <c r="J1054" s="3">
        <f>IF('3a Raw'!G1054="","",MAX(-3,MIN(3,('3a Raw'!G1054-$J3)/$J4)))</f>
        <v/>
      </c>
      <c r="K1054" s="3">
        <f>IF(J1054="","",(J1054-AVERAGE(J6:J1198))/(STDEV(J6:J1198)+1E-12))</f>
        <v/>
      </c>
      <c r="L1054" s="3">
        <f>IF('3a Raw'!H1054="","",MAX(-3,MIN(3,('3a Raw'!H1054-$L3)/$L4)))</f>
        <v/>
      </c>
      <c r="M1054" s="3">
        <f>IF(L1054="","",(L1054-AVERAGE(L6:L1198))/(STDEV(L6:L1198)+1E-12))</f>
        <v/>
      </c>
      <c r="N1054" s="3">
        <f>IF('3a Raw'!I1054="","",MAX(-3,MIN(3,('3a Raw'!I1054-$N3)/$N4)))</f>
        <v/>
      </c>
      <c r="O1054" s="3">
        <f>IF(N1054="","",(N1054-AVERAGE(N6:N1198))/(STDEV(N6:N1198)+1E-12))</f>
        <v/>
      </c>
      <c r="P1054" s="3">
        <f>IF('3a Raw'!J1054="","",MAX(-3,MIN(3,('3a Raw'!J1054-$P3)/$P4)))</f>
        <v/>
      </c>
      <c r="Q1054" s="3">
        <f>IF(P1054="","",(P1054-AVERAGE(P6:P1198))/(STDEV(P6:P1198)+1E-12))</f>
        <v/>
      </c>
      <c r="R1054" s="3">
        <f>IF('3a Raw'!K1054="","",MAX(-3,MIN(3,('3a Raw'!K1054-$R3)/$R4)))</f>
        <v/>
      </c>
      <c r="S1054" s="3">
        <f>IF(R1054="","",(R1054-AVERAGE(R6:R1198))/(STDEV(R6:R1198)+1E-12))</f>
        <v/>
      </c>
      <c r="T1054" s="3">
        <f>IF('3a Raw'!L1054="","",MAX(-3,MIN(3,('3a Raw'!L1054-$T3)/$T4)))</f>
        <v/>
      </c>
      <c r="U1054" s="3">
        <f>IF(T1054="","",(T1054-AVERAGE(T6:T1198))/(STDEV(T6:T1198)+1E-12))</f>
        <v/>
      </c>
      <c r="X1054" s="3">
        <f>IF(U1054="","",U1054-($V$3*G1054+$W$3))</f>
        <v/>
      </c>
      <c r="Y1054" s="3">
        <f>IF(X1054="","",MAX(-3,MIN(3,(X1054-$X3)/$X4)))</f>
        <v/>
      </c>
      <c r="Z1054" s="3">
        <f>IF(Y1054="","",(Y1054-AVERAGE(Y6:Y1198))/(STDEV(Y6:Y1198)+1E-12))</f>
        <v/>
      </c>
    </row>
    <row r="1055">
      <c r="A1055" t="inlineStr">
        <is>
          <t>BBG000BY29C7</t>
        </is>
      </c>
      <c r="B1055" s="3">
        <f>IF('3a Raw'!C1055="","",MAX(-3,MIN(3,('3a Raw'!C1055-$B3)/$B4)))</f>
        <v/>
      </c>
      <c r="C1055" s="3">
        <f>IF(B1055="","",(B1055-AVERAGE(B6:B1198))/(STDEV(B6:B1198)+1E-12))</f>
        <v/>
      </c>
      <c r="D1055" s="3">
        <f>IF('3a Raw'!D1055="","",MAX(-3,MIN(3,('3a Raw'!D1055-$D3)/$D4)))</f>
        <v/>
      </c>
      <c r="E1055" s="3">
        <f>IF(D1055="","",(D1055-AVERAGE(D6:D1198))/(STDEV(D6:D1198)+1E-12))</f>
        <v/>
      </c>
      <c r="F1055" s="3">
        <f>IF('3a Raw'!E1055="","",MAX(-3,MIN(3,('3a Raw'!E1055-$F3)/$F4)))</f>
        <v/>
      </c>
      <c r="G1055" s="3">
        <f>IF(F1055="","",(F1055-AVERAGE(F6:F1198))/(STDEV(F6:F1198)+1E-12))</f>
        <v/>
      </c>
      <c r="H1055" s="3">
        <f>IF('3a Raw'!F1055="","",MAX(-3,MIN(3,('3a Raw'!F1055-$H3)/$H4)))</f>
        <v/>
      </c>
      <c r="I1055" s="3">
        <f>IF(H1055="","",(H1055-AVERAGE(H6:H1198))/(STDEV(H6:H1198)+1E-12))</f>
        <v/>
      </c>
      <c r="J1055" s="3">
        <f>IF('3a Raw'!G1055="","",MAX(-3,MIN(3,('3a Raw'!G1055-$J3)/$J4)))</f>
        <v/>
      </c>
      <c r="K1055" s="3">
        <f>IF(J1055="","",(J1055-AVERAGE(J6:J1198))/(STDEV(J6:J1198)+1E-12))</f>
        <v/>
      </c>
      <c r="L1055" s="3">
        <f>IF('3a Raw'!H1055="","",MAX(-3,MIN(3,('3a Raw'!H1055-$L3)/$L4)))</f>
        <v/>
      </c>
      <c r="M1055" s="3">
        <f>IF(L1055="","",(L1055-AVERAGE(L6:L1198))/(STDEV(L6:L1198)+1E-12))</f>
        <v/>
      </c>
      <c r="N1055" s="3">
        <f>IF('3a Raw'!I1055="","",MAX(-3,MIN(3,('3a Raw'!I1055-$N3)/$N4)))</f>
        <v/>
      </c>
      <c r="O1055" s="3">
        <f>IF(N1055="","",(N1055-AVERAGE(N6:N1198))/(STDEV(N6:N1198)+1E-12))</f>
        <v/>
      </c>
      <c r="P1055" s="3">
        <f>IF('3a Raw'!J1055="","",MAX(-3,MIN(3,('3a Raw'!J1055-$P3)/$P4)))</f>
        <v/>
      </c>
      <c r="Q1055" s="3">
        <f>IF(P1055="","",(P1055-AVERAGE(P6:P1198))/(STDEV(P6:P1198)+1E-12))</f>
        <v/>
      </c>
      <c r="R1055" s="3">
        <f>IF('3a Raw'!K1055="","",MAX(-3,MIN(3,('3a Raw'!K1055-$R3)/$R4)))</f>
        <v/>
      </c>
      <c r="S1055" s="3">
        <f>IF(R1055="","",(R1055-AVERAGE(R6:R1198))/(STDEV(R6:R1198)+1E-12))</f>
        <v/>
      </c>
      <c r="T1055" s="3">
        <f>IF('3a Raw'!L1055="","",MAX(-3,MIN(3,('3a Raw'!L1055-$T3)/$T4)))</f>
        <v/>
      </c>
      <c r="U1055" s="3">
        <f>IF(T1055="","",(T1055-AVERAGE(T6:T1198))/(STDEV(T6:T1198)+1E-12))</f>
        <v/>
      </c>
      <c r="X1055" s="3">
        <f>IF(U1055="","",U1055-($V$3*G1055+$W$3))</f>
        <v/>
      </c>
      <c r="Y1055" s="3">
        <f>IF(X1055="","",MAX(-3,MIN(3,(X1055-$X3)/$X4)))</f>
        <v/>
      </c>
      <c r="Z1055" s="3">
        <f>IF(Y1055="","",(Y1055-AVERAGE(Y6:Y1198))/(STDEV(Y6:Y1198)+1E-12))</f>
        <v/>
      </c>
    </row>
    <row r="1056">
      <c r="A1056" t="inlineStr">
        <is>
          <t>BBG0015XMW40</t>
        </is>
      </c>
      <c r="B1056" s="3">
        <f>IF('3a Raw'!C1056="","",MAX(-3,MIN(3,('3a Raw'!C1056-$B3)/$B4)))</f>
        <v/>
      </c>
      <c r="C1056" s="3">
        <f>IF(B1056="","",(B1056-AVERAGE(B6:B1198))/(STDEV(B6:B1198)+1E-12))</f>
        <v/>
      </c>
      <c r="D1056" s="3">
        <f>IF('3a Raw'!D1056="","",MAX(-3,MIN(3,('3a Raw'!D1056-$D3)/$D4)))</f>
        <v/>
      </c>
      <c r="E1056" s="3">
        <f>IF(D1056="","",(D1056-AVERAGE(D6:D1198))/(STDEV(D6:D1198)+1E-12))</f>
        <v/>
      </c>
      <c r="F1056" s="3">
        <f>IF('3a Raw'!E1056="","",MAX(-3,MIN(3,('3a Raw'!E1056-$F3)/$F4)))</f>
        <v/>
      </c>
      <c r="G1056" s="3">
        <f>IF(F1056="","",(F1056-AVERAGE(F6:F1198))/(STDEV(F6:F1198)+1E-12))</f>
        <v/>
      </c>
      <c r="H1056" s="3">
        <f>IF('3a Raw'!F1056="","",MAX(-3,MIN(3,('3a Raw'!F1056-$H3)/$H4)))</f>
        <v/>
      </c>
      <c r="I1056" s="3">
        <f>IF(H1056="","",(H1056-AVERAGE(H6:H1198))/(STDEV(H6:H1198)+1E-12))</f>
        <v/>
      </c>
      <c r="J1056" s="3">
        <f>IF('3a Raw'!G1056="","",MAX(-3,MIN(3,('3a Raw'!G1056-$J3)/$J4)))</f>
        <v/>
      </c>
      <c r="K1056" s="3">
        <f>IF(J1056="","",(J1056-AVERAGE(J6:J1198))/(STDEV(J6:J1198)+1E-12))</f>
        <v/>
      </c>
      <c r="L1056" s="3">
        <f>IF('3a Raw'!H1056="","",MAX(-3,MIN(3,('3a Raw'!H1056-$L3)/$L4)))</f>
        <v/>
      </c>
      <c r="M1056" s="3">
        <f>IF(L1056="","",(L1056-AVERAGE(L6:L1198))/(STDEV(L6:L1198)+1E-12))</f>
        <v/>
      </c>
      <c r="N1056" s="3">
        <f>IF('3a Raw'!I1056="","",MAX(-3,MIN(3,('3a Raw'!I1056-$N3)/$N4)))</f>
        <v/>
      </c>
      <c r="O1056" s="3">
        <f>IF(N1056="","",(N1056-AVERAGE(N6:N1198))/(STDEV(N6:N1198)+1E-12))</f>
        <v/>
      </c>
      <c r="P1056" s="3">
        <f>IF('3a Raw'!J1056="","",MAX(-3,MIN(3,('3a Raw'!J1056-$P3)/$P4)))</f>
        <v/>
      </c>
      <c r="Q1056" s="3">
        <f>IF(P1056="","",(P1056-AVERAGE(P6:P1198))/(STDEV(P6:P1198)+1E-12))</f>
        <v/>
      </c>
      <c r="R1056" s="3">
        <f>IF('3a Raw'!K1056="","",MAX(-3,MIN(3,('3a Raw'!K1056-$R3)/$R4)))</f>
        <v/>
      </c>
      <c r="S1056" s="3">
        <f>IF(R1056="","",(R1056-AVERAGE(R6:R1198))/(STDEV(R6:R1198)+1E-12))</f>
        <v/>
      </c>
      <c r="T1056" s="3">
        <f>IF('3a Raw'!L1056="","",MAX(-3,MIN(3,('3a Raw'!L1056-$T3)/$T4)))</f>
        <v/>
      </c>
      <c r="U1056" s="3">
        <f>IF(T1056="","",(T1056-AVERAGE(T6:T1198))/(STDEV(T6:T1198)+1E-12))</f>
        <v/>
      </c>
      <c r="X1056" s="3">
        <f>IF(U1056="","",U1056-($V$3*G1056+$W$3))</f>
        <v/>
      </c>
      <c r="Y1056" s="3">
        <f>IF(X1056="","",MAX(-3,MIN(3,(X1056-$X3)/$X4)))</f>
        <v/>
      </c>
      <c r="Z1056" s="3">
        <f>IF(Y1056="","",(Y1056-AVERAGE(Y6:Y1198))/(STDEV(Y6:Y1198)+1E-12))</f>
        <v/>
      </c>
    </row>
    <row r="1057">
      <c r="A1057" t="inlineStr">
        <is>
          <t>BBG00T6WFZ96</t>
        </is>
      </c>
      <c r="B1057" s="3">
        <f>IF('3a Raw'!C1057="","",MAX(-3,MIN(3,('3a Raw'!C1057-$B3)/$B4)))</f>
        <v/>
      </c>
      <c r="C1057" s="3">
        <f>IF(B1057="","",(B1057-AVERAGE(B6:B1198))/(STDEV(B6:B1198)+1E-12))</f>
        <v/>
      </c>
      <c r="D1057" s="3">
        <f>IF('3a Raw'!D1057="","",MAX(-3,MIN(3,('3a Raw'!D1057-$D3)/$D4)))</f>
        <v/>
      </c>
      <c r="E1057" s="3">
        <f>IF(D1057="","",(D1057-AVERAGE(D6:D1198))/(STDEV(D6:D1198)+1E-12))</f>
        <v/>
      </c>
      <c r="F1057" s="3">
        <f>IF('3a Raw'!E1057="","",MAX(-3,MIN(3,('3a Raw'!E1057-$F3)/$F4)))</f>
        <v/>
      </c>
      <c r="G1057" s="3">
        <f>IF(F1057="","",(F1057-AVERAGE(F6:F1198))/(STDEV(F6:F1198)+1E-12))</f>
        <v/>
      </c>
      <c r="H1057" s="3">
        <f>IF('3a Raw'!F1057="","",MAX(-3,MIN(3,('3a Raw'!F1057-$H3)/$H4)))</f>
        <v/>
      </c>
      <c r="I1057" s="3">
        <f>IF(H1057="","",(H1057-AVERAGE(H6:H1198))/(STDEV(H6:H1198)+1E-12))</f>
        <v/>
      </c>
      <c r="J1057" s="3">
        <f>IF('3a Raw'!G1057="","",MAX(-3,MIN(3,('3a Raw'!G1057-$J3)/$J4)))</f>
        <v/>
      </c>
      <c r="K1057" s="3">
        <f>IF(J1057="","",(J1057-AVERAGE(J6:J1198))/(STDEV(J6:J1198)+1E-12))</f>
        <v/>
      </c>
      <c r="L1057" s="3">
        <f>IF('3a Raw'!H1057="","",MAX(-3,MIN(3,('3a Raw'!H1057-$L3)/$L4)))</f>
        <v/>
      </c>
      <c r="M1057" s="3">
        <f>IF(L1057="","",(L1057-AVERAGE(L6:L1198))/(STDEV(L6:L1198)+1E-12))</f>
        <v/>
      </c>
      <c r="N1057" s="3">
        <f>IF('3a Raw'!I1057="","",MAX(-3,MIN(3,('3a Raw'!I1057-$N3)/$N4)))</f>
        <v/>
      </c>
      <c r="O1057" s="3">
        <f>IF(N1057="","",(N1057-AVERAGE(N6:N1198))/(STDEV(N6:N1198)+1E-12))</f>
        <v/>
      </c>
      <c r="P1057" s="3">
        <f>IF('3a Raw'!J1057="","",MAX(-3,MIN(3,('3a Raw'!J1057-$P3)/$P4)))</f>
        <v/>
      </c>
      <c r="Q1057" s="3">
        <f>IF(P1057="","",(P1057-AVERAGE(P6:P1198))/(STDEV(P6:P1198)+1E-12))</f>
        <v/>
      </c>
      <c r="R1057" s="3">
        <f>IF('3a Raw'!K1057="","",MAX(-3,MIN(3,('3a Raw'!K1057-$R3)/$R4)))</f>
        <v/>
      </c>
      <c r="S1057" s="3">
        <f>IF(R1057="","",(R1057-AVERAGE(R6:R1198))/(STDEV(R6:R1198)+1E-12))</f>
        <v/>
      </c>
      <c r="T1057" s="3">
        <f>IF('3a Raw'!L1057="","",MAX(-3,MIN(3,('3a Raw'!L1057-$T3)/$T4)))</f>
        <v/>
      </c>
      <c r="U1057" s="3">
        <f>IF(T1057="","",(T1057-AVERAGE(T6:T1198))/(STDEV(T6:T1198)+1E-12))</f>
        <v/>
      </c>
      <c r="X1057" s="3">
        <f>IF(U1057="","",U1057-($V$3*G1057+$W$3))</f>
        <v/>
      </c>
      <c r="Y1057" s="3">
        <f>IF(X1057="","",MAX(-3,MIN(3,(X1057-$X3)/$X4)))</f>
        <v/>
      </c>
      <c r="Z1057" s="3">
        <f>IF(Y1057="","",(Y1057-AVERAGE(Y6:Y1198))/(STDEV(Y6:Y1198)+1E-12))</f>
        <v/>
      </c>
    </row>
    <row r="1058">
      <c r="A1058" t="inlineStr">
        <is>
          <t>BBG001M8HHB7</t>
        </is>
      </c>
      <c r="B1058" s="3">
        <f>IF('3a Raw'!C1058="","",MAX(-3,MIN(3,('3a Raw'!C1058-$B3)/$B4)))</f>
        <v/>
      </c>
      <c r="C1058" s="3">
        <f>IF(B1058="","",(B1058-AVERAGE(B6:B1198))/(STDEV(B6:B1198)+1E-12))</f>
        <v/>
      </c>
      <c r="D1058" s="3">
        <f>IF('3a Raw'!D1058="","",MAX(-3,MIN(3,('3a Raw'!D1058-$D3)/$D4)))</f>
        <v/>
      </c>
      <c r="E1058" s="3">
        <f>IF(D1058="","",(D1058-AVERAGE(D6:D1198))/(STDEV(D6:D1198)+1E-12))</f>
        <v/>
      </c>
      <c r="F1058" s="3">
        <f>IF('3a Raw'!E1058="","",MAX(-3,MIN(3,('3a Raw'!E1058-$F3)/$F4)))</f>
        <v/>
      </c>
      <c r="G1058" s="3">
        <f>IF(F1058="","",(F1058-AVERAGE(F6:F1198))/(STDEV(F6:F1198)+1E-12))</f>
        <v/>
      </c>
      <c r="H1058" s="3">
        <f>IF('3a Raw'!F1058="","",MAX(-3,MIN(3,('3a Raw'!F1058-$H3)/$H4)))</f>
        <v/>
      </c>
      <c r="I1058" s="3">
        <f>IF(H1058="","",(H1058-AVERAGE(H6:H1198))/(STDEV(H6:H1198)+1E-12))</f>
        <v/>
      </c>
      <c r="J1058" s="3">
        <f>IF('3a Raw'!G1058="","",MAX(-3,MIN(3,('3a Raw'!G1058-$J3)/$J4)))</f>
        <v/>
      </c>
      <c r="K1058" s="3">
        <f>IF(J1058="","",(J1058-AVERAGE(J6:J1198))/(STDEV(J6:J1198)+1E-12))</f>
        <v/>
      </c>
      <c r="L1058" s="3">
        <f>IF('3a Raw'!H1058="","",MAX(-3,MIN(3,('3a Raw'!H1058-$L3)/$L4)))</f>
        <v/>
      </c>
      <c r="M1058" s="3">
        <f>IF(L1058="","",(L1058-AVERAGE(L6:L1198))/(STDEV(L6:L1198)+1E-12))</f>
        <v/>
      </c>
      <c r="N1058" s="3">
        <f>IF('3a Raw'!I1058="","",MAX(-3,MIN(3,('3a Raw'!I1058-$N3)/$N4)))</f>
        <v/>
      </c>
      <c r="O1058" s="3">
        <f>IF(N1058="","",(N1058-AVERAGE(N6:N1198))/(STDEV(N6:N1198)+1E-12))</f>
        <v/>
      </c>
      <c r="P1058" s="3">
        <f>IF('3a Raw'!J1058="","",MAX(-3,MIN(3,('3a Raw'!J1058-$P3)/$P4)))</f>
        <v/>
      </c>
      <c r="Q1058" s="3">
        <f>IF(P1058="","",(P1058-AVERAGE(P6:P1198))/(STDEV(P6:P1198)+1E-12))</f>
        <v/>
      </c>
      <c r="R1058" s="3">
        <f>IF('3a Raw'!K1058="","",MAX(-3,MIN(3,('3a Raw'!K1058-$R3)/$R4)))</f>
        <v/>
      </c>
      <c r="S1058" s="3">
        <f>IF(R1058="","",(R1058-AVERAGE(R6:R1198))/(STDEV(R6:R1198)+1E-12))</f>
        <v/>
      </c>
      <c r="T1058" s="3">
        <f>IF('3a Raw'!L1058="","",MAX(-3,MIN(3,('3a Raw'!L1058-$T3)/$T4)))</f>
        <v/>
      </c>
      <c r="U1058" s="3">
        <f>IF(T1058="","",(T1058-AVERAGE(T6:T1198))/(STDEV(T6:T1198)+1E-12))</f>
        <v/>
      </c>
      <c r="X1058" s="3">
        <f>IF(U1058="","",U1058-($V$3*G1058+$W$3))</f>
        <v/>
      </c>
      <c r="Y1058" s="3">
        <f>IF(X1058="","",MAX(-3,MIN(3,(X1058-$X3)/$X4)))</f>
        <v/>
      </c>
      <c r="Z1058" s="3">
        <f>IF(Y1058="","",(Y1058-AVERAGE(Y6:Y1198))/(STDEV(Y6:Y1198)+1E-12))</f>
        <v/>
      </c>
    </row>
    <row r="1059">
      <c r="A1059" t="inlineStr">
        <is>
          <t>trmb</t>
        </is>
      </c>
      <c r="B1059" s="3">
        <f>IF('3a Raw'!C1059="","",MAX(-3,MIN(3,('3a Raw'!C1059-$B3)/$B4)))</f>
        <v/>
      </c>
      <c r="C1059" s="3">
        <f>IF(B1059="","",(B1059-AVERAGE(B6:B1198))/(STDEV(B6:B1198)+1E-12))</f>
        <v/>
      </c>
      <c r="D1059" s="3">
        <f>IF('3a Raw'!D1059="","",MAX(-3,MIN(3,('3a Raw'!D1059-$D3)/$D4)))</f>
        <v/>
      </c>
      <c r="E1059" s="3">
        <f>IF(D1059="","",(D1059-AVERAGE(D6:D1198))/(STDEV(D6:D1198)+1E-12))</f>
        <v/>
      </c>
      <c r="F1059" s="3">
        <f>IF('3a Raw'!E1059="","",MAX(-3,MIN(3,('3a Raw'!E1059-$F3)/$F4)))</f>
        <v/>
      </c>
      <c r="G1059" s="3">
        <f>IF(F1059="","",(F1059-AVERAGE(F6:F1198))/(STDEV(F6:F1198)+1E-12))</f>
        <v/>
      </c>
      <c r="H1059" s="3">
        <f>IF('3a Raw'!F1059="","",MAX(-3,MIN(3,('3a Raw'!F1059-$H3)/$H4)))</f>
        <v/>
      </c>
      <c r="I1059" s="3">
        <f>IF(H1059="","",(H1059-AVERAGE(H6:H1198))/(STDEV(H6:H1198)+1E-12))</f>
        <v/>
      </c>
      <c r="J1059" s="3">
        <f>IF('3a Raw'!G1059="","",MAX(-3,MIN(3,('3a Raw'!G1059-$J3)/$J4)))</f>
        <v/>
      </c>
      <c r="K1059" s="3">
        <f>IF(J1059="","",(J1059-AVERAGE(J6:J1198))/(STDEV(J6:J1198)+1E-12))</f>
        <v/>
      </c>
      <c r="L1059" s="3">
        <f>IF('3a Raw'!H1059="","",MAX(-3,MIN(3,('3a Raw'!H1059-$L3)/$L4)))</f>
        <v/>
      </c>
      <c r="M1059" s="3">
        <f>IF(L1059="","",(L1059-AVERAGE(L6:L1198))/(STDEV(L6:L1198)+1E-12))</f>
        <v/>
      </c>
      <c r="N1059" s="3">
        <f>IF('3a Raw'!I1059="","",MAX(-3,MIN(3,('3a Raw'!I1059-$N3)/$N4)))</f>
        <v/>
      </c>
      <c r="O1059" s="3">
        <f>IF(N1059="","",(N1059-AVERAGE(N6:N1198))/(STDEV(N6:N1198)+1E-12))</f>
        <v/>
      </c>
      <c r="P1059" s="3">
        <f>IF('3a Raw'!J1059="","",MAX(-3,MIN(3,('3a Raw'!J1059-$P3)/$P4)))</f>
        <v/>
      </c>
      <c r="Q1059" s="3">
        <f>IF(P1059="","",(P1059-AVERAGE(P6:P1198))/(STDEV(P6:P1198)+1E-12))</f>
        <v/>
      </c>
      <c r="R1059" s="3">
        <f>IF('3a Raw'!K1059="","",MAX(-3,MIN(3,('3a Raw'!K1059-$R3)/$R4)))</f>
        <v/>
      </c>
      <c r="S1059" s="3">
        <f>IF(R1059="","",(R1059-AVERAGE(R6:R1198))/(STDEV(R6:R1198)+1E-12))</f>
        <v/>
      </c>
      <c r="T1059" s="3">
        <f>IF('3a Raw'!L1059="","",MAX(-3,MIN(3,('3a Raw'!L1059-$T3)/$T4)))</f>
        <v/>
      </c>
      <c r="U1059" s="3">
        <f>IF(T1059="","",(T1059-AVERAGE(T6:T1198))/(STDEV(T6:T1198)+1E-12))</f>
        <v/>
      </c>
      <c r="X1059" s="3">
        <f>IF(U1059="","",U1059-($V$3*G1059+$W$3))</f>
        <v/>
      </c>
      <c r="Y1059" s="3">
        <f>IF(X1059="","",MAX(-3,MIN(3,(X1059-$X3)/$X4)))</f>
        <v/>
      </c>
      <c r="Z1059" s="3">
        <f>IF(Y1059="","",(Y1059-AVERAGE(Y6:Y1198))/(STDEV(Y6:Y1198)+1E-12))</f>
        <v/>
      </c>
    </row>
    <row r="1060">
      <c r="A1060" t="inlineStr">
        <is>
          <t>BBG000BVL2G3</t>
        </is>
      </c>
      <c r="B1060" s="3">
        <f>IF('3a Raw'!C1060="","",MAX(-3,MIN(3,('3a Raw'!C1060-$B3)/$B4)))</f>
        <v/>
      </c>
      <c r="C1060" s="3">
        <f>IF(B1060="","",(B1060-AVERAGE(B6:B1198))/(STDEV(B6:B1198)+1E-12))</f>
        <v/>
      </c>
      <c r="D1060" s="3">
        <f>IF('3a Raw'!D1060="","",MAX(-3,MIN(3,('3a Raw'!D1060-$D3)/$D4)))</f>
        <v/>
      </c>
      <c r="E1060" s="3">
        <f>IF(D1060="","",(D1060-AVERAGE(D6:D1198))/(STDEV(D6:D1198)+1E-12))</f>
        <v/>
      </c>
      <c r="F1060" s="3">
        <f>IF('3a Raw'!E1060="","",MAX(-3,MIN(3,('3a Raw'!E1060-$F3)/$F4)))</f>
        <v/>
      </c>
      <c r="G1060" s="3">
        <f>IF(F1060="","",(F1060-AVERAGE(F6:F1198))/(STDEV(F6:F1198)+1E-12))</f>
        <v/>
      </c>
      <c r="H1060" s="3">
        <f>IF('3a Raw'!F1060="","",MAX(-3,MIN(3,('3a Raw'!F1060-$H3)/$H4)))</f>
        <v/>
      </c>
      <c r="I1060" s="3">
        <f>IF(H1060="","",(H1060-AVERAGE(H6:H1198))/(STDEV(H6:H1198)+1E-12))</f>
        <v/>
      </c>
      <c r="J1060" s="3">
        <f>IF('3a Raw'!G1060="","",MAX(-3,MIN(3,('3a Raw'!G1060-$J3)/$J4)))</f>
        <v/>
      </c>
      <c r="K1060" s="3">
        <f>IF(J1060="","",(J1060-AVERAGE(J6:J1198))/(STDEV(J6:J1198)+1E-12))</f>
        <v/>
      </c>
      <c r="L1060" s="3">
        <f>IF('3a Raw'!H1060="","",MAX(-3,MIN(3,('3a Raw'!H1060-$L3)/$L4)))</f>
        <v/>
      </c>
      <c r="M1060" s="3">
        <f>IF(L1060="","",(L1060-AVERAGE(L6:L1198))/(STDEV(L6:L1198)+1E-12))</f>
        <v/>
      </c>
      <c r="N1060" s="3">
        <f>IF('3a Raw'!I1060="","",MAX(-3,MIN(3,('3a Raw'!I1060-$N3)/$N4)))</f>
        <v/>
      </c>
      <c r="O1060" s="3">
        <f>IF(N1060="","",(N1060-AVERAGE(N6:N1198))/(STDEV(N6:N1198)+1E-12))</f>
        <v/>
      </c>
      <c r="P1060" s="3">
        <f>IF('3a Raw'!J1060="","",MAX(-3,MIN(3,('3a Raw'!J1060-$P3)/$P4)))</f>
        <v/>
      </c>
      <c r="Q1060" s="3">
        <f>IF(P1060="","",(P1060-AVERAGE(P6:P1198))/(STDEV(P6:P1198)+1E-12))</f>
        <v/>
      </c>
      <c r="R1060" s="3">
        <f>IF('3a Raw'!K1060="","",MAX(-3,MIN(3,('3a Raw'!K1060-$R3)/$R4)))</f>
        <v/>
      </c>
      <c r="S1060" s="3">
        <f>IF(R1060="","",(R1060-AVERAGE(R6:R1198))/(STDEV(R6:R1198)+1E-12))</f>
        <v/>
      </c>
      <c r="T1060" s="3">
        <f>IF('3a Raw'!L1060="","",MAX(-3,MIN(3,('3a Raw'!L1060-$T3)/$T4)))</f>
        <v/>
      </c>
      <c r="U1060" s="3">
        <f>IF(T1060="","",(T1060-AVERAGE(T6:T1198))/(STDEV(T6:T1198)+1E-12))</f>
        <v/>
      </c>
      <c r="X1060" s="3">
        <f>IF(U1060="","",U1060-($V$3*G1060+$W$3))</f>
        <v/>
      </c>
      <c r="Y1060" s="3">
        <f>IF(X1060="","",MAX(-3,MIN(3,(X1060-$X3)/$X4)))</f>
        <v/>
      </c>
      <c r="Z1060" s="3">
        <f>IF(Y1060="","",(Y1060-AVERAGE(Y6:Y1198))/(STDEV(Y6:Y1198)+1E-12))</f>
        <v/>
      </c>
    </row>
    <row r="1061">
      <c r="A1061" t="inlineStr">
        <is>
          <t>BBG000BVMPN3</t>
        </is>
      </c>
      <c r="B1061" s="3">
        <f>IF('3a Raw'!C1061="","",MAX(-3,MIN(3,('3a Raw'!C1061-$B3)/$B4)))</f>
        <v/>
      </c>
      <c r="C1061" s="3">
        <f>IF(B1061="","",(B1061-AVERAGE(B6:B1198))/(STDEV(B6:B1198)+1E-12))</f>
        <v/>
      </c>
      <c r="D1061" s="3">
        <f>IF('3a Raw'!D1061="","",MAX(-3,MIN(3,('3a Raw'!D1061-$D3)/$D4)))</f>
        <v/>
      </c>
      <c r="E1061" s="3">
        <f>IF(D1061="","",(D1061-AVERAGE(D6:D1198))/(STDEV(D6:D1198)+1E-12))</f>
        <v/>
      </c>
      <c r="F1061" s="3">
        <f>IF('3a Raw'!E1061="","",MAX(-3,MIN(3,('3a Raw'!E1061-$F3)/$F4)))</f>
        <v/>
      </c>
      <c r="G1061" s="3">
        <f>IF(F1061="","",(F1061-AVERAGE(F6:F1198))/(STDEV(F6:F1198)+1E-12))</f>
        <v/>
      </c>
      <c r="H1061" s="3">
        <f>IF('3a Raw'!F1061="","",MAX(-3,MIN(3,('3a Raw'!F1061-$H3)/$H4)))</f>
        <v/>
      </c>
      <c r="I1061" s="3">
        <f>IF(H1061="","",(H1061-AVERAGE(H6:H1198))/(STDEV(H6:H1198)+1E-12))</f>
        <v/>
      </c>
      <c r="J1061" s="3">
        <f>IF('3a Raw'!G1061="","",MAX(-3,MIN(3,('3a Raw'!G1061-$J3)/$J4)))</f>
        <v/>
      </c>
      <c r="K1061" s="3">
        <f>IF(J1061="","",(J1061-AVERAGE(J6:J1198))/(STDEV(J6:J1198)+1E-12))</f>
        <v/>
      </c>
      <c r="L1061" s="3">
        <f>IF('3a Raw'!H1061="","",MAX(-3,MIN(3,('3a Raw'!H1061-$L3)/$L4)))</f>
        <v/>
      </c>
      <c r="M1061" s="3">
        <f>IF(L1061="","",(L1061-AVERAGE(L6:L1198))/(STDEV(L6:L1198)+1E-12))</f>
        <v/>
      </c>
      <c r="N1061" s="3">
        <f>IF('3a Raw'!I1061="","",MAX(-3,MIN(3,('3a Raw'!I1061-$N3)/$N4)))</f>
        <v/>
      </c>
      <c r="O1061" s="3">
        <f>IF(N1061="","",(N1061-AVERAGE(N6:N1198))/(STDEV(N6:N1198)+1E-12))</f>
        <v/>
      </c>
      <c r="P1061" s="3">
        <f>IF('3a Raw'!J1061="","",MAX(-3,MIN(3,('3a Raw'!J1061-$P3)/$P4)))</f>
        <v/>
      </c>
      <c r="Q1061" s="3">
        <f>IF(P1061="","",(P1061-AVERAGE(P6:P1198))/(STDEV(P6:P1198)+1E-12))</f>
        <v/>
      </c>
      <c r="R1061" s="3">
        <f>IF('3a Raw'!K1061="","",MAX(-3,MIN(3,('3a Raw'!K1061-$R3)/$R4)))</f>
        <v/>
      </c>
      <c r="S1061" s="3">
        <f>IF(R1061="","",(R1061-AVERAGE(R6:R1198))/(STDEV(R6:R1198)+1E-12))</f>
        <v/>
      </c>
      <c r="T1061" s="3">
        <f>IF('3a Raw'!L1061="","",MAX(-3,MIN(3,('3a Raw'!L1061-$T3)/$T4)))</f>
        <v/>
      </c>
      <c r="U1061" s="3">
        <f>IF(T1061="","",(T1061-AVERAGE(T6:T1198))/(STDEV(T6:T1198)+1E-12))</f>
        <v/>
      </c>
      <c r="X1061" s="3">
        <f>IF(U1061="","",U1061-($V$3*G1061+$W$3))</f>
        <v/>
      </c>
      <c r="Y1061" s="3">
        <f>IF(X1061="","",MAX(-3,MIN(3,(X1061-$X3)/$X4)))</f>
        <v/>
      </c>
      <c r="Z1061" s="3">
        <f>IF(Y1061="","",(Y1061-AVERAGE(Y6:Y1198))/(STDEV(Y6:Y1198)+1E-12))</f>
        <v/>
      </c>
    </row>
    <row r="1062">
      <c r="A1062" t="inlineStr">
        <is>
          <t>BBG000BVN235</t>
        </is>
      </c>
      <c r="B1062" s="3">
        <f>IF('3a Raw'!C1062="","",MAX(-3,MIN(3,('3a Raw'!C1062-$B3)/$B4)))</f>
        <v/>
      </c>
      <c r="C1062" s="3">
        <f>IF(B1062="","",(B1062-AVERAGE(B6:B1198))/(STDEV(B6:B1198)+1E-12))</f>
        <v/>
      </c>
      <c r="D1062" s="3">
        <f>IF('3a Raw'!D1062="","",MAX(-3,MIN(3,('3a Raw'!D1062-$D3)/$D4)))</f>
        <v/>
      </c>
      <c r="E1062" s="3">
        <f>IF(D1062="","",(D1062-AVERAGE(D6:D1198))/(STDEV(D6:D1198)+1E-12))</f>
        <v/>
      </c>
      <c r="F1062" s="3">
        <f>IF('3a Raw'!E1062="","",MAX(-3,MIN(3,('3a Raw'!E1062-$F3)/$F4)))</f>
        <v/>
      </c>
      <c r="G1062" s="3">
        <f>IF(F1062="","",(F1062-AVERAGE(F6:F1198))/(STDEV(F6:F1198)+1E-12))</f>
        <v/>
      </c>
      <c r="H1062" s="3">
        <f>IF('3a Raw'!F1062="","",MAX(-3,MIN(3,('3a Raw'!F1062-$H3)/$H4)))</f>
        <v/>
      </c>
      <c r="I1062" s="3">
        <f>IF(H1062="","",(H1062-AVERAGE(H6:H1198))/(STDEV(H6:H1198)+1E-12))</f>
        <v/>
      </c>
      <c r="J1062" s="3">
        <f>IF('3a Raw'!G1062="","",MAX(-3,MIN(3,('3a Raw'!G1062-$J3)/$J4)))</f>
        <v/>
      </c>
      <c r="K1062" s="3">
        <f>IF(J1062="","",(J1062-AVERAGE(J6:J1198))/(STDEV(J6:J1198)+1E-12))</f>
        <v/>
      </c>
      <c r="L1062" s="3">
        <f>IF('3a Raw'!H1062="","",MAX(-3,MIN(3,('3a Raw'!H1062-$L3)/$L4)))</f>
        <v/>
      </c>
      <c r="M1062" s="3">
        <f>IF(L1062="","",(L1062-AVERAGE(L6:L1198))/(STDEV(L6:L1198)+1E-12))</f>
        <v/>
      </c>
      <c r="N1062" s="3">
        <f>IF('3a Raw'!I1062="","",MAX(-3,MIN(3,('3a Raw'!I1062-$N3)/$N4)))</f>
        <v/>
      </c>
      <c r="O1062" s="3">
        <f>IF(N1062="","",(N1062-AVERAGE(N6:N1198))/(STDEV(N6:N1198)+1E-12))</f>
        <v/>
      </c>
      <c r="P1062" s="3">
        <f>IF('3a Raw'!J1062="","",MAX(-3,MIN(3,('3a Raw'!J1062-$P3)/$P4)))</f>
        <v/>
      </c>
      <c r="Q1062" s="3">
        <f>IF(P1062="","",(P1062-AVERAGE(P6:P1198))/(STDEV(P6:P1198)+1E-12))</f>
        <v/>
      </c>
      <c r="R1062" s="3">
        <f>IF('3a Raw'!K1062="","",MAX(-3,MIN(3,('3a Raw'!K1062-$R3)/$R4)))</f>
        <v/>
      </c>
      <c r="S1062" s="3">
        <f>IF(R1062="","",(R1062-AVERAGE(R6:R1198))/(STDEV(R6:R1198)+1E-12))</f>
        <v/>
      </c>
      <c r="T1062" s="3">
        <f>IF('3a Raw'!L1062="","",MAX(-3,MIN(3,('3a Raw'!L1062-$T3)/$T4)))</f>
        <v/>
      </c>
      <c r="U1062" s="3">
        <f>IF(T1062="","",(T1062-AVERAGE(T6:T1198))/(STDEV(T6:T1198)+1E-12))</f>
        <v/>
      </c>
      <c r="X1062" s="3">
        <f>IF(U1062="","",U1062-($V$3*G1062+$W$3))</f>
        <v/>
      </c>
      <c r="Y1062" s="3">
        <f>IF(X1062="","",MAX(-3,MIN(3,(X1062-$X3)/$X4)))</f>
        <v/>
      </c>
      <c r="Z1062" s="3">
        <f>IF(Y1062="","",(Y1062-AVERAGE(Y6:Y1198))/(STDEV(Y6:Y1198)+1E-12))</f>
        <v/>
      </c>
    </row>
    <row r="1063">
      <c r="A1063" t="inlineStr">
        <is>
          <t>BBG002Q7J5Z1</t>
        </is>
      </c>
      <c r="B1063" s="3">
        <f>IF('3a Raw'!C1063="","",MAX(-3,MIN(3,('3a Raw'!C1063-$B3)/$B4)))</f>
        <v/>
      </c>
      <c r="C1063" s="3">
        <f>IF(B1063="","",(B1063-AVERAGE(B6:B1198))/(STDEV(B6:B1198)+1E-12))</f>
        <v/>
      </c>
      <c r="D1063" s="3">
        <f>IF('3a Raw'!D1063="","",MAX(-3,MIN(3,('3a Raw'!D1063-$D3)/$D4)))</f>
        <v/>
      </c>
      <c r="E1063" s="3">
        <f>IF(D1063="","",(D1063-AVERAGE(D6:D1198))/(STDEV(D6:D1198)+1E-12))</f>
        <v/>
      </c>
      <c r="F1063" s="3">
        <f>IF('3a Raw'!E1063="","",MAX(-3,MIN(3,('3a Raw'!E1063-$F3)/$F4)))</f>
        <v/>
      </c>
      <c r="G1063" s="3">
        <f>IF(F1063="","",(F1063-AVERAGE(F6:F1198))/(STDEV(F6:F1198)+1E-12))</f>
        <v/>
      </c>
      <c r="H1063" s="3">
        <f>IF('3a Raw'!F1063="","",MAX(-3,MIN(3,('3a Raw'!F1063-$H3)/$H4)))</f>
        <v/>
      </c>
      <c r="I1063" s="3">
        <f>IF(H1063="","",(H1063-AVERAGE(H6:H1198))/(STDEV(H6:H1198)+1E-12))</f>
        <v/>
      </c>
      <c r="J1063" s="3">
        <f>IF('3a Raw'!G1063="","",MAX(-3,MIN(3,('3a Raw'!G1063-$J3)/$J4)))</f>
        <v/>
      </c>
      <c r="K1063" s="3">
        <f>IF(J1063="","",(J1063-AVERAGE(J6:J1198))/(STDEV(J6:J1198)+1E-12))</f>
        <v/>
      </c>
      <c r="L1063" s="3">
        <f>IF('3a Raw'!H1063="","",MAX(-3,MIN(3,('3a Raw'!H1063-$L3)/$L4)))</f>
        <v/>
      </c>
      <c r="M1063" s="3">
        <f>IF(L1063="","",(L1063-AVERAGE(L6:L1198))/(STDEV(L6:L1198)+1E-12))</f>
        <v/>
      </c>
      <c r="N1063" s="3">
        <f>IF('3a Raw'!I1063="","",MAX(-3,MIN(3,('3a Raw'!I1063-$N3)/$N4)))</f>
        <v/>
      </c>
      <c r="O1063" s="3">
        <f>IF(N1063="","",(N1063-AVERAGE(N6:N1198))/(STDEV(N6:N1198)+1E-12))</f>
        <v/>
      </c>
      <c r="P1063" s="3">
        <f>IF('3a Raw'!J1063="","",MAX(-3,MIN(3,('3a Raw'!J1063-$P3)/$P4)))</f>
        <v/>
      </c>
      <c r="Q1063" s="3">
        <f>IF(P1063="","",(P1063-AVERAGE(P6:P1198))/(STDEV(P6:P1198)+1E-12))</f>
        <v/>
      </c>
      <c r="R1063" s="3">
        <f>IF('3a Raw'!K1063="","",MAX(-3,MIN(3,('3a Raw'!K1063-$R3)/$R4)))</f>
        <v/>
      </c>
      <c r="S1063" s="3">
        <f>IF(R1063="","",(R1063-AVERAGE(R6:R1198))/(STDEV(R6:R1198)+1E-12))</f>
        <v/>
      </c>
      <c r="T1063" s="3">
        <f>IF('3a Raw'!L1063="","",MAX(-3,MIN(3,('3a Raw'!L1063-$T3)/$T4)))</f>
        <v/>
      </c>
      <c r="U1063" s="3">
        <f>IF(T1063="","",(T1063-AVERAGE(T6:T1198))/(STDEV(T6:T1198)+1E-12))</f>
        <v/>
      </c>
      <c r="X1063" s="3">
        <f>IF(U1063="","",U1063-($V$3*G1063+$W$3))</f>
        <v/>
      </c>
      <c r="Y1063" s="3">
        <f>IF(X1063="","",MAX(-3,MIN(3,(X1063-$X3)/$X4)))</f>
        <v/>
      </c>
      <c r="Z1063" s="3">
        <f>IF(Y1063="","",(Y1063-AVERAGE(Y6:Y1198))/(STDEV(Y6:Y1198)+1E-12))</f>
        <v/>
      </c>
    </row>
    <row r="1064">
      <c r="A1064" t="inlineStr">
        <is>
          <t>BBG000BJ81C1</t>
        </is>
      </c>
      <c r="B1064" s="3">
        <f>IF('3a Raw'!C1064="","",MAX(-3,MIN(3,('3a Raw'!C1064-$B3)/$B4)))</f>
        <v/>
      </c>
      <c r="C1064" s="3">
        <f>IF(B1064="","",(B1064-AVERAGE(B6:B1198))/(STDEV(B6:B1198)+1E-12))</f>
        <v/>
      </c>
      <c r="D1064" s="3">
        <f>IF('3a Raw'!D1064="","",MAX(-3,MIN(3,('3a Raw'!D1064-$D3)/$D4)))</f>
        <v/>
      </c>
      <c r="E1064" s="3">
        <f>IF(D1064="","",(D1064-AVERAGE(D6:D1198))/(STDEV(D6:D1198)+1E-12))</f>
        <v/>
      </c>
      <c r="F1064" s="3">
        <f>IF('3a Raw'!E1064="","",MAX(-3,MIN(3,('3a Raw'!E1064-$F3)/$F4)))</f>
        <v/>
      </c>
      <c r="G1064" s="3">
        <f>IF(F1064="","",(F1064-AVERAGE(F6:F1198))/(STDEV(F6:F1198)+1E-12))</f>
        <v/>
      </c>
      <c r="H1064" s="3">
        <f>IF('3a Raw'!F1064="","",MAX(-3,MIN(3,('3a Raw'!F1064-$H3)/$H4)))</f>
        <v/>
      </c>
      <c r="I1064" s="3">
        <f>IF(H1064="","",(H1064-AVERAGE(H6:H1198))/(STDEV(H6:H1198)+1E-12))</f>
        <v/>
      </c>
      <c r="J1064" s="3">
        <f>IF('3a Raw'!G1064="","",MAX(-3,MIN(3,('3a Raw'!G1064-$J3)/$J4)))</f>
        <v/>
      </c>
      <c r="K1064" s="3">
        <f>IF(J1064="","",(J1064-AVERAGE(J6:J1198))/(STDEV(J6:J1198)+1E-12))</f>
        <v/>
      </c>
      <c r="L1064" s="3">
        <f>IF('3a Raw'!H1064="","",MAX(-3,MIN(3,('3a Raw'!H1064-$L3)/$L4)))</f>
        <v/>
      </c>
      <c r="M1064" s="3">
        <f>IF(L1064="","",(L1064-AVERAGE(L6:L1198))/(STDEV(L6:L1198)+1E-12))</f>
        <v/>
      </c>
      <c r="N1064" s="3">
        <f>IF('3a Raw'!I1064="","",MAX(-3,MIN(3,('3a Raw'!I1064-$N3)/$N4)))</f>
        <v/>
      </c>
      <c r="O1064" s="3">
        <f>IF(N1064="","",(N1064-AVERAGE(N6:N1198))/(STDEV(N6:N1198)+1E-12))</f>
        <v/>
      </c>
      <c r="P1064" s="3">
        <f>IF('3a Raw'!J1064="","",MAX(-3,MIN(3,('3a Raw'!J1064-$P3)/$P4)))</f>
        <v/>
      </c>
      <c r="Q1064" s="3">
        <f>IF(P1064="","",(P1064-AVERAGE(P6:P1198))/(STDEV(P6:P1198)+1E-12))</f>
        <v/>
      </c>
      <c r="R1064" s="3">
        <f>IF('3a Raw'!K1064="","",MAX(-3,MIN(3,('3a Raw'!K1064-$R3)/$R4)))</f>
        <v/>
      </c>
      <c r="S1064" s="3">
        <f>IF(R1064="","",(R1064-AVERAGE(R6:R1198))/(STDEV(R6:R1198)+1E-12))</f>
        <v/>
      </c>
      <c r="T1064" s="3">
        <f>IF('3a Raw'!L1064="","",MAX(-3,MIN(3,('3a Raw'!L1064-$T3)/$T4)))</f>
        <v/>
      </c>
      <c r="U1064" s="3">
        <f>IF(T1064="","",(T1064-AVERAGE(T6:T1198))/(STDEV(T6:T1198)+1E-12))</f>
        <v/>
      </c>
      <c r="X1064" s="3">
        <f>IF(U1064="","",U1064-($V$3*G1064+$W$3))</f>
        <v/>
      </c>
      <c r="Y1064" s="3">
        <f>IF(X1064="","",MAX(-3,MIN(3,(X1064-$X3)/$X4)))</f>
        <v/>
      </c>
      <c r="Z1064" s="3">
        <f>IF(Y1064="","",(Y1064-AVERAGE(Y6:Y1198))/(STDEV(Y6:Y1198)+1E-12))</f>
        <v/>
      </c>
    </row>
    <row r="1065">
      <c r="A1065" t="inlineStr">
        <is>
          <t>BBG000PLD4R3</t>
        </is>
      </c>
      <c r="B1065" s="3">
        <f>IF('3a Raw'!C1065="","",MAX(-3,MIN(3,('3a Raw'!C1065-$B3)/$B4)))</f>
        <v/>
      </c>
      <c r="C1065" s="3">
        <f>IF(B1065="","",(B1065-AVERAGE(B6:B1198))/(STDEV(B6:B1198)+1E-12))</f>
        <v/>
      </c>
      <c r="D1065" s="3">
        <f>IF('3a Raw'!D1065="","",MAX(-3,MIN(3,('3a Raw'!D1065-$D3)/$D4)))</f>
        <v/>
      </c>
      <c r="E1065" s="3">
        <f>IF(D1065="","",(D1065-AVERAGE(D6:D1198))/(STDEV(D6:D1198)+1E-12))</f>
        <v/>
      </c>
      <c r="F1065" s="3">
        <f>IF('3a Raw'!E1065="","",MAX(-3,MIN(3,('3a Raw'!E1065-$F3)/$F4)))</f>
        <v/>
      </c>
      <c r="G1065" s="3">
        <f>IF(F1065="","",(F1065-AVERAGE(F6:F1198))/(STDEV(F6:F1198)+1E-12))</f>
        <v/>
      </c>
      <c r="H1065" s="3">
        <f>IF('3a Raw'!F1065="","",MAX(-3,MIN(3,('3a Raw'!F1065-$H3)/$H4)))</f>
        <v/>
      </c>
      <c r="I1065" s="3">
        <f>IF(H1065="","",(H1065-AVERAGE(H6:H1198))/(STDEV(H6:H1198)+1E-12))</f>
        <v/>
      </c>
      <c r="J1065" s="3">
        <f>IF('3a Raw'!G1065="","",MAX(-3,MIN(3,('3a Raw'!G1065-$J3)/$J4)))</f>
        <v/>
      </c>
      <c r="K1065" s="3">
        <f>IF(J1065="","",(J1065-AVERAGE(J6:J1198))/(STDEV(J6:J1198)+1E-12))</f>
        <v/>
      </c>
      <c r="L1065" s="3">
        <f>IF('3a Raw'!H1065="","",MAX(-3,MIN(3,('3a Raw'!H1065-$L3)/$L4)))</f>
        <v/>
      </c>
      <c r="M1065" s="3">
        <f>IF(L1065="","",(L1065-AVERAGE(L6:L1198))/(STDEV(L6:L1198)+1E-12))</f>
        <v/>
      </c>
      <c r="N1065" s="3">
        <f>IF('3a Raw'!I1065="","",MAX(-3,MIN(3,('3a Raw'!I1065-$N3)/$N4)))</f>
        <v/>
      </c>
      <c r="O1065" s="3">
        <f>IF(N1065="","",(N1065-AVERAGE(N6:N1198))/(STDEV(N6:N1198)+1E-12))</f>
        <v/>
      </c>
      <c r="P1065" s="3">
        <f>IF('3a Raw'!J1065="","",MAX(-3,MIN(3,('3a Raw'!J1065-$P3)/$P4)))</f>
        <v/>
      </c>
      <c r="Q1065" s="3">
        <f>IF(P1065="","",(P1065-AVERAGE(P6:P1198))/(STDEV(P6:P1198)+1E-12))</f>
        <v/>
      </c>
      <c r="R1065" s="3">
        <f>IF('3a Raw'!K1065="","",MAX(-3,MIN(3,('3a Raw'!K1065-$R3)/$R4)))</f>
        <v/>
      </c>
      <c r="S1065" s="3">
        <f>IF(R1065="","",(R1065-AVERAGE(R6:R1198))/(STDEV(R6:R1198)+1E-12))</f>
        <v/>
      </c>
      <c r="T1065" s="3">
        <f>IF('3a Raw'!L1065="","",MAX(-3,MIN(3,('3a Raw'!L1065-$T3)/$T4)))</f>
        <v/>
      </c>
      <c r="U1065" s="3">
        <f>IF(T1065="","",(T1065-AVERAGE(T6:T1198))/(STDEV(T6:T1198)+1E-12))</f>
        <v/>
      </c>
      <c r="X1065" s="3">
        <f>IF(U1065="","",U1065-($V$3*G1065+$W$3))</f>
        <v/>
      </c>
      <c r="Y1065" s="3">
        <f>IF(X1065="","",MAX(-3,MIN(3,(X1065-$X3)/$X4)))</f>
        <v/>
      </c>
      <c r="Z1065" s="3">
        <f>IF(Y1065="","",(Y1065-AVERAGE(Y6:Y1198))/(STDEV(Y6:Y1198)+1E-12))</f>
        <v/>
      </c>
    </row>
    <row r="1066">
      <c r="A1066" t="inlineStr">
        <is>
          <t>BBG000BLXZN1</t>
        </is>
      </c>
      <c r="B1066" s="3">
        <f>IF('3a Raw'!C1066="","",MAX(-3,MIN(3,('3a Raw'!C1066-$B3)/$B4)))</f>
        <v/>
      </c>
      <c r="C1066" s="3">
        <f>IF(B1066="","",(B1066-AVERAGE(B6:B1198))/(STDEV(B6:B1198)+1E-12))</f>
        <v/>
      </c>
      <c r="D1066" s="3">
        <f>IF('3a Raw'!D1066="","",MAX(-3,MIN(3,('3a Raw'!D1066-$D3)/$D4)))</f>
        <v/>
      </c>
      <c r="E1066" s="3">
        <f>IF(D1066="","",(D1066-AVERAGE(D6:D1198))/(STDEV(D6:D1198)+1E-12))</f>
        <v/>
      </c>
      <c r="F1066" s="3">
        <f>IF('3a Raw'!E1066="","",MAX(-3,MIN(3,('3a Raw'!E1066-$F3)/$F4)))</f>
        <v/>
      </c>
      <c r="G1066" s="3">
        <f>IF(F1066="","",(F1066-AVERAGE(F6:F1198))/(STDEV(F6:F1198)+1E-12))</f>
        <v/>
      </c>
      <c r="H1066" s="3">
        <f>IF('3a Raw'!F1066="","",MAX(-3,MIN(3,('3a Raw'!F1066-$H3)/$H4)))</f>
        <v/>
      </c>
      <c r="I1066" s="3">
        <f>IF(H1066="","",(H1066-AVERAGE(H6:H1198))/(STDEV(H6:H1198)+1E-12))</f>
        <v/>
      </c>
      <c r="J1066" s="3">
        <f>IF('3a Raw'!G1066="","",MAX(-3,MIN(3,('3a Raw'!G1066-$J3)/$J4)))</f>
        <v/>
      </c>
      <c r="K1066" s="3">
        <f>IF(J1066="","",(J1066-AVERAGE(J6:J1198))/(STDEV(J6:J1198)+1E-12))</f>
        <v/>
      </c>
      <c r="L1066" s="3">
        <f>IF('3a Raw'!H1066="","",MAX(-3,MIN(3,('3a Raw'!H1066-$L3)/$L4)))</f>
        <v/>
      </c>
      <c r="M1066" s="3">
        <f>IF(L1066="","",(L1066-AVERAGE(L6:L1198))/(STDEV(L6:L1198)+1E-12))</f>
        <v/>
      </c>
      <c r="N1066" s="3">
        <f>IF('3a Raw'!I1066="","",MAX(-3,MIN(3,('3a Raw'!I1066-$N3)/$N4)))</f>
        <v/>
      </c>
      <c r="O1066" s="3">
        <f>IF(N1066="","",(N1066-AVERAGE(N6:N1198))/(STDEV(N6:N1198)+1E-12))</f>
        <v/>
      </c>
      <c r="P1066" s="3">
        <f>IF('3a Raw'!J1066="","",MAX(-3,MIN(3,('3a Raw'!J1066-$P3)/$P4)))</f>
        <v/>
      </c>
      <c r="Q1066" s="3">
        <f>IF(P1066="","",(P1066-AVERAGE(P6:P1198))/(STDEV(P6:P1198)+1E-12))</f>
        <v/>
      </c>
      <c r="R1066" s="3">
        <f>IF('3a Raw'!K1066="","",MAX(-3,MIN(3,('3a Raw'!K1066-$R3)/$R4)))</f>
        <v/>
      </c>
      <c r="S1066" s="3">
        <f>IF(R1066="","",(R1066-AVERAGE(R6:R1198))/(STDEV(R6:R1198)+1E-12))</f>
        <v/>
      </c>
      <c r="T1066" s="3">
        <f>IF('3a Raw'!L1066="","",MAX(-3,MIN(3,('3a Raw'!L1066-$T3)/$T4)))</f>
        <v/>
      </c>
      <c r="U1066" s="3">
        <f>IF(T1066="","",(T1066-AVERAGE(T6:T1198))/(STDEV(T6:T1198)+1E-12))</f>
        <v/>
      </c>
      <c r="X1066" s="3">
        <f>IF(U1066="","",U1066-($V$3*G1066+$W$3))</f>
        <v/>
      </c>
      <c r="Y1066" s="3">
        <f>IF(X1066="","",MAX(-3,MIN(3,(X1066-$X3)/$X4)))</f>
        <v/>
      </c>
      <c r="Z1066" s="3">
        <f>IF(Y1066="","",(Y1066-AVERAGE(Y6:Y1198))/(STDEV(Y6:Y1198)+1E-12))</f>
        <v/>
      </c>
    </row>
    <row r="1067">
      <c r="A1067" t="inlineStr">
        <is>
          <t>BBG000N9MNX3</t>
        </is>
      </c>
      <c r="B1067" s="3">
        <f>IF('3a Raw'!C1067="","",MAX(-3,MIN(3,('3a Raw'!C1067-$B3)/$B4)))</f>
        <v/>
      </c>
      <c r="C1067" s="3">
        <f>IF(B1067="","",(B1067-AVERAGE(B6:B1198))/(STDEV(B6:B1198)+1E-12))</f>
        <v/>
      </c>
      <c r="D1067" s="3">
        <f>IF('3a Raw'!D1067="","",MAX(-3,MIN(3,('3a Raw'!D1067-$D3)/$D4)))</f>
        <v/>
      </c>
      <c r="E1067" s="3">
        <f>IF(D1067="","",(D1067-AVERAGE(D6:D1198))/(STDEV(D6:D1198)+1E-12))</f>
        <v/>
      </c>
      <c r="F1067" s="3">
        <f>IF('3a Raw'!E1067="","",MAX(-3,MIN(3,('3a Raw'!E1067-$F3)/$F4)))</f>
        <v/>
      </c>
      <c r="G1067" s="3">
        <f>IF(F1067="","",(F1067-AVERAGE(F6:F1198))/(STDEV(F6:F1198)+1E-12))</f>
        <v/>
      </c>
      <c r="H1067" s="3">
        <f>IF('3a Raw'!F1067="","",MAX(-3,MIN(3,('3a Raw'!F1067-$H3)/$H4)))</f>
        <v/>
      </c>
      <c r="I1067" s="3">
        <f>IF(H1067="","",(H1067-AVERAGE(H6:H1198))/(STDEV(H6:H1198)+1E-12))</f>
        <v/>
      </c>
      <c r="J1067" s="3">
        <f>IF('3a Raw'!G1067="","",MAX(-3,MIN(3,('3a Raw'!G1067-$J3)/$J4)))</f>
        <v/>
      </c>
      <c r="K1067" s="3">
        <f>IF(J1067="","",(J1067-AVERAGE(J6:J1198))/(STDEV(J6:J1198)+1E-12))</f>
        <v/>
      </c>
      <c r="L1067" s="3">
        <f>IF('3a Raw'!H1067="","",MAX(-3,MIN(3,('3a Raw'!H1067-$L3)/$L4)))</f>
        <v/>
      </c>
      <c r="M1067" s="3">
        <f>IF(L1067="","",(L1067-AVERAGE(L6:L1198))/(STDEV(L6:L1198)+1E-12))</f>
        <v/>
      </c>
      <c r="N1067" s="3">
        <f>IF('3a Raw'!I1067="","",MAX(-3,MIN(3,('3a Raw'!I1067-$N3)/$N4)))</f>
        <v/>
      </c>
      <c r="O1067" s="3">
        <f>IF(N1067="","",(N1067-AVERAGE(N6:N1198))/(STDEV(N6:N1198)+1E-12))</f>
        <v/>
      </c>
      <c r="P1067" s="3">
        <f>IF('3a Raw'!J1067="","",MAX(-3,MIN(3,('3a Raw'!J1067-$P3)/$P4)))</f>
        <v/>
      </c>
      <c r="Q1067" s="3">
        <f>IF(P1067="","",(P1067-AVERAGE(P6:P1198))/(STDEV(P6:P1198)+1E-12))</f>
        <v/>
      </c>
      <c r="R1067" s="3">
        <f>IF('3a Raw'!K1067="","",MAX(-3,MIN(3,('3a Raw'!K1067-$R3)/$R4)))</f>
        <v/>
      </c>
      <c r="S1067" s="3">
        <f>IF(R1067="","",(R1067-AVERAGE(R6:R1198))/(STDEV(R6:R1198)+1E-12))</f>
        <v/>
      </c>
      <c r="T1067" s="3">
        <f>IF('3a Raw'!L1067="","",MAX(-3,MIN(3,('3a Raw'!L1067-$T3)/$T4)))</f>
        <v/>
      </c>
      <c r="U1067" s="3">
        <f>IF(T1067="","",(T1067-AVERAGE(T6:T1198))/(STDEV(T6:T1198)+1E-12))</f>
        <v/>
      </c>
      <c r="X1067" s="3">
        <f>IF(U1067="","",U1067-($V$3*G1067+$W$3))</f>
        <v/>
      </c>
      <c r="Y1067" s="3">
        <f>IF(X1067="","",MAX(-3,MIN(3,(X1067-$X3)/$X4)))</f>
        <v/>
      </c>
      <c r="Z1067" s="3">
        <f>IF(Y1067="","",(Y1067-AVERAGE(Y6:Y1198))/(STDEV(Y6:Y1198)+1E-12))</f>
        <v/>
      </c>
    </row>
    <row r="1068">
      <c r="A1068" t="inlineStr">
        <is>
          <t>BBG001DFW799</t>
        </is>
      </c>
      <c r="B1068" s="3">
        <f>IF('3a Raw'!C1068="","",MAX(-3,MIN(3,('3a Raw'!C1068-$B3)/$B4)))</f>
        <v/>
      </c>
      <c r="C1068" s="3">
        <f>IF(B1068="","",(B1068-AVERAGE(B6:B1198))/(STDEV(B6:B1198)+1E-12))</f>
        <v/>
      </c>
      <c r="D1068" s="3">
        <f>IF('3a Raw'!D1068="","",MAX(-3,MIN(3,('3a Raw'!D1068-$D3)/$D4)))</f>
        <v/>
      </c>
      <c r="E1068" s="3">
        <f>IF(D1068="","",(D1068-AVERAGE(D6:D1198))/(STDEV(D6:D1198)+1E-12))</f>
        <v/>
      </c>
      <c r="F1068" s="3">
        <f>IF('3a Raw'!E1068="","",MAX(-3,MIN(3,('3a Raw'!E1068-$F3)/$F4)))</f>
        <v/>
      </c>
      <c r="G1068" s="3">
        <f>IF(F1068="","",(F1068-AVERAGE(F6:F1198))/(STDEV(F6:F1198)+1E-12))</f>
        <v/>
      </c>
      <c r="H1068" s="3">
        <f>IF('3a Raw'!F1068="","",MAX(-3,MIN(3,('3a Raw'!F1068-$H3)/$H4)))</f>
        <v/>
      </c>
      <c r="I1068" s="3">
        <f>IF(H1068="","",(H1068-AVERAGE(H6:H1198))/(STDEV(H6:H1198)+1E-12))</f>
        <v/>
      </c>
      <c r="J1068" s="3">
        <f>IF('3a Raw'!G1068="","",MAX(-3,MIN(3,('3a Raw'!G1068-$J3)/$J4)))</f>
        <v/>
      </c>
      <c r="K1068" s="3">
        <f>IF(J1068="","",(J1068-AVERAGE(J6:J1198))/(STDEV(J6:J1198)+1E-12))</f>
        <v/>
      </c>
      <c r="L1068" s="3">
        <f>IF('3a Raw'!H1068="","",MAX(-3,MIN(3,('3a Raw'!H1068-$L3)/$L4)))</f>
        <v/>
      </c>
      <c r="M1068" s="3">
        <f>IF(L1068="","",(L1068-AVERAGE(L6:L1198))/(STDEV(L6:L1198)+1E-12))</f>
        <v/>
      </c>
      <c r="N1068" s="3">
        <f>IF('3a Raw'!I1068="","",MAX(-3,MIN(3,('3a Raw'!I1068-$N3)/$N4)))</f>
        <v/>
      </c>
      <c r="O1068" s="3">
        <f>IF(N1068="","",(N1068-AVERAGE(N6:N1198))/(STDEV(N6:N1198)+1E-12))</f>
        <v/>
      </c>
      <c r="P1068" s="3">
        <f>IF('3a Raw'!J1068="","",MAX(-3,MIN(3,('3a Raw'!J1068-$P3)/$P4)))</f>
        <v/>
      </c>
      <c r="Q1068" s="3">
        <f>IF(P1068="","",(P1068-AVERAGE(P6:P1198))/(STDEV(P6:P1198)+1E-12))</f>
        <v/>
      </c>
      <c r="R1068" s="3">
        <f>IF('3a Raw'!K1068="","",MAX(-3,MIN(3,('3a Raw'!K1068-$R3)/$R4)))</f>
        <v/>
      </c>
      <c r="S1068" s="3">
        <f>IF(R1068="","",(R1068-AVERAGE(R6:R1198))/(STDEV(R6:R1198)+1E-12))</f>
        <v/>
      </c>
      <c r="T1068" s="3">
        <f>IF('3a Raw'!L1068="","",MAX(-3,MIN(3,('3a Raw'!L1068-$T3)/$T4)))</f>
        <v/>
      </c>
      <c r="U1068" s="3">
        <f>IF(T1068="","",(T1068-AVERAGE(T6:T1198))/(STDEV(T6:T1198)+1E-12))</f>
        <v/>
      </c>
      <c r="X1068" s="3">
        <f>IF(U1068="","",U1068-($V$3*G1068+$W$3))</f>
        <v/>
      </c>
      <c r="Y1068" s="3">
        <f>IF(X1068="","",MAX(-3,MIN(3,(X1068-$X3)/$X4)))</f>
        <v/>
      </c>
      <c r="Z1068" s="3">
        <f>IF(Y1068="","",(Y1068-AVERAGE(Y6:Y1198))/(STDEV(Y6:Y1198)+1E-12))</f>
        <v/>
      </c>
    </row>
    <row r="1069">
      <c r="A1069" t="inlineStr">
        <is>
          <t>BBG000BD8ZK0</t>
        </is>
      </c>
      <c r="B1069" s="3">
        <f>IF('3a Raw'!C1069="","",MAX(-3,MIN(3,('3a Raw'!C1069-$B3)/$B4)))</f>
        <v/>
      </c>
      <c r="C1069" s="3">
        <f>IF(B1069="","",(B1069-AVERAGE(B6:B1198))/(STDEV(B6:B1198)+1E-12))</f>
        <v/>
      </c>
      <c r="D1069" s="3">
        <f>IF('3a Raw'!D1069="","",MAX(-3,MIN(3,('3a Raw'!D1069-$D3)/$D4)))</f>
        <v/>
      </c>
      <c r="E1069" s="3">
        <f>IF(D1069="","",(D1069-AVERAGE(D6:D1198))/(STDEV(D6:D1198)+1E-12))</f>
        <v/>
      </c>
      <c r="F1069" s="3">
        <f>IF('3a Raw'!E1069="","",MAX(-3,MIN(3,('3a Raw'!E1069-$F3)/$F4)))</f>
        <v/>
      </c>
      <c r="G1069" s="3">
        <f>IF(F1069="","",(F1069-AVERAGE(F6:F1198))/(STDEV(F6:F1198)+1E-12))</f>
        <v/>
      </c>
      <c r="H1069" s="3">
        <f>IF('3a Raw'!F1069="","",MAX(-3,MIN(3,('3a Raw'!F1069-$H3)/$H4)))</f>
        <v/>
      </c>
      <c r="I1069" s="3">
        <f>IF(H1069="","",(H1069-AVERAGE(H6:H1198))/(STDEV(H6:H1198)+1E-12))</f>
        <v/>
      </c>
      <c r="J1069" s="3">
        <f>IF('3a Raw'!G1069="","",MAX(-3,MIN(3,('3a Raw'!G1069-$J3)/$J4)))</f>
        <v/>
      </c>
      <c r="K1069" s="3">
        <f>IF(J1069="","",(J1069-AVERAGE(J6:J1198))/(STDEV(J6:J1198)+1E-12))</f>
        <v/>
      </c>
      <c r="L1069" s="3">
        <f>IF('3a Raw'!H1069="","",MAX(-3,MIN(3,('3a Raw'!H1069-$L3)/$L4)))</f>
        <v/>
      </c>
      <c r="M1069" s="3">
        <f>IF(L1069="","",(L1069-AVERAGE(L6:L1198))/(STDEV(L6:L1198)+1E-12))</f>
        <v/>
      </c>
      <c r="N1069" s="3">
        <f>IF('3a Raw'!I1069="","",MAX(-3,MIN(3,('3a Raw'!I1069-$N3)/$N4)))</f>
        <v/>
      </c>
      <c r="O1069" s="3">
        <f>IF(N1069="","",(N1069-AVERAGE(N6:N1198))/(STDEV(N6:N1198)+1E-12))</f>
        <v/>
      </c>
      <c r="P1069" s="3">
        <f>IF('3a Raw'!J1069="","",MAX(-3,MIN(3,('3a Raw'!J1069-$P3)/$P4)))</f>
        <v/>
      </c>
      <c r="Q1069" s="3">
        <f>IF(P1069="","",(P1069-AVERAGE(P6:P1198))/(STDEV(P6:P1198)+1E-12))</f>
        <v/>
      </c>
      <c r="R1069" s="3">
        <f>IF('3a Raw'!K1069="","",MAX(-3,MIN(3,('3a Raw'!K1069-$R3)/$R4)))</f>
        <v/>
      </c>
      <c r="S1069" s="3">
        <f>IF(R1069="","",(R1069-AVERAGE(R6:R1198))/(STDEV(R6:R1198)+1E-12))</f>
        <v/>
      </c>
      <c r="T1069" s="3">
        <f>IF('3a Raw'!L1069="","",MAX(-3,MIN(3,('3a Raw'!L1069-$T3)/$T4)))</f>
        <v/>
      </c>
      <c r="U1069" s="3">
        <f>IF(T1069="","",(T1069-AVERAGE(T6:T1198))/(STDEV(T6:T1198)+1E-12))</f>
        <v/>
      </c>
      <c r="X1069" s="3">
        <f>IF(U1069="","",U1069-($V$3*G1069+$W$3))</f>
        <v/>
      </c>
      <c r="Y1069" s="3">
        <f>IF(X1069="","",MAX(-3,MIN(3,(X1069-$X3)/$X4)))</f>
        <v/>
      </c>
      <c r="Z1069" s="3">
        <f>IF(Y1069="","",(Y1069-AVERAGE(Y6:Y1198))/(STDEV(Y6:Y1198)+1E-12))</f>
        <v/>
      </c>
    </row>
    <row r="1070">
      <c r="A1070" t="inlineStr">
        <is>
          <t>BBG000DKCC19</t>
        </is>
      </c>
      <c r="B1070" s="3">
        <f>IF('3a Raw'!C1070="","",MAX(-3,MIN(3,('3a Raw'!C1070-$B3)/$B4)))</f>
        <v/>
      </c>
      <c r="C1070" s="3">
        <f>IF(B1070="","",(B1070-AVERAGE(B6:B1198))/(STDEV(B6:B1198)+1E-12))</f>
        <v/>
      </c>
      <c r="D1070" s="3">
        <f>IF('3a Raw'!D1070="","",MAX(-3,MIN(3,('3a Raw'!D1070-$D3)/$D4)))</f>
        <v/>
      </c>
      <c r="E1070" s="3">
        <f>IF(D1070="","",(D1070-AVERAGE(D6:D1198))/(STDEV(D6:D1198)+1E-12))</f>
        <v/>
      </c>
      <c r="F1070" s="3">
        <f>IF('3a Raw'!E1070="","",MAX(-3,MIN(3,('3a Raw'!E1070-$F3)/$F4)))</f>
        <v/>
      </c>
      <c r="G1070" s="3">
        <f>IF(F1070="","",(F1070-AVERAGE(F6:F1198))/(STDEV(F6:F1198)+1E-12))</f>
        <v/>
      </c>
      <c r="H1070" s="3">
        <f>IF('3a Raw'!F1070="","",MAX(-3,MIN(3,('3a Raw'!F1070-$H3)/$H4)))</f>
        <v/>
      </c>
      <c r="I1070" s="3">
        <f>IF(H1070="","",(H1070-AVERAGE(H6:H1198))/(STDEV(H6:H1198)+1E-12))</f>
        <v/>
      </c>
      <c r="J1070" s="3">
        <f>IF('3a Raw'!G1070="","",MAX(-3,MIN(3,('3a Raw'!G1070-$J3)/$J4)))</f>
        <v/>
      </c>
      <c r="K1070" s="3">
        <f>IF(J1070="","",(J1070-AVERAGE(J6:J1198))/(STDEV(J6:J1198)+1E-12))</f>
        <v/>
      </c>
      <c r="L1070" s="3">
        <f>IF('3a Raw'!H1070="","",MAX(-3,MIN(3,('3a Raw'!H1070-$L3)/$L4)))</f>
        <v/>
      </c>
      <c r="M1070" s="3">
        <f>IF(L1070="","",(L1070-AVERAGE(L6:L1198))/(STDEV(L6:L1198)+1E-12))</f>
        <v/>
      </c>
      <c r="N1070" s="3">
        <f>IF('3a Raw'!I1070="","",MAX(-3,MIN(3,('3a Raw'!I1070-$N3)/$N4)))</f>
        <v/>
      </c>
      <c r="O1070" s="3">
        <f>IF(N1070="","",(N1070-AVERAGE(N6:N1198))/(STDEV(N6:N1198)+1E-12))</f>
        <v/>
      </c>
      <c r="P1070" s="3">
        <f>IF('3a Raw'!J1070="","",MAX(-3,MIN(3,('3a Raw'!J1070-$P3)/$P4)))</f>
        <v/>
      </c>
      <c r="Q1070" s="3">
        <f>IF(P1070="","",(P1070-AVERAGE(P6:P1198))/(STDEV(P6:P1198)+1E-12))</f>
        <v/>
      </c>
      <c r="R1070" s="3">
        <f>IF('3a Raw'!K1070="","",MAX(-3,MIN(3,('3a Raw'!K1070-$R3)/$R4)))</f>
        <v/>
      </c>
      <c r="S1070" s="3">
        <f>IF(R1070="","",(R1070-AVERAGE(R6:R1198))/(STDEV(R6:R1198)+1E-12))</f>
        <v/>
      </c>
      <c r="T1070" s="3">
        <f>IF('3a Raw'!L1070="","",MAX(-3,MIN(3,('3a Raw'!L1070-$T3)/$T4)))</f>
        <v/>
      </c>
      <c r="U1070" s="3">
        <f>IF(T1070="","",(T1070-AVERAGE(T6:T1198))/(STDEV(T6:T1198)+1E-12))</f>
        <v/>
      </c>
      <c r="X1070" s="3">
        <f>IF(U1070="","",U1070-($V$3*G1070+$W$3))</f>
        <v/>
      </c>
      <c r="Y1070" s="3">
        <f>IF(X1070="","",MAX(-3,MIN(3,(X1070-$X3)/$X4)))</f>
        <v/>
      </c>
      <c r="Z1070" s="3">
        <f>IF(Y1070="","",(Y1070-AVERAGE(Y6:Y1198))/(STDEV(Y6:Y1198)+1E-12))</f>
        <v/>
      </c>
    </row>
    <row r="1071">
      <c r="A1071" t="inlineStr">
        <is>
          <t>tt</t>
        </is>
      </c>
      <c r="B1071" s="3">
        <f>IF('3a Raw'!C1071="","",MAX(-3,MIN(3,('3a Raw'!C1071-$B3)/$B4)))</f>
        <v/>
      </c>
      <c r="C1071" s="3">
        <f>IF(B1071="","",(B1071-AVERAGE(B6:B1198))/(STDEV(B6:B1198)+1E-12))</f>
        <v/>
      </c>
      <c r="D1071" s="3">
        <f>IF('3a Raw'!D1071="","",MAX(-3,MIN(3,('3a Raw'!D1071-$D3)/$D4)))</f>
        <v/>
      </c>
      <c r="E1071" s="3">
        <f>IF(D1071="","",(D1071-AVERAGE(D6:D1198))/(STDEV(D6:D1198)+1E-12))</f>
        <v/>
      </c>
      <c r="F1071" s="3">
        <f>IF('3a Raw'!E1071="","",MAX(-3,MIN(3,('3a Raw'!E1071-$F3)/$F4)))</f>
        <v/>
      </c>
      <c r="G1071" s="3">
        <f>IF(F1071="","",(F1071-AVERAGE(F6:F1198))/(STDEV(F6:F1198)+1E-12))</f>
        <v/>
      </c>
      <c r="H1071" s="3">
        <f>IF('3a Raw'!F1071="","",MAX(-3,MIN(3,('3a Raw'!F1071-$H3)/$H4)))</f>
        <v/>
      </c>
      <c r="I1071" s="3">
        <f>IF(H1071="","",(H1071-AVERAGE(H6:H1198))/(STDEV(H6:H1198)+1E-12))</f>
        <v/>
      </c>
      <c r="J1071" s="3">
        <f>IF('3a Raw'!G1071="","",MAX(-3,MIN(3,('3a Raw'!G1071-$J3)/$J4)))</f>
        <v/>
      </c>
      <c r="K1071" s="3">
        <f>IF(J1071="","",(J1071-AVERAGE(J6:J1198))/(STDEV(J6:J1198)+1E-12))</f>
        <v/>
      </c>
      <c r="L1071" s="3">
        <f>IF('3a Raw'!H1071="","",MAX(-3,MIN(3,('3a Raw'!H1071-$L3)/$L4)))</f>
        <v/>
      </c>
      <c r="M1071" s="3">
        <f>IF(L1071="","",(L1071-AVERAGE(L6:L1198))/(STDEV(L6:L1198)+1E-12))</f>
        <v/>
      </c>
      <c r="N1071" s="3">
        <f>IF('3a Raw'!I1071="","",MAX(-3,MIN(3,('3a Raw'!I1071-$N3)/$N4)))</f>
        <v/>
      </c>
      <c r="O1071" s="3">
        <f>IF(N1071="","",(N1071-AVERAGE(N6:N1198))/(STDEV(N6:N1198)+1E-12))</f>
        <v/>
      </c>
      <c r="P1071" s="3">
        <f>IF('3a Raw'!J1071="","",MAX(-3,MIN(3,('3a Raw'!J1071-$P3)/$P4)))</f>
        <v/>
      </c>
      <c r="Q1071" s="3">
        <f>IF(P1071="","",(P1071-AVERAGE(P6:P1198))/(STDEV(P6:P1198)+1E-12))</f>
        <v/>
      </c>
      <c r="R1071" s="3">
        <f>IF('3a Raw'!K1071="","",MAX(-3,MIN(3,('3a Raw'!K1071-$R3)/$R4)))</f>
        <v/>
      </c>
      <c r="S1071" s="3">
        <f>IF(R1071="","",(R1071-AVERAGE(R6:R1198))/(STDEV(R6:R1198)+1E-12))</f>
        <v/>
      </c>
      <c r="T1071" s="3">
        <f>IF('3a Raw'!L1071="","",MAX(-3,MIN(3,('3a Raw'!L1071-$T3)/$T4)))</f>
        <v/>
      </c>
      <c r="U1071" s="3">
        <f>IF(T1071="","",(T1071-AVERAGE(T6:T1198))/(STDEV(T6:T1198)+1E-12))</f>
        <v/>
      </c>
      <c r="X1071" s="3">
        <f>IF(U1071="","",U1071-($V$3*G1071+$W$3))</f>
        <v/>
      </c>
      <c r="Y1071" s="3">
        <f>IF(X1071="","",MAX(-3,MIN(3,(X1071-$X3)/$X4)))</f>
        <v/>
      </c>
      <c r="Z1071" s="3">
        <f>IF(Y1071="","",(Y1071-AVERAGE(Y6:Y1198))/(STDEV(Y6:Y1198)+1E-12))</f>
        <v/>
      </c>
    </row>
    <row r="1072">
      <c r="A1072" t="inlineStr">
        <is>
          <t>BBG009DVYCT2</t>
        </is>
      </c>
      <c r="B1072" s="3">
        <f>IF('3a Raw'!C1072="","",MAX(-3,MIN(3,('3a Raw'!C1072-$B3)/$B4)))</f>
        <v/>
      </c>
      <c r="C1072" s="3">
        <f>IF(B1072="","",(B1072-AVERAGE(B6:B1198))/(STDEV(B6:B1198)+1E-12))</f>
        <v/>
      </c>
      <c r="D1072" s="3">
        <f>IF('3a Raw'!D1072="","",MAX(-3,MIN(3,('3a Raw'!D1072-$D3)/$D4)))</f>
        <v/>
      </c>
      <c r="E1072" s="3">
        <f>IF(D1072="","",(D1072-AVERAGE(D6:D1198))/(STDEV(D6:D1198)+1E-12))</f>
        <v/>
      </c>
      <c r="F1072" s="3">
        <f>IF('3a Raw'!E1072="","",MAX(-3,MIN(3,('3a Raw'!E1072-$F3)/$F4)))</f>
        <v/>
      </c>
      <c r="G1072" s="3">
        <f>IF(F1072="","",(F1072-AVERAGE(F6:F1198))/(STDEV(F6:F1198)+1E-12))</f>
        <v/>
      </c>
      <c r="H1072" s="3">
        <f>IF('3a Raw'!F1072="","",MAX(-3,MIN(3,('3a Raw'!F1072-$H3)/$H4)))</f>
        <v/>
      </c>
      <c r="I1072" s="3">
        <f>IF(H1072="","",(H1072-AVERAGE(H6:H1198))/(STDEV(H6:H1198)+1E-12))</f>
        <v/>
      </c>
      <c r="J1072" s="3">
        <f>IF('3a Raw'!G1072="","",MAX(-3,MIN(3,('3a Raw'!G1072-$J3)/$J4)))</f>
        <v/>
      </c>
      <c r="K1072" s="3">
        <f>IF(J1072="","",(J1072-AVERAGE(J6:J1198))/(STDEV(J6:J1198)+1E-12))</f>
        <v/>
      </c>
      <c r="L1072" s="3">
        <f>IF('3a Raw'!H1072="","",MAX(-3,MIN(3,('3a Raw'!H1072-$L3)/$L4)))</f>
        <v/>
      </c>
      <c r="M1072" s="3">
        <f>IF(L1072="","",(L1072-AVERAGE(L6:L1198))/(STDEV(L6:L1198)+1E-12))</f>
        <v/>
      </c>
      <c r="N1072" s="3">
        <f>IF('3a Raw'!I1072="","",MAX(-3,MIN(3,('3a Raw'!I1072-$N3)/$N4)))</f>
        <v/>
      </c>
      <c r="O1072" s="3">
        <f>IF(N1072="","",(N1072-AVERAGE(N6:N1198))/(STDEV(N6:N1198)+1E-12))</f>
        <v/>
      </c>
      <c r="P1072" s="3">
        <f>IF('3a Raw'!J1072="","",MAX(-3,MIN(3,('3a Raw'!J1072-$P3)/$P4)))</f>
        <v/>
      </c>
      <c r="Q1072" s="3">
        <f>IF(P1072="","",(P1072-AVERAGE(P6:P1198))/(STDEV(P6:P1198)+1E-12))</f>
        <v/>
      </c>
      <c r="R1072" s="3">
        <f>IF('3a Raw'!K1072="","",MAX(-3,MIN(3,('3a Raw'!K1072-$R3)/$R4)))</f>
        <v/>
      </c>
      <c r="S1072" s="3">
        <f>IF(R1072="","",(R1072-AVERAGE(R6:R1198))/(STDEV(R6:R1198)+1E-12))</f>
        <v/>
      </c>
      <c r="T1072" s="3">
        <f>IF('3a Raw'!L1072="","",MAX(-3,MIN(3,('3a Raw'!L1072-$T3)/$T4)))</f>
        <v/>
      </c>
      <c r="U1072" s="3">
        <f>IF(T1072="","",(T1072-AVERAGE(T6:T1198))/(STDEV(T6:T1198)+1E-12))</f>
        <v/>
      </c>
      <c r="X1072" s="3">
        <f>IF(U1072="","",U1072-($V$3*G1072+$W$3))</f>
        <v/>
      </c>
      <c r="Y1072" s="3">
        <f>IF(X1072="","",MAX(-3,MIN(3,(X1072-$X3)/$X4)))</f>
        <v/>
      </c>
      <c r="Z1072" s="3">
        <f>IF(Y1072="","",(Y1072-AVERAGE(Y6:Y1198))/(STDEV(Y6:Y1198)+1E-12))</f>
        <v/>
      </c>
    </row>
    <row r="1073">
      <c r="A1073" t="inlineStr">
        <is>
          <t>ttd</t>
        </is>
      </c>
      <c r="B1073" s="3">
        <f>IF('3a Raw'!C1073="","",MAX(-3,MIN(3,('3a Raw'!C1073-$B3)/$B4)))</f>
        <v/>
      </c>
      <c r="C1073" s="3">
        <f>IF(B1073="","",(B1073-AVERAGE(B6:B1198))/(STDEV(B6:B1198)+1E-12))</f>
        <v/>
      </c>
      <c r="D1073" s="3">
        <f>IF('3a Raw'!D1073="","",MAX(-3,MIN(3,('3a Raw'!D1073-$D3)/$D4)))</f>
        <v/>
      </c>
      <c r="E1073" s="3">
        <f>IF(D1073="","",(D1073-AVERAGE(D6:D1198))/(STDEV(D6:D1198)+1E-12))</f>
        <v/>
      </c>
      <c r="F1073" s="3">
        <f>IF('3a Raw'!E1073="","",MAX(-3,MIN(3,('3a Raw'!E1073-$F3)/$F4)))</f>
        <v/>
      </c>
      <c r="G1073" s="3">
        <f>IF(F1073="","",(F1073-AVERAGE(F6:F1198))/(STDEV(F6:F1198)+1E-12))</f>
        <v/>
      </c>
      <c r="H1073" s="3">
        <f>IF('3a Raw'!F1073="","",MAX(-3,MIN(3,('3a Raw'!F1073-$H3)/$H4)))</f>
        <v/>
      </c>
      <c r="I1073" s="3">
        <f>IF(H1073="","",(H1073-AVERAGE(H6:H1198))/(STDEV(H6:H1198)+1E-12))</f>
        <v/>
      </c>
      <c r="J1073" s="3">
        <f>IF('3a Raw'!G1073="","",MAX(-3,MIN(3,('3a Raw'!G1073-$J3)/$J4)))</f>
        <v/>
      </c>
      <c r="K1073" s="3">
        <f>IF(J1073="","",(J1073-AVERAGE(J6:J1198))/(STDEV(J6:J1198)+1E-12))</f>
        <v/>
      </c>
      <c r="L1073" s="3">
        <f>IF('3a Raw'!H1073="","",MAX(-3,MIN(3,('3a Raw'!H1073-$L3)/$L4)))</f>
        <v/>
      </c>
      <c r="M1073" s="3">
        <f>IF(L1073="","",(L1073-AVERAGE(L6:L1198))/(STDEV(L6:L1198)+1E-12))</f>
        <v/>
      </c>
      <c r="N1073" s="3">
        <f>IF('3a Raw'!I1073="","",MAX(-3,MIN(3,('3a Raw'!I1073-$N3)/$N4)))</f>
        <v/>
      </c>
      <c r="O1073" s="3">
        <f>IF(N1073="","",(N1073-AVERAGE(N6:N1198))/(STDEV(N6:N1198)+1E-12))</f>
        <v/>
      </c>
      <c r="P1073" s="3">
        <f>IF('3a Raw'!J1073="","",MAX(-3,MIN(3,('3a Raw'!J1073-$P3)/$P4)))</f>
        <v/>
      </c>
      <c r="Q1073" s="3">
        <f>IF(P1073="","",(P1073-AVERAGE(P6:P1198))/(STDEV(P6:P1198)+1E-12))</f>
        <v/>
      </c>
      <c r="R1073" s="3">
        <f>IF('3a Raw'!K1073="","",MAX(-3,MIN(3,('3a Raw'!K1073-$R3)/$R4)))</f>
        <v/>
      </c>
      <c r="S1073" s="3">
        <f>IF(R1073="","",(R1073-AVERAGE(R6:R1198))/(STDEV(R6:R1198)+1E-12))</f>
        <v/>
      </c>
      <c r="T1073" s="3">
        <f>IF('3a Raw'!L1073="","",MAX(-3,MIN(3,('3a Raw'!L1073-$T3)/$T4)))</f>
        <v/>
      </c>
      <c r="U1073" s="3">
        <f>IF(T1073="","",(T1073-AVERAGE(T6:T1198))/(STDEV(T6:T1198)+1E-12))</f>
        <v/>
      </c>
      <c r="X1073" s="3">
        <f>IF(U1073="","",U1073-($V$3*G1073+$W$3))</f>
        <v/>
      </c>
      <c r="Y1073" s="3">
        <f>IF(X1073="","",MAX(-3,MIN(3,(X1073-$X3)/$X4)))</f>
        <v/>
      </c>
      <c r="Z1073" s="3">
        <f>IF(Y1073="","",(Y1073-AVERAGE(Y6:Y1198))/(STDEV(Y6:Y1198)+1E-12))</f>
        <v/>
      </c>
    </row>
    <row r="1074">
      <c r="A1074" t="inlineStr">
        <is>
          <t>BBG000BS1YV5</t>
        </is>
      </c>
      <c r="B1074" s="3">
        <f>IF('3a Raw'!C1074="","",MAX(-3,MIN(3,('3a Raw'!C1074-$B3)/$B4)))</f>
        <v/>
      </c>
      <c r="C1074" s="3">
        <f>IF(B1074="","",(B1074-AVERAGE(B6:B1198))/(STDEV(B6:B1198)+1E-12))</f>
        <v/>
      </c>
      <c r="D1074" s="3">
        <f>IF('3a Raw'!D1074="","",MAX(-3,MIN(3,('3a Raw'!D1074-$D3)/$D4)))</f>
        <v/>
      </c>
      <c r="E1074" s="3">
        <f>IF(D1074="","",(D1074-AVERAGE(D6:D1198))/(STDEV(D6:D1198)+1E-12))</f>
        <v/>
      </c>
      <c r="F1074" s="3">
        <f>IF('3a Raw'!E1074="","",MAX(-3,MIN(3,('3a Raw'!E1074-$F3)/$F4)))</f>
        <v/>
      </c>
      <c r="G1074" s="3">
        <f>IF(F1074="","",(F1074-AVERAGE(F6:F1198))/(STDEV(F6:F1198)+1E-12))</f>
        <v/>
      </c>
      <c r="H1074" s="3">
        <f>IF('3a Raw'!F1074="","",MAX(-3,MIN(3,('3a Raw'!F1074-$H3)/$H4)))</f>
        <v/>
      </c>
      <c r="I1074" s="3">
        <f>IF(H1074="","",(H1074-AVERAGE(H6:H1198))/(STDEV(H6:H1198)+1E-12))</f>
        <v/>
      </c>
      <c r="J1074" s="3">
        <f>IF('3a Raw'!G1074="","",MAX(-3,MIN(3,('3a Raw'!G1074-$J3)/$J4)))</f>
        <v/>
      </c>
      <c r="K1074" s="3">
        <f>IF(J1074="","",(J1074-AVERAGE(J6:J1198))/(STDEV(J6:J1198)+1E-12))</f>
        <v/>
      </c>
      <c r="L1074" s="3">
        <f>IF('3a Raw'!H1074="","",MAX(-3,MIN(3,('3a Raw'!H1074-$L3)/$L4)))</f>
        <v/>
      </c>
      <c r="M1074" s="3">
        <f>IF(L1074="","",(L1074-AVERAGE(L6:L1198))/(STDEV(L6:L1198)+1E-12))</f>
        <v/>
      </c>
      <c r="N1074" s="3">
        <f>IF('3a Raw'!I1074="","",MAX(-3,MIN(3,('3a Raw'!I1074-$N3)/$N4)))</f>
        <v/>
      </c>
      <c r="O1074" s="3">
        <f>IF(N1074="","",(N1074-AVERAGE(N6:N1198))/(STDEV(N6:N1198)+1E-12))</f>
        <v/>
      </c>
      <c r="P1074" s="3">
        <f>IF('3a Raw'!J1074="","",MAX(-3,MIN(3,('3a Raw'!J1074-$P3)/$P4)))</f>
        <v/>
      </c>
      <c r="Q1074" s="3">
        <f>IF(P1074="","",(P1074-AVERAGE(P6:P1198))/(STDEV(P6:P1198)+1E-12))</f>
        <v/>
      </c>
      <c r="R1074" s="3">
        <f>IF('3a Raw'!K1074="","",MAX(-3,MIN(3,('3a Raw'!K1074-$R3)/$R4)))</f>
        <v/>
      </c>
      <c r="S1074" s="3">
        <f>IF(R1074="","",(R1074-AVERAGE(R6:R1198))/(STDEV(R6:R1198)+1E-12))</f>
        <v/>
      </c>
      <c r="T1074" s="3">
        <f>IF('3a Raw'!L1074="","",MAX(-3,MIN(3,('3a Raw'!L1074-$T3)/$T4)))</f>
        <v/>
      </c>
      <c r="U1074" s="3">
        <f>IF(T1074="","",(T1074-AVERAGE(T6:T1198))/(STDEV(T6:T1198)+1E-12))</f>
        <v/>
      </c>
      <c r="X1074" s="3">
        <f>IF(U1074="","",U1074-($V$3*G1074+$W$3))</f>
        <v/>
      </c>
      <c r="Y1074" s="3">
        <f>IF(X1074="","",MAX(-3,MIN(3,(X1074-$X3)/$X4)))</f>
        <v/>
      </c>
      <c r="Z1074" s="3">
        <f>IF(Y1074="","",(Y1074-AVERAGE(Y6:Y1198))/(STDEV(Y6:Y1198)+1E-12))</f>
        <v/>
      </c>
    </row>
    <row r="1075">
      <c r="A1075" t="inlineStr">
        <is>
          <t>BBG01NHFZWR8</t>
        </is>
      </c>
      <c r="B1075" s="3">
        <f>IF('3a Raw'!C1075="","",MAX(-3,MIN(3,('3a Raw'!C1075-$B3)/$B4)))</f>
        <v/>
      </c>
      <c r="C1075" s="3">
        <f>IF(B1075="","",(B1075-AVERAGE(B6:B1198))/(STDEV(B6:B1198)+1E-12))</f>
        <v/>
      </c>
      <c r="D1075" s="3">
        <f>IF('3a Raw'!D1075="","",MAX(-3,MIN(3,('3a Raw'!D1075-$D3)/$D4)))</f>
        <v/>
      </c>
      <c r="E1075" s="3">
        <f>IF(D1075="","",(D1075-AVERAGE(D6:D1198))/(STDEV(D6:D1198)+1E-12))</f>
        <v/>
      </c>
      <c r="F1075" s="3">
        <f>IF('3a Raw'!E1075="","",MAX(-3,MIN(3,('3a Raw'!E1075-$F3)/$F4)))</f>
        <v/>
      </c>
      <c r="G1075" s="3">
        <f>IF(F1075="","",(F1075-AVERAGE(F6:F1198))/(STDEV(F6:F1198)+1E-12))</f>
        <v/>
      </c>
      <c r="H1075" s="3">
        <f>IF('3a Raw'!F1075="","",MAX(-3,MIN(3,('3a Raw'!F1075-$H3)/$H4)))</f>
        <v/>
      </c>
      <c r="I1075" s="3">
        <f>IF(H1075="","",(H1075-AVERAGE(H6:H1198))/(STDEV(H6:H1198)+1E-12))</f>
        <v/>
      </c>
      <c r="J1075" s="3">
        <f>IF('3a Raw'!G1075="","",MAX(-3,MIN(3,('3a Raw'!G1075-$J3)/$J4)))</f>
        <v/>
      </c>
      <c r="K1075" s="3">
        <f>IF(J1075="","",(J1075-AVERAGE(J6:J1198))/(STDEV(J6:J1198)+1E-12))</f>
        <v/>
      </c>
      <c r="L1075" s="3">
        <f>IF('3a Raw'!H1075="","",MAX(-3,MIN(3,('3a Raw'!H1075-$L3)/$L4)))</f>
        <v/>
      </c>
      <c r="M1075" s="3">
        <f>IF(L1075="","",(L1075-AVERAGE(L6:L1198))/(STDEV(L6:L1198)+1E-12))</f>
        <v/>
      </c>
      <c r="N1075" s="3">
        <f>IF('3a Raw'!I1075="","",MAX(-3,MIN(3,('3a Raw'!I1075-$N3)/$N4)))</f>
        <v/>
      </c>
      <c r="O1075" s="3">
        <f>IF(N1075="","",(N1075-AVERAGE(N6:N1198))/(STDEV(N6:N1198)+1E-12))</f>
        <v/>
      </c>
      <c r="P1075" s="3">
        <f>IF('3a Raw'!J1075="","",MAX(-3,MIN(3,('3a Raw'!J1075-$P3)/$P4)))</f>
        <v/>
      </c>
      <c r="Q1075" s="3">
        <f>IF(P1075="","",(P1075-AVERAGE(P6:P1198))/(STDEV(P6:P1198)+1E-12))</f>
        <v/>
      </c>
      <c r="R1075" s="3">
        <f>IF('3a Raw'!K1075="","",MAX(-3,MIN(3,('3a Raw'!K1075-$R3)/$R4)))</f>
        <v/>
      </c>
      <c r="S1075" s="3">
        <f>IF(R1075="","",(R1075-AVERAGE(R6:R1198))/(STDEV(R6:R1198)+1E-12))</f>
        <v/>
      </c>
      <c r="T1075" s="3">
        <f>IF('3a Raw'!L1075="","",MAX(-3,MIN(3,('3a Raw'!L1075-$T3)/$T4)))</f>
        <v/>
      </c>
      <c r="U1075" s="3">
        <f>IF(T1075="","",(T1075-AVERAGE(T6:T1198))/(STDEV(T6:T1198)+1E-12))</f>
        <v/>
      </c>
      <c r="X1075" s="3">
        <f>IF(U1075="","",U1075-($V$3*G1075+$W$3))</f>
        <v/>
      </c>
      <c r="Y1075" s="3">
        <f>IF(X1075="","",MAX(-3,MIN(3,(X1075-$X3)/$X4)))</f>
        <v/>
      </c>
      <c r="Z1075" s="3">
        <f>IF(Y1075="","",(Y1075-AVERAGE(Y6:Y1198))/(STDEV(Y6:Y1198)+1E-12))</f>
        <v/>
      </c>
    </row>
    <row r="1076">
      <c r="A1076" t="inlineStr">
        <is>
          <t>BBG0029ZX840</t>
        </is>
      </c>
      <c r="B1076" s="3">
        <f>IF('3a Raw'!C1076="","",MAX(-3,MIN(3,('3a Raw'!C1076-$B3)/$B4)))</f>
        <v/>
      </c>
      <c r="C1076" s="3">
        <f>IF(B1076="","",(B1076-AVERAGE(B6:B1198))/(STDEV(B6:B1198)+1E-12))</f>
        <v/>
      </c>
      <c r="D1076" s="3">
        <f>IF('3a Raw'!D1076="","",MAX(-3,MIN(3,('3a Raw'!D1076-$D3)/$D4)))</f>
        <v/>
      </c>
      <c r="E1076" s="3">
        <f>IF(D1076="","",(D1076-AVERAGE(D6:D1198))/(STDEV(D6:D1198)+1E-12))</f>
        <v/>
      </c>
      <c r="F1076" s="3">
        <f>IF('3a Raw'!E1076="","",MAX(-3,MIN(3,('3a Raw'!E1076-$F3)/$F4)))</f>
        <v/>
      </c>
      <c r="G1076" s="3">
        <f>IF(F1076="","",(F1076-AVERAGE(F6:F1198))/(STDEV(F6:F1198)+1E-12))</f>
        <v/>
      </c>
      <c r="H1076" s="3">
        <f>IF('3a Raw'!F1076="","",MAX(-3,MIN(3,('3a Raw'!F1076-$H3)/$H4)))</f>
        <v/>
      </c>
      <c r="I1076" s="3">
        <f>IF(H1076="","",(H1076-AVERAGE(H6:H1198))/(STDEV(H6:H1198)+1E-12))</f>
        <v/>
      </c>
      <c r="J1076" s="3">
        <f>IF('3a Raw'!G1076="","",MAX(-3,MIN(3,('3a Raw'!G1076-$J3)/$J4)))</f>
        <v/>
      </c>
      <c r="K1076" s="3">
        <f>IF(J1076="","",(J1076-AVERAGE(J6:J1198))/(STDEV(J6:J1198)+1E-12))</f>
        <v/>
      </c>
      <c r="L1076" s="3">
        <f>IF('3a Raw'!H1076="","",MAX(-3,MIN(3,('3a Raw'!H1076-$L3)/$L4)))</f>
        <v/>
      </c>
      <c r="M1076" s="3">
        <f>IF(L1076="","",(L1076-AVERAGE(L6:L1198))/(STDEV(L6:L1198)+1E-12))</f>
        <v/>
      </c>
      <c r="N1076" s="3">
        <f>IF('3a Raw'!I1076="","",MAX(-3,MIN(3,('3a Raw'!I1076-$N3)/$N4)))</f>
        <v/>
      </c>
      <c r="O1076" s="3">
        <f>IF(N1076="","",(N1076-AVERAGE(N6:N1198))/(STDEV(N6:N1198)+1E-12))</f>
        <v/>
      </c>
      <c r="P1076" s="3">
        <f>IF('3a Raw'!J1076="","",MAX(-3,MIN(3,('3a Raw'!J1076-$P3)/$P4)))</f>
        <v/>
      </c>
      <c r="Q1076" s="3">
        <f>IF(P1076="","",(P1076-AVERAGE(P6:P1198))/(STDEV(P6:P1198)+1E-12))</f>
        <v/>
      </c>
      <c r="R1076" s="3">
        <f>IF('3a Raw'!K1076="","",MAX(-3,MIN(3,('3a Raw'!K1076-$R3)/$R4)))</f>
        <v/>
      </c>
      <c r="S1076" s="3">
        <f>IF(R1076="","",(R1076-AVERAGE(R6:R1198))/(STDEV(R6:R1198)+1E-12))</f>
        <v/>
      </c>
      <c r="T1076" s="3">
        <f>IF('3a Raw'!L1076="","",MAX(-3,MIN(3,('3a Raw'!L1076-$T3)/$T4)))</f>
        <v/>
      </c>
      <c r="U1076" s="3">
        <f>IF(T1076="","",(T1076-AVERAGE(T6:T1198))/(STDEV(T6:T1198)+1E-12))</f>
        <v/>
      </c>
      <c r="X1076" s="3">
        <f>IF(U1076="","",U1076-($V$3*G1076+$W$3))</f>
        <v/>
      </c>
      <c r="Y1076" s="3">
        <f>IF(X1076="","",MAX(-3,MIN(3,(X1076-$X3)/$X4)))</f>
        <v/>
      </c>
      <c r="Z1076" s="3">
        <f>IF(Y1076="","",(Y1076-AVERAGE(Y6:Y1198))/(STDEV(Y6:Y1198)+1E-12))</f>
        <v/>
      </c>
    </row>
    <row r="1077">
      <c r="A1077" t="inlineStr">
        <is>
          <t>BBG000MG3Y65</t>
        </is>
      </c>
      <c r="B1077" s="3">
        <f>IF('3a Raw'!C1077="","",MAX(-3,MIN(3,('3a Raw'!C1077-$B3)/$B4)))</f>
        <v/>
      </c>
      <c r="C1077" s="3">
        <f>IF(B1077="","",(B1077-AVERAGE(B6:B1198))/(STDEV(B6:B1198)+1E-12))</f>
        <v/>
      </c>
      <c r="D1077" s="3">
        <f>IF('3a Raw'!D1077="","",MAX(-3,MIN(3,('3a Raw'!D1077-$D3)/$D4)))</f>
        <v/>
      </c>
      <c r="E1077" s="3">
        <f>IF(D1077="","",(D1077-AVERAGE(D6:D1198))/(STDEV(D6:D1198)+1E-12))</f>
        <v/>
      </c>
      <c r="F1077" s="3">
        <f>IF('3a Raw'!E1077="","",MAX(-3,MIN(3,('3a Raw'!E1077-$F3)/$F4)))</f>
        <v/>
      </c>
      <c r="G1077" s="3">
        <f>IF(F1077="","",(F1077-AVERAGE(F6:F1198))/(STDEV(F6:F1198)+1E-12))</f>
        <v/>
      </c>
      <c r="H1077" s="3">
        <f>IF('3a Raw'!F1077="","",MAX(-3,MIN(3,('3a Raw'!F1077-$H3)/$H4)))</f>
        <v/>
      </c>
      <c r="I1077" s="3">
        <f>IF(H1077="","",(H1077-AVERAGE(H6:H1198))/(STDEV(H6:H1198)+1E-12))</f>
        <v/>
      </c>
      <c r="J1077" s="3">
        <f>IF('3a Raw'!G1077="","",MAX(-3,MIN(3,('3a Raw'!G1077-$J3)/$J4)))</f>
        <v/>
      </c>
      <c r="K1077" s="3">
        <f>IF(J1077="","",(J1077-AVERAGE(J6:J1198))/(STDEV(J6:J1198)+1E-12))</f>
        <v/>
      </c>
      <c r="L1077" s="3">
        <f>IF('3a Raw'!H1077="","",MAX(-3,MIN(3,('3a Raw'!H1077-$L3)/$L4)))</f>
        <v/>
      </c>
      <c r="M1077" s="3">
        <f>IF(L1077="","",(L1077-AVERAGE(L6:L1198))/(STDEV(L6:L1198)+1E-12))</f>
        <v/>
      </c>
      <c r="N1077" s="3">
        <f>IF('3a Raw'!I1077="","",MAX(-3,MIN(3,('3a Raw'!I1077-$N3)/$N4)))</f>
        <v/>
      </c>
      <c r="O1077" s="3">
        <f>IF(N1077="","",(N1077-AVERAGE(N6:N1198))/(STDEV(N6:N1198)+1E-12))</f>
        <v/>
      </c>
      <c r="P1077" s="3">
        <f>IF('3a Raw'!J1077="","",MAX(-3,MIN(3,('3a Raw'!J1077-$P3)/$P4)))</f>
        <v/>
      </c>
      <c r="Q1077" s="3">
        <f>IF(P1077="","",(P1077-AVERAGE(P6:P1198))/(STDEV(P6:P1198)+1E-12))</f>
        <v/>
      </c>
      <c r="R1077" s="3">
        <f>IF('3a Raw'!K1077="","",MAX(-3,MIN(3,('3a Raw'!K1077-$R3)/$R4)))</f>
        <v/>
      </c>
      <c r="S1077" s="3">
        <f>IF(R1077="","",(R1077-AVERAGE(R6:R1198))/(STDEV(R6:R1198)+1E-12))</f>
        <v/>
      </c>
      <c r="T1077" s="3">
        <f>IF('3a Raw'!L1077="","",MAX(-3,MIN(3,('3a Raw'!L1077-$T3)/$T4)))</f>
        <v/>
      </c>
      <c r="U1077" s="3">
        <f>IF(T1077="","",(T1077-AVERAGE(T6:T1198))/(STDEV(T6:T1198)+1E-12))</f>
        <v/>
      </c>
      <c r="X1077" s="3">
        <f>IF(U1077="","",U1077-($V$3*G1077+$W$3))</f>
        <v/>
      </c>
      <c r="Y1077" s="3">
        <f>IF(X1077="","",MAX(-3,MIN(3,(X1077-$X3)/$X4)))</f>
        <v/>
      </c>
      <c r="Z1077" s="3">
        <f>IF(Y1077="","",(Y1077-AVERAGE(Y6:Y1198))/(STDEV(Y6:Y1198)+1E-12))</f>
        <v/>
      </c>
    </row>
    <row r="1078">
      <c r="A1078" t="inlineStr">
        <is>
          <t>BBG000BVV7G1</t>
        </is>
      </c>
      <c r="B1078" s="3">
        <f>IF('3a Raw'!C1078="","",MAX(-3,MIN(3,('3a Raw'!C1078-$B3)/$B4)))</f>
        <v/>
      </c>
      <c r="C1078" s="3">
        <f>IF(B1078="","",(B1078-AVERAGE(B6:B1198))/(STDEV(B6:B1198)+1E-12))</f>
        <v/>
      </c>
      <c r="D1078" s="3">
        <f>IF('3a Raw'!D1078="","",MAX(-3,MIN(3,('3a Raw'!D1078-$D3)/$D4)))</f>
        <v/>
      </c>
      <c r="E1078" s="3">
        <f>IF(D1078="","",(D1078-AVERAGE(D6:D1198))/(STDEV(D6:D1198)+1E-12))</f>
        <v/>
      </c>
      <c r="F1078" s="3">
        <f>IF('3a Raw'!E1078="","",MAX(-3,MIN(3,('3a Raw'!E1078-$F3)/$F4)))</f>
        <v/>
      </c>
      <c r="G1078" s="3">
        <f>IF(F1078="","",(F1078-AVERAGE(F6:F1198))/(STDEV(F6:F1198)+1E-12))</f>
        <v/>
      </c>
      <c r="H1078" s="3">
        <f>IF('3a Raw'!F1078="","",MAX(-3,MIN(3,('3a Raw'!F1078-$H3)/$H4)))</f>
        <v/>
      </c>
      <c r="I1078" s="3">
        <f>IF(H1078="","",(H1078-AVERAGE(H6:H1198))/(STDEV(H6:H1198)+1E-12))</f>
        <v/>
      </c>
      <c r="J1078" s="3">
        <f>IF('3a Raw'!G1078="","",MAX(-3,MIN(3,('3a Raw'!G1078-$J3)/$J4)))</f>
        <v/>
      </c>
      <c r="K1078" s="3">
        <f>IF(J1078="","",(J1078-AVERAGE(J6:J1198))/(STDEV(J6:J1198)+1E-12))</f>
        <v/>
      </c>
      <c r="L1078" s="3">
        <f>IF('3a Raw'!H1078="","",MAX(-3,MIN(3,('3a Raw'!H1078-$L3)/$L4)))</f>
        <v/>
      </c>
      <c r="M1078" s="3">
        <f>IF(L1078="","",(L1078-AVERAGE(L6:L1198))/(STDEV(L6:L1198)+1E-12))</f>
        <v/>
      </c>
      <c r="N1078" s="3">
        <f>IF('3a Raw'!I1078="","",MAX(-3,MIN(3,('3a Raw'!I1078-$N3)/$N4)))</f>
        <v/>
      </c>
      <c r="O1078" s="3">
        <f>IF(N1078="","",(N1078-AVERAGE(N6:N1198))/(STDEV(N6:N1198)+1E-12))</f>
        <v/>
      </c>
      <c r="P1078" s="3">
        <f>IF('3a Raw'!J1078="","",MAX(-3,MIN(3,('3a Raw'!J1078-$P3)/$P4)))</f>
        <v/>
      </c>
      <c r="Q1078" s="3">
        <f>IF(P1078="","",(P1078-AVERAGE(P6:P1198))/(STDEV(P6:P1198)+1E-12))</f>
        <v/>
      </c>
      <c r="R1078" s="3">
        <f>IF('3a Raw'!K1078="","",MAX(-3,MIN(3,('3a Raw'!K1078-$R3)/$R4)))</f>
        <v/>
      </c>
      <c r="S1078" s="3">
        <f>IF(R1078="","",(R1078-AVERAGE(R6:R1198))/(STDEV(R6:R1198)+1E-12))</f>
        <v/>
      </c>
      <c r="T1078" s="3">
        <f>IF('3a Raw'!L1078="","",MAX(-3,MIN(3,('3a Raw'!L1078-$T3)/$T4)))</f>
        <v/>
      </c>
      <c r="U1078" s="3">
        <f>IF(T1078="","",(T1078-AVERAGE(T6:T1198))/(STDEV(T6:T1198)+1E-12))</f>
        <v/>
      </c>
      <c r="X1078" s="3">
        <f>IF(U1078="","",U1078-($V$3*G1078+$W$3))</f>
        <v/>
      </c>
      <c r="Y1078" s="3">
        <f>IF(X1078="","",MAX(-3,MIN(3,(X1078-$X3)/$X4)))</f>
        <v/>
      </c>
      <c r="Z1078" s="3">
        <f>IF(Y1078="","",(Y1078-AVERAGE(Y6:Y1198))/(STDEV(Y6:Y1198)+1E-12))</f>
        <v/>
      </c>
    </row>
    <row r="1079">
      <c r="A1079" t="inlineStr">
        <is>
          <t>BBG000PSJMV7</t>
        </is>
      </c>
      <c r="B1079" s="3">
        <f>IF('3a Raw'!C1079="","",MAX(-3,MIN(3,('3a Raw'!C1079-$B3)/$B4)))</f>
        <v/>
      </c>
      <c r="C1079" s="3">
        <f>IF(B1079="","",(B1079-AVERAGE(B6:B1198))/(STDEV(B6:B1198)+1E-12))</f>
        <v/>
      </c>
      <c r="D1079" s="3">
        <f>IF('3a Raw'!D1079="","",MAX(-3,MIN(3,('3a Raw'!D1079-$D3)/$D4)))</f>
        <v/>
      </c>
      <c r="E1079" s="3">
        <f>IF(D1079="","",(D1079-AVERAGE(D6:D1198))/(STDEV(D6:D1198)+1E-12))</f>
        <v/>
      </c>
      <c r="F1079" s="3">
        <f>IF('3a Raw'!E1079="","",MAX(-3,MIN(3,('3a Raw'!E1079-$F3)/$F4)))</f>
        <v/>
      </c>
      <c r="G1079" s="3">
        <f>IF(F1079="","",(F1079-AVERAGE(F6:F1198))/(STDEV(F6:F1198)+1E-12))</f>
        <v/>
      </c>
      <c r="H1079" s="3">
        <f>IF('3a Raw'!F1079="","",MAX(-3,MIN(3,('3a Raw'!F1079-$H3)/$H4)))</f>
        <v/>
      </c>
      <c r="I1079" s="3">
        <f>IF(H1079="","",(H1079-AVERAGE(H6:H1198))/(STDEV(H6:H1198)+1E-12))</f>
        <v/>
      </c>
      <c r="J1079" s="3">
        <f>IF('3a Raw'!G1079="","",MAX(-3,MIN(3,('3a Raw'!G1079-$J3)/$J4)))</f>
        <v/>
      </c>
      <c r="K1079" s="3">
        <f>IF(J1079="","",(J1079-AVERAGE(J6:J1198))/(STDEV(J6:J1198)+1E-12))</f>
        <v/>
      </c>
      <c r="L1079" s="3">
        <f>IF('3a Raw'!H1079="","",MAX(-3,MIN(3,('3a Raw'!H1079-$L3)/$L4)))</f>
        <v/>
      </c>
      <c r="M1079" s="3">
        <f>IF(L1079="","",(L1079-AVERAGE(L6:L1198))/(STDEV(L6:L1198)+1E-12))</f>
        <v/>
      </c>
      <c r="N1079" s="3">
        <f>IF('3a Raw'!I1079="","",MAX(-3,MIN(3,('3a Raw'!I1079-$N3)/$N4)))</f>
        <v/>
      </c>
      <c r="O1079" s="3">
        <f>IF(N1079="","",(N1079-AVERAGE(N6:N1198))/(STDEV(N6:N1198)+1E-12))</f>
        <v/>
      </c>
      <c r="P1079" s="3">
        <f>IF('3a Raw'!J1079="","",MAX(-3,MIN(3,('3a Raw'!J1079-$P3)/$P4)))</f>
        <v/>
      </c>
      <c r="Q1079" s="3">
        <f>IF(P1079="","",(P1079-AVERAGE(P6:P1198))/(STDEV(P6:P1198)+1E-12))</f>
        <v/>
      </c>
      <c r="R1079" s="3">
        <f>IF('3a Raw'!K1079="","",MAX(-3,MIN(3,('3a Raw'!K1079-$R3)/$R4)))</f>
        <v/>
      </c>
      <c r="S1079" s="3">
        <f>IF(R1079="","",(R1079-AVERAGE(R6:R1198))/(STDEV(R6:R1198)+1E-12))</f>
        <v/>
      </c>
      <c r="T1079" s="3">
        <f>IF('3a Raw'!L1079="","",MAX(-3,MIN(3,('3a Raw'!L1079-$T3)/$T4)))</f>
        <v/>
      </c>
      <c r="U1079" s="3">
        <f>IF(T1079="","",(T1079-AVERAGE(T6:T1198))/(STDEV(T6:T1198)+1E-12))</f>
        <v/>
      </c>
      <c r="X1079" s="3">
        <f>IF(U1079="","",U1079-($V$3*G1079+$W$3))</f>
        <v/>
      </c>
      <c r="Y1079" s="3">
        <f>IF(X1079="","",MAX(-3,MIN(3,(X1079-$X3)/$X4)))</f>
        <v/>
      </c>
      <c r="Z1079" s="3">
        <f>IF(Y1079="","",(Y1079-AVERAGE(Y6:Y1198))/(STDEV(Y6:Y1198)+1E-12))</f>
        <v/>
      </c>
    </row>
    <row r="1080">
      <c r="A1080" t="inlineStr">
        <is>
          <t>BBG000BVVQQ8</t>
        </is>
      </c>
      <c r="B1080" s="3">
        <f>IF('3a Raw'!C1080="","",MAX(-3,MIN(3,('3a Raw'!C1080-$B3)/$B4)))</f>
        <v/>
      </c>
      <c r="C1080" s="3">
        <f>IF(B1080="","",(B1080-AVERAGE(B6:B1198))/(STDEV(B6:B1198)+1E-12))</f>
        <v/>
      </c>
      <c r="D1080" s="3">
        <f>IF('3a Raw'!D1080="","",MAX(-3,MIN(3,('3a Raw'!D1080-$D3)/$D4)))</f>
        <v/>
      </c>
      <c r="E1080" s="3">
        <f>IF(D1080="","",(D1080-AVERAGE(D6:D1198))/(STDEV(D6:D1198)+1E-12))</f>
        <v/>
      </c>
      <c r="F1080" s="3">
        <f>IF('3a Raw'!E1080="","",MAX(-3,MIN(3,('3a Raw'!E1080-$F3)/$F4)))</f>
        <v/>
      </c>
      <c r="G1080" s="3">
        <f>IF(F1080="","",(F1080-AVERAGE(F6:F1198))/(STDEV(F6:F1198)+1E-12))</f>
        <v/>
      </c>
      <c r="H1080" s="3">
        <f>IF('3a Raw'!F1080="","",MAX(-3,MIN(3,('3a Raw'!F1080-$H3)/$H4)))</f>
        <v/>
      </c>
      <c r="I1080" s="3">
        <f>IF(H1080="","",(H1080-AVERAGE(H6:H1198))/(STDEV(H6:H1198)+1E-12))</f>
        <v/>
      </c>
      <c r="J1080" s="3">
        <f>IF('3a Raw'!G1080="","",MAX(-3,MIN(3,('3a Raw'!G1080-$J3)/$J4)))</f>
        <v/>
      </c>
      <c r="K1080" s="3">
        <f>IF(J1080="","",(J1080-AVERAGE(J6:J1198))/(STDEV(J6:J1198)+1E-12))</f>
        <v/>
      </c>
      <c r="L1080" s="3">
        <f>IF('3a Raw'!H1080="","",MAX(-3,MIN(3,('3a Raw'!H1080-$L3)/$L4)))</f>
        <v/>
      </c>
      <c r="M1080" s="3">
        <f>IF(L1080="","",(L1080-AVERAGE(L6:L1198))/(STDEV(L6:L1198)+1E-12))</f>
        <v/>
      </c>
      <c r="N1080" s="3">
        <f>IF('3a Raw'!I1080="","",MAX(-3,MIN(3,('3a Raw'!I1080-$N3)/$N4)))</f>
        <v/>
      </c>
      <c r="O1080" s="3">
        <f>IF(N1080="","",(N1080-AVERAGE(N6:N1198))/(STDEV(N6:N1198)+1E-12))</f>
        <v/>
      </c>
      <c r="P1080" s="3">
        <f>IF('3a Raw'!J1080="","",MAX(-3,MIN(3,('3a Raw'!J1080-$P3)/$P4)))</f>
        <v/>
      </c>
      <c r="Q1080" s="3">
        <f>IF(P1080="","",(P1080-AVERAGE(P6:P1198))/(STDEV(P6:P1198)+1E-12))</f>
        <v/>
      </c>
      <c r="R1080" s="3">
        <f>IF('3a Raw'!K1080="","",MAX(-3,MIN(3,('3a Raw'!K1080-$R3)/$R4)))</f>
        <v/>
      </c>
      <c r="S1080" s="3">
        <f>IF(R1080="","",(R1080-AVERAGE(R6:R1198))/(STDEV(R6:R1198)+1E-12))</f>
        <v/>
      </c>
      <c r="T1080" s="3">
        <f>IF('3a Raw'!L1080="","",MAX(-3,MIN(3,('3a Raw'!L1080-$T3)/$T4)))</f>
        <v/>
      </c>
      <c r="U1080" s="3">
        <f>IF(T1080="","",(T1080-AVERAGE(T6:T1198))/(STDEV(T6:T1198)+1E-12))</f>
        <v/>
      </c>
      <c r="X1080" s="3">
        <f>IF(U1080="","",U1080-($V$3*G1080+$W$3))</f>
        <v/>
      </c>
      <c r="Y1080" s="3">
        <f>IF(X1080="","",MAX(-3,MIN(3,(X1080-$X3)/$X4)))</f>
        <v/>
      </c>
      <c r="Z1080" s="3">
        <f>IF(Y1080="","",(Y1080-AVERAGE(Y6:Y1198))/(STDEV(Y6:Y1198)+1E-12))</f>
        <v/>
      </c>
    </row>
    <row r="1081">
      <c r="A1081" t="inlineStr">
        <is>
          <t>BBG000BVWZF9</t>
        </is>
      </c>
      <c r="B1081" s="3">
        <f>IF('3a Raw'!C1081="","",MAX(-3,MIN(3,('3a Raw'!C1081-$B3)/$B4)))</f>
        <v/>
      </c>
      <c r="C1081" s="3">
        <f>IF(B1081="","",(B1081-AVERAGE(B6:B1198))/(STDEV(B6:B1198)+1E-12))</f>
        <v/>
      </c>
      <c r="D1081" s="3">
        <f>IF('3a Raw'!D1081="","",MAX(-3,MIN(3,('3a Raw'!D1081-$D3)/$D4)))</f>
        <v/>
      </c>
      <c r="E1081" s="3">
        <f>IF(D1081="","",(D1081-AVERAGE(D6:D1198))/(STDEV(D6:D1198)+1E-12))</f>
        <v/>
      </c>
      <c r="F1081" s="3">
        <f>IF('3a Raw'!E1081="","",MAX(-3,MIN(3,('3a Raw'!E1081-$F3)/$F4)))</f>
        <v/>
      </c>
      <c r="G1081" s="3">
        <f>IF(F1081="","",(F1081-AVERAGE(F6:F1198))/(STDEV(F6:F1198)+1E-12))</f>
        <v/>
      </c>
      <c r="H1081" s="3">
        <f>IF('3a Raw'!F1081="","",MAX(-3,MIN(3,('3a Raw'!F1081-$H3)/$H4)))</f>
        <v/>
      </c>
      <c r="I1081" s="3">
        <f>IF(H1081="","",(H1081-AVERAGE(H6:H1198))/(STDEV(H6:H1198)+1E-12))</f>
        <v/>
      </c>
      <c r="J1081" s="3">
        <f>IF('3a Raw'!G1081="","",MAX(-3,MIN(3,('3a Raw'!G1081-$J3)/$J4)))</f>
        <v/>
      </c>
      <c r="K1081" s="3">
        <f>IF(J1081="","",(J1081-AVERAGE(J6:J1198))/(STDEV(J6:J1198)+1E-12))</f>
        <v/>
      </c>
      <c r="L1081" s="3">
        <f>IF('3a Raw'!H1081="","",MAX(-3,MIN(3,('3a Raw'!H1081-$L3)/$L4)))</f>
        <v/>
      </c>
      <c r="M1081" s="3">
        <f>IF(L1081="","",(L1081-AVERAGE(L6:L1198))/(STDEV(L6:L1198)+1E-12))</f>
        <v/>
      </c>
      <c r="N1081" s="3">
        <f>IF('3a Raw'!I1081="","",MAX(-3,MIN(3,('3a Raw'!I1081-$N3)/$N4)))</f>
        <v/>
      </c>
      <c r="O1081" s="3">
        <f>IF(N1081="","",(N1081-AVERAGE(N6:N1198))/(STDEV(N6:N1198)+1E-12))</f>
        <v/>
      </c>
      <c r="P1081" s="3">
        <f>IF('3a Raw'!J1081="","",MAX(-3,MIN(3,('3a Raw'!J1081-$P3)/$P4)))</f>
        <v/>
      </c>
      <c r="Q1081" s="3">
        <f>IF(P1081="","",(P1081-AVERAGE(P6:P1198))/(STDEV(P6:P1198)+1E-12))</f>
        <v/>
      </c>
      <c r="R1081" s="3">
        <f>IF('3a Raw'!K1081="","",MAX(-3,MIN(3,('3a Raw'!K1081-$R3)/$R4)))</f>
        <v/>
      </c>
      <c r="S1081" s="3">
        <f>IF(R1081="","",(R1081-AVERAGE(R6:R1198))/(STDEV(R6:R1198)+1E-12))</f>
        <v/>
      </c>
      <c r="T1081" s="3">
        <f>IF('3a Raw'!L1081="","",MAX(-3,MIN(3,('3a Raw'!L1081-$T3)/$T4)))</f>
        <v/>
      </c>
      <c r="U1081" s="3">
        <f>IF(T1081="","",(T1081-AVERAGE(T6:T1198))/(STDEV(T6:T1198)+1E-12))</f>
        <v/>
      </c>
      <c r="X1081" s="3">
        <f>IF(U1081="","",U1081-($V$3*G1081+$W$3))</f>
        <v/>
      </c>
      <c r="Y1081" s="3">
        <f>IF(X1081="","",MAX(-3,MIN(3,(X1081-$X3)/$X4)))</f>
        <v/>
      </c>
      <c r="Z1081" s="3">
        <f>IF(Y1081="","",(Y1081-AVERAGE(Y6:Y1198))/(STDEV(Y6:Y1198)+1E-12))</f>
        <v/>
      </c>
    </row>
    <row r="1082">
      <c r="A1082" t="inlineStr">
        <is>
          <t>BBG0056JW5G6</t>
        </is>
      </c>
      <c r="B1082" s="3">
        <f>IF('3a Raw'!C1082="","",MAX(-3,MIN(3,('3a Raw'!C1082-$B3)/$B4)))</f>
        <v/>
      </c>
      <c r="C1082" s="3">
        <f>IF(B1082="","",(B1082-AVERAGE(B6:B1198))/(STDEV(B6:B1198)+1E-12))</f>
        <v/>
      </c>
      <c r="D1082" s="3">
        <f>IF('3a Raw'!D1082="","",MAX(-3,MIN(3,('3a Raw'!D1082-$D3)/$D4)))</f>
        <v/>
      </c>
      <c r="E1082" s="3">
        <f>IF(D1082="","",(D1082-AVERAGE(D6:D1198))/(STDEV(D6:D1198)+1E-12))</f>
        <v/>
      </c>
      <c r="F1082" s="3">
        <f>IF('3a Raw'!E1082="","",MAX(-3,MIN(3,('3a Raw'!E1082-$F3)/$F4)))</f>
        <v/>
      </c>
      <c r="G1082" s="3">
        <f>IF(F1082="","",(F1082-AVERAGE(F6:F1198))/(STDEV(F6:F1198)+1E-12))</f>
        <v/>
      </c>
      <c r="H1082" s="3">
        <f>IF('3a Raw'!F1082="","",MAX(-3,MIN(3,('3a Raw'!F1082-$H3)/$H4)))</f>
        <v/>
      </c>
      <c r="I1082" s="3">
        <f>IF(H1082="","",(H1082-AVERAGE(H6:H1198))/(STDEV(H6:H1198)+1E-12))</f>
        <v/>
      </c>
      <c r="J1082" s="3">
        <f>IF('3a Raw'!G1082="","",MAX(-3,MIN(3,('3a Raw'!G1082-$J3)/$J4)))</f>
        <v/>
      </c>
      <c r="K1082" s="3">
        <f>IF(J1082="","",(J1082-AVERAGE(J6:J1198))/(STDEV(J6:J1198)+1E-12))</f>
        <v/>
      </c>
      <c r="L1082" s="3">
        <f>IF('3a Raw'!H1082="","",MAX(-3,MIN(3,('3a Raw'!H1082-$L3)/$L4)))</f>
        <v/>
      </c>
      <c r="M1082" s="3">
        <f>IF(L1082="","",(L1082-AVERAGE(L6:L1198))/(STDEV(L6:L1198)+1E-12))</f>
        <v/>
      </c>
      <c r="N1082" s="3">
        <f>IF('3a Raw'!I1082="","",MAX(-3,MIN(3,('3a Raw'!I1082-$N3)/$N4)))</f>
        <v/>
      </c>
      <c r="O1082" s="3">
        <f>IF(N1082="","",(N1082-AVERAGE(N6:N1198))/(STDEV(N6:N1198)+1E-12))</f>
        <v/>
      </c>
      <c r="P1082" s="3">
        <f>IF('3a Raw'!J1082="","",MAX(-3,MIN(3,('3a Raw'!J1082-$P3)/$P4)))</f>
        <v/>
      </c>
      <c r="Q1082" s="3">
        <f>IF(P1082="","",(P1082-AVERAGE(P6:P1198))/(STDEV(P6:P1198)+1E-12))</f>
        <v/>
      </c>
      <c r="R1082" s="3">
        <f>IF('3a Raw'!K1082="","",MAX(-3,MIN(3,('3a Raw'!K1082-$R3)/$R4)))</f>
        <v/>
      </c>
      <c r="S1082" s="3">
        <f>IF(R1082="","",(R1082-AVERAGE(R6:R1198))/(STDEV(R6:R1198)+1E-12))</f>
        <v/>
      </c>
      <c r="T1082" s="3">
        <f>IF('3a Raw'!L1082="","",MAX(-3,MIN(3,('3a Raw'!L1082-$T3)/$T4)))</f>
        <v/>
      </c>
      <c r="U1082" s="3">
        <f>IF(T1082="","",(T1082-AVERAGE(T6:T1198))/(STDEV(T6:T1198)+1E-12))</f>
        <v/>
      </c>
      <c r="X1082" s="3">
        <f>IF(U1082="","",U1082-($V$3*G1082+$W$3))</f>
        <v/>
      </c>
      <c r="Y1082" s="3">
        <f>IF(X1082="","",MAX(-3,MIN(3,(X1082-$X3)/$X4)))</f>
        <v/>
      </c>
      <c r="Z1082" s="3">
        <f>IF(Y1082="","",(Y1082-AVERAGE(Y6:Y1198))/(STDEV(Y6:Y1198)+1E-12))</f>
        <v/>
      </c>
    </row>
    <row r="1083">
      <c r="A1083" t="inlineStr">
        <is>
          <t>BBG000BXM6V2</t>
        </is>
      </c>
      <c r="B1083" s="3">
        <f>IF('3a Raw'!C1083="","",MAX(-3,MIN(3,('3a Raw'!C1083-$B3)/$B4)))</f>
        <v/>
      </c>
      <c r="C1083" s="3">
        <f>IF(B1083="","",(B1083-AVERAGE(B6:B1198))/(STDEV(B6:B1198)+1E-12))</f>
        <v/>
      </c>
      <c r="D1083" s="3">
        <f>IF('3a Raw'!D1083="","",MAX(-3,MIN(3,('3a Raw'!D1083-$D3)/$D4)))</f>
        <v/>
      </c>
      <c r="E1083" s="3">
        <f>IF(D1083="","",(D1083-AVERAGE(D6:D1198))/(STDEV(D6:D1198)+1E-12))</f>
        <v/>
      </c>
      <c r="F1083" s="3">
        <f>IF('3a Raw'!E1083="","",MAX(-3,MIN(3,('3a Raw'!E1083-$F3)/$F4)))</f>
        <v/>
      </c>
      <c r="G1083" s="3">
        <f>IF(F1083="","",(F1083-AVERAGE(F6:F1198))/(STDEV(F6:F1198)+1E-12))</f>
        <v/>
      </c>
      <c r="H1083" s="3">
        <f>IF('3a Raw'!F1083="","",MAX(-3,MIN(3,('3a Raw'!F1083-$H3)/$H4)))</f>
        <v/>
      </c>
      <c r="I1083" s="3">
        <f>IF(H1083="","",(H1083-AVERAGE(H6:H1198))/(STDEV(H6:H1198)+1E-12))</f>
        <v/>
      </c>
      <c r="J1083" s="3">
        <f>IF('3a Raw'!G1083="","",MAX(-3,MIN(3,('3a Raw'!G1083-$J3)/$J4)))</f>
        <v/>
      </c>
      <c r="K1083" s="3">
        <f>IF(J1083="","",(J1083-AVERAGE(J6:J1198))/(STDEV(J6:J1198)+1E-12))</f>
        <v/>
      </c>
      <c r="L1083" s="3">
        <f>IF('3a Raw'!H1083="","",MAX(-3,MIN(3,('3a Raw'!H1083-$L3)/$L4)))</f>
        <v/>
      </c>
      <c r="M1083" s="3">
        <f>IF(L1083="","",(L1083-AVERAGE(L6:L1198))/(STDEV(L6:L1198)+1E-12))</f>
        <v/>
      </c>
      <c r="N1083" s="3">
        <f>IF('3a Raw'!I1083="","",MAX(-3,MIN(3,('3a Raw'!I1083-$N3)/$N4)))</f>
        <v/>
      </c>
      <c r="O1083" s="3">
        <f>IF(N1083="","",(N1083-AVERAGE(N6:N1198))/(STDEV(N6:N1198)+1E-12))</f>
        <v/>
      </c>
      <c r="P1083" s="3">
        <f>IF('3a Raw'!J1083="","",MAX(-3,MIN(3,('3a Raw'!J1083-$P3)/$P4)))</f>
        <v/>
      </c>
      <c r="Q1083" s="3">
        <f>IF(P1083="","",(P1083-AVERAGE(P6:P1198))/(STDEV(P6:P1198)+1E-12))</f>
        <v/>
      </c>
      <c r="R1083" s="3">
        <f>IF('3a Raw'!K1083="","",MAX(-3,MIN(3,('3a Raw'!K1083-$R3)/$R4)))</f>
        <v/>
      </c>
      <c r="S1083" s="3">
        <f>IF(R1083="","",(R1083-AVERAGE(R6:R1198))/(STDEV(R6:R1198)+1E-12))</f>
        <v/>
      </c>
      <c r="T1083" s="3">
        <f>IF('3a Raw'!L1083="","",MAX(-3,MIN(3,('3a Raw'!L1083-$T3)/$T4)))</f>
        <v/>
      </c>
      <c r="U1083" s="3">
        <f>IF(T1083="","",(T1083-AVERAGE(T6:T1198))/(STDEV(T6:T1198)+1E-12))</f>
        <v/>
      </c>
      <c r="X1083" s="3">
        <f>IF(U1083="","",U1083-($V$3*G1083+$W$3))</f>
        <v/>
      </c>
      <c r="Y1083" s="3">
        <f>IF(X1083="","",MAX(-3,MIN(3,(X1083-$X3)/$X4)))</f>
        <v/>
      </c>
      <c r="Z1083" s="3">
        <f>IF(Y1083="","",(Y1083-AVERAGE(Y6:Y1198))/(STDEV(Y6:Y1198)+1E-12))</f>
        <v/>
      </c>
    </row>
    <row r="1084">
      <c r="A1084" t="inlineStr">
        <is>
          <t>BBG000M65M61</t>
        </is>
      </c>
      <c r="B1084" s="3">
        <f>IF('3a Raw'!C1084="","",MAX(-3,MIN(3,('3a Raw'!C1084-$B3)/$B4)))</f>
        <v/>
      </c>
      <c r="C1084" s="3">
        <f>IF(B1084="","",(B1084-AVERAGE(B6:B1198))/(STDEV(B6:B1198)+1E-12))</f>
        <v/>
      </c>
      <c r="D1084" s="3">
        <f>IF('3a Raw'!D1084="","",MAX(-3,MIN(3,('3a Raw'!D1084-$D3)/$D4)))</f>
        <v/>
      </c>
      <c r="E1084" s="3">
        <f>IF(D1084="","",(D1084-AVERAGE(D6:D1198))/(STDEV(D6:D1198)+1E-12))</f>
        <v/>
      </c>
      <c r="F1084" s="3">
        <f>IF('3a Raw'!E1084="","",MAX(-3,MIN(3,('3a Raw'!E1084-$F3)/$F4)))</f>
        <v/>
      </c>
      <c r="G1084" s="3">
        <f>IF(F1084="","",(F1084-AVERAGE(F6:F1198))/(STDEV(F6:F1198)+1E-12))</f>
        <v/>
      </c>
      <c r="H1084" s="3">
        <f>IF('3a Raw'!F1084="","",MAX(-3,MIN(3,('3a Raw'!F1084-$H3)/$H4)))</f>
        <v/>
      </c>
      <c r="I1084" s="3">
        <f>IF(H1084="","",(H1084-AVERAGE(H6:H1198))/(STDEV(H6:H1198)+1E-12))</f>
        <v/>
      </c>
      <c r="J1084" s="3">
        <f>IF('3a Raw'!G1084="","",MAX(-3,MIN(3,('3a Raw'!G1084-$J3)/$J4)))</f>
        <v/>
      </c>
      <c r="K1084" s="3">
        <f>IF(J1084="","",(J1084-AVERAGE(J6:J1198))/(STDEV(J6:J1198)+1E-12))</f>
        <v/>
      </c>
      <c r="L1084" s="3">
        <f>IF('3a Raw'!H1084="","",MAX(-3,MIN(3,('3a Raw'!H1084-$L3)/$L4)))</f>
        <v/>
      </c>
      <c r="M1084" s="3">
        <f>IF(L1084="","",(L1084-AVERAGE(L6:L1198))/(STDEV(L6:L1198)+1E-12))</f>
        <v/>
      </c>
      <c r="N1084" s="3">
        <f>IF('3a Raw'!I1084="","",MAX(-3,MIN(3,('3a Raw'!I1084-$N3)/$N4)))</f>
        <v/>
      </c>
      <c r="O1084" s="3">
        <f>IF(N1084="","",(N1084-AVERAGE(N6:N1198))/(STDEV(N6:N1198)+1E-12))</f>
        <v/>
      </c>
      <c r="P1084" s="3">
        <f>IF('3a Raw'!J1084="","",MAX(-3,MIN(3,('3a Raw'!J1084-$P3)/$P4)))</f>
        <v/>
      </c>
      <c r="Q1084" s="3">
        <f>IF(P1084="","",(P1084-AVERAGE(P6:P1198))/(STDEV(P6:P1198)+1E-12))</f>
        <v/>
      </c>
      <c r="R1084" s="3">
        <f>IF('3a Raw'!K1084="","",MAX(-3,MIN(3,('3a Raw'!K1084-$R3)/$R4)))</f>
        <v/>
      </c>
      <c r="S1084" s="3">
        <f>IF(R1084="","",(R1084-AVERAGE(R6:R1198))/(STDEV(R6:R1198)+1E-12))</f>
        <v/>
      </c>
      <c r="T1084" s="3">
        <f>IF('3a Raw'!L1084="","",MAX(-3,MIN(3,('3a Raw'!L1084-$T3)/$T4)))</f>
        <v/>
      </c>
      <c r="U1084" s="3">
        <f>IF(T1084="","",(T1084-AVERAGE(T6:T1198))/(STDEV(T6:T1198)+1E-12))</f>
        <v/>
      </c>
      <c r="X1084" s="3">
        <f>IF(U1084="","",U1084-($V$3*G1084+$W$3))</f>
        <v/>
      </c>
      <c r="Y1084" s="3">
        <f>IF(X1084="","",MAX(-3,MIN(3,(X1084-$X3)/$X4)))</f>
        <v/>
      </c>
      <c r="Z1084" s="3">
        <f>IF(Y1084="","",(Y1084-AVERAGE(Y6:Y1198))/(STDEV(Y6:Y1198)+1E-12))</f>
        <v/>
      </c>
    </row>
    <row r="1085">
      <c r="A1085" t="inlineStr">
        <is>
          <t>BBG002B04MT8</t>
        </is>
      </c>
      <c r="B1085" s="3">
        <f>IF('3a Raw'!C1085="","",MAX(-3,MIN(3,('3a Raw'!C1085-$B3)/$B4)))</f>
        <v/>
      </c>
      <c r="C1085" s="3">
        <f>IF(B1085="","",(B1085-AVERAGE(B6:B1198))/(STDEV(B6:B1198)+1E-12))</f>
        <v/>
      </c>
      <c r="D1085" s="3">
        <f>IF('3a Raw'!D1085="","",MAX(-3,MIN(3,('3a Raw'!D1085-$D3)/$D4)))</f>
        <v/>
      </c>
      <c r="E1085" s="3">
        <f>IF(D1085="","",(D1085-AVERAGE(D6:D1198))/(STDEV(D6:D1198)+1E-12))</f>
        <v/>
      </c>
      <c r="F1085" s="3">
        <f>IF('3a Raw'!E1085="","",MAX(-3,MIN(3,('3a Raw'!E1085-$F3)/$F4)))</f>
        <v/>
      </c>
      <c r="G1085" s="3">
        <f>IF(F1085="","",(F1085-AVERAGE(F6:F1198))/(STDEV(F6:F1198)+1E-12))</f>
        <v/>
      </c>
      <c r="H1085" s="3">
        <f>IF('3a Raw'!F1085="","",MAX(-3,MIN(3,('3a Raw'!F1085-$H3)/$H4)))</f>
        <v/>
      </c>
      <c r="I1085" s="3">
        <f>IF(H1085="","",(H1085-AVERAGE(H6:H1198))/(STDEV(H6:H1198)+1E-12))</f>
        <v/>
      </c>
      <c r="J1085" s="3">
        <f>IF('3a Raw'!G1085="","",MAX(-3,MIN(3,('3a Raw'!G1085-$J3)/$J4)))</f>
        <v/>
      </c>
      <c r="K1085" s="3">
        <f>IF(J1085="","",(J1085-AVERAGE(J6:J1198))/(STDEV(J6:J1198)+1E-12))</f>
        <v/>
      </c>
      <c r="L1085" s="3">
        <f>IF('3a Raw'!H1085="","",MAX(-3,MIN(3,('3a Raw'!H1085-$L3)/$L4)))</f>
        <v/>
      </c>
      <c r="M1085" s="3">
        <f>IF(L1085="","",(L1085-AVERAGE(L6:L1198))/(STDEV(L6:L1198)+1E-12))</f>
        <v/>
      </c>
      <c r="N1085" s="3">
        <f>IF('3a Raw'!I1085="","",MAX(-3,MIN(3,('3a Raw'!I1085-$N3)/$N4)))</f>
        <v/>
      </c>
      <c r="O1085" s="3">
        <f>IF(N1085="","",(N1085-AVERAGE(N6:N1198))/(STDEV(N6:N1198)+1E-12))</f>
        <v/>
      </c>
      <c r="P1085" s="3">
        <f>IF('3a Raw'!J1085="","",MAX(-3,MIN(3,('3a Raw'!J1085-$P3)/$P4)))</f>
        <v/>
      </c>
      <c r="Q1085" s="3">
        <f>IF(P1085="","",(P1085-AVERAGE(P6:P1198))/(STDEV(P6:P1198)+1E-12))</f>
        <v/>
      </c>
      <c r="R1085" s="3">
        <f>IF('3a Raw'!K1085="","",MAX(-3,MIN(3,('3a Raw'!K1085-$R3)/$R4)))</f>
        <v/>
      </c>
      <c r="S1085" s="3">
        <f>IF(R1085="","",(R1085-AVERAGE(R6:R1198))/(STDEV(R6:R1198)+1E-12))</f>
        <v/>
      </c>
      <c r="T1085" s="3">
        <f>IF('3a Raw'!L1085="","",MAX(-3,MIN(3,('3a Raw'!L1085-$T3)/$T4)))</f>
        <v/>
      </c>
      <c r="U1085" s="3">
        <f>IF(T1085="","",(T1085-AVERAGE(T6:T1198))/(STDEV(T6:T1198)+1E-12))</f>
        <v/>
      </c>
      <c r="X1085" s="3">
        <f>IF(U1085="","",U1085-($V$3*G1085+$W$3))</f>
        <v/>
      </c>
      <c r="Y1085" s="3">
        <f>IF(X1085="","",MAX(-3,MIN(3,(X1085-$X3)/$X4)))</f>
        <v/>
      </c>
      <c r="Z1085" s="3">
        <f>IF(Y1085="","",(Y1085-AVERAGE(Y6:Y1198))/(STDEV(Y6:Y1198)+1E-12))</f>
        <v/>
      </c>
    </row>
    <row r="1086">
      <c r="A1086" t="inlineStr">
        <is>
          <t>BBG000BL7GB5</t>
        </is>
      </c>
      <c r="B1086" s="3">
        <f>IF('3a Raw'!C1086="","",MAX(-3,MIN(3,('3a Raw'!C1086-$B3)/$B4)))</f>
        <v/>
      </c>
      <c r="C1086" s="3">
        <f>IF(B1086="","",(B1086-AVERAGE(B6:B1198))/(STDEV(B6:B1198)+1E-12))</f>
        <v/>
      </c>
      <c r="D1086" s="3">
        <f>IF('3a Raw'!D1086="","",MAX(-3,MIN(3,('3a Raw'!D1086-$D3)/$D4)))</f>
        <v/>
      </c>
      <c r="E1086" s="3">
        <f>IF(D1086="","",(D1086-AVERAGE(D6:D1198))/(STDEV(D6:D1198)+1E-12))</f>
        <v/>
      </c>
      <c r="F1086" s="3">
        <f>IF('3a Raw'!E1086="","",MAX(-3,MIN(3,('3a Raw'!E1086-$F3)/$F4)))</f>
        <v/>
      </c>
      <c r="G1086" s="3">
        <f>IF(F1086="","",(F1086-AVERAGE(F6:F1198))/(STDEV(F6:F1198)+1E-12))</f>
        <v/>
      </c>
      <c r="H1086" s="3">
        <f>IF('3a Raw'!F1086="","",MAX(-3,MIN(3,('3a Raw'!F1086-$H3)/$H4)))</f>
        <v/>
      </c>
      <c r="I1086" s="3">
        <f>IF(H1086="","",(H1086-AVERAGE(H6:H1198))/(STDEV(H6:H1198)+1E-12))</f>
        <v/>
      </c>
      <c r="J1086" s="3">
        <f>IF('3a Raw'!G1086="","",MAX(-3,MIN(3,('3a Raw'!G1086-$J3)/$J4)))</f>
        <v/>
      </c>
      <c r="K1086" s="3">
        <f>IF(J1086="","",(J1086-AVERAGE(J6:J1198))/(STDEV(J6:J1198)+1E-12))</f>
        <v/>
      </c>
      <c r="L1086" s="3">
        <f>IF('3a Raw'!H1086="","",MAX(-3,MIN(3,('3a Raw'!H1086-$L3)/$L4)))</f>
        <v/>
      </c>
      <c r="M1086" s="3">
        <f>IF(L1086="","",(L1086-AVERAGE(L6:L1198))/(STDEV(L6:L1198)+1E-12))</f>
        <v/>
      </c>
      <c r="N1086" s="3">
        <f>IF('3a Raw'!I1086="","",MAX(-3,MIN(3,('3a Raw'!I1086-$N3)/$N4)))</f>
        <v/>
      </c>
      <c r="O1086" s="3">
        <f>IF(N1086="","",(N1086-AVERAGE(N6:N1198))/(STDEV(N6:N1198)+1E-12))</f>
        <v/>
      </c>
      <c r="P1086" s="3">
        <f>IF('3a Raw'!J1086="","",MAX(-3,MIN(3,('3a Raw'!J1086-$P3)/$P4)))</f>
        <v/>
      </c>
      <c r="Q1086" s="3">
        <f>IF(P1086="","",(P1086-AVERAGE(P6:P1198))/(STDEV(P6:P1198)+1E-12))</f>
        <v/>
      </c>
      <c r="R1086" s="3">
        <f>IF('3a Raw'!K1086="","",MAX(-3,MIN(3,('3a Raw'!K1086-$R3)/$R4)))</f>
        <v/>
      </c>
      <c r="S1086" s="3">
        <f>IF(R1086="","",(R1086-AVERAGE(R6:R1198))/(STDEV(R6:R1198)+1E-12))</f>
        <v/>
      </c>
      <c r="T1086" s="3">
        <f>IF('3a Raw'!L1086="","",MAX(-3,MIN(3,('3a Raw'!L1086-$T3)/$T4)))</f>
        <v/>
      </c>
      <c r="U1086" s="3">
        <f>IF(T1086="","",(T1086-AVERAGE(T6:T1198))/(STDEV(T6:T1198)+1E-12))</f>
        <v/>
      </c>
      <c r="X1086" s="3">
        <f>IF(U1086="","",U1086-($V$3*G1086+$W$3))</f>
        <v/>
      </c>
      <c r="Y1086" s="3">
        <f>IF(X1086="","",MAX(-3,MIN(3,(X1086-$X3)/$X4)))</f>
        <v/>
      </c>
      <c r="Z1086" s="3">
        <f>IF(Y1086="","",(Y1086-AVERAGE(Y6:Y1198))/(STDEV(Y6:Y1198)+1E-12))</f>
        <v/>
      </c>
    </row>
    <row r="1087">
      <c r="A1087" t="inlineStr">
        <is>
          <t>BBG000HSLV70</t>
        </is>
      </c>
      <c r="B1087" s="3">
        <f>IF('3a Raw'!C1087="","",MAX(-3,MIN(3,('3a Raw'!C1087-$B3)/$B4)))</f>
        <v/>
      </c>
      <c r="C1087" s="3">
        <f>IF(B1087="","",(B1087-AVERAGE(B6:B1198))/(STDEV(B6:B1198)+1E-12))</f>
        <v/>
      </c>
      <c r="D1087" s="3">
        <f>IF('3a Raw'!D1087="","",MAX(-3,MIN(3,('3a Raw'!D1087-$D3)/$D4)))</f>
        <v/>
      </c>
      <c r="E1087" s="3">
        <f>IF(D1087="","",(D1087-AVERAGE(D6:D1198))/(STDEV(D6:D1198)+1E-12))</f>
        <v/>
      </c>
      <c r="F1087" s="3">
        <f>IF('3a Raw'!E1087="","",MAX(-3,MIN(3,('3a Raw'!E1087-$F3)/$F4)))</f>
        <v/>
      </c>
      <c r="G1087" s="3">
        <f>IF(F1087="","",(F1087-AVERAGE(F6:F1198))/(STDEV(F6:F1198)+1E-12))</f>
        <v/>
      </c>
      <c r="H1087" s="3">
        <f>IF('3a Raw'!F1087="","",MAX(-3,MIN(3,('3a Raw'!F1087-$H3)/$H4)))</f>
        <v/>
      </c>
      <c r="I1087" s="3">
        <f>IF(H1087="","",(H1087-AVERAGE(H6:H1198))/(STDEV(H6:H1198)+1E-12))</f>
        <v/>
      </c>
      <c r="J1087" s="3">
        <f>IF('3a Raw'!G1087="","",MAX(-3,MIN(3,('3a Raw'!G1087-$J3)/$J4)))</f>
        <v/>
      </c>
      <c r="K1087" s="3">
        <f>IF(J1087="","",(J1087-AVERAGE(J6:J1198))/(STDEV(J6:J1198)+1E-12))</f>
        <v/>
      </c>
      <c r="L1087" s="3">
        <f>IF('3a Raw'!H1087="","",MAX(-3,MIN(3,('3a Raw'!H1087-$L3)/$L4)))</f>
        <v/>
      </c>
      <c r="M1087" s="3">
        <f>IF(L1087="","",(L1087-AVERAGE(L6:L1198))/(STDEV(L6:L1198)+1E-12))</f>
        <v/>
      </c>
      <c r="N1087" s="3">
        <f>IF('3a Raw'!I1087="","",MAX(-3,MIN(3,('3a Raw'!I1087-$N3)/$N4)))</f>
        <v/>
      </c>
      <c r="O1087" s="3">
        <f>IF(N1087="","",(N1087-AVERAGE(N6:N1198))/(STDEV(N6:N1198)+1E-12))</f>
        <v/>
      </c>
      <c r="P1087" s="3">
        <f>IF('3a Raw'!J1087="","",MAX(-3,MIN(3,('3a Raw'!J1087-$P3)/$P4)))</f>
        <v/>
      </c>
      <c r="Q1087" s="3">
        <f>IF(P1087="","",(P1087-AVERAGE(P6:P1198))/(STDEV(P6:P1198)+1E-12))</f>
        <v/>
      </c>
      <c r="R1087" s="3">
        <f>IF('3a Raw'!K1087="","",MAX(-3,MIN(3,('3a Raw'!K1087-$R3)/$R4)))</f>
        <v/>
      </c>
      <c r="S1087" s="3">
        <f>IF(R1087="","",(R1087-AVERAGE(R6:R1198))/(STDEV(R6:R1198)+1E-12))</f>
        <v/>
      </c>
      <c r="T1087" s="3">
        <f>IF('3a Raw'!L1087="","",MAX(-3,MIN(3,('3a Raw'!L1087-$T3)/$T4)))</f>
        <v/>
      </c>
      <c r="U1087" s="3">
        <f>IF(T1087="","",(T1087-AVERAGE(T6:T1198))/(STDEV(T6:T1198)+1E-12))</f>
        <v/>
      </c>
      <c r="X1087" s="3">
        <f>IF(U1087="","",U1087-($V$3*G1087+$W$3))</f>
        <v/>
      </c>
      <c r="Y1087" s="3">
        <f>IF(X1087="","",MAX(-3,MIN(3,(X1087-$X3)/$X4)))</f>
        <v/>
      </c>
      <c r="Z1087" s="3">
        <f>IF(Y1087="","",(Y1087-AVERAGE(Y6:Y1198))/(STDEV(Y6:Y1198)+1E-12))</f>
        <v/>
      </c>
    </row>
    <row r="1088">
      <c r="A1088" t="inlineStr">
        <is>
          <t>BBG000C41023</t>
        </is>
      </c>
      <c r="B1088" s="3">
        <f>IF('3a Raw'!C1088="","",MAX(-3,MIN(3,('3a Raw'!C1088-$B3)/$B4)))</f>
        <v/>
      </c>
      <c r="C1088" s="3">
        <f>IF(B1088="","",(B1088-AVERAGE(B6:B1198))/(STDEV(B6:B1198)+1E-12))</f>
        <v/>
      </c>
      <c r="D1088" s="3">
        <f>IF('3a Raw'!D1088="","",MAX(-3,MIN(3,('3a Raw'!D1088-$D3)/$D4)))</f>
        <v/>
      </c>
      <c r="E1088" s="3">
        <f>IF(D1088="","",(D1088-AVERAGE(D6:D1198))/(STDEV(D6:D1198)+1E-12))</f>
        <v/>
      </c>
      <c r="F1088" s="3">
        <f>IF('3a Raw'!E1088="","",MAX(-3,MIN(3,('3a Raw'!E1088-$F3)/$F4)))</f>
        <v/>
      </c>
      <c r="G1088" s="3">
        <f>IF(F1088="","",(F1088-AVERAGE(F6:F1198))/(STDEV(F6:F1198)+1E-12))</f>
        <v/>
      </c>
      <c r="H1088" s="3">
        <f>IF('3a Raw'!F1088="","",MAX(-3,MIN(3,('3a Raw'!F1088-$H3)/$H4)))</f>
        <v/>
      </c>
      <c r="I1088" s="3">
        <f>IF(H1088="","",(H1088-AVERAGE(H6:H1198))/(STDEV(H6:H1198)+1E-12))</f>
        <v/>
      </c>
      <c r="J1088" s="3">
        <f>IF('3a Raw'!G1088="","",MAX(-3,MIN(3,('3a Raw'!G1088-$J3)/$J4)))</f>
        <v/>
      </c>
      <c r="K1088" s="3">
        <f>IF(J1088="","",(J1088-AVERAGE(J6:J1198))/(STDEV(J6:J1198)+1E-12))</f>
        <v/>
      </c>
      <c r="L1088" s="3">
        <f>IF('3a Raw'!H1088="","",MAX(-3,MIN(3,('3a Raw'!H1088-$L3)/$L4)))</f>
        <v/>
      </c>
      <c r="M1088" s="3">
        <f>IF(L1088="","",(L1088-AVERAGE(L6:L1198))/(STDEV(L6:L1198)+1E-12))</f>
        <v/>
      </c>
      <c r="N1088" s="3">
        <f>IF('3a Raw'!I1088="","",MAX(-3,MIN(3,('3a Raw'!I1088-$N3)/$N4)))</f>
        <v/>
      </c>
      <c r="O1088" s="3">
        <f>IF(N1088="","",(N1088-AVERAGE(N6:N1198))/(STDEV(N6:N1198)+1E-12))</f>
        <v/>
      </c>
      <c r="P1088" s="3">
        <f>IF('3a Raw'!J1088="","",MAX(-3,MIN(3,('3a Raw'!J1088-$P3)/$P4)))</f>
        <v/>
      </c>
      <c r="Q1088" s="3">
        <f>IF(P1088="","",(P1088-AVERAGE(P6:P1198))/(STDEV(P6:P1198)+1E-12))</f>
        <v/>
      </c>
      <c r="R1088" s="3">
        <f>IF('3a Raw'!K1088="","",MAX(-3,MIN(3,('3a Raw'!K1088-$R3)/$R4)))</f>
        <v/>
      </c>
      <c r="S1088" s="3">
        <f>IF(R1088="","",(R1088-AVERAGE(R6:R1198))/(STDEV(R6:R1198)+1E-12))</f>
        <v/>
      </c>
      <c r="T1088" s="3">
        <f>IF('3a Raw'!L1088="","",MAX(-3,MIN(3,('3a Raw'!L1088-$T3)/$T4)))</f>
        <v/>
      </c>
      <c r="U1088" s="3">
        <f>IF(T1088="","",(T1088-AVERAGE(T6:T1198))/(STDEV(T6:T1198)+1E-12))</f>
        <v/>
      </c>
      <c r="X1088" s="3">
        <f>IF(U1088="","",U1088-($V$3*G1088+$W$3))</f>
        <v/>
      </c>
      <c r="Y1088" s="3">
        <f>IF(X1088="","",MAX(-3,MIN(3,(X1088-$X3)/$X4)))</f>
        <v/>
      </c>
      <c r="Z1088" s="3">
        <f>IF(Y1088="","",(Y1088-AVERAGE(Y6:Y1198))/(STDEV(Y6:Y1198)+1E-12))</f>
        <v/>
      </c>
    </row>
    <row r="1089">
      <c r="A1089" t="inlineStr">
        <is>
          <t>BBG000LCK3Q2</t>
        </is>
      </c>
      <c r="B1089" s="3">
        <f>IF('3a Raw'!C1089="","",MAX(-3,MIN(3,('3a Raw'!C1089-$B3)/$B4)))</f>
        <v/>
      </c>
      <c r="C1089" s="3">
        <f>IF(B1089="","",(B1089-AVERAGE(B6:B1198))/(STDEV(B6:B1198)+1E-12))</f>
        <v/>
      </c>
      <c r="D1089" s="3">
        <f>IF('3a Raw'!D1089="","",MAX(-3,MIN(3,('3a Raw'!D1089-$D3)/$D4)))</f>
        <v/>
      </c>
      <c r="E1089" s="3">
        <f>IF(D1089="","",(D1089-AVERAGE(D6:D1198))/(STDEV(D6:D1198)+1E-12))</f>
        <v/>
      </c>
      <c r="F1089" s="3">
        <f>IF('3a Raw'!E1089="","",MAX(-3,MIN(3,('3a Raw'!E1089-$F3)/$F4)))</f>
        <v/>
      </c>
      <c r="G1089" s="3">
        <f>IF(F1089="","",(F1089-AVERAGE(F6:F1198))/(STDEV(F6:F1198)+1E-12))</f>
        <v/>
      </c>
      <c r="H1089" s="3">
        <f>IF('3a Raw'!F1089="","",MAX(-3,MIN(3,('3a Raw'!F1089-$H3)/$H4)))</f>
        <v/>
      </c>
      <c r="I1089" s="3">
        <f>IF(H1089="","",(H1089-AVERAGE(H6:H1198))/(STDEV(H6:H1198)+1E-12))</f>
        <v/>
      </c>
      <c r="J1089" s="3">
        <f>IF('3a Raw'!G1089="","",MAX(-3,MIN(3,('3a Raw'!G1089-$J3)/$J4)))</f>
        <v/>
      </c>
      <c r="K1089" s="3">
        <f>IF(J1089="","",(J1089-AVERAGE(J6:J1198))/(STDEV(J6:J1198)+1E-12))</f>
        <v/>
      </c>
      <c r="L1089" s="3">
        <f>IF('3a Raw'!H1089="","",MAX(-3,MIN(3,('3a Raw'!H1089-$L3)/$L4)))</f>
        <v/>
      </c>
      <c r="M1089" s="3">
        <f>IF(L1089="","",(L1089-AVERAGE(L6:L1198))/(STDEV(L6:L1198)+1E-12))</f>
        <v/>
      </c>
      <c r="N1089" s="3">
        <f>IF('3a Raw'!I1089="","",MAX(-3,MIN(3,('3a Raw'!I1089-$N3)/$N4)))</f>
        <v/>
      </c>
      <c r="O1089" s="3">
        <f>IF(N1089="","",(N1089-AVERAGE(N6:N1198))/(STDEV(N6:N1198)+1E-12))</f>
        <v/>
      </c>
      <c r="P1089" s="3">
        <f>IF('3a Raw'!J1089="","",MAX(-3,MIN(3,('3a Raw'!J1089-$P3)/$P4)))</f>
        <v/>
      </c>
      <c r="Q1089" s="3">
        <f>IF(P1089="","",(P1089-AVERAGE(P6:P1198))/(STDEV(P6:P1198)+1E-12))</f>
        <v/>
      </c>
      <c r="R1089" s="3">
        <f>IF('3a Raw'!K1089="","",MAX(-3,MIN(3,('3a Raw'!K1089-$R3)/$R4)))</f>
        <v/>
      </c>
      <c r="S1089" s="3">
        <f>IF(R1089="","",(R1089-AVERAGE(R6:R1198))/(STDEV(R6:R1198)+1E-12))</f>
        <v/>
      </c>
      <c r="T1089" s="3">
        <f>IF('3a Raw'!L1089="","",MAX(-3,MIN(3,('3a Raw'!L1089-$T3)/$T4)))</f>
        <v/>
      </c>
      <c r="U1089" s="3">
        <f>IF(T1089="","",(T1089-AVERAGE(T6:T1198))/(STDEV(T6:T1198)+1E-12))</f>
        <v/>
      </c>
      <c r="X1089" s="3">
        <f>IF(U1089="","",U1089-($V$3*G1089+$W$3))</f>
        <v/>
      </c>
      <c r="Y1089" s="3">
        <f>IF(X1089="","",MAX(-3,MIN(3,(X1089-$X3)/$X4)))</f>
        <v/>
      </c>
      <c r="Z1089" s="3">
        <f>IF(Y1089="","",(Y1089-AVERAGE(Y6:Y1198))/(STDEV(Y6:Y1198)+1E-12))</f>
        <v/>
      </c>
    </row>
    <row r="1090">
      <c r="A1090" t="inlineStr">
        <is>
          <t>BBG000BVYN55</t>
        </is>
      </c>
      <c r="B1090" s="3">
        <f>IF('3a Raw'!C1090="","",MAX(-3,MIN(3,('3a Raw'!C1090-$B3)/$B4)))</f>
        <v/>
      </c>
      <c r="C1090" s="3">
        <f>IF(B1090="","",(B1090-AVERAGE(B6:B1198))/(STDEV(B6:B1198)+1E-12))</f>
        <v/>
      </c>
      <c r="D1090" s="3">
        <f>IF('3a Raw'!D1090="","",MAX(-3,MIN(3,('3a Raw'!D1090-$D3)/$D4)))</f>
        <v/>
      </c>
      <c r="E1090" s="3">
        <f>IF(D1090="","",(D1090-AVERAGE(D6:D1198))/(STDEV(D6:D1198)+1E-12))</f>
        <v/>
      </c>
      <c r="F1090" s="3">
        <f>IF('3a Raw'!E1090="","",MAX(-3,MIN(3,('3a Raw'!E1090-$F3)/$F4)))</f>
        <v/>
      </c>
      <c r="G1090" s="3">
        <f>IF(F1090="","",(F1090-AVERAGE(F6:F1198))/(STDEV(F6:F1198)+1E-12))</f>
        <v/>
      </c>
      <c r="H1090" s="3">
        <f>IF('3a Raw'!F1090="","",MAX(-3,MIN(3,('3a Raw'!F1090-$H3)/$H4)))</f>
        <v/>
      </c>
      <c r="I1090" s="3">
        <f>IF(H1090="","",(H1090-AVERAGE(H6:H1198))/(STDEV(H6:H1198)+1E-12))</f>
        <v/>
      </c>
      <c r="J1090" s="3">
        <f>IF('3a Raw'!G1090="","",MAX(-3,MIN(3,('3a Raw'!G1090-$J3)/$J4)))</f>
        <v/>
      </c>
      <c r="K1090" s="3">
        <f>IF(J1090="","",(J1090-AVERAGE(J6:J1198))/(STDEV(J6:J1198)+1E-12))</f>
        <v/>
      </c>
      <c r="L1090" s="3">
        <f>IF('3a Raw'!H1090="","",MAX(-3,MIN(3,('3a Raw'!H1090-$L3)/$L4)))</f>
        <v/>
      </c>
      <c r="M1090" s="3">
        <f>IF(L1090="","",(L1090-AVERAGE(L6:L1198))/(STDEV(L6:L1198)+1E-12))</f>
        <v/>
      </c>
      <c r="N1090" s="3">
        <f>IF('3a Raw'!I1090="","",MAX(-3,MIN(3,('3a Raw'!I1090-$N3)/$N4)))</f>
        <v/>
      </c>
      <c r="O1090" s="3">
        <f>IF(N1090="","",(N1090-AVERAGE(N6:N1198))/(STDEV(N6:N1198)+1E-12))</f>
        <v/>
      </c>
      <c r="P1090" s="3">
        <f>IF('3a Raw'!J1090="","",MAX(-3,MIN(3,('3a Raw'!J1090-$P3)/$P4)))</f>
        <v/>
      </c>
      <c r="Q1090" s="3">
        <f>IF(P1090="","",(P1090-AVERAGE(P6:P1198))/(STDEV(P6:P1198)+1E-12))</f>
        <v/>
      </c>
      <c r="R1090" s="3">
        <f>IF('3a Raw'!K1090="","",MAX(-3,MIN(3,('3a Raw'!K1090-$R3)/$R4)))</f>
        <v/>
      </c>
      <c r="S1090" s="3">
        <f>IF(R1090="","",(R1090-AVERAGE(R6:R1198))/(STDEV(R6:R1198)+1E-12))</f>
        <v/>
      </c>
      <c r="T1090" s="3">
        <f>IF('3a Raw'!L1090="","",MAX(-3,MIN(3,('3a Raw'!L1090-$T3)/$T4)))</f>
        <v/>
      </c>
      <c r="U1090" s="3">
        <f>IF(T1090="","",(T1090-AVERAGE(T6:T1198))/(STDEV(T6:T1198)+1E-12))</f>
        <v/>
      </c>
      <c r="X1090" s="3">
        <f>IF(U1090="","",U1090-($V$3*G1090+$W$3))</f>
        <v/>
      </c>
      <c r="Y1090" s="3">
        <f>IF(X1090="","",MAX(-3,MIN(3,(X1090-$X3)/$X4)))</f>
        <v/>
      </c>
      <c r="Z1090" s="3">
        <f>IF(Y1090="","",(Y1090-AVERAGE(Y6:Y1198))/(STDEV(Y6:Y1198)+1E-12))</f>
        <v/>
      </c>
    </row>
    <row r="1091">
      <c r="A1091" t="inlineStr">
        <is>
          <t>BBG000BCFXT0</t>
        </is>
      </c>
      <c r="B1091" s="3">
        <f>IF('3a Raw'!C1091="","",MAX(-3,MIN(3,('3a Raw'!C1091-$B3)/$B4)))</f>
        <v/>
      </c>
      <c r="C1091" s="3">
        <f>IF(B1091="","",(B1091-AVERAGE(B6:B1198))/(STDEV(B6:B1198)+1E-12))</f>
        <v/>
      </c>
      <c r="D1091" s="3">
        <f>IF('3a Raw'!D1091="","",MAX(-3,MIN(3,('3a Raw'!D1091-$D3)/$D4)))</f>
        <v/>
      </c>
      <c r="E1091" s="3">
        <f>IF(D1091="","",(D1091-AVERAGE(D6:D1198))/(STDEV(D6:D1198)+1E-12))</f>
        <v/>
      </c>
      <c r="F1091" s="3">
        <f>IF('3a Raw'!E1091="","",MAX(-3,MIN(3,('3a Raw'!E1091-$F3)/$F4)))</f>
        <v/>
      </c>
      <c r="G1091" s="3">
        <f>IF(F1091="","",(F1091-AVERAGE(F6:F1198))/(STDEV(F6:F1198)+1E-12))</f>
        <v/>
      </c>
      <c r="H1091" s="3">
        <f>IF('3a Raw'!F1091="","",MAX(-3,MIN(3,('3a Raw'!F1091-$H3)/$H4)))</f>
        <v/>
      </c>
      <c r="I1091" s="3">
        <f>IF(H1091="","",(H1091-AVERAGE(H6:H1198))/(STDEV(H6:H1198)+1E-12))</f>
        <v/>
      </c>
      <c r="J1091" s="3">
        <f>IF('3a Raw'!G1091="","",MAX(-3,MIN(3,('3a Raw'!G1091-$J3)/$J4)))</f>
        <v/>
      </c>
      <c r="K1091" s="3">
        <f>IF(J1091="","",(J1091-AVERAGE(J6:J1198))/(STDEV(J6:J1198)+1E-12))</f>
        <v/>
      </c>
      <c r="L1091" s="3">
        <f>IF('3a Raw'!H1091="","",MAX(-3,MIN(3,('3a Raw'!H1091-$L3)/$L4)))</f>
        <v/>
      </c>
      <c r="M1091" s="3">
        <f>IF(L1091="","",(L1091-AVERAGE(L6:L1198))/(STDEV(L6:L1198)+1E-12))</f>
        <v/>
      </c>
      <c r="N1091" s="3">
        <f>IF('3a Raw'!I1091="","",MAX(-3,MIN(3,('3a Raw'!I1091-$N3)/$N4)))</f>
        <v/>
      </c>
      <c r="O1091" s="3">
        <f>IF(N1091="","",(N1091-AVERAGE(N6:N1198))/(STDEV(N6:N1198)+1E-12))</f>
        <v/>
      </c>
      <c r="P1091" s="3">
        <f>IF('3a Raw'!J1091="","",MAX(-3,MIN(3,('3a Raw'!J1091-$P3)/$P4)))</f>
        <v/>
      </c>
      <c r="Q1091" s="3">
        <f>IF(P1091="","",(P1091-AVERAGE(P6:P1198))/(STDEV(P6:P1198)+1E-12))</f>
        <v/>
      </c>
      <c r="R1091" s="3">
        <f>IF('3a Raw'!K1091="","",MAX(-3,MIN(3,('3a Raw'!K1091-$R3)/$R4)))</f>
        <v/>
      </c>
      <c r="S1091" s="3">
        <f>IF(R1091="","",(R1091-AVERAGE(R6:R1198))/(STDEV(R6:R1198)+1E-12))</f>
        <v/>
      </c>
      <c r="T1091" s="3">
        <f>IF('3a Raw'!L1091="","",MAX(-3,MIN(3,('3a Raw'!L1091-$T3)/$T4)))</f>
        <v/>
      </c>
      <c r="U1091" s="3">
        <f>IF(T1091="","",(T1091-AVERAGE(T6:T1198))/(STDEV(T6:T1198)+1E-12))</f>
        <v/>
      </c>
      <c r="X1091" s="3">
        <f>IF(U1091="","",U1091-($V$3*G1091+$W$3))</f>
        <v/>
      </c>
      <c r="Y1091" s="3">
        <f>IF(X1091="","",MAX(-3,MIN(3,(X1091-$X3)/$X4)))</f>
        <v/>
      </c>
      <c r="Z1091" s="3">
        <f>IF(Y1091="","",(Y1091-AVERAGE(Y6:Y1198))/(STDEV(Y6:Y1198)+1E-12))</f>
        <v/>
      </c>
    </row>
    <row r="1092">
      <c r="A1092" t="inlineStr">
        <is>
          <t>BBG000CB8Q50</t>
        </is>
      </c>
      <c r="B1092" s="3">
        <f>IF('3a Raw'!C1092="","",MAX(-3,MIN(3,('3a Raw'!C1092-$B3)/$B4)))</f>
        <v/>
      </c>
      <c r="C1092" s="3">
        <f>IF(B1092="","",(B1092-AVERAGE(B6:B1198))/(STDEV(B6:B1198)+1E-12))</f>
        <v/>
      </c>
      <c r="D1092" s="3">
        <f>IF('3a Raw'!D1092="","",MAX(-3,MIN(3,('3a Raw'!D1092-$D3)/$D4)))</f>
        <v/>
      </c>
      <c r="E1092" s="3">
        <f>IF(D1092="","",(D1092-AVERAGE(D6:D1198))/(STDEV(D6:D1198)+1E-12))</f>
        <v/>
      </c>
      <c r="F1092" s="3">
        <f>IF('3a Raw'!E1092="","",MAX(-3,MIN(3,('3a Raw'!E1092-$F3)/$F4)))</f>
        <v/>
      </c>
      <c r="G1092" s="3">
        <f>IF(F1092="","",(F1092-AVERAGE(F6:F1198))/(STDEV(F6:F1198)+1E-12))</f>
        <v/>
      </c>
      <c r="H1092" s="3">
        <f>IF('3a Raw'!F1092="","",MAX(-3,MIN(3,('3a Raw'!F1092-$H3)/$H4)))</f>
        <v/>
      </c>
      <c r="I1092" s="3">
        <f>IF(H1092="","",(H1092-AVERAGE(H6:H1198))/(STDEV(H6:H1198)+1E-12))</f>
        <v/>
      </c>
      <c r="J1092" s="3">
        <f>IF('3a Raw'!G1092="","",MAX(-3,MIN(3,('3a Raw'!G1092-$J3)/$J4)))</f>
        <v/>
      </c>
      <c r="K1092" s="3">
        <f>IF(J1092="","",(J1092-AVERAGE(J6:J1198))/(STDEV(J6:J1198)+1E-12))</f>
        <v/>
      </c>
      <c r="L1092" s="3">
        <f>IF('3a Raw'!H1092="","",MAX(-3,MIN(3,('3a Raw'!H1092-$L3)/$L4)))</f>
        <v/>
      </c>
      <c r="M1092" s="3">
        <f>IF(L1092="","",(L1092-AVERAGE(L6:L1198))/(STDEV(L6:L1198)+1E-12))</f>
        <v/>
      </c>
      <c r="N1092" s="3">
        <f>IF('3a Raw'!I1092="","",MAX(-3,MIN(3,('3a Raw'!I1092-$N3)/$N4)))</f>
        <v/>
      </c>
      <c r="O1092" s="3">
        <f>IF(N1092="","",(N1092-AVERAGE(N6:N1198))/(STDEV(N6:N1198)+1E-12))</f>
        <v/>
      </c>
      <c r="P1092" s="3">
        <f>IF('3a Raw'!J1092="","",MAX(-3,MIN(3,('3a Raw'!J1092-$P3)/$P4)))</f>
        <v/>
      </c>
      <c r="Q1092" s="3">
        <f>IF(P1092="","",(P1092-AVERAGE(P6:P1198))/(STDEV(P6:P1198)+1E-12))</f>
        <v/>
      </c>
      <c r="R1092" s="3">
        <f>IF('3a Raw'!K1092="","",MAX(-3,MIN(3,('3a Raw'!K1092-$R3)/$R4)))</f>
        <v/>
      </c>
      <c r="S1092" s="3">
        <f>IF(R1092="","",(R1092-AVERAGE(R6:R1198))/(STDEV(R6:R1198)+1E-12))</f>
        <v/>
      </c>
      <c r="T1092" s="3">
        <f>IF('3a Raw'!L1092="","",MAX(-3,MIN(3,('3a Raw'!L1092-$T3)/$T4)))</f>
        <v/>
      </c>
      <c r="U1092" s="3">
        <f>IF(T1092="","",(T1092-AVERAGE(T6:T1198))/(STDEV(T6:T1198)+1E-12))</f>
        <v/>
      </c>
      <c r="X1092" s="3">
        <f>IF(U1092="","",U1092-($V$3*G1092+$W$3))</f>
        <v/>
      </c>
      <c r="Y1092" s="3">
        <f>IF(X1092="","",MAX(-3,MIN(3,(X1092-$X3)/$X4)))</f>
        <v/>
      </c>
      <c r="Z1092" s="3">
        <f>IF(Y1092="","",(Y1092-AVERAGE(Y6:Y1198))/(STDEV(Y6:Y1198)+1E-12))</f>
        <v/>
      </c>
    </row>
    <row r="1093">
      <c r="A1093" t="inlineStr">
        <is>
          <t>BBG007N72M93</t>
        </is>
      </c>
      <c r="B1093" s="3">
        <f>IF('3a Raw'!C1093="","",MAX(-3,MIN(3,('3a Raw'!C1093-$B3)/$B4)))</f>
        <v/>
      </c>
      <c r="C1093" s="3">
        <f>IF(B1093="","",(B1093-AVERAGE(B6:B1198))/(STDEV(B6:B1198)+1E-12))</f>
        <v/>
      </c>
      <c r="D1093" s="3">
        <f>IF('3a Raw'!D1093="","",MAX(-3,MIN(3,('3a Raw'!D1093-$D3)/$D4)))</f>
        <v/>
      </c>
      <c r="E1093" s="3">
        <f>IF(D1093="","",(D1093-AVERAGE(D6:D1198))/(STDEV(D6:D1198)+1E-12))</f>
        <v/>
      </c>
      <c r="F1093" s="3">
        <f>IF('3a Raw'!E1093="","",MAX(-3,MIN(3,('3a Raw'!E1093-$F3)/$F4)))</f>
        <v/>
      </c>
      <c r="G1093" s="3">
        <f>IF(F1093="","",(F1093-AVERAGE(F6:F1198))/(STDEV(F6:F1198)+1E-12))</f>
        <v/>
      </c>
      <c r="H1093" s="3">
        <f>IF('3a Raw'!F1093="","",MAX(-3,MIN(3,('3a Raw'!F1093-$H3)/$H4)))</f>
        <v/>
      </c>
      <c r="I1093" s="3">
        <f>IF(H1093="","",(H1093-AVERAGE(H6:H1198))/(STDEV(H6:H1198)+1E-12))</f>
        <v/>
      </c>
      <c r="J1093" s="3">
        <f>IF('3a Raw'!G1093="","",MAX(-3,MIN(3,('3a Raw'!G1093-$J3)/$J4)))</f>
        <v/>
      </c>
      <c r="K1093" s="3">
        <f>IF(J1093="","",(J1093-AVERAGE(J6:J1198))/(STDEV(J6:J1198)+1E-12))</f>
        <v/>
      </c>
      <c r="L1093" s="3">
        <f>IF('3a Raw'!H1093="","",MAX(-3,MIN(3,('3a Raw'!H1093-$L3)/$L4)))</f>
        <v/>
      </c>
      <c r="M1093" s="3">
        <f>IF(L1093="","",(L1093-AVERAGE(L6:L1198))/(STDEV(L6:L1198)+1E-12))</f>
        <v/>
      </c>
      <c r="N1093" s="3">
        <f>IF('3a Raw'!I1093="","",MAX(-3,MIN(3,('3a Raw'!I1093-$N3)/$N4)))</f>
        <v/>
      </c>
      <c r="O1093" s="3">
        <f>IF(N1093="","",(N1093-AVERAGE(N6:N1198))/(STDEV(N6:N1198)+1E-12))</f>
        <v/>
      </c>
      <c r="P1093" s="3">
        <f>IF('3a Raw'!J1093="","",MAX(-3,MIN(3,('3a Raw'!J1093-$P3)/$P4)))</f>
        <v/>
      </c>
      <c r="Q1093" s="3">
        <f>IF(P1093="","",(P1093-AVERAGE(P6:P1198))/(STDEV(P6:P1198)+1E-12))</f>
        <v/>
      </c>
      <c r="R1093" s="3">
        <f>IF('3a Raw'!K1093="","",MAX(-3,MIN(3,('3a Raw'!K1093-$R3)/$R4)))</f>
        <v/>
      </c>
      <c r="S1093" s="3">
        <f>IF(R1093="","",(R1093-AVERAGE(R6:R1198))/(STDEV(R6:R1198)+1E-12))</f>
        <v/>
      </c>
      <c r="T1093" s="3">
        <f>IF('3a Raw'!L1093="","",MAX(-3,MIN(3,('3a Raw'!L1093-$T3)/$T4)))</f>
        <v/>
      </c>
      <c r="U1093" s="3">
        <f>IF(T1093="","",(T1093-AVERAGE(T6:T1198))/(STDEV(T6:T1198)+1E-12))</f>
        <v/>
      </c>
      <c r="X1093" s="3">
        <f>IF(U1093="","",U1093-($V$3*G1093+$W$3))</f>
        <v/>
      </c>
      <c r="Y1093" s="3">
        <f>IF(X1093="","",MAX(-3,MIN(3,(X1093-$X3)/$X4)))</f>
        <v/>
      </c>
      <c r="Z1093" s="3">
        <f>IF(Y1093="","",(Y1093-AVERAGE(Y6:Y1198))/(STDEV(Y6:Y1198)+1E-12))</f>
        <v/>
      </c>
    </row>
    <row r="1094">
      <c r="A1094" t="inlineStr">
        <is>
          <t>BBG00FWQ4VD6</t>
        </is>
      </c>
      <c r="B1094" s="3">
        <f>IF('3a Raw'!C1094="","",MAX(-3,MIN(3,('3a Raw'!C1094-$B3)/$B4)))</f>
        <v/>
      </c>
      <c r="C1094" s="3">
        <f>IF(B1094="","",(B1094-AVERAGE(B6:B1198))/(STDEV(B6:B1198)+1E-12))</f>
        <v/>
      </c>
      <c r="D1094" s="3">
        <f>IF('3a Raw'!D1094="","",MAX(-3,MIN(3,('3a Raw'!D1094-$D3)/$D4)))</f>
        <v/>
      </c>
      <c r="E1094" s="3">
        <f>IF(D1094="","",(D1094-AVERAGE(D6:D1198))/(STDEV(D6:D1198)+1E-12))</f>
        <v/>
      </c>
      <c r="F1094" s="3">
        <f>IF('3a Raw'!E1094="","",MAX(-3,MIN(3,('3a Raw'!E1094-$F3)/$F4)))</f>
        <v/>
      </c>
      <c r="G1094" s="3">
        <f>IF(F1094="","",(F1094-AVERAGE(F6:F1198))/(STDEV(F6:F1198)+1E-12))</f>
        <v/>
      </c>
      <c r="H1094" s="3">
        <f>IF('3a Raw'!F1094="","",MAX(-3,MIN(3,('3a Raw'!F1094-$H3)/$H4)))</f>
        <v/>
      </c>
      <c r="I1094" s="3">
        <f>IF(H1094="","",(H1094-AVERAGE(H6:H1198))/(STDEV(H6:H1198)+1E-12))</f>
        <v/>
      </c>
      <c r="J1094" s="3">
        <f>IF('3a Raw'!G1094="","",MAX(-3,MIN(3,('3a Raw'!G1094-$J3)/$J4)))</f>
        <v/>
      </c>
      <c r="K1094" s="3">
        <f>IF(J1094="","",(J1094-AVERAGE(J6:J1198))/(STDEV(J6:J1198)+1E-12))</f>
        <v/>
      </c>
      <c r="L1094" s="3">
        <f>IF('3a Raw'!H1094="","",MAX(-3,MIN(3,('3a Raw'!H1094-$L3)/$L4)))</f>
        <v/>
      </c>
      <c r="M1094" s="3">
        <f>IF(L1094="","",(L1094-AVERAGE(L6:L1198))/(STDEV(L6:L1198)+1E-12))</f>
        <v/>
      </c>
      <c r="N1094" s="3">
        <f>IF('3a Raw'!I1094="","",MAX(-3,MIN(3,('3a Raw'!I1094-$N3)/$N4)))</f>
        <v/>
      </c>
      <c r="O1094" s="3">
        <f>IF(N1094="","",(N1094-AVERAGE(N6:N1198))/(STDEV(N6:N1198)+1E-12))</f>
        <v/>
      </c>
      <c r="P1094" s="3">
        <f>IF('3a Raw'!J1094="","",MAX(-3,MIN(3,('3a Raw'!J1094-$P3)/$P4)))</f>
        <v/>
      </c>
      <c r="Q1094" s="3">
        <f>IF(P1094="","",(P1094-AVERAGE(P6:P1198))/(STDEV(P6:P1198)+1E-12))</f>
        <v/>
      </c>
      <c r="R1094" s="3">
        <f>IF('3a Raw'!K1094="","",MAX(-3,MIN(3,('3a Raw'!K1094-$R3)/$R4)))</f>
        <v/>
      </c>
      <c r="S1094" s="3">
        <f>IF(R1094="","",(R1094-AVERAGE(R6:R1198))/(STDEV(R6:R1198)+1E-12))</f>
        <v/>
      </c>
      <c r="T1094" s="3">
        <f>IF('3a Raw'!L1094="","",MAX(-3,MIN(3,('3a Raw'!L1094-$T3)/$T4)))</f>
        <v/>
      </c>
      <c r="U1094" s="3">
        <f>IF(T1094="","",(T1094-AVERAGE(T6:T1198))/(STDEV(T6:T1198)+1E-12))</f>
        <v/>
      </c>
      <c r="X1094" s="3">
        <f>IF(U1094="","",U1094-($V$3*G1094+$W$3))</f>
        <v/>
      </c>
      <c r="Y1094" s="3">
        <f>IF(X1094="","",MAX(-3,MIN(3,(X1094-$X3)/$X4)))</f>
        <v/>
      </c>
      <c r="Z1094" s="3">
        <f>IF(Y1094="","",(Y1094-AVERAGE(Y6:Y1198))/(STDEV(Y6:Y1198)+1E-12))</f>
        <v/>
      </c>
    </row>
    <row r="1095">
      <c r="A1095" t="inlineStr">
        <is>
          <t>BBG000CH5208</t>
        </is>
      </c>
      <c r="B1095" s="3">
        <f>IF('3a Raw'!C1095="","",MAX(-3,MIN(3,('3a Raw'!C1095-$B3)/$B4)))</f>
        <v/>
      </c>
      <c r="C1095" s="3">
        <f>IF(B1095="","",(B1095-AVERAGE(B6:B1198))/(STDEV(B6:B1198)+1E-12))</f>
        <v/>
      </c>
      <c r="D1095" s="3">
        <f>IF('3a Raw'!D1095="","",MAX(-3,MIN(3,('3a Raw'!D1095-$D3)/$D4)))</f>
        <v/>
      </c>
      <c r="E1095" s="3">
        <f>IF(D1095="","",(D1095-AVERAGE(D6:D1198))/(STDEV(D6:D1198)+1E-12))</f>
        <v/>
      </c>
      <c r="F1095" s="3">
        <f>IF('3a Raw'!E1095="","",MAX(-3,MIN(3,('3a Raw'!E1095-$F3)/$F4)))</f>
        <v/>
      </c>
      <c r="G1095" s="3">
        <f>IF(F1095="","",(F1095-AVERAGE(F6:F1198))/(STDEV(F6:F1198)+1E-12))</f>
        <v/>
      </c>
      <c r="H1095" s="3">
        <f>IF('3a Raw'!F1095="","",MAX(-3,MIN(3,('3a Raw'!F1095-$H3)/$H4)))</f>
        <v/>
      </c>
      <c r="I1095" s="3">
        <f>IF(H1095="","",(H1095-AVERAGE(H6:H1198))/(STDEV(H6:H1198)+1E-12))</f>
        <v/>
      </c>
      <c r="J1095" s="3">
        <f>IF('3a Raw'!G1095="","",MAX(-3,MIN(3,('3a Raw'!G1095-$J3)/$J4)))</f>
        <v/>
      </c>
      <c r="K1095" s="3">
        <f>IF(J1095="","",(J1095-AVERAGE(J6:J1198))/(STDEV(J6:J1198)+1E-12))</f>
        <v/>
      </c>
      <c r="L1095" s="3">
        <f>IF('3a Raw'!H1095="","",MAX(-3,MIN(3,('3a Raw'!H1095-$L3)/$L4)))</f>
        <v/>
      </c>
      <c r="M1095" s="3">
        <f>IF(L1095="","",(L1095-AVERAGE(L6:L1198))/(STDEV(L6:L1198)+1E-12))</f>
        <v/>
      </c>
      <c r="N1095" s="3">
        <f>IF('3a Raw'!I1095="","",MAX(-3,MIN(3,('3a Raw'!I1095-$N3)/$N4)))</f>
        <v/>
      </c>
      <c r="O1095" s="3">
        <f>IF(N1095="","",(N1095-AVERAGE(N6:N1198))/(STDEV(N6:N1198)+1E-12))</f>
        <v/>
      </c>
      <c r="P1095" s="3">
        <f>IF('3a Raw'!J1095="","",MAX(-3,MIN(3,('3a Raw'!J1095-$P3)/$P4)))</f>
        <v/>
      </c>
      <c r="Q1095" s="3">
        <f>IF(P1095="","",(P1095-AVERAGE(P6:P1198))/(STDEV(P6:P1198)+1E-12))</f>
        <v/>
      </c>
      <c r="R1095" s="3">
        <f>IF('3a Raw'!K1095="","",MAX(-3,MIN(3,('3a Raw'!K1095-$R3)/$R4)))</f>
        <v/>
      </c>
      <c r="S1095" s="3">
        <f>IF(R1095="","",(R1095-AVERAGE(R6:R1198))/(STDEV(R6:R1198)+1E-12))</f>
        <v/>
      </c>
      <c r="T1095" s="3">
        <f>IF('3a Raw'!L1095="","",MAX(-3,MIN(3,('3a Raw'!L1095-$T3)/$T4)))</f>
        <v/>
      </c>
      <c r="U1095" s="3">
        <f>IF(T1095="","",(T1095-AVERAGE(T6:T1198))/(STDEV(T6:T1198)+1E-12))</f>
        <v/>
      </c>
      <c r="X1095" s="3">
        <f>IF(U1095="","",U1095-($V$3*G1095+$W$3))</f>
        <v/>
      </c>
      <c r="Y1095" s="3">
        <f>IF(X1095="","",MAX(-3,MIN(3,(X1095-$X3)/$X4)))</f>
        <v/>
      </c>
      <c r="Z1095" s="3">
        <f>IF(Y1095="","",(Y1095-AVERAGE(Y6:Y1198))/(STDEV(Y6:Y1198)+1E-12))</f>
        <v/>
      </c>
    </row>
    <row r="1096">
      <c r="A1096" t="inlineStr">
        <is>
          <t>BBG000BW2QX0</t>
        </is>
      </c>
      <c r="B1096" s="3">
        <f>IF('3a Raw'!C1096="","",MAX(-3,MIN(3,('3a Raw'!C1096-$B3)/$B4)))</f>
        <v/>
      </c>
      <c r="C1096" s="3">
        <f>IF(B1096="","",(B1096-AVERAGE(B6:B1198))/(STDEV(B6:B1198)+1E-12))</f>
        <v/>
      </c>
      <c r="D1096" s="3">
        <f>IF('3a Raw'!D1096="","",MAX(-3,MIN(3,('3a Raw'!D1096-$D3)/$D4)))</f>
        <v/>
      </c>
      <c r="E1096" s="3">
        <f>IF(D1096="","",(D1096-AVERAGE(D6:D1198))/(STDEV(D6:D1198)+1E-12))</f>
        <v/>
      </c>
      <c r="F1096" s="3">
        <f>IF('3a Raw'!E1096="","",MAX(-3,MIN(3,('3a Raw'!E1096-$F3)/$F4)))</f>
        <v/>
      </c>
      <c r="G1096" s="3">
        <f>IF(F1096="","",(F1096-AVERAGE(F6:F1198))/(STDEV(F6:F1198)+1E-12))</f>
        <v/>
      </c>
      <c r="H1096" s="3">
        <f>IF('3a Raw'!F1096="","",MAX(-3,MIN(3,('3a Raw'!F1096-$H3)/$H4)))</f>
        <v/>
      </c>
      <c r="I1096" s="3">
        <f>IF(H1096="","",(H1096-AVERAGE(H6:H1198))/(STDEV(H6:H1198)+1E-12))</f>
        <v/>
      </c>
      <c r="J1096" s="3">
        <f>IF('3a Raw'!G1096="","",MAX(-3,MIN(3,('3a Raw'!G1096-$J3)/$J4)))</f>
        <v/>
      </c>
      <c r="K1096" s="3">
        <f>IF(J1096="","",(J1096-AVERAGE(J6:J1198))/(STDEV(J6:J1198)+1E-12))</f>
        <v/>
      </c>
      <c r="L1096" s="3">
        <f>IF('3a Raw'!H1096="","",MAX(-3,MIN(3,('3a Raw'!H1096-$L3)/$L4)))</f>
        <v/>
      </c>
      <c r="M1096" s="3">
        <f>IF(L1096="","",(L1096-AVERAGE(L6:L1198))/(STDEV(L6:L1198)+1E-12))</f>
        <v/>
      </c>
      <c r="N1096" s="3">
        <f>IF('3a Raw'!I1096="","",MAX(-3,MIN(3,('3a Raw'!I1096-$N3)/$N4)))</f>
        <v/>
      </c>
      <c r="O1096" s="3">
        <f>IF(N1096="","",(N1096-AVERAGE(N6:N1198))/(STDEV(N6:N1198)+1E-12))</f>
        <v/>
      </c>
      <c r="P1096" s="3">
        <f>IF('3a Raw'!J1096="","",MAX(-3,MIN(3,('3a Raw'!J1096-$P3)/$P4)))</f>
        <v/>
      </c>
      <c r="Q1096" s="3">
        <f>IF(P1096="","",(P1096-AVERAGE(P6:P1198))/(STDEV(P6:P1198)+1E-12))</f>
        <v/>
      </c>
      <c r="R1096" s="3">
        <f>IF('3a Raw'!K1096="","",MAX(-3,MIN(3,('3a Raw'!K1096-$R3)/$R4)))</f>
        <v/>
      </c>
      <c r="S1096" s="3">
        <f>IF(R1096="","",(R1096-AVERAGE(R6:R1198))/(STDEV(R6:R1198)+1E-12))</f>
        <v/>
      </c>
      <c r="T1096" s="3">
        <f>IF('3a Raw'!L1096="","",MAX(-3,MIN(3,('3a Raw'!L1096-$T3)/$T4)))</f>
        <v/>
      </c>
      <c r="U1096" s="3">
        <f>IF(T1096="","",(T1096-AVERAGE(T6:T1198))/(STDEV(T6:T1198)+1E-12))</f>
        <v/>
      </c>
      <c r="X1096" s="3">
        <f>IF(U1096="","",U1096-($V$3*G1096+$W$3))</f>
        <v/>
      </c>
      <c r="Y1096" s="3">
        <f>IF(X1096="","",MAX(-3,MIN(3,(X1096-$X3)/$X4)))</f>
        <v/>
      </c>
      <c r="Z1096" s="3">
        <f>IF(Y1096="","",(Y1096-AVERAGE(Y6:Y1198))/(STDEV(Y6:Y1198)+1E-12))</f>
        <v/>
      </c>
    </row>
    <row r="1097">
      <c r="A1097" t="inlineStr">
        <is>
          <t>BBG000BW3299</t>
        </is>
      </c>
      <c r="B1097" s="3">
        <f>IF('3a Raw'!C1097="","",MAX(-3,MIN(3,('3a Raw'!C1097-$B3)/$B4)))</f>
        <v/>
      </c>
      <c r="C1097" s="3">
        <f>IF(B1097="","",(B1097-AVERAGE(B6:B1198))/(STDEV(B6:B1198)+1E-12))</f>
        <v/>
      </c>
      <c r="D1097" s="3">
        <f>IF('3a Raw'!D1097="","",MAX(-3,MIN(3,('3a Raw'!D1097-$D3)/$D4)))</f>
        <v/>
      </c>
      <c r="E1097" s="3">
        <f>IF(D1097="","",(D1097-AVERAGE(D6:D1198))/(STDEV(D6:D1198)+1E-12))</f>
        <v/>
      </c>
      <c r="F1097" s="3">
        <f>IF('3a Raw'!E1097="","",MAX(-3,MIN(3,('3a Raw'!E1097-$F3)/$F4)))</f>
        <v/>
      </c>
      <c r="G1097" s="3">
        <f>IF(F1097="","",(F1097-AVERAGE(F6:F1198))/(STDEV(F6:F1198)+1E-12))</f>
        <v/>
      </c>
      <c r="H1097" s="3">
        <f>IF('3a Raw'!F1097="","",MAX(-3,MIN(3,('3a Raw'!F1097-$H3)/$H4)))</f>
        <v/>
      </c>
      <c r="I1097" s="3">
        <f>IF(H1097="","",(H1097-AVERAGE(H6:H1198))/(STDEV(H6:H1198)+1E-12))</f>
        <v/>
      </c>
      <c r="J1097" s="3">
        <f>IF('3a Raw'!G1097="","",MAX(-3,MIN(3,('3a Raw'!G1097-$J3)/$J4)))</f>
        <v/>
      </c>
      <c r="K1097" s="3">
        <f>IF(J1097="","",(J1097-AVERAGE(J6:J1198))/(STDEV(J6:J1198)+1E-12))</f>
        <v/>
      </c>
      <c r="L1097" s="3">
        <f>IF('3a Raw'!H1097="","",MAX(-3,MIN(3,('3a Raw'!H1097-$L3)/$L4)))</f>
        <v/>
      </c>
      <c r="M1097" s="3">
        <f>IF(L1097="","",(L1097-AVERAGE(L6:L1198))/(STDEV(L6:L1198)+1E-12))</f>
        <v/>
      </c>
      <c r="N1097" s="3">
        <f>IF('3a Raw'!I1097="","",MAX(-3,MIN(3,('3a Raw'!I1097-$N3)/$N4)))</f>
        <v/>
      </c>
      <c r="O1097" s="3">
        <f>IF(N1097="","",(N1097-AVERAGE(N6:N1198))/(STDEV(N6:N1198)+1E-12))</f>
        <v/>
      </c>
      <c r="P1097" s="3">
        <f>IF('3a Raw'!J1097="","",MAX(-3,MIN(3,('3a Raw'!J1097-$P3)/$P4)))</f>
        <v/>
      </c>
      <c r="Q1097" s="3">
        <f>IF(P1097="","",(P1097-AVERAGE(P6:P1198))/(STDEV(P6:P1198)+1E-12))</f>
        <v/>
      </c>
      <c r="R1097" s="3">
        <f>IF('3a Raw'!K1097="","",MAX(-3,MIN(3,('3a Raw'!K1097-$R3)/$R4)))</f>
        <v/>
      </c>
      <c r="S1097" s="3">
        <f>IF(R1097="","",(R1097-AVERAGE(R6:R1198))/(STDEV(R6:R1198)+1E-12))</f>
        <v/>
      </c>
      <c r="T1097" s="3">
        <f>IF('3a Raw'!L1097="","",MAX(-3,MIN(3,('3a Raw'!L1097-$T3)/$T4)))</f>
        <v/>
      </c>
      <c r="U1097" s="3">
        <f>IF(T1097="","",(T1097-AVERAGE(T6:T1198))/(STDEV(T6:T1198)+1E-12))</f>
        <v/>
      </c>
      <c r="X1097" s="3">
        <f>IF(U1097="","",U1097-($V$3*G1097+$W$3))</f>
        <v/>
      </c>
      <c r="Y1097" s="3">
        <f>IF(X1097="","",MAX(-3,MIN(3,(X1097-$X3)/$X4)))</f>
        <v/>
      </c>
      <c r="Z1097" s="3">
        <f>IF(Y1097="","",(Y1097-AVERAGE(Y6:Y1198))/(STDEV(Y6:Y1198)+1E-12))</f>
        <v/>
      </c>
    </row>
    <row r="1098">
      <c r="A1098" t="inlineStr">
        <is>
          <t>BBG017Y2X923</t>
        </is>
      </c>
      <c r="B1098" s="3">
        <f>IF('3a Raw'!C1098="","",MAX(-3,MIN(3,('3a Raw'!C1098-$B3)/$B4)))</f>
        <v/>
      </c>
      <c r="C1098" s="3">
        <f>IF(B1098="","",(B1098-AVERAGE(B6:B1198))/(STDEV(B6:B1198)+1E-12))</f>
        <v/>
      </c>
      <c r="D1098" s="3">
        <f>IF('3a Raw'!D1098="","",MAX(-3,MIN(3,('3a Raw'!D1098-$D3)/$D4)))</f>
        <v/>
      </c>
      <c r="E1098" s="3">
        <f>IF(D1098="","",(D1098-AVERAGE(D6:D1198))/(STDEV(D6:D1198)+1E-12))</f>
        <v/>
      </c>
      <c r="F1098" s="3">
        <f>IF('3a Raw'!E1098="","",MAX(-3,MIN(3,('3a Raw'!E1098-$F3)/$F4)))</f>
        <v/>
      </c>
      <c r="G1098" s="3">
        <f>IF(F1098="","",(F1098-AVERAGE(F6:F1198))/(STDEV(F6:F1198)+1E-12))</f>
        <v/>
      </c>
      <c r="H1098" s="3">
        <f>IF('3a Raw'!F1098="","",MAX(-3,MIN(3,('3a Raw'!F1098-$H3)/$H4)))</f>
        <v/>
      </c>
      <c r="I1098" s="3">
        <f>IF(H1098="","",(H1098-AVERAGE(H6:H1198))/(STDEV(H6:H1198)+1E-12))</f>
        <v/>
      </c>
      <c r="J1098" s="3">
        <f>IF('3a Raw'!G1098="","",MAX(-3,MIN(3,('3a Raw'!G1098-$J3)/$J4)))</f>
        <v/>
      </c>
      <c r="K1098" s="3">
        <f>IF(J1098="","",(J1098-AVERAGE(J6:J1198))/(STDEV(J6:J1198)+1E-12))</f>
        <v/>
      </c>
      <c r="L1098" s="3">
        <f>IF('3a Raw'!H1098="","",MAX(-3,MIN(3,('3a Raw'!H1098-$L3)/$L4)))</f>
        <v/>
      </c>
      <c r="M1098" s="3">
        <f>IF(L1098="","",(L1098-AVERAGE(L6:L1198))/(STDEV(L6:L1198)+1E-12))</f>
        <v/>
      </c>
      <c r="N1098" s="3">
        <f>IF('3a Raw'!I1098="","",MAX(-3,MIN(3,('3a Raw'!I1098-$N3)/$N4)))</f>
        <v/>
      </c>
      <c r="O1098" s="3">
        <f>IF(N1098="","",(N1098-AVERAGE(N6:N1198))/(STDEV(N6:N1198)+1E-12))</f>
        <v/>
      </c>
      <c r="P1098" s="3">
        <f>IF('3a Raw'!J1098="","",MAX(-3,MIN(3,('3a Raw'!J1098-$P3)/$P4)))</f>
        <v/>
      </c>
      <c r="Q1098" s="3">
        <f>IF(P1098="","",(P1098-AVERAGE(P6:P1198))/(STDEV(P6:P1198)+1E-12))</f>
        <v/>
      </c>
      <c r="R1098" s="3">
        <f>IF('3a Raw'!K1098="","",MAX(-3,MIN(3,('3a Raw'!K1098-$R3)/$R4)))</f>
        <v/>
      </c>
      <c r="S1098" s="3">
        <f>IF(R1098="","",(R1098-AVERAGE(R6:R1198))/(STDEV(R6:R1198)+1E-12))</f>
        <v/>
      </c>
      <c r="T1098" s="3">
        <f>IF('3a Raw'!L1098="","",MAX(-3,MIN(3,('3a Raw'!L1098-$T3)/$T4)))</f>
        <v/>
      </c>
      <c r="U1098" s="3">
        <f>IF(T1098="","",(T1098-AVERAGE(T6:T1198))/(STDEV(T6:T1198)+1E-12))</f>
        <v/>
      </c>
      <c r="X1098" s="3">
        <f>IF(U1098="","",U1098-($V$3*G1098+$W$3))</f>
        <v/>
      </c>
      <c r="Y1098" s="3">
        <f>IF(X1098="","",MAX(-3,MIN(3,(X1098-$X3)/$X4)))</f>
        <v/>
      </c>
      <c r="Z1098" s="3">
        <f>IF(Y1098="","",(Y1098-AVERAGE(Y6:Y1198))/(STDEV(Y6:Y1198)+1E-12))</f>
        <v/>
      </c>
    </row>
    <row r="1099">
      <c r="A1099" t="inlineStr">
        <is>
          <t>BBG000L9CV04</t>
        </is>
      </c>
      <c r="B1099" s="3">
        <f>IF('3a Raw'!C1099="","",MAX(-3,MIN(3,('3a Raw'!C1099-$B3)/$B4)))</f>
        <v/>
      </c>
      <c r="C1099" s="3">
        <f>IF(B1099="","",(B1099-AVERAGE(B6:B1198))/(STDEV(B6:B1198)+1E-12))</f>
        <v/>
      </c>
      <c r="D1099" s="3">
        <f>IF('3a Raw'!D1099="","",MAX(-3,MIN(3,('3a Raw'!D1099-$D3)/$D4)))</f>
        <v/>
      </c>
      <c r="E1099" s="3">
        <f>IF(D1099="","",(D1099-AVERAGE(D6:D1198))/(STDEV(D6:D1198)+1E-12))</f>
        <v/>
      </c>
      <c r="F1099" s="3">
        <f>IF('3a Raw'!E1099="","",MAX(-3,MIN(3,('3a Raw'!E1099-$F3)/$F4)))</f>
        <v/>
      </c>
      <c r="G1099" s="3">
        <f>IF(F1099="","",(F1099-AVERAGE(F6:F1198))/(STDEV(F6:F1198)+1E-12))</f>
        <v/>
      </c>
      <c r="H1099" s="3">
        <f>IF('3a Raw'!F1099="","",MAX(-3,MIN(3,('3a Raw'!F1099-$H3)/$H4)))</f>
        <v/>
      </c>
      <c r="I1099" s="3">
        <f>IF(H1099="","",(H1099-AVERAGE(H6:H1198))/(STDEV(H6:H1198)+1E-12))</f>
        <v/>
      </c>
      <c r="J1099" s="3">
        <f>IF('3a Raw'!G1099="","",MAX(-3,MIN(3,('3a Raw'!G1099-$J3)/$J4)))</f>
        <v/>
      </c>
      <c r="K1099" s="3">
        <f>IF(J1099="","",(J1099-AVERAGE(J6:J1198))/(STDEV(J6:J1198)+1E-12))</f>
        <v/>
      </c>
      <c r="L1099" s="3">
        <f>IF('3a Raw'!H1099="","",MAX(-3,MIN(3,('3a Raw'!H1099-$L3)/$L4)))</f>
        <v/>
      </c>
      <c r="M1099" s="3">
        <f>IF(L1099="","",(L1099-AVERAGE(L6:L1198))/(STDEV(L6:L1198)+1E-12))</f>
        <v/>
      </c>
      <c r="N1099" s="3">
        <f>IF('3a Raw'!I1099="","",MAX(-3,MIN(3,('3a Raw'!I1099-$N3)/$N4)))</f>
        <v/>
      </c>
      <c r="O1099" s="3">
        <f>IF(N1099="","",(N1099-AVERAGE(N6:N1198))/(STDEV(N6:N1198)+1E-12))</f>
        <v/>
      </c>
      <c r="P1099" s="3">
        <f>IF('3a Raw'!J1099="","",MAX(-3,MIN(3,('3a Raw'!J1099-$P3)/$P4)))</f>
        <v/>
      </c>
      <c r="Q1099" s="3">
        <f>IF(P1099="","",(P1099-AVERAGE(P6:P1198))/(STDEV(P6:P1198)+1E-12))</f>
        <v/>
      </c>
      <c r="R1099" s="3">
        <f>IF('3a Raw'!K1099="","",MAX(-3,MIN(3,('3a Raw'!K1099-$R3)/$R4)))</f>
        <v/>
      </c>
      <c r="S1099" s="3">
        <f>IF(R1099="","",(R1099-AVERAGE(R6:R1198))/(STDEV(R6:R1198)+1E-12))</f>
        <v/>
      </c>
      <c r="T1099" s="3">
        <f>IF('3a Raw'!L1099="","",MAX(-3,MIN(3,('3a Raw'!L1099-$T3)/$T4)))</f>
        <v/>
      </c>
      <c r="U1099" s="3">
        <f>IF(T1099="","",(T1099-AVERAGE(T6:T1198))/(STDEV(T6:T1198)+1E-12))</f>
        <v/>
      </c>
      <c r="X1099" s="3">
        <f>IF(U1099="","",U1099-($V$3*G1099+$W$3))</f>
        <v/>
      </c>
      <c r="Y1099" s="3">
        <f>IF(X1099="","",MAX(-3,MIN(3,(X1099-$X3)/$X4)))</f>
        <v/>
      </c>
      <c r="Z1099" s="3">
        <f>IF(Y1099="","",(Y1099-AVERAGE(Y6:Y1198))/(STDEV(Y6:Y1198)+1E-12))</f>
        <v/>
      </c>
    </row>
    <row r="1100">
      <c r="A1100" t="inlineStr">
        <is>
          <t>BBG00PKCBY53</t>
        </is>
      </c>
      <c r="B1100" s="3">
        <f>IF('3a Raw'!C1100="","",MAX(-3,MIN(3,('3a Raw'!C1100-$B3)/$B4)))</f>
        <v/>
      </c>
      <c r="C1100" s="3">
        <f>IF(B1100="","",(B1100-AVERAGE(B6:B1198))/(STDEV(B6:B1198)+1E-12))</f>
        <v/>
      </c>
      <c r="D1100" s="3">
        <f>IF('3a Raw'!D1100="","",MAX(-3,MIN(3,('3a Raw'!D1100-$D3)/$D4)))</f>
        <v/>
      </c>
      <c r="E1100" s="3">
        <f>IF(D1100="","",(D1100-AVERAGE(D6:D1198))/(STDEV(D6:D1198)+1E-12))</f>
        <v/>
      </c>
      <c r="F1100" s="3">
        <f>IF('3a Raw'!E1100="","",MAX(-3,MIN(3,('3a Raw'!E1100-$F3)/$F4)))</f>
        <v/>
      </c>
      <c r="G1100" s="3">
        <f>IF(F1100="","",(F1100-AVERAGE(F6:F1198))/(STDEV(F6:F1198)+1E-12))</f>
        <v/>
      </c>
      <c r="H1100" s="3">
        <f>IF('3a Raw'!F1100="","",MAX(-3,MIN(3,('3a Raw'!F1100-$H3)/$H4)))</f>
        <v/>
      </c>
      <c r="I1100" s="3">
        <f>IF(H1100="","",(H1100-AVERAGE(H6:H1198))/(STDEV(H6:H1198)+1E-12))</f>
        <v/>
      </c>
      <c r="J1100" s="3">
        <f>IF('3a Raw'!G1100="","",MAX(-3,MIN(3,('3a Raw'!G1100-$J3)/$J4)))</f>
        <v/>
      </c>
      <c r="K1100" s="3">
        <f>IF(J1100="","",(J1100-AVERAGE(J6:J1198))/(STDEV(J6:J1198)+1E-12))</f>
        <v/>
      </c>
      <c r="L1100" s="3">
        <f>IF('3a Raw'!H1100="","",MAX(-3,MIN(3,('3a Raw'!H1100-$L3)/$L4)))</f>
        <v/>
      </c>
      <c r="M1100" s="3">
        <f>IF(L1100="","",(L1100-AVERAGE(L6:L1198))/(STDEV(L6:L1198)+1E-12))</f>
        <v/>
      </c>
      <c r="N1100" s="3">
        <f>IF('3a Raw'!I1100="","",MAX(-3,MIN(3,('3a Raw'!I1100-$N3)/$N4)))</f>
        <v/>
      </c>
      <c r="O1100" s="3">
        <f>IF(N1100="","",(N1100-AVERAGE(N6:N1198))/(STDEV(N6:N1198)+1E-12))</f>
        <v/>
      </c>
      <c r="P1100" s="3">
        <f>IF('3a Raw'!J1100="","",MAX(-3,MIN(3,('3a Raw'!J1100-$P3)/$P4)))</f>
        <v/>
      </c>
      <c r="Q1100" s="3">
        <f>IF(P1100="","",(P1100-AVERAGE(P6:P1198))/(STDEV(P6:P1198)+1E-12))</f>
        <v/>
      </c>
      <c r="R1100" s="3">
        <f>IF('3a Raw'!K1100="","",MAX(-3,MIN(3,('3a Raw'!K1100-$R3)/$R4)))</f>
        <v/>
      </c>
      <c r="S1100" s="3">
        <f>IF(R1100="","",(R1100-AVERAGE(R6:R1198))/(STDEV(R6:R1198)+1E-12))</f>
        <v/>
      </c>
      <c r="T1100" s="3">
        <f>IF('3a Raw'!L1100="","",MAX(-3,MIN(3,('3a Raw'!L1100-$T3)/$T4)))</f>
        <v/>
      </c>
      <c r="U1100" s="3">
        <f>IF(T1100="","",(T1100-AVERAGE(T6:T1198))/(STDEV(T6:T1198)+1E-12))</f>
        <v/>
      </c>
      <c r="X1100" s="3">
        <f>IF(U1100="","",U1100-($V$3*G1100+$W$3))</f>
        <v/>
      </c>
      <c r="Y1100" s="3">
        <f>IF(X1100="","",MAX(-3,MIN(3,(X1100-$X3)/$X4)))</f>
        <v/>
      </c>
      <c r="Z1100" s="3">
        <f>IF(Y1100="","",(Y1100-AVERAGE(Y6:Y1198))/(STDEV(Y6:Y1198)+1E-12))</f>
        <v/>
      </c>
    </row>
    <row r="1101">
      <c r="A1101" t="inlineStr">
        <is>
          <t>BBG000BL79J3</t>
        </is>
      </c>
      <c r="B1101" s="3">
        <f>IF('3a Raw'!C1101="","",MAX(-3,MIN(3,('3a Raw'!C1101-$B3)/$B4)))</f>
        <v/>
      </c>
      <c r="C1101" s="3">
        <f>IF(B1101="","",(B1101-AVERAGE(B6:B1198))/(STDEV(B6:B1198)+1E-12))</f>
        <v/>
      </c>
      <c r="D1101" s="3">
        <f>IF('3a Raw'!D1101="","",MAX(-3,MIN(3,('3a Raw'!D1101-$D3)/$D4)))</f>
        <v/>
      </c>
      <c r="E1101" s="3">
        <f>IF(D1101="","",(D1101-AVERAGE(D6:D1198))/(STDEV(D6:D1198)+1E-12))</f>
        <v/>
      </c>
      <c r="F1101" s="3">
        <f>IF('3a Raw'!E1101="","",MAX(-3,MIN(3,('3a Raw'!E1101-$F3)/$F4)))</f>
        <v/>
      </c>
      <c r="G1101" s="3">
        <f>IF(F1101="","",(F1101-AVERAGE(F6:F1198))/(STDEV(F6:F1198)+1E-12))</f>
        <v/>
      </c>
      <c r="H1101" s="3">
        <f>IF('3a Raw'!F1101="","",MAX(-3,MIN(3,('3a Raw'!F1101-$H3)/$H4)))</f>
        <v/>
      </c>
      <c r="I1101" s="3">
        <f>IF(H1101="","",(H1101-AVERAGE(H6:H1198))/(STDEV(H6:H1198)+1E-12))</f>
        <v/>
      </c>
      <c r="J1101" s="3">
        <f>IF('3a Raw'!G1101="","",MAX(-3,MIN(3,('3a Raw'!G1101-$J3)/$J4)))</f>
        <v/>
      </c>
      <c r="K1101" s="3">
        <f>IF(J1101="","",(J1101-AVERAGE(J6:J1198))/(STDEV(J6:J1198)+1E-12))</f>
        <v/>
      </c>
      <c r="L1101" s="3">
        <f>IF('3a Raw'!H1101="","",MAX(-3,MIN(3,('3a Raw'!H1101-$L3)/$L4)))</f>
        <v/>
      </c>
      <c r="M1101" s="3">
        <f>IF(L1101="","",(L1101-AVERAGE(L6:L1198))/(STDEV(L6:L1198)+1E-12))</f>
        <v/>
      </c>
      <c r="N1101" s="3">
        <f>IF('3a Raw'!I1101="","",MAX(-3,MIN(3,('3a Raw'!I1101-$N3)/$N4)))</f>
        <v/>
      </c>
      <c r="O1101" s="3">
        <f>IF(N1101="","",(N1101-AVERAGE(N6:N1198))/(STDEV(N6:N1198)+1E-12))</f>
        <v/>
      </c>
      <c r="P1101" s="3">
        <f>IF('3a Raw'!J1101="","",MAX(-3,MIN(3,('3a Raw'!J1101-$P3)/$P4)))</f>
        <v/>
      </c>
      <c r="Q1101" s="3">
        <f>IF(P1101="","",(P1101-AVERAGE(P6:P1198))/(STDEV(P6:P1198)+1E-12))</f>
        <v/>
      </c>
      <c r="R1101" s="3">
        <f>IF('3a Raw'!K1101="","",MAX(-3,MIN(3,('3a Raw'!K1101-$R3)/$R4)))</f>
        <v/>
      </c>
      <c r="S1101" s="3">
        <f>IF(R1101="","",(R1101-AVERAGE(R6:R1198))/(STDEV(R6:R1198)+1E-12))</f>
        <v/>
      </c>
      <c r="T1101" s="3">
        <f>IF('3a Raw'!L1101="","",MAX(-3,MIN(3,('3a Raw'!L1101-$T3)/$T4)))</f>
        <v/>
      </c>
      <c r="U1101" s="3">
        <f>IF(T1101="","",(T1101-AVERAGE(T6:T1198))/(STDEV(T6:T1198)+1E-12))</f>
        <v/>
      </c>
      <c r="X1101" s="3">
        <f>IF(U1101="","",U1101-($V$3*G1101+$W$3))</f>
        <v/>
      </c>
      <c r="Y1101" s="3">
        <f>IF(X1101="","",MAX(-3,MIN(3,(X1101-$X3)/$X4)))</f>
        <v/>
      </c>
      <c r="Z1101" s="3">
        <f>IF(Y1101="","",(Y1101-AVERAGE(Y6:Y1198))/(STDEV(Y6:Y1198)+1E-12))</f>
        <v/>
      </c>
    </row>
    <row r="1102">
      <c r="A1102" t="inlineStr">
        <is>
          <t>BBG000BXMFC3</t>
        </is>
      </c>
      <c r="B1102" s="3">
        <f>IF('3a Raw'!C1102="","",MAX(-3,MIN(3,('3a Raw'!C1102-$B3)/$B4)))</f>
        <v/>
      </c>
      <c r="C1102" s="3">
        <f>IF(B1102="","",(B1102-AVERAGE(B6:B1198))/(STDEV(B6:B1198)+1E-12))</f>
        <v/>
      </c>
      <c r="D1102" s="3">
        <f>IF('3a Raw'!D1102="","",MAX(-3,MIN(3,('3a Raw'!D1102-$D3)/$D4)))</f>
        <v/>
      </c>
      <c r="E1102" s="3">
        <f>IF(D1102="","",(D1102-AVERAGE(D6:D1198))/(STDEV(D6:D1198)+1E-12))</f>
        <v/>
      </c>
      <c r="F1102" s="3">
        <f>IF('3a Raw'!E1102="","",MAX(-3,MIN(3,('3a Raw'!E1102-$F3)/$F4)))</f>
        <v/>
      </c>
      <c r="G1102" s="3">
        <f>IF(F1102="","",(F1102-AVERAGE(F6:F1198))/(STDEV(F6:F1198)+1E-12))</f>
        <v/>
      </c>
      <c r="H1102" s="3">
        <f>IF('3a Raw'!F1102="","",MAX(-3,MIN(3,('3a Raw'!F1102-$H3)/$H4)))</f>
        <v/>
      </c>
      <c r="I1102" s="3">
        <f>IF(H1102="","",(H1102-AVERAGE(H6:H1198))/(STDEV(H6:H1198)+1E-12))</f>
        <v/>
      </c>
      <c r="J1102" s="3">
        <f>IF('3a Raw'!G1102="","",MAX(-3,MIN(3,('3a Raw'!G1102-$J3)/$J4)))</f>
        <v/>
      </c>
      <c r="K1102" s="3">
        <f>IF(J1102="","",(J1102-AVERAGE(J6:J1198))/(STDEV(J6:J1198)+1E-12))</f>
        <v/>
      </c>
      <c r="L1102" s="3">
        <f>IF('3a Raw'!H1102="","",MAX(-3,MIN(3,('3a Raw'!H1102-$L3)/$L4)))</f>
        <v/>
      </c>
      <c r="M1102" s="3">
        <f>IF(L1102="","",(L1102-AVERAGE(L6:L1198))/(STDEV(L6:L1198)+1E-12))</f>
        <v/>
      </c>
      <c r="N1102" s="3">
        <f>IF('3a Raw'!I1102="","",MAX(-3,MIN(3,('3a Raw'!I1102-$N3)/$N4)))</f>
        <v/>
      </c>
      <c r="O1102" s="3">
        <f>IF(N1102="","",(N1102-AVERAGE(N6:N1198))/(STDEV(N6:N1198)+1E-12))</f>
        <v/>
      </c>
      <c r="P1102" s="3">
        <f>IF('3a Raw'!J1102="","",MAX(-3,MIN(3,('3a Raw'!J1102-$P3)/$P4)))</f>
        <v/>
      </c>
      <c r="Q1102" s="3">
        <f>IF(P1102="","",(P1102-AVERAGE(P6:P1198))/(STDEV(P6:P1198)+1E-12))</f>
        <v/>
      </c>
      <c r="R1102" s="3">
        <f>IF('3a Raw'!K1102="","",MAX(-3,MIN(3,('3a Raw'!K1102-$R3)/$R4)))</f>
        <v/>
      </c>
      <c r="S1102" s="3">
        <f>IF(R1102="","",(R1102-AVERAGE(R6:R1198))/(STDEV(R6:R1198)+1E-12))</f>
        <v/>
      </c>
      <c r="T1102" s="3">
        <f>IF('3a Raw'!L1102="","",MAX(-3,MIN(3,('3a Raw'!L1102-$T3)/$T4)))</f>
        <v/>
      </c>
      <c r="U1102" s="3">
        <f>IF(T1102="","",(T1102-AVERAGE(T6:T1198))/(STDEV(T6:T1198)+1E-12))</f>
        <v/>
      </c>
      <c r="X1102" s="3">
        <f>IF(U1102="","",U1102-($V$3*G1102+$W$3))</f>
        <v/>
      </c>
      <c r="Y1102" s="3">
        <f>IF(X1102="","",MAX(-3,MIN(3,(X1102-$X3)/$X4)))</f>
        <v/>
      </c>
      <c r="Z1102" s="3">
        <f>IF(Y1102="","",(Y1102-AVERAGE(Y6:Y1198))/(STDEV(Y6:Y1198)+1E-12))</f>
        <v/>
      </c>
    </row>
    <row r="1103">
      <c r="A1103" t="inlineStr">
        <is>
          <t>BBG01HFW5XW1</t>
        </is>
      </c>
      <c r="B1103" s="3">
        <f>IF('3a Raw'!C1103="","",MAX(-3,MIN(3,('3a Raw'!C1103-$B3)/$B4)))</f>
        <v/>
      </c>
      <c r="C1103" s="3">
        <f>IF(B1103="","",(B1103-AVERAGE(B6:B1198))/(STDEV(B6:B1198)+1E-12))</f>
        <v/>
      </c>
      <c r="D1103" s="3">
        <f>IF('3a Raw'!D1103="","",MAX(-3,MIN(3,('3a Raw'!D1103-$D3)/$D4)))</f>
        <v/>
      </c>
      <c r="E1103" s="3">
        <f>IF(D1103="","",(D1103-AVERAGE(D6:D1198))/(STDEV(D6:D1198)+1E-12))</f>
        <v/>
      </c>
      <c r="F1103" s="3">
        <f>IF('3a Raw'!E1103="","",MAX(-3,MIN(3,('3a Raw'!E1103-$F3)/$F4)))</f>
        <v/>
      </c>
      <c r="G1103" s="3">
        <f>IF(F1103="","",(F1103-AVERAGE(F6:F1198))/(STDEV(F6:F1198)+1E-12))</f>
        <v/>
      </c>
      <c r="H1103" s="3">
        <f>IF('3a Raw'!F1103="","",MAX(-3,MIN(3,('3a Raw'!F1103-$H3)/$H4)))</f>
        <v/>
      </c>
      <c r="I1103" s="3">
        <f>IF(H1103="","",(H1103-AVERAGE(H6:H1198))/(STDEV(H6:H1198)+1E-12))</f>
        <v/>
      </c>
      <c r="J1103" s="3">
        <f>IF('3a Raw'!G1103="","",MAX(-3,MIN(3,('3a Raw'!G1103-$J3)/$J4)))</f>
        <v/>
      </c>
      <c r="K1103" s="3">
        <f>IF(J1103="","",(J1103-AVERAGE(J6:J1198))/(STDEV(J6:J1198)+1E-12))</f>
        <v/>
      </c>
      <c r="L1103" s="3">
        <f>IF('3a Raw'!H1103="","",MAX(-3,MIN(3,('3a Raw'!H1103-$L3)/$L4)))</f>
        <v/>
      </c>
      <c r="M1103" s="3">
        <f>IF(L1103="","",(L1103-AVERAGE(L6:L1198))/(STDEV(L6:L1198)+1E-12))</f>
        <v/>
      </c>
      <c r="N1103" s="3">
        <f>IF('3a Raw'!I1103="","",MAX(-3,MIN(3,('3a Raw'!I1103-$N3)/$N4)))</f>
        <v/>
      </c>
      <c r="O1103" s="3">
        <f>IF(N1103="","",(N1103-AVERAGE(N6:N1198))/(STDEV(N6:N1198)+1E-12))</f>
        <v/>
      </c>
      <c r="P1103" s="3">
        <f>IF('3a Raw'!J1103="","",MAX(-3,MIN(3,('3a Raw'!J1103-$P3)/$P4)))</f>
        <v/>
      </c>
      <c r="Q1103" s="3">
        <f>IF(P1103="","",(P1103-AVERAGE(P6:P1198))/(STDEV(P6:P1198)+1E-12))</f>
        <v/>
      </c>
      <c r="R1103" s="3">
        <f>IF('3a Raw'!K1103="","",MAX(-3,MIN(3,('3a Raw'!K1103-$R3)/$R4)))</f>
        <v/>
      </c>
      <c r="S1103" s="3">
        <f>IF(R1103="","",(R1103-AVERAGE(R6:R1198))/(STDEV(R6:R1198)+1E-12))</f>
        <v/>
      </c>
      <c r="T1103" s="3">
        <f>IF('3a Raw'!L1103="","",MAX(-3,MIN(3,('3a Raw'!L1103-$T3)/$T4)))</f>
        <v/>
      </c>
      <c r="U1103" s="3">
        <f>IF(T1103="","",(T1103-AVERAGE(T6:T1198))/(STDEV(T6:T1198)+1E-12))</f>
        <v/>
      </c>
      <c r="X1103" s="3">
        <f>IF(U1103="","",U1103-($V$3*G1103+$W$3))</f>
        <v/>
      </c>
      <c r="Y1103" s="3">
        <f>IF(X1103="","",MAX(-3,MIN(3,(X1103-$X3)/$X4)))</f>
        <v/>
      </c>
      <c r="Z1103" s="3">
        <f>IF(Y1103="","",(Y1103-AVERAGE(Y6:Y1198))/(STDEV(Y6:Y1198)+1E-12))</f>
        <v/>
      </c>
    </row>
    <row r="1104">
      <c r="A1104" t="inlineStr">
        <is>
          <t>BBG000FFDM15</t>
        </is>
      </c>
      <c r="B1104" s="3">
        <f>IF('3a Raw'!C1104="","",MAX(-3,MIN(3,('3a Raw'!C1104-$B3)/$B4)))</f>
        <v/>
      </c>
      <c r="C1104" s="3">
        <f>IF(B1104="","",(B1104-AVERAGE(B6:B1198))/(STDEV(B6:B1198)+1E-12))</f>
        <v/>
      </c>
      <c r="D1104" s="3">
        <f>IF('3a Raw'!D1104="","",MAX(-3,MIN(3,('3a Raw'!D1104-$D3)/$D4)))</f>
        <v/>
      </c>
      <c r="E1104" s="3">
        <f>IF(D1104="","",(D1104-AVERAGE(D6:D1198))/(STDEV(D6:D1198)+1E-12))</f>
        <v/>
      </c>
      <c r="F1104" s="3">
        <f>IF('3a Raw'!E1104="","",MAX(-3,MIN(3,('3a Raw'!E1104-$F3)/$F4)))</f>
        <v/>
      </c>
      <c r="G1104" s="3">
        <f>IF(F1104="","",(F1104-AVERAGE(F6:F1198))/(STDEV(F6:F1198)+1E-12))</f>
        <v/>
      </c>
      <c r="H1104" s="3">
        <f>IF('3a Raw'!F1104="","",MAX(-3,MIN(3,('3a Raw'!F1104-$H3)/$H4)))</f>
        <v/>
      </c>
      <c r="I1104" s="3">
        <f>IF(H1104="","",(H1104-AVERAGE(H6:H1198))/(STDEV(H6:H1198)+1E-12))</f>
        <v/>
      </c>
      <c r="J1104" s="3">
        <f>IF('3a Raw'!G1104="","",MAX(-3,MIN(3,('3a Raw'!G1104-$J3)/$J4)))</f>
        <v/>
      </c>
      <c r="K1104" s="3">
        <f>IF(J1104="","",(J1104-AVERAGE(J6:J1198))/(STDEV(J6:J1198)+1E-12))</f>
        <v/>
      </c>
      <c r="L1104" s="3">
        <f>IF('3a Raw'!H1104="","",MAX(-3,MIN(3,('3a Raw'!H1104-$L3)/$L4)))</f>
        <v/>
      </c>
      <c r="M1104" s="3">
        <f>IF(L1104="","",(L1104-AVERAGE(L6:L1198))/(STDEV(L6:L1198)+1E-12))</f>
        <v/>
      </c>
      <c r="N1104" s="3">
        <f>IF('3a Raw'!I1104="","",MAX(-3,MIN(3,('3a Raw'!I1104-$N3)/$N4)))</f>
        <v/>
      </c>
      <c r="O1104" s="3">
        <f>IF(N1104="","",(N1104-AVERAGE(N6:N1198))/(STDEV(N6:N1198)+1E-12))</f>
        <v/>
      </c>
      <c r="P1104" s="3">
        <f>IF('3a Raw'!J1104="","",MAX(-3,MIN(3,('3a Raw'!J1104-$P3)/$P4)))</f>
        <v/>
      </c>
      <c r="Q1104" s="3">
        <f>IF(P1104="","",(P1104-AVERAGE(P6:P1198))/(STDEV(P6:P1198)+1E-12))</f>
        <v/>
      </c>
      <c r="R1104" s="3">
        <f>IF('3a Raw'!K1104="","",MAX(-3,MIN(3,('3a Raw'!K1104-$R3)/$R4)))</f>
        <v/>
      </c>
      <c r="S1104" s="3">
        <f>IF(R1104="","",(R1104-AVERAGE(R6:R1198))/(STDEV(R6:R1198)+1E-12))</f>
        <v/>
      </c>
      <c r="T1104" s="3">
        <f>IF('3a Raw'!L1104="","",MAX(-3,MIN(3,('3a Raw'!L1104-$T3)/$T4)))</f>
        <v/>
      </c>
      <c r="U1104" s="3">
        <f>IF(T1104="","",(T1104-AVERAGE(T6:T1198))/(STDEV(T6:T1198)+1E-12))</f>
        <v/>
      </c>
      <c r="X1104" s="3">
        <f>IF(U1104="","",U1104-($V$3*G1104+$W$3))</f>
        <v/>
      </c>
      <c r="Y1104" s="3">
        <f>IF(X1104="","",MAX(-3,MIN(3,(X1104-$X3)/$X4)))</f>
        <v/>
      </c>
      <c r="Z1104" s="3">
        <f>IF(Y1104="","",(Y1104-AVERAGE(Y6:Y1198))/(STDEV(Y6:Y1198)+1E-12))</f>
        <v/>
      </c>
    </row>
    <row r="1105">
      <c r="A1105" t="inlineStr">
        <is>
          <t>BBG00C6H6D40</t>
        </is>
      </c>
      <c r="B1105" s="3">
        <f>IF('3a Raw'!C1105="","",MAX(-3,MIN(3,('3a Raw'!C1105-$B3)/$B4)))</f>
        <v/>
      </c>
      <c r="C1105" s="3">
        <f>IF(B1105="","",(B1105-AVERAGE(B6:B1198))/(STDEV(B6:B1198)+1E-12))</f>
        <v/>
      </c>
      <c r="D1105" s="3">
        <f>IF('3a Raw'!D1105="","",MAX(-3,MIN(3,('3a Raw'!D1105-$D3)/$D4)))</f>
        <v/>
      </c>
      <c r="E1105" s="3">
        <f>IF(D1105="","",(D1105-AVERAGE(D6:D1198))/(STDEV(D6:D1198)+1E-12))</f>
        <v/>
      </c>
      <c r="F1105" s="3">
        <f>IF('3a Raw'!E1105="","",MAX(-3,MIN(3,('3a Raw'!E1105-$F3)/$F4)))</f>
        <v/>
      </c>
      <c r="G1105" s="3">
        <f>IF(F1105="","",(F1105-AVERAGE(F6:F1198))/(STDEV(F6:F1198)+1E-12))</f>
        <v/>
      </c>
      <c r="H1105" s="3">
        <f>IF('3a Raw'!F1105="","",MAX(-3,MIN(3,('3a Raw'!F1105-$H3)/$H4)))</f>
        <v/>
      </c>
      <c r="I1105" s="3">
        <f>IF(H1105="","",(H1105-AVERAGE(H6:H1198))/(STDEV(H6:H1198)+1E-12))</f>
        <v/>
      </c>
      <c r="J1105" s="3">
        <f>IF('3a Raw'!G1105="","",MAX(-3,MIN(3,('3a Raw'!G1105-$J3)/$J4)))</f>
        <v/>
      </c>
      <c r="K1105" s="3">
        <f>IF(J1105="","",(J1105-AVERAGE(J6:J1198))/(STDEV(J6:J1198)+1E-12))</f>
        <v/>
      </c>
      <c r="L1105" s="3">
        <f>IF('3a Raw'!H1105="","",MAX(-3,MIN(3,('3a Raw'!H1105-$L3)/$L4)))</f>
        <v/>
      </c>
      <c r="M1105" s="3">
        <f>IF(L1105="","",(L1105-AVERAGE(L6:L1198))/(STDEV(L6:L1198)+1E-12))</f>
        <v/>
      </c>
      <c r="N1105" s="3">
        <f>IF('3a Raw'!I1105="","",MAX(-3,MIN(3,('3a Raw'!I1105-$N3)/$N4)))</f>
        <v/>
      </c>
      <c r="O1105" s="3">
        <f>IF(N1105="","",(N1105-AVERAGE(N6:N1198))/(STDEV(N6:N1198)+1E-12))</f>
        <v/>
      </c>
      <c r="P1105" s="3">
        <f>IF('3a Raw'!J1105="","",MAX(-3,MIN(3,('3a Raw'!J1105-$P3)/$P4)))</f>
        <v/>
      </c>
      <c r="Q1105" s="3">
        <f>IF(P1105="","",(P1105-AVERAGE(P6:P1198))/(STDEV(P6:P1198)+1E-12))</f>
        <v/>
      </c>
      <c r="R1105" s="3">
        <f>IF('3a Raw'!K1105="","",MAX(-3,MIN(3,('3a Raw'!K1105-$R3)/$R4)))</f>
        <v/>
      </c>
      <c r="S1105" s="3">
        <f>IF(R1105="","",(R1105-AVERAGE(R6:R1198))/(STDEV(R6:R1198)+1E-12))</f>
        <v/>
      </c>
      <c r="T1105" s="3">
        <f>IF('3a Raw'!L1105="","",MAX(-3,MIN(3,('3a Raw'!L1105-$T3)/$T4)))</f>
        <v/>
      </c>
      <c r="U1105" s="3">
        <f>IF(T1105="","",(T1105-AVERAGE(T6:T1198))/(STDEV(T6:T1198)+1E-12))</f>
        <v/>
      </c>
      <c r="X1105" s="3">
        <f>IF(U1105="","",U1105-($V$3*G1105+$W$3))</f>
        <v/>
      </c>
      <c r="Y1105" s="3">
        <f>IF(X1105="","",MAX(-3,MIN(3,(X1105-$X3)/$X4)))</f>
        <v/>
      </c>
      <c r="Z1105" s="3">
        <f>IF(Y1105="","",(Y1105-AVERAGE(Y6:Y1198))/(STDEV(Y6:Y1198)+1E-12))</f>
        <v/>
      </c>
    </row>
    <row r="1106">
      <c r="A1106" t="inlineStr">
        <is>
          <t>BBG000BV4XJ1</t>
        </is>
      </c>
      <c r="B1106" s="3">
        <f>IF('3a Raw'!C1106="","",MAX(-3,MIN(3,('3a Raw'!C1106-$B3)/$B4)))</f>
        <v/>
      </c>
      <c r="C1106" s="3">
        <f>IF(B1106="","",(B1106-AVERAGE(B6:B1198))/(STDEV(B6:B1198)+1E-12))</f>
        <v/>
      </c>
      <c r="D1106" s="3">
        <f>IF('3a Raw'!D1106="","",MAX(-3,MIN(3,('3a Raw'!D1106-$D3)/$D4)))</f>
        <v/>
      </c>
      <c r="E1106" s="3">
        <f>IF(D1106="","",(D1106-AVERAGE(D6:D1198))/(STDEV(D6:D1198)+1E-12))</f>
        <v/>
      </c>
      <c r="F1106" s="3">
        <f>IF('3a Raw'!E1106="","",MAX(-3,MIN(3,('3a Raw'!E1106-$F3)/$F4)))</f>
        <v/>
      </c>
      <c r="G1106" s="3">
        <f>IF(F1106="","",(F1106-AVERAGE(F6:F1198))/(STDEV(F6:F1198)+1E-12))</f>
        <v/>
      </c>
      <c r="H1106" s="3">
        <f>IF('3a Raw'!F1106="","",MAX(-3,MIN(3,('3a Raw'!F1106-$H3)/$H4)))</f>
        <v/>
      </c>
      <c r="I1106" s="3">
        <f>IF(H1106="","",(H1106-AVERAGE(H6:H1198))/(STDEV(H6:H1198)+1E-12))</f>
        <v/>
      </c>
      <c r="J1106" s="3">
        <f>IF('3a Raw'!G1106="","",MAX(-3,MIN(3,('3a Raw'!G1106-$J3)/$J4)))</f>
        <v/>
      </c>
      <c r="K1106" s="3">
        <f>IF(J1106="","",(J1106-AVERAGE(J6:J1198))/(STDEV(J6:J1198)+1E-12))</f>
        <v/>
      </c>
      <c r="L1106" s="3">
        <f>IF('3a Raw'!H1106="","",MAX(-3,MIN(3,('3a Raw'!H1106-$L3)/$L4)))</f>
        <v/>
      </c>
      <c r="M1106" s="3">
        <f>IF(L1106="","",(L1106-AVERAGE(L6:L1198))/(STDEV(L6:L1198)+1E-12))</f>
        <v/>
      </c>
      <c r="N1106" s="3">
        <f>IF('3a Raw'!I1106="","",MAX(-3,MIN(3,('3a Raw'!I1106-$N3)/$N4)))</f>
        <v/>
      </c>
      <c r="O1106" s="3">
        <f>IF(N1106="","",(N1106-AVERAGE(N6:N1198))/(STDEV(N6:N1198)+1E-12))</f>
        <v/>
      </c>
      <c r="P1106" s="3">
        <f>IF('3a Raw'!J1106="","",MAX(-3,MIN(3,('3a Raw'!J1106-$P3)/$P4)))</f>
        <v/>
      </c>
      <c r="Q1106" s="3">
        <f>IF(P1106="","",(P1106-AVERAGE(P6:P1198))/(STDEV(P6:P1198)+1E-12))</f>
        <v/>
      </c>
      <c r="R1106" s="3">
        <f>IF('3a Raw'!K1106="","",MAX(-3,MIN(3,('3a Raw'!K1106-$R3)/$R4)))</f>
        <v/>
      </c>
      <c r="S1106" s="3">
        <f>IF(R1106="","",(R1106-AVERAGE(R6:R1198))/(STDEV(R6:R1198)+1E-12))</f>
        <v/>
      </c>
      <c r="T1106" s="3">
        <f>IF('3a Raw'!L1106="","",MAX(-3,MIN(3,('3a Raw'!L1106-$T3)/$T4)))</f>
        <v/>
      </c>
      <c r="U1106" s="3">
        <f>IF(T1106="","",(T1106-AVERAGE(T6:T1198))/(STDEV(T6:T1198)+1E-12))</f>
        <v/>
      </c>
      <c r="X1106" s="3">
        <f>IF(U1106="","",U1106-($V$3*G1106+$W$3))</f>
        <v/>
      </c>
      <c r="Y1106" s="3">
        <f>IF(X1106="","",MAX(-3,MIN(3,(X1106-$X3)/$X4)))</f>
        <v/>
      </c>
      <c r="Z1106" s="3">
        <f>IF(Y1106="","",(Y1106-AVERAGE(Y6:Y1198))/(STDEV(Y6:Y1198)+1E-12))</f>
        <v/>
      </c>
    </row>
    <row r="1107">
      <c r="A1107" t="inlineStr">
        <is>
          <t>BBG000PSKYX7</t>
        </is>
      </c>
      <c r="B1107" s="3">
        <f>IF('3a Raw'!C1107="","",MAX(-3,MIN(3,('3a Raw'!C1107-$B3)/$B4)))</f>
        <v/>
      </c>
      <c r="C1107" s="3">
        <f>IF(B1107="","",(B1107-AVERAGE(B6:B1198))/(STDEV(B6:B1198)+1E-12))</f>
        <v/>
      </c>
      <c r="D1107" s="3">
        <f>IF('3a Raw'!D1107="","",MAX(-3,MIN(3,('3a Raw'!D1107-$D3)/$D4)))</f>
        <v/>
      </c>
      <c r="E1107" s="3">
        <f>IF(D1107="","",(D1107-AVERAGE(D6:D1198))/(STDEV(D6:D1198)+1E-12))</f>
        <v/>
      </c>
      <c r="F1107" s="3">
        <f>IF('3a Raw'!E1107="","",MAX(-3,MIN(3,('3a Raw'!E1107-$F3)/$F4)))</f>
        <v/>
      </c>
      <c r="G1107" s="3">
        <f>IF(F1107="","",(F1107-AVERAGE(F6:F1198))/(STDEV(F6:F1198)+1E-12))</f>
        <v/>
      </c>
      <c r="H1107" s="3">
        <f>IF('3a Raw'!F1107="","",MAX(-3,MIN(3,('3a Raw'!F1107-$H3)/$H4)))</f>
        <v/>
      </c>
      <c r="I1107" s="3">
        <f>IF(H1107="","",(H1107-AVERAGE(H6:H1198))/(STDEV(H6:H1198)+1E-12))</f>
        <v/>
      </c>
      <c r="J1107" s="3">
        <f>IF('3a Raw'!G1107="","",MAX(-3,MIN(3,('3a Raw'!G1107-$J3)/$J4)))</f>
        <v/>
      </c>
      <c r="K1107" s="3">
        <f>IF(J1107="","",(J1107-AVERAGE(J6:J1198))/(STDEV(J6:J1198)+1E-12))</f>
        <v/>
      </c>
      <c r="L1107" s="3">
        <f>IF('3a Raw'!H1107="","",MAX(-3,MIN(3,('3a Raw'!H1107-$L3)/$L4)))</f>
        <v/>
      </c>
      <c r="M1107" s="3">
        <f>IF(L1107="","",(L1107-AVERAGE(L6:L1198))/(STDEV(L6:L1198)+1E-12))</f>
        <v/>
      </c>
      <c r="N1107" s="3">
        <f>IF('3a Raw'!I1107="","",MAX(-3,MIN(3,('3a Raw'!I1107-$N3)/$N4)))</f>
        <v/>
      </c>
      <c r="O1107" s="3">
        <f>IF(N1107="","",(N1107-AVERAGE(N6:N1198))/(STDEV(N6:N1198)+1E-12))</f>
        <v/>
      </c>
      <c r="P1107" s="3">
        <f>IF('3a Raw'!J1107="","",MAX(-3,MIN(3,('3a Raw'!J1107-$P3)/$P4)))</f>
        <v/>
      </c>
      <c r="Q1107" s="3">
        <f>IF(P1107="","",(P1107-AVERAGE(P6:P1198))/(STDEV(P6:P1198)+1E-12))</f>
        <v/>
      </c>
      <c r="R1107" s="3">
        <f>IF('3a Raw'!K1107="","",MAX(-3,MIN(3,('3a Raw'!K1107-$R3)/$R4)))</f>
        <v/>
      </c>
      <c r="S1107" s="3">
        <f>IF(R1107="","",(R1107-AVERAGE(R6:R1198))/(STDEV(R6:R1198)+1E-12))</f>
        <v/>
      </c>
      <c r="T1107" s="3">
        <f>IF('3a Raw'!L1107="","",MAX(-3,MIN(3,('3a Raw'!L1107-$T3)/$T4)))</f>
        <v/>
      </c>
      <c r="U1107" s="3">
        <f>IF(T1107="","",(T1107-AVERAGE(T6:T1198))/(STDEV(T6:T1198)+1E-12))</f>
        <v/>
      </c>
      <c r="X1107" s="3">
        <f>IF(U1107="","",U1107-($V$3*G1107+$W$3))</f>
        <v/>
      </c>
      <c r="Y1107" s="3">
        <f>IF(X1107="","",MAX(-3,MIN(3,(X1107-$X3)/$X4)))</f>
        <v/>
      </c>
      <c r="Z1107" s="3">
        <f>IF(Y1107="","",(Y1107-AVERAGE(Y6:Y1198))/(STDEV(Y6:Y1198)+1E-12))</f>
        <v/>
      </c>
    </row>
    <row r="1108">
      <c r="A1108" t="inlineStr">
        <is>
          <t>BBG001J2R5H3</t>
        </is>
      </c>
      <c r="B1108" s="3">
        <f>IF('3a Raw'!C1108="","",MAX(-3,MIN(3,('3a Raw'!C1108-$B3)/$B4)))</f>
        <v/>
      </c>
      <c r="C1108" s="3">
        <f>IF(B1108="","",(B1108-AVERAGE(B6:B1198))/(STDEV(B6:B1198)+1E-12))</f>
        <v/>
      </c>
      <c r="D1108" s="3">
        <f>IF('3a Raw'!D1108="","",MAX(-3,MIN(3,('3a Raw'!D1108-$D3)/$D4)))</f>
        <v/>
      </c>
      <c r="E1108" s="3">
        <f>IF(D1108="","",(D1108-AVERAGE(D6:D1198))/(STDEV(D6:D1198)+1E-12))</f>
        <v/>
      </c>
      <c r="F1108" s="3">
        <f>IF('3a Raw'!E1108="","",MAX(-3,MIN(3,('3a Raw'!E1108-$F3)/$F4)))</f>
        <v/>
      </c>
      <c r="G1108" s="3">
        <f>IF(F1108="","",(F1108-AVERAGE(F6:F1198))/(STDEV(F6:F1198)+1E-12))</f>
        <v/>
      </c>
      <c r="H1108" s="3">
        <f>IF('3a Raw'!F1108="","",MAX(-3,MIN(3,('3a Raw'!F1108-$H3)/$H4)))</f>
        <v/>
      </c>
      <c r="I1108" s="3">
        <f>IF(H1108="","",(H1108-AVERAGE(H6:H1198))/(STDEV(H6:H1198)+1E-12))</f>
        <v/>
      </c>
      <c r="J1108" s="3">
        <f>IF('3a Raw'!G1108="","",MAX(-3,MIN(3,('3a Raw'!G1108-$J3)/$J4)))</f>
        <v/>
      </c>
      <c r="K1108" s="3">
        <f>IF(J1108="","",(J1108-AVERAGE(J6:J1198))/(STDEV(J6:J1198)+1E-12))</f>
        <v/>
      </c>
      <c r="L1108" s="3">
        <f>IF('3a Raw'!H1108="","",MAX(-3,MIN(3,('3a Raw'!H1108-$L3)/$L4)))</f>
        <v/>
      </c>
      <c r="M1108" s="3">
        <f>IF(L1108="","",(L1108-AVERAGE(L6:L1198))/(STDEV(L6:L1198)+1E-12))</f>
        <v/>
      </c>
      <c r="N1108" s="3">
        <f>IF('3a Raw'!I1108="","",MAX(-3,MIN(3,('3a Raw'!I1108-$N3)/$N4)))</f>
        <v/>
      </c>
      <c r="O1108" s="3">
        <f>IF(N1108="","",(N1108-AVERAGE(N6:N1198))/(STDEV(N6:N1198)+1E-12))</f>
        <v/>
      </c>
      <c r="P1108" s="3">
        <f>IF('3a Raw'!J1108="","",MAX(-3,MIN(3,('3a Raw'!J1108-$P3)/$P4)))</f>
        <v/>
      </c>
      <c r="Q1108" s="3">
        <f>IF(P1108="","",(P1108-AVERAGE(P6:P1198))/(STDEV(P6:P1198)+1E-12))</f>
        <v/>
      </c>
      <c r="R1108" s="3">
        <f>IF('3a Raw'!K1108="","",MAX(-3,MIN(3,('3a Raw'!K1108-$R3)/$R4)))</f>
        <v/>
      </c>
      <c r="S1108" s="3">
        <f>IF(R1108="","",(R1108-AVERAGE(R6:R1198))/(STDEV(R6:R1198)+1E-12))</f>
        <v/>
      </c>
      <c r="T1108" s="3">
        <f>IF('3a Raw'!L1108="","",MAX(-3,MIN(3,('3a Raw'!L1108-$T3)/$T4)))</f>
        <v/>
      </c>
      <c r="U1108" s="3">
        <f>IF(T1108="","",(T1108-AVERAGE(T6:T1198))/(STDEV(T6:T1198)+1E-12))</f>
        <v/>
      </c>
      <c r="X1108" s="3">
        <f>IF(U1108="","",U1108-($V$3*G1108+$W$3))</f>
        <v/>
      </c>
      <c r="Y1108" s="3">
        <f>IF(X1108="","",MAX(-3,MIN(3,(X1108-$X3)/$X4)))</f>
        <v/>
      </c>
      <c r="Z1108" s="3">
        <f>IF(Y1108="","",(Y1108-AVERAGE(Y6:Y1198))/(STDEV(Y6:Y1198)+1E-12))</f>
        <v/>
      </c>
    </row>
    <row r="1109">
      <c r="A1109" t="inlineStr">
        <is>
          <t>BBG0016T3GQ0</t>
        </is>
      </c>
      <c r="B1109" s="3">
        <f>IF('3a Raw'!C1109="","",MAX(-3,MIN(3,('3a Raw'!C1109-$B3)/$B4)))</f>
        <v/>
      </c>
      <c r="C1109" s="3">
        <f>IF(B1109="","",(B1109-AVERAGE(B6:B1198))/(STDEV(B6:B1198)+1E-12))</f>
        <v/>
      </c>
      <c r="D1109" s="3">
        <f>IF('3a Raw'!D1109="","",MAX(-3,MIN(3,('3a Raw'!D1109-$D3)/$D4)))</f>
        <v/>
      </c>
      <c r="E1109" s="3">
        <f>IF(D1109="","",(D1109-AVERAGE(D6:D1198))/(STDEV(D6:D1198)+1E-12))</f>
        <v/>
      </c>
      <c r="F1109" s="3">
        <f>IF('3a Raw'!E1109="","",MAX(-3,MIN(3,('3a Raw'!E1109-$F3)/$F4)))</f>
        <v/>
      </c>
      <c r="G1109" s="3">
        <f>IF(F1109="","",(F1109-AVERAGE(F6:F1198))/(STDEV(F6:F1198)+1E-12))</f>
        <v/>
      </c>
      <c r="H1109" s="3">
        <f>IF('3a Raw'!F1109="","",MAX(-3,MIN(3,('3a Raw'!F1109-$H3)/$H4)))</f>
        <v/>
      </c>
      <c r="I1109" s="3">
        <f>IF(H1109="","",(H1109-AVERAGE(H6:H1198))/(STDEV(H6:H1198)+1E-12))</f>
        <v/>
      </c>
      <c r="J1109" s="3">
        <f>IF('3a Raw'!G1109="","",MAX(-3,MIN(3,('3a Raw'!G1109-$J3)/$J4)))</f>
        <v/>
      </c>
      <c r="K1109" s="3">
        <f>IF(J1109="","",(J1109-AVERAGE(J6:J1198))/(STDEV(J6:J1198)+1E-12))</f>
        <v/>
      </c>
      <c r="L1109" s="3">
        <f>IF('3a Raw'!H1109="","",MAX(-3,MIN(3,('3a Raw'!H1109-$L3)/$L4)))</f>
        <v/>
      </c>
      <c r="M1109" s="3">
        <f>IF(L1109="","",(L1109-AVERAGE(L6:L1198))/(STDEV(L6:L1198)+1E-12))</f>
        <v/>
      </c>
      <c r="N1109" s="3">
        <f>IF('3a Raw'!I1109="","",MAX(-3,MIN(3,('3a Raw'!I1109-$N3)/$N4)))</f>
        <v/>
      </c>
      <c r="O1109" s="3">
        <f>IF(N1109="","",(N1109-AVERAGE(N6:N1198))/(STDEV(N6:N1198)+1E-12))</f>
        <v/>
      </c>
      <c r="P1109" s="3">
        <f>IF('3a Raw'!J1109="","",MAX(-3,MIN(3,('3a Raw'!J1109-$P3)/$P4)))</f>
        <v/>
      </c>
      <c r="Q1109" s="3">
        <f>IF(P1109="","",(P1109-AVERAGE(P6:P1198))/(STDEV(P6:P1198)+1E-12))</f>
        <v/>
      </c>
      <c r="R1109" s="3">
        <f>IF('3a Raw'!K1109="","",MAX(-3,MIN(3,('3a Raw'!K1109-$R3)/$R4)))</f>
        <v/>
      </c>
      <c r="S1109" s="3">
        <f>IF(R1109="","",(R1109-AVERAGE(R6:R1198))/(STDEV(R6:R1198)+1E-12))</f>
        <v/>
      </c>
      <c r="T1109" s="3">
        <f>IF('3a Raw'!L1109="","",MAX(-3,MIN(3,('3a Raw'!L1109-$T3)/$T4)))</f>
        <v/>
      </c>
      <c r="U1109" s="3">
        <f>IF(T1109="","",(T1109-AVERAGE(T6:T1198))/(STDEV(T6:T1198)+1E-12))</f>
        <v/>
      </c>
      <c r="X1109" s="3">
        <f>IF(U1109="","",U1109-($V$3*G1109+$W$3))</f>
        <v/>
      </c>
      <c r="Y1109" s="3">
        <f>IF(X1109="","",MAX(-3,MIN(3,(X1109-$X3)/$X4)))</f>
        <v/>
      </c>
      <c r="Z1109" s="3">
        <f>IF(Y1109="","",(Y1109-AVERAGE(Y6:Y1198))/(STDEV(Y6:Y1198)+1E-12))</f>
        <v/>
      </c>
    </row>
    <row r="1110">
      <c r="A1110" t="inlineStr">
        <is>
          <t>BBG001CGB489</t>
        </is>
      </c>
      <c r="B1110" s="3">
        <f>IF('3a Raw'!C1110="","",MAX(-3,MIN(3,('3a Raw'!C1110-$B3)/$B4)))</f>
        <v/>
      </c>
      <c r="C1110" s="3">
        <f>IF(B1110="","",(B1110-AVERAGE(B6:B1198))/(STDEV(B6:B1198)+1E-12))</f>
        <v/>
      </c>
      <c r="D1110" s="3">
        <f>IF('3a Raw'!D1110="","",MAX(-3,MIN(3,('3a Raw'!D1110-$D3)/$D4)))</f>
        <v/>
      </c>
      <c r="E1110" s="3">
        <f>IF(D1110="","",(D1110-AVERAGE(D6:D1198))/(STDEV(D6:D1198)+1E-12))</f>
        <v/>
      </c>
      <c r="F1110" s="3">
        <f>IF('3a Raw'!E1110="","",MAX(-3,MIN(3,('3a Raw'!E1110-$F3)/$F4)))</f>
        <v/>
      </c>
      <c r="G1110" s="3">
        <f>IF(F1110="","",(F1110-AVERAGE(F6:F1198))/(STDEV(F6:F1198)+1E-12))</f>
        <v/>
      </c>
      <c r="H1110" s="3">
        <f>IF('3a Raw'!F1110="","",MAX(-3,MIN(3,('3a Raw'!F1110-$H3)/$H4)))</f>
        <v/>
      </c>
      <c r="I1110" s="3">
        <f>IF(H1110="","",(H1110-AVERAGE(H6:H1198))/(STDEV(H6:H1198)+1E-12))</f>
        <v/>
      </c>
      <c r="J1110" s="3">
        <f>IF('3a Raw'!G1110="","",MAX(-3,MIN(3,('3a Raw'!G1110-$J3)/$J4)))</f>
        <v/>
      </c>
      <c r="K1110" s="3">
        <f>IF(J1110="","",(J1110-AVERAGE(J6:J1198))/(STDEV(J6:J1198)+1E-12))</f>
        <v/>
      </c>
      <c r="L1110" s="3">
        <f>IF('3a Raw'!H1110="","",MAX(-3,MIN(3,('3a Raw'!H1110-$L3)/$L4)))</f>
        <v/>
      </c>
      <c r="M1110" s="3">
        <f>IF(L1110="","",(L1110-AVERAGE(L6:L1198))/(STDEV(L6:L1198)+1E-12))</f>
        <v/>
      </c>
      <c r="N1110" s="3">
        <f>IF('3a Raw'!I1110="","",MAX(-3,MIN(3,('3a Raw'!I1110-$N3)/$N4)))</f>
        <v/>
      </c>
      <c r="O1110" s="3">
        <f>IF(N1110="","",(N1110-AVERAGE(N6:N1198))/(STDEV(N6:N1198)+1E-12))</f>
        <v/>
      </c>
      <c r="P1110" s="3">
        <f>IF('3a Raw'!J1110="","",MAX(-3,MIN(3,('3a Raw'!J1110-$P3)/$P4)))</f>
        <v/>
      </c>
      <c r="Q1110" s="3">
        <f>IF(P1110="","",(P1110-AVERAGE(P6:P1198))/(STDEV(P6:P1198)+1E-12))</f>
        <v/>
      </c>
      <c r="R1110" s="3">
        <f>IF('3a Raw'!K1110="","",MAX(-3,MIN(3,('3a Raw'!K1110-$R3)/$R4)))</f>
        <v/>
      </c>
      <c r="S1110" s="3">
        <f>IF(R1110="","",(R1110-AVERAGE(R6:R1198))/(STDEV(R6:R1198)+1E-12))</f>
        <v/>
      </c>
      <c r="T1110" s="3">
        <f>IF('3a Raw'!L1110="","",MAX(-3,MIN(3,('3a Raw'!L1110-$T3)/$T4)))</f>
        <v/>
      </c>
      <c r="U1110" s="3">
        <f>IF(T1110="","",(T1110-AVERAGE(T6:T1198))/(STDEV(T6:T1198)+1E-12))</f>
        <v/>
      </c>
      <c r="X1110" s="3">
        <f>IF(U1110="","",U1110-($V$3*G1110+$W$3))</f>
        <v/>
      </c>
      <c r="Y1110" s="3">
        <f>IF(X1110="","",MAX(-3,MIN(3,(X1110-$X3)/$X4)))</f>
        <v/>
      </c>
      <c r="Z1110" s="3">
        <f>IF(Y1110="","",(Y1110-AVERAGE(Y6:Y1198))/(STDEV(Y6:Y1198)+1E-12))</f>
        <v/>
      </c>
    </row>
    <row r="1111">
      <c r="A1111" t="inlineStr">
        <is>
          <t>BBG000BWCKB6</t>
        </is>
      </c>
      <c r="B1111" s="3">
        <f>IF('3a Raw'!C1111="","",MAX(-3,MIN(3,('3a Raw'!C1111-$B3)/$B4)))</f>
        <v/>
      </c>
      <c r="C1111" s="3">
        <f>IF(B1111="","",(B1111-AVERAGE(B6:B1198))/(STDEV(B6:B1198)+1E-12))</f>
        <v/>
      </c>
      <c r="D1111" s="3">
        <f>IF('3a Raw'!D1111="","",MAX(-3,MIN(3,('3a Raw'!D1111-$D3)/$D4)))</f>
        <v/>
      </c>
      <c r="E1111" s="3">
        <f>IF(D1111="","",(D1111-AVERAGE(D6:D1198))/(STDEV(D6:D1198)+1E-12))</f>
        <v/>
      </c>
      <c r="F1111" s="3">
        <f>IF('3a Raw'!E1111="","",MAX(-3,MIN(3,('3a Raw'!E1111-$F3)/$F4)))</f>
        <v/>
      </c>
      <c r="G1111" s="3">
        <f>IF(F1111="","",(F1111-AVERAGE(F6:F1198))/(STDEV(F6:F1198)+1E-12))</f>
        <v/>
      </c>
      <c r="H1111" s="3">
        <f>IF('3a Raw'!F1111="","",MAX(-3,MIN(3,('3a Raw'!F1111-$H3)/$H4)))</f>
        <v/>
      </c>
      <c r="I1111" s="3">
        <f>IF(H1111="","",(H1111-AVERAGE(H6:H1198))/(STDEV(H6:H1198)+1E-12))</f>
        <v/>
      </c>
      <c r="J1111" s="3">
        <f>IF('3a Raw'!G1111="","",MAX(-3,MIN(3,('3a Raw'!G1111-$J3)/$J4)))</f>
        <v/>
      </c>
      <c r="K1111" s="3">
        <f>IF(J1111="","",(J1111-AVERAGE(J6:J1198))/(STDEV(J6:J1198)+1E-12))</f>
        <v/>
      </c>
      <c r="L1111" s="3">
        <f>IF('3a Raw'!H1111="","",MAX(-3,MIN(3,('3a Raw'!H1111-$L3)/$L4)))</f>
        <v/>
      </c>
      <c r="M1111" s="3">
        <f>IF(L1111="","",(L1111-AVERAGE(L6:L1198))/(STDEV(L6:L1198)+1E-12))</f>
        <v/>
      </c>
      <c r="N1111" s="3">
        <f>IF('3a Raw'!I1111="","",MAX(-3,MIN(3,('3a Raw'!I1111-$N3)/$N4)))</f>
        <v/>
      </c>
      <c r="O1111" s="3">
        <f>IF(N1111="","",(N1111-AVERAGE(N6:N1198))/(STDEV(N6:N1198)+1E-12))</f>
        <v/>
      </c>
      <c r="P1111" s="3">
        <f>IF('3a Raw'!J1111="","",MAX(-3,MIN(3,('3a Raw'!J1111-$P3)/$P4)))</f>
        <v/>
      </c>
      <c r="Q1111" s="3">
        <f>IF(P1111="","",(P1111-AVERAGE(P6:P1198))/(STDEV(P6:P1198)+1E-12))</f>
        <v/>
      </c>
      <c r="R1111" s="3">
        <f>IF('3a Raw'!K1111="","",MAX(-3,MIN(3,('3a Raw'!K1111-$R3)/$R4)))</f>
        <v/>
      </c>
      <c r="S1111" s="3">
        <f>IF(R1111="","",(R1111-AVERAGE(R6:R1198))/(STDEV(R6:R1198)+1E-12))</f>
        <v/>
      </c>
      <c r="T1111" s="3">
        <f>IF('3a Raw'!L1111="","",MAX(-3,MIN(3,('3a Raw'!L1111-$T3)/$T4)))</f>
        <v/>
      </c>
      <c r="U1111" s="3">
        <f>IF(T1111="","",(T1111-AVERAGE(T6:T1198))/(STDEV(T6:T1198)+1E-12))</f>
        <v/>
      </c>
      <c r="X1111" s="3">
        <f>IF(U1111="","",U1111-($V$3*G1111+$W$3))</f>
        <v/>
      </c>
      <c r="Y1111" s="3">
        <f>IF(X1111="","",MAX(-3,MIN(3,(X1111-$X3)/$X4)))</f>
        <v/>
      </c>
      <c r="Z1111" s="3">
        <f>IF(Y1111="","",(Y1111-AVERAGE(Y6:Y1198))/(STDEV(Y6:Y1198)+1E-12))</f>
        <v/>
      </c>
    </row>
    <row r="1112">
      <c r="A1112" t="inlineStr">
        <is>
          <t>BBG007XLFXD8</t>
        </is>
      </c>
      <c r="B1112" s="3">
        <f>IF('3a Raw'!C1112="","",MAX(-3,MIN(3,('3a Raw'!C1112-$B3)/$B4)))</f>
        <v/>
      </c>
      <c r="C1112" s="3">
        <f>IF(B1112="","",(B1112-AVERAGE(B6:B1198))/(STDEV(B6:B1198)+1E-12))</f>
        <v/>
      </c>
      <c r="D1112" s="3">
        <f>IF('3a Raw'!D1112="","",MAX(-3,MIN(3,('3a Raw'!D1112-$D3)/$D4)))</f>
        <v/>
      </c>
      <c r="E1112" s="3">
        <f>IF(D1112="","",(D1112-AVERAGE(D6:D1198))/(STDEV(D6:D1198)+1E-12))</f>
        <v/>
      </c>
      <c r="F1112" s="3">
        <f>IF('3a Raw'!E1112="","",MAX(-3,MIN(3,('3a Raw'!E1112-$F3)/$F4)))</f>
        <v/>
      </c>
      <c r="G1112" s="3">
        <f>IF(F1112="","",(F1112-AVERAGE(F6:F1198))/(STDEV(F6:F1198)+1E-12))</f>
        <v/>
      </c>
      <c r="H1112" s="3">
        <f>IF('3a Raw'!F1112="","",MAX(-3,MIN(3,('3a Raw'!F1112-$H3)/$H4)))</f>
        <v/>
      </c>
      <c r="I1112" s="3">
        <f>IF(H1112="","",(H1112-AVERAGE(H6:H1198))/(STDEV(H6:H1198)+1E-12))</f>
        <v/>
      </c>
      <c r="J1112" s="3">
        <f>IF('3a Raw'!G1112="","",MAX(-3,MIN(3,('3a Raw'!G1112-$J3)/$J4)))</f>
        <v/>
      </c>
      <c r="K1112" s="3">
        <f>IF(J1112="","",(J1112-AVERAGE(J6:J1198))/(STDEV(J6:J1198)+1E-12))</f>
        <v/>
      </c>
      <c r="L1112" s="3">
        <f>IF('3a Raw'!H1112="","",MAX(-3,MIN(3,('3a Raw'!H1112-$L3)/$L4)))</f>
        <v/>
      </c>
      <c r="M1112" s="3">
        <f>IF(L1112="","",(L1112-AVERAGE(L6:L1198))/(STDEV(L6:L1198)+1E-12))</f>
        <v/>
      </c>
      <c r="N1112" s="3">
        <f>IF('3a Raw'!I1112="","",MAX(-3,MIN(3,('3a Raw'!I1112-$N3)/$N4)))</f>
        <v/>
      </c>
      <c r="O1112" s="3">
        <f>IF(N1112="","",(N1112-AVERAGE(N6:N1198))/(STDEV(N6:N1198)+1E-12))</f>
        <v/>
      </c>
      <c r="P1112" s="3">
        <f>IF('3a Raw'!J1112="","",MAX(-3,MIN(3,('3a Raw'!J1112-$P3)/$P4)))</f>
        <v/>
      </c>
      <c r="Q1112" s="3">
        <f>IF(P1112="","",(P1112-AVERAGE(P6:P1198))/(STDEV(P6:P1198)+1E-12))</f>
        <v/>
      </c>
      <c r="R1112" s="3">
        <f>IF('3a Raw'!K1112="","",MAX(-3,MIN(3,('3a Raw'!K1112-$R3)/$R4)))</f>
        <v/>
      </c>
      <c r="S1112" s="3">
        <f>IF(R1112="","",(R1112-AVERAGE(R6:R1198))/(STDEV(R6:R1198)+1E-12))</f>
        <v/>
      </c>
      <c r="T1112" s="3">
        <f>IF('3a Raw'!L1112="","",MAX(-3,MIN(3,('3a Raw'!L1112-$T3)/$T4)))</f>
        <v/>
      </c>
      <c r="U1112" s="3">
        <f>IF(T1112="","",(T1112-AVERAGE(T6:T1198))/(STDEV(T6:T1198)+1E-12))</f>
        <v/>
      </c>
      <c r="X1112" s="3">
        <f>IF(U1112="","",U1112-($V$3*G1112+$W$3))</f>
        <v/>
      </c>
      <c r="Y1112" s="3">
        <f>IF(X1112="","",MAX(-3,MIN(3,(X1112-$X3)/$X4)))</f>
        <v/>
      </c>
      <c r="Z1112" s="3">
        <f>IF(Y1112="","",(Y1112-AVERAGE(Y6:Y1198))/(STDEV(Y6:Y1198)+1E-12))</f>
        <v/>
      </c>
    </row>
    <row r="1113">
      <c r="A1113" t="inlineStr">
        <is>
          <t>BBG000BP7JB0</t>
        </is>
      </c>
      <c r="B1113" s="3">
        <f>IF('3a Raw'!C1113="","",MAX(-3,MIN(3,('3a Raw'!C1113-$B3)/$B4)))</f>
        <v/>
      </c>
      <c r="C1113" s="3">
        <f>IF(B1113="","",(B1113-AVERAGE(B6:B1198))/(STDEV(B6:B1198)+1E-12))</f>
        <v/>
      </c>
      <c r="D1113" s="3">
        <f>IF('3a Raw'!D1113="","",MAX(-3,MIN(3,('3a Raw'!D1113-$D3)/$D4)))</f>
        <v/>
      </c>
      <c r="E1113" s="3">
        <f>IF(D1113="","",(D1113-AVERAGE(D6:D1198))/(STDEV(D6:D1198)+1E-12))</f>
        <v/>
      </c>
      <c r="F1113" s="3">
        <f>IF('3a Raw'!E1113="","",MAX(-3,MIN(3,('3a Raw'!E1113-$F3)/$F4)))</f>
        <v/>
      </c>
      <c r="G1113" s="3">
        <f>IF(F1113="","",(F1113-AVERAGE(F6:F1198))/(STDEV(F6:F1198)+1E-12))</f>
        <v/>
      </c>
      <c r="H1113" s="3">
        <f>IF('3a Raw'!F1113="","",MAX(-3,MIN(3,('3a Raw'!F1113-$H3)/$H4)))</f>
        <v/>
      </c>
      <c r="I1113" s="3">
        <f>IF(H1113="","",(H1113-AVERAGE(H6:H1198))/(STDEV(H6:H1198)+1E-12))</f>
        <v/>
      </c>
      <c r="J1113" s="3">
        <f>IF('3a Raw'!G1113="","",MAX(-3,MIN(3,('3a Raw'!G1113-$J3)/$J4)))</f>
        <v/>
      </c>
      <c r="K1113" s="3">
        <f>IF(J1113="","",(J1113-AVERAGE(J6:J1198))/(STDEV(J6:J1198)+1E-12))</f>
        <v/>
      </c>
      <c r="L1113" s="3">
        <f>IF('3a Raw'!H1113="","",MAX(-3,MIN(3,('3a Raw'!H1113-$L3)/$L4)))</f>
        <v/>
      </c>
      <c r="M1113" s="3">
        <f>IF(L1113="","",(L1113-AVERAGE(L6:L1198))/(STDEV(L6:L1198)+1E-12))</f>
        <v/>
      </c>
      <c r="N1113" s="3">
        <f>IF('3a Raw'!I1113="","",MAX(-3,MIN(3,('3a Raw'!I1113-$N3)/$N4)))</f>
        <v/>
      </c>
      <c r="O1113" s="3">
        <f>IF(N1113="","",(N1113-AVERAGE(N6:N1198))/(STDEV(N6:N1198)+1E-12))</f>
        <v/>
      </c>
      <c r="P1113" s="3">
        <f>IF('3a Raw'!J1113="","",MAX(-3,MIN(3,('3a Raw'!J1113-$P3)/$P4)))</f>
        <v/>
      </c>
      <c r="Q1113" s="3">
        <f>IF(P1113="","",(P1113-AVERAGE(P6:P1198))/(STDEV(P6:P1198)+1E-12))</f>
        <v/>
      </c>
      <c r="R1113" s="3">
        <f>IF('3a Raw'!K1113="","",MAX(-3,MIN(3,('3a Raw'!K1113-$R3)/$R4)))</f>
        <v/>
      </c>
      <c r="S1113" s="3">
        <f>IF(R1113="","",(R1113-AVERAGE(R6:R1198))/(STDEV(R6:R1198)+1E-12))</f>
        <v/>
      </c>
      <c r="T1113" s="3">
        <f>IF('3a Raw'!L1113="","",MAX(-3,MIN(3,('3a Raw'!L1113-$T3)/$T4)))</f>
        <v/>
      </c>
      <c r="U1113" s="3">
        <f>IF(T1113="","",(T1113-AVERAGE(T6:T1198))/(STDEV(T6:T1198)+1E-12))</f>
        <v/>
      </c>
      <c r="X1113" s="3">
        <f>IF(U1113="","",U1113-($V$3*G1113+$W$3))</f>
        <v/>
      </c>
      <c r="Y1113" s="3">
        <f>IF(X1113="","",MAX(-3,MIN(3,(X1113-$X3)/$X4)))</f>
        <v/>
      </c>
      <c r="Z1113" s="3">
        <f>IF(Y1113="","",(Y1113-AVERAGE(Y6:Y1198))/(STDEV(Y6:Y1198)+1E-12))</f>
        <v/>
      </c>
    </row>
    <row r="1114">
      <c r="A1114" t="inlineStr">
        <is>
          <t>BBG00HVVB499</t>
        </is>
      </c>
      <c r="B1114" s="3">
        <f>IF('3a Raw'!C1114="","",MAX(-3,MIN(3,('3a Raw'!C1114-$B3)/$B4)))</f>
        <v/>
      </c>
      <c r="C1114" s="3">
        <f>IF(B1114="","",(B1114-AVERAGE(B6:B1198))/(STDEV(B6:B1198)+1E-12))</f>
        <v/>
      </c>
      <c r="D1114" s="3">
        <f>IF('3a Raw'!D1114="","",MAX(-3,MIN(3,('3a Raw'!D1114-$D3)/$D4)))</f>
        <v/>
      </c>
      <c r="E1114" s="3">
        <f>IF(D1114="","",(D1114-AVERAGE(D6:D1198))/(STDEV(D6:D1198)+1E-12))</f>
        <v/>
      </c>
      <c r="F1114" s="3">
        <f>IF('3a Raw'!E1114="","",MAX(-3,MIN(3,('3a Raw'!E1114-$F3)/$F4)))</f>
        <v/>
      </c>
      <c r="G1114" s="3">
        <f>IF(F1114="","",(F1114-AVERAGE(F6:F1198))/(STDEV(F6:F1198)+1E-12))</f>
        <v/>
      </c>
      <c r="H1114" s="3">
        <f>IF('3a Raw'!F1114="","",MAX(-3,MIN(3,('3a Raw'!F1114-$H3)/$H4)))</f>
        <v/>
      </c>
      <c r="I1114" s="3">
        <f>IF(H1114="","",(H1114-AVERAGE(H6:H1198))/(STDEV(H6:H1198)+1E-12))</f>
        <v/>
      </c>
      <c r="J1114" s="3">
        <f>IF('3a Raw'!G1114="","",MAX(-3,MIN(3,('3a Raw'!G1114-$J3)/$J4)))</f>
        <v/>
      </c>
      <c r="K1114" s="3">
        <f>IF(J1114="","",(J1114-AVERAGE(J6:J1198))/(STDEV(J6:J1198)+1E-12))</f>
        <v/>
      </c>
      <c r="L1114" s="3">
        <f>IF('3a Raw'!H1114="","",MAX(-3,MIN(3,('3a Raw'!H1114-$L3)/$L4)))</f>
        <v/>
      </c>
      <c r="M1114" s="3">
        <f>IF(L1114="","",(L1114-AVERAGE(L6:L1198))/(STDEV(L6:L1198)+1E-12))</f>
        <v/>
      </c>
      <c r="N1114" s="3">
        <f>IF('3a Raw'!I1114="","",MAX(-3,MIN(3,('3a Raw'!I1114-$N3)/$N4)))</f>
        <v/>
      </c>
      <c r="O1114" s="3">
        <f>IF(N1114="","",(N1114-AVERAGE(N6:N1198))/(STDEV(N6:N1198)+1E-12))</f>
        <v/>
      </c>
      <c r="P1114" s="3">
        <f>IF('3a Raw'!J1114="","",MAX(-3,MIN(3,('3a Raw'!J1114-$P3)/$P4)))</f>
        <v/>
      </c>
      <c r="Q1114" s="3">
        <f>IF(P1114="","",(P1114-AVERAGE(P6:P1198))/(STDEV(P6:P1198)+1E-12))</f>
        <v/>
      </c>
      <c r="R1114" s="3">
        <f>IF('3a Raw'!K1114="","",MAX(-3,MIN(3,('3a Raw'!K1114-$R3)/$R4)))</f>
        <v/>
      </c>
      <c r="S1114" s="3">
        <f>IF(R1114="","",(R1114-AVERAGE(R6:R1198))/(STDEV(R6:R1198)+1E-12))</f>
        <v/>
      </c>
      <c r="T1114" s="3">
        <f>IF('3a Raw'!L1114="","",MAX(-3,MIN(3,('3a Raw'!L1114-$T3)/$T4)))</f>
        <v/>
      </c>
      <c r="U1114" s="3">
        <f>IF(T1114="","",(T1114-AVERAGE(T6:T1198))/(STDEV(T6:T1198)+1E-12))</f>
        <v/>
      </c>
      <c r="X1114" s="3">
        <f>IF(U1114="","",U1114-($V$3*G1114+$W$3))</f>
        <v/>
      </c>
      <c r="Y1114" s="3">
        <f>IF(X1114="","",MAX(-3,MIN(3,(X1114-$X3)/$X4)))</f>
        <v/>
      </c>
      <c r="Z1114" s="3">
        <f>IF(Y1114="","",(Y1114-AVERAGE(Y6:Y1198))/(STDEV(Y6:Y1198)+1E-12))</f>
        <v/>
      </c>
    </row>
    <row r="1115">
      <c r="A1115" t="inlineStr">
        <is>
          <t>BBG002NLDLV8</t>
        </is>
      </c>
      <c r="B1115" s="3">
        <f>IF('3a Raw'!C1115="","",MAX(-3,MIN(3,('3a Raw'!C1115-$B3)/$B4)))</f>
        <v/>
      </c>
      <c r="C1115" s="3">
        <f>IF(B1115="","",(B1115-AVERAGE(B6:B1198))/(STDEV(B6:B1198)+1E-12))</f>
        <v/>
      </c>
      <c r="D1115" s="3">
        <f>IF('3a Raw'!D1115="","",MAX(-3,MIN(3,('3a Raw'!D1115-$D3)/$D4)))</f>
        <v/>
      </c>
      <c r="E1115" s="3">
        <f>IF(D1115="","",(D1115-AVERAGE(D6:D1198))/(STDEV(D6:D1198)+1E-12))</f>
        <v/>
      </c>
      <c r="F1115" s="3">
        <f>IF('3a Raw'!E1115="","",MAX(-3,MIN(3,('3a Raw'!E1115-$F3)/$F4)))</f>
        <v/>
      </c>
      <c r="G1115" s="3">
        <f>IF(F1115="","",(F1115-AVERAGE(F6:F1198))/(STDEV(F6:F1198)+1E-12))</f>
        <v/>
      </c>
      <c r="H1115" s="3">
        <f>IF('3a Raw'!F1115="","",MAX(-3,MIN(3,('3a Raw'!F1115-$H3)/$H4)))</f>
        <v/>
      </c>
      <c r="I1115" s="3">
        <f>IF(H1115="","",(H1115-AVERAGE(H6:H1198))/(STDEV(H6:H1198)+1E-12))</f>
        <v/>
      </c>
      <c r="J1115" s="3">
        <f>IF('3a Raw'!G1115="","",MAX(-3,MIN(3,('3a Raw'!G1115-$J3)/$J4)))</f>
        <v/>
      </c>
      <c r="K1115" s="3">
        <f>IF(J1115="","",(J1115-AVERAGE(J6:J1198))/(STDEV(J6:J1198)+1E-12))</f>
        <v/>
      </c>
      <c r="L1115" s="3">
        <f>IF('3a Raw'!H1115="","",MAX(-3,MIN(3,('3a Raw'!H1115-$L3)/$L4)))</f>
        <v/>
      </c>
      <c r="M1115" s="3">
        <f>IF(L1115="","",(L1115-AVERAGE(L6:L1198))/(STDEV(L6:L1198)+1E-12))</f>
        <v/>
      </c>
      <c r="N1115" s="3">
        <f>IF('3a Raw'!I1115="","",MAX(-3,MIN(3,('3a Raw'!I1115-$N3)/$N4)))</f>
        <v/>
      </c>
      <c r="O1115" s="3">
        <f>IF(N1115="","",(N1115-AVERAGE(N6:N1198))/(STDEV(N6:N1198)+1E-12))</f>
        <v/>
      </c>
      <c r="P1115" s="3">
        <f>IF('3a Raw'!J1115="","",MAX(-3,MIN(3,('3a Raw'!J1115-$P3)/$P4)))</f>
        <v/>
      </c>
      <c r="Q1115" s="3">
        <f>IF(P1115="","",(P1115-AVERAGE(P6:P1198))/(STDEV(P6:P1198)+1E-12))</f>
        <v/>
      </c>
      <c r="R1115" s="3">
        <f>IF('3a Raw'!K1115="","",MAX(-3,MIN(3,('3a Raw'!K1115-$R3)/$R4)))</f>
        <v/>
      </c>
      <c r="S1115" s="3">
        <f>IF(R1115="","",(R1115-AVERAGE(R6:R1198))/(STDEV(R6:R1198)+1E-12))</f>
        <v/>
      </c>
      <c r="T1115" s="3">
        <f>IF('3a Raw'!L1115="","",MAX(-3,MIN(3,('3a Raw'!L1115-$T3)/$T4)))</f>
        <v/>
      </c>
      <c r="U1115" s="3">
        <f>IF(T1115="","",(T1115-AVERAGE(T6:T1198))/(STDEV(T6:T1198)+1E-12))</f>
        <v/>
      </c>
      <c r="X1115" s="3">
        <f>IF(U1115="","",U1115-($V$3*G1115+$W$3))</f>
        <v/>
      </c>
      <c r="Y1115" s="3">
        <f>IF(X1115="","",MAX(-3,MIN(3,(X1115-$X3)/$X4)))</f>
        <v/>
      </c>
      <c r="Z1115" s="3">
        <f>IF(Y1115="","",(Y1115-AVERAGE(Y6:Y1198))/(STDEV(Y6:Y1198)+1E-12))</f>
        <v/>
      </c>
    </row>
    <row r="1116">
      <c r="A1116" t="inlineStr">
        <is>
          <t>BBG004LTL7L2</t>
        </is>
      </c>
      <c r="B1116" s="3">
        <f>IF('3a Raw'!C1116="","",MAX(-3,MIN(3,('3a Raw'!C1116-$B3)/$B4)))</f>
        <v/>
      </c>
      <c r="C1116" s="3">
        <f>IF(B1116="","",(B1116-AVERAGE(B6:B1198))/(STDEV(B6:B1198)+1E-12))</f>
        <v/>
      </c>
      <c r="D1116" s="3">
        <f>IF('3a Raw'!D1116="","",MAX(-3,MIN(3,('3a Raw'!D1116-$D3)/$D4)))</f>
        <v/>
      </c>
      <c r="E1116" s="3">
        <f>IF(D1116="","",(D1116-AVERAGE(D6:D1198))/(STDEV(D6:D1198)+1E-12))</f>
        <v/>
      </c>
      <c r="F1116" s="3">
        <f>IF('3a Raw'!E1116="","",MAX(-3,MIN(3,('3a Raw'!E1116-$F3)/$F4)))</f>
        <v/>
      </c>
      <c r="G1116" s="3">
        <f>IF(F1116="","",(F1116-AVERAGE(F6:F1198))/(STDEV(F6:F1198)+1E-12))</f>
        <v/>
      </c>
      <c r="H1116" s="3">
        <f>IF('3a Raw'!F1116="","",MAX(-3,MIN(3,('3a Raw'!F1116-$H3)/$H4)))</f>
        <v/>
      </c>
      <c r="I1116" s="3">
        <f>IF(H1116="","",(H1116-AVERAGE(H6:H1198))/(STDEV(H6:H1198)+1E-12))</f>
        <v/>
      </c>
      <c r="J1116" s="3">
        <f>IF('3a Raw'!G1116="","",MAX(-3,MIN(3,('3a Raw'!G1116-$J3)/$J4)))</f>
        <v/>
      </c>
      <c r="K1116" s="3">
        <f>IF(J1116="","",(J1116-AVERAGE(J6:J1198))/(STDEV(J6:J1198)+1E-12))</f>
        <v/>
      </c>
      <c r="L1116" s="3">
        <f>IF('3a Raw'!H1116="","",MAX(-3,MIN(3,('3a Raw'!H1116-$L3)/$L4)))</f>
        <v/>
      </c>
      <c r="M1116" s="3">
        <f>IF(L1116="","",(L1116-AVERAGE(L6:L1198))/(STDEV(L6:L1198)+1E-12))</f>
        <v/>
      </c>
      <c r="N1116" s="3">
        <f>IF('3a Raw'!I1116="","",MAX(-3,MIN(3,('3a Raw'!I1116-$N3)/$N4)))</f>
        <v/>
      </c>
      <c r="O1116" s="3">
        <f>IF(N1116="","",(N1116-AVERAGE(N6:N1198))/(STDEV(N6:N1198)+1E-12))</f>
        <v/>
      </c>
      <c r="P1116" s="3">
        <f>IF('3a Raw'!J1116="","",MAX(-3,MIN(3,('3a Raw'!J1116-$P3)/$P4)))</f>
        <v/>
      </c>
      <c r="Q1116" s="3">
        <f>IF(P1116="","",(P1116-AVERAGE(P6:P1198))/(STDEV(P6:P1198)+1E-12))</f>
        <v/>
      </c>
      <c r="R1116" s="3">
        <f>IF('3a Raw'!K1116="","",MAX(-3,MIN(3,('3a Raw'!K1116-$R3)/$R4)))</f>
        <v/>
      </c>
      <c r="S1116" s="3">
        <f>IF(R1116="","",(R1116-AVERAGE(R6:R1198))/(STDEV(R6:R1198)+1E-12))</f>
        <v/>
      </c>
      <c r="T1116" s="3">
        <f>IF('3a Raw'!L1116="","",MAX(-3,MIN(3,('3a Raw'!L1116-$T3)/$T4)))</f>
        <v/>
      </c>
      <c r="U1116" s="3">
        <f>IF(T1116="","",(T1116-AVERAGE(T6:T1198))/(STDEV(T6:T1198)+1E-12))</f>
        <v/>
      </c>
      <c r="X1116" s="3">
        <f>IF(U1116="","",U1116-($V$3*G1116+$W$3))</f>
        <v/>
      </c>
      <c r="Y1116" s="3">
        <f>IF(X1116="","",MAX(-3,MIN(3,(X1116-$X3)/$X4)))</f>
        <v/>
      </c>
      <c r="Z1116" s="3">
        <f>IF(Y1116="","",(Y1116-AVERAGE(Y6:Y1198))/(STDEV(Y6:Y1198)+1E-12))</f>
        <v/>
      </c>
    </row>
    <row r="1117">
      <c r="A1117" t="inlineStr">
        <is>
          <t>BBG006LGV869</t>
        </is>
      </c>
      <c r="B1117" s="3">
        <f>IF('3a Raw'!C1117="","",MAX(-3,MIN(3,('3a Raw'!C1117-$B3)/$B4)))</f>
        <v/>
      </c>
      <c r="C1117" s="3">
        <f>IF(B1117="","",(B1117-AVERAGE(B6:B1198))/(STDEV(B6:B1198)+1E-12))</f>
        <v/>
      </c>
      <c r="D1117" s="3">
        <f>IF('3a Raw'!D1117="","",MAX(-3,MIN(3,('3a Raw'!D1117-$D3)/$D4)))</f>
        <v/>
      </c>
      <c r="E1117" s="3">
        <f>IF(D1117="","",(D1117-AVERAGE(D6:D1198))/(STDEV(D6:D1198)+1E-12))</f>
        <v/>
      </c>
      <c r="F1117" s="3">
        <f>IF('3a Raw'!E1117="","",MAX(-3,MIN(3,('3a Raw'!E1117-$F3)/$F4)))</f>
        <v/>
      </c>
      <c r="G1117" s="3">
        <f>IF(F1117="","",(F1117-AVERAGE(F6:F1198))/(STDEV(F6:F1198)+1E-12))</f>
        <v/>
      </c>
      <c r="H1117" s="3">
        <f>IF('3a Raw'!F1117="","",MAX(-3,MIN(3,('3a Raw'!F1117-$H3)/$H4)))</f>
        <v/>
      </c>
      <c r="I1117" s="3">
        <f>IF(H1117="","",(H1117-AVERAGE(H6:H1198))/(STDEV(H6:H1198)+1E-12))</f>
        <v/>
      </c>
      <c r="J1117" s="3">
        <f>IF('3a Raw'!G1117="","",MAX(-3,MIN(3,('3a Raw'!G1117-$J3)/$J4)))</f>
        <v/>
      </c>
      <c r="K1117" s="3">
        <f>IF(J1117="","",(J1117-AVERAGE(J6:J1198))/(STDEV(J6:J1198)+1E-12))</f>
        <v/>
      </c>
      <c r="L1117" s="3">
        <f>IF('3a Raw'!H1117="","",MAX(-3,MIN(3,('3a Raw'!H1117-$L3)/$L4)))</f>
        <v/>
      </c>
      <c r="M1117" s="3">
        <f>IF(L1117="","",(L1117-AVERAGE(L6:L1198))/(STDEV(L6:L1198)+1E-12))</f>
        <v/>
      </c>
      <c r="N1117" s="3">
        <f>IF('3a Raw'!I1117="","",MAX(-3,MIN(3,('3a Raw'!I1117-$N3)/$N4)))</f>
        <v/>
      </c>
      <c r="O1117" s="3">
        <f>IF(N1117="","",(N1117-AVERAGE(N6:N1198))/(STDEV(N6:N1198)+1E-12))</f>
        <v/>
      </c>
      <c r="P1117" s="3">
        <f>IF('3a Raw'!J1117="","",MAX(-3,MIN(3,('3a Raw'!J1117-$P3)/$P4)))</f>
        <v/>
      </c>
      <c r="Q1117" s="3">
        <f>IF(P1117="","",(P1117-AVERAGE(P6:P1198))/(STDEV(P6:P1198)+1E-12))</f>
        <v/>
      </c>
      <c r="R1117" s="3">
        <f>IF('3a Raw'!K1117="","",MAX(-3,MIN(3,('3a Raw'!K1117-$R3)/$R4)))</f>
        <v/>
      </c>
      <c r="S1117" s="3">
        <f>IF(R1117="","",(R1117-AVERAGE(R6:R1198))/(STDEV(R6:R1198)+1E-12))</f>
        <v/>
      </c>
      <c r="T1117" s="3">
        <f>IF('3a Raw'!L1117="","",MAX(-3,MIN(3,('3a Raw'!L1117-$T3)/$T4)))</f>
        <v/>
      </c>
      <c r="U1117" s="3">
        <f>IF(T1117="","",(T1117-AVERAGE(T6:T1198))/(STDEV(T6:T1198)+1E-12))</f>
        <v/>
      </c>
      <c r="X1117" s="3">
        <f>IF(U1117="","",U1117-($V$3*G1117+$W$3))</f>
        <v/>
      </c>
      <c r="Y1117" s="3">
        <f>IF(X1117="","",MAX(-3,MIN(3,(X1117-$X3)/$X4)))</f>
        <v/>
      </c>
      <c r="Z1117" s="3">
        <f>IF(Y1117="","",(Y1117-AVERAGE(Y6:Y1198))/(STDEV(Y6:Y1198)+1E-12))</f>
        <v/>
      </c>
    </row>
    <row r="1118">
      <c r="A1118" t="inlineStr">
        <is>
          <t>BBG000BBGGQ1</t>
        </is>
      </c>
      <c r="B1118" s="3">
        <f>IF('3a Raw'!C1118="","",MAX(-3,MIN(3,('3a Raw'!C1118-$B3)/$B4)))</f>
        <v/>
      </c>
      <c r="C1118" s="3">
        <f>IF(B1118="","",(B1118-AVERAGE(B6:B1198))/(STDEV(B6:B1198)+1E-12))</f>
        <v/>
      </c>
      <c r="D1118" s="3">
        <f>IF('3a Raw'!D1118="","",MAX(-3,MIN(3,('3a Raw'!D1118-$D3)/$D4)))</f>
        <v/>
      </c>
      <c r="E1118" s="3">
        <f>IF(D1118="","",(D1118-AVERAGE(D6:D1198))/(STDEV(D6:D1198)+1E-12))</f>
        <v/>
      </c>
      <c r="F1118" s="3">
        <f>IF('3a Raw'!E1118="","",MAX(-3,MIN(3,('3a Raw'!E1118-$F3)/$F4)))</f>
        <v/>
      </c>
      <c r="G1118" s="3">
        <f>IF(F1118="","",(F1118-AVERAGE(F6:F1198))/(STDEV(F6:F1198)+1E-12))</f>
        <v/>
      </c>
      <c r="H1118" s="3">
        <f>IF('3a Raw'!F1118="","",MAX(-3,MIN(3,('3a Raw'!F1118-$H3)/$H4)))</f>
        <v/>
      </c>
      <c r="I1118" s="3">
        <f>IF(H1118="","",(H1118-AVERAGE(H6:H1198))/(STDEV(H6:H1198)+1E-12))</f>
        <v/>
      </c>
      <c r="J1118" s="3">
        <f>IF('3a Raw'!G1118="","",MAX(-3,MIN(3,('3a Raw'!G1118-$J3)/$J4)))</f>
        <v/>
      </c>
      <c r="K1118" s="3">
        <f>IF(J1118="","",(J1118-AVERAGE(J6:J1198))/(STDEV(J6:J1198)+1E-12))</f>
        <v/>
      </c>
      <c r="L1118" s="3">
        <f>IF('3a Raw'!H1118="","",MAX(-3,MIN(3,('3a Raw'!H1118-$L3)/$L4)))</f>
        <v/>
      </c>
      <c r="M1118" s="3">
        <f>IF(L1118="","",(L1118-AVERAGE(L6:L1198))/(STDEV(L6:L1198)+1E-12))</f>
        <v/>
      </c>
      <c r="N1118" s="3">
        <f>IF('3a Raw'!I1118="","",MAX(-3,MIN(3,('3a Raw'!I1118-$N3)/$N4)))</f>
        <v/>
      </c>
      <c r="O1118" s="3">
        <f>IF(N1118="","",(N1118-AVERAGE(N6:N1198))/(STDEV(N6:N1198)+1E-12))</f>
        <v/>
      </c>
      <c r="P1118" s="3">
        <f>IF('3a Raw'!J1118="","",MAX(-3,MIN(3,('3a Raw'!J1118-$P3)/$P4)))</f>
        <v/>
      </c>
      <c r="Q1118" s="3">
        <f>IF(P1118="","",(P1118-AVERAGE(P6:P1198))/(STDEV(P6:P1198)+1E-12))</f>
        <v/>
      </c>
      <c r="R1118" s="3">
        <f>IF('3a Raw'!K1118="","",MAX(-3,MIN(3,('3a Raw'!K1118-$R3)/$R4)))</f>
        <v/>
      </c>
      <c r="S1118" s="3">
        <f>IF(R1118="","",(R1118-AVERAGE(R6:R1198))/(STDEV(R6:R1198)+1E-12))</f>
        <v/>
      </c>
      <c r="T1118" s="3">
        <f>IF('3a Raw'!L1118="","",MAX(-3,MIN(3,('3a Raw'!L1118-$T3)/$T4)))</f>
        <v/>
      </c>
      <c r="U1118" s="3">
        <f>IF(T1118="","",(T1118-AVERAGE(T6:T1198))/(STDEV(T6:T1198)+1E-12))</f>
        <v/>
      </c>
      <c r="X1118" s="3">
        <f>IF(U1118="","",U1118-($V$3*G1118+$W$3))</f>
        <v/>
      </c>
      <c r="Y1118" s="3">
        <f>IF(X1118="","",MAX(-3,MIN(3,(X1118-$X3)/$X4)))</f>
        <v/>
      </c>
      <c r="Z1118" s="3">
        <f>IF(Y1118="","",(Y1118-AVERAGE(Y6:Y1198))/(STDEV(Y6:Y1198)+1E-12))</f>
        <v/>
      </c>
    </row>
    <row r="1119">
      <c r="A1119" t="inlineStr">
        <is>
          <t>BBG004NZ9HL8</t>
        </is>
      </c>
      <c r="B1119" s="3">
        <f>IF('3a Raw'!C1119="","",MAX(-3,MIN(3,('3a Raw'!C1119-$B3)/$B4)))</f>
        <v/>
      </c>
      <c r="C1119" s="3">
        <f>IF(B1119="","",(B1119-AVERAGE(B6:B1198))/(STDEV(B6:B1198)+1E-12))</f>
        <v/>
      </c>
      <c r="D1119" s="3">
        <f>IF('3a Raw'!D1119="","",MAX(-3,MIN(3,('3a Raw'!D1119-$D3)/$D4)))</f>
        <v/>
      </c>
      <c r="E1119" s="3">
        <f>IF(D1119="","",(D1119-AVERAGE(D6:D1198))/(STDEV(D6:D1198)+1E-12))</f>
        <v/>
      </c>
      <c r="F1119" s="3">
        <f>IF('3a Raw'!E1119="","",MAX(-3,MIN(3,('3a Raw'!E1119-$F3)/$F4)))</f>
        <v/>
      </c>
      <c r="G1119" s="3">
        <f>IF(F1119="","",(F1119-AVERAGE(F6:F1198))/(STDEV(F6:F1198)+1E-12))</f>
        <v/>
      </c>
      <c r="H1119" s="3">
        <f>IF('3a Raw'!F1119="","",MAX(-3,MIN(3,('3a Raw'!F1119-$H3)/$H4)))</f>
        <v/>
      </c>
      <c r="I1119" s="3">
        <f>IF(H1119="","",(H1119-AVERAGE(H6:H1198))/(STDEV(H6:H1198)+1E-12))</f>
        <v/>
      </c>
      <c r="J1119" s="3">
        <f>IF('3a Raw'!G1119="","",MAX(-3,MIN(3,('3a Raw'!G1119-$J3)/$J4)))</f>
        <v/>
      </c>
      <c r="K1119" s="3">
        <f>IF(J1119="","",(J1119-AVERAGE(J6:J1198))/(STDEV(J6:J1198)+1E-12))</f>
        <v/>
      </c>
      <c r="L1119" s="3">
        <f>IF('3a Raw'!H1119="","",MAX(-3,MIN(3,('3a Raw'!H1119-$L3)/$L4)))</f>
        <v/>
      </c>
      <c r="M1119" s="3">
        <f>IF(L1119="","",(L1119-AVERAGE(L6:L1198))/(STDEV(L6:L1198)+1E-12))</f>
        <v/>
      </c>
      <c r="N1119" s="3">
        <f>IF('3a Raw'!I1119="","",MAX(-3,MIN(3,('3a Raw'!I1119-$N3)/$N4)))</f>
        <v/>
      </c>
      <c r="O1119" s="3">
        <f>IF(N1119="","",(N1119-AVERAGE(N6:N1198))/(STDEV(N6:N1198)+1E-12))</f>
        <v/>
      </c>
      <c r="P1119" s="3">
        <f>IF('3a Raw'!J1119="","",MAX(-3,MIN(3,('3a Raw'!J1119-$P3)/$P4)))</f>
        <v/>
      </c>
      <c r="Q1119" s="3">
        <f>IF(P1119="","",(P1119-AVERAGE(P6:P1198))/(STDEV(P6:P1198)+1E-12))</f>
        <v/>
      </c>
      <c r="R1119" s="3">
        <f>IF('3a Raw'!K1119="","",MAX(-3,MIN(3,('3a Raw'!K1119-$R3)/$R4)))</f>
        <v/>
      </c>
      <c r="S1119" s="3">
        <f>IF(R1119="","",(R1119-AVERAGE(R6:R1198))/(STDEV(R6:R1198)+1E-12))</f>
        <v/>
      </c>
      <c r="T1119" s="3">
        <f>IF('3a Raw'!L1119="","",MAX(-3,MIN(3,('3a Raw'!L1119-$T3)/$T4)))</f>
        <v/>
      </c>
      <c r="U1119" s="3">
        <f>IF(T1119="","",(T1119-AVERAGE(T6:T1198))/(STDEV(T6:T1198)+1E-12))</f>
        <v/>
      </c>
      <c r="X1119" s="3">
        <f>IF(U1119="","",U1119-($V$3*G1119+$W$3))</f>
        <v/>
      </c>
      <c r="Y1119" s="3">
        <f>IF(X1119="","",MAX(-3,MIN(3,(X1119-$X3)/$X4)))</f>
        <v/>
      </c>
      <c r="Z1119" s="3">
        <f>IF(Y1119="","",(Y1119-AVERAGE(Y6:Y1198))/(STDEV(Y6:Y1198)+1E-12))</f>
        <v/>
      </c>
    </row>
    <row r="1120">
      <c r="A1120" t="inlineStr">
        <is>
          <t>vlto</t>
        </is>
      </c>
      <c r="B1120" s="3">
        <f>IF('3a Raw'!C1120="","",MAX(-3,MIN(3,('3a Raw'!C1120-$B3)/$B4)))</f>
        <v/>
      </c>
      <c r="C1120" s="3">
        <f>IF(B1120="","",(B1120-AVERAGE(B6:B1198))/(STDEV(B6:B1198)+1E-12))</f>
        <v/>
      </c>
      <c r="D1120" s="3">
        <f>IF('3a Raw'!D1120="","",MAX(-3,MIN(3,('3a Raw'!D1120-$D3)/$D4)))</f>
        <v/>
      </c>
      <c r="E1120" s="3">
        <f>IF(D1120="","",(D1120-AVERAGE(D6:D1198))/(STDEV(D6:D1198)+1E-12))</f>
        <v/>
      </c>
      <c r="F1120" s="3">
        <f>IF('3a Raw'!E1120="","",MAX(-3,MIN(3,('3a Raw'!E1120-$F3)/$F4)))</f>
        <v/>
      </c>
      <c r="G1120" s="3">
        <f>IF(F1120="","",(F1120-AVERAGE(F6:F1198))/(STDEV(F6:F1198)+1E-12))</f>
        <v/>
      </c>
      <c r="H1120" s="3">
        <f>IF('3a Raw'!F1120="","",MAX(-3,MIN(3,('3a Raw'!F1120-$H3)/$H4)))</f>
        <v/>
      </c>
      <c r="I1120" s="3">
        <f>IF(H1120="","",(H1120-AVERAGE(H6:H1198))/(STDEV(H6:H1198)+1E-12))</f>
        <v/>
      </c>
      <c r="J1120" s="3">
        <f>IF('3a Raw'!G1120="","",MAX(-3,MIN(3,('3a Raw'!G1120-$J3)/$J4)))</f>
        <v/>
      </c>
      <c r="K1120" s="3">
        <f>IF(J1120="","",(J1120-AVERAGE(J6:J1198))/(STDEV(J6:J1198)+1E-12))</f>
        <v/>
      </c>
      <c r="L1120" s="3">
        <f>IF('3a Raw'!H1120="","",MAX(-3,MIN(3,('3a Raw'!H1120-$L3)/$L4)))</f>
        <v/>
      </c>
      <c r="M1120" s="3">
        <f>IF(L1120="","",(L1120-AVERAGE(L6:L1198))/(STDEV(L6:L1198)+1E-12))</f>
        <v/>
      </c>
      <c r="N1120" s="3">
        <f>IF('3a Raw'!I1120="","",MAX(-3,MIN(3,('3a Raw'!I1120-$N3)/$N4)))</f>
        <v/>
      </c>
      <c r="O1120" s="3">
        <f>IF(N1120="","",(N1120-AVERAGE(N6:N1198))/(STDEV(N6:N1198)+1E-12))</f>
        <v/>
      </c>
      <c r="P1120" s="3">
        <f>IF('3a Raw'!J1120="","",MAX(-3,MIN(3,('3a Raw'!J1120-$P3)/$P4)))</f>
        <v/>
      </c>
      <c r="Q1120" s="3">
        <f>IF(P1120="","",(P1120-AVERAGE(P6:P1198))/(STDEV(P6:P1198)+1E-12))</f>
        <v/>
      </c>
      <c r="R1120" s="3">
        <f>IF('3a Raw'!K1120="","",MAX(-3,MIN(3,('3a Raw'!K1120-$R3)/$R4)))</f>
        <v/>
      </c>
      <c r="S1120" s="3">
        <f>IF(R1120="","",(R1120-AVERAGE(R6:R1198))/(STDEV(R6:R1198)+1E-12))</f>
        <v/>
      </c>
      <c r="T1120" s="3">
        <f>IF('3a Raw'!L1120="","",MAX(-3,MIN(3,('3a Raw'!L1120-$T3)/$T4)))</f>
        <v/>
      </c>
      <c r="U1120" s="3">
        <f>IF(T1120="","",(T1120-AVERAGE(T6:T1198))/(STDEV(T6:T1198)+1E-12))</f>
        <v/>
      </c>
      <c r="X1120" s="3">
        <f>IF(U1120="","",U1120-($V$3*G1120+$W$3))</f>
        <v/>
      </c>
      <c r="Y1120" s="3">
        <f>IF(X1120="","",MAX(-3,MIN(3,(X1120-$X3)/$X4)))</f>
        <v/>
      </c>
      <c r="Z1120" s="3">
        <f>IF(Y1120="","",(Y1120-AVERAGE(Y6:Y1198))/(STDEV(Y6:Y1198)+1E-12))</f>
        <v/>
      </c>
    </row>
    <row r="1121">
      <c r="A1121" t="inlineStr">
        <is>
          <t>BBG000D4YTR6</t>
        </is>
      </c>
      <c r="B1121" s="3">
        <f>IF('3a Raw'!C1121="","",MAX(-3,MIN(3,('3a Raw'!C1121-$B3)/$B4)))</f>
        <v/>
      </c>
      <c r="C1121" s="3">
        <f>IF(B1121="","",(B1121-AVERAGE(B6:B1198))/(STDEV(B6:B1198)+1E-12))</f>
        <v/>
      </c>
      <c r="D1121" s="3">
        <f>IF('3a Raw'!D1121="","",MAX(-3,MIN(3,('3a Raw'!D1121-$D3)/$D4)))</f>
        <v/>
      </c>
      <c r="E1121" s="3">
        <f>IF(D1121="","",(D1121-AVERAGE(D6:D1198))/(STDEV(D6:D1198)+1E-12))</f>
        <v/>
      </c>
      <c r="F1121" s="3">
        <f>IF('3a Raw'!E1121="","",MAX(-3,MIN(3,('3a Raw'!E1121-$F3)/$F4)))</f>
        <v/>
      </c>
      <c r="G1121" s="3">
        <f>IF(F1121="","",(F1121-AVERAGE(F6:F1198))/(STDEV(F6:F1198)+1E-12))</f>
        <v/>
      </c>
      <c r="H1121" s="3">
        <f>IF('3a Raw'!F1121="","",MAX(-3,MIN(3,('3a Raw'!F1121-$H3)/$H4)))</f>
        <v/>
      </c>
      <c r="I1121" s="3">
        <f>IF(H1121="","",(H1121-AVERAGE(H6:H1198))/(STDEV(H6:H1198)+1E-12))</f>
        <v/>
      </c>
      <c r="J1121" s="3">
        <f>IF('3a Raw'!G1121="","",MAX(-3,MIN(3,('3a Raw'!G1121-$J3)/$J4)))</f>
        <v/>
      </c>
      <c r="K1121" s="3">
        <f>IF(J1121="","",(J1121-AVERAGE(J6:J1198))/(STDEV(J6:J1198)+1E-12))</f>
        <v/>
      </c>
      <c r="L1121" s="3">
        <f>IF('3a Raw'!H1121="","",MAX(-3,MIN(3,('3a Raw'!H1121-$L3)/$L4)))</f>
        <v/>
      </c>
      <c r="M1121" s="3">
        <f>IF(L1121="","",(L1121-AVERAGE(L6:L1198))/(STDEV(L6:L1198)+1E-12))</f>
        <v/>
      </c>
      <c r="N1121" s="3">
        <f>IF('3a Raw'!I1121="","",MAX(-3,MIN(3,('3a Raw'!I1121-$N3)/$N4)))</f>
        <v/>
      </c>
      <c r="O1121" s="3">
        <f>IF(N1121="","",(N1121-AVERAGE(N6:N1198))/(STDEV(N6:N1198)+1E-12))</f>
        <v/>
      </c>
      <c r="P1121" s="3">
        <f>IF('3a Raw'!J1121="","",MAX(-3,MIN(3,('3a Raw'!J1121-$P3)/$P4)))</f>
        <v/>
      </c>
      <c r="Q1121" s="3">
        <f>IF(P1121="","",(P1121-AVERAGE(P6:P1198))/(STDEV(P6:P1198)+1E-12))</f>
        <v/>
      </c>
      <c r="R1121" s="3">
        <f>IF('3a Raw'!K1121="","",MAX(-3,MIN(3,('3a Raw'!K1121-$R3)/$R4)))</f>
        <v/>
      </c>
      <c r="S1121" s="3">
        <f>IF(R1121="","",(R1121-AVERAGE(R6:R1198))/(STDEV(R6:R1198)+1E-12))</f>
        <v/>
      </c>
      <c r="T1121" s="3">
        <f>IF('3a Raw'!L1121="","",MAX(-3,MIN(3,('3a Raw'!L1121-$T3)/$T4)))</f>
        <v/>
      </c>
      <c r="U1121" s="3">
        <f>IF(T1121="","",(T1121-AVERAGE(T6:T1198))/(STDEV(T6:T1198)+1E-12))</f>
        <v/>
      </c>
      <c r="X1121" s="3">
        <f>IF(U1121="","",U1121-($V$3*G1121+$W$3))</f>
        <v/>
      </c>
      <c r="Y1121" s="3">
        <f>IF(X1121="","",MAX(-3,MIN(3,(X1121-$X3)/$X4)))</f>
        <v/>
      </c>
      <c r="Z1121" s="3">
        <f>IF(Y1121="","",(Y1121-AVERAGE(Y6:Y1198))/(STDEV(Y6:Y1198)+1E-12))</f>
        <v/>
      </c>
    </row>
    <row r="1122">
      <c r="A1122" t="inlineStr">
        <is>
          <t>BBG000BWGYF8</t>
        </is>
      </c>
      <c r="B1122" s="3">
        <f>IF('3a Raw'!C1122="","",MAX(-3,MIN(3,('3a Raw'!C1122-$B3)/$B4)))</f>
        <v/>
      </c>
      <c r="C1122" s="3">
        <f>IF(B1122="","",(B1122-AVERAGE(B6:B1198))/(STDEV(B6:B1198)+1E-12))</f>
        <v/>
      </c>
      <c r="D1122" s="3">
        <f>IF('3a Raw'!D1122="","",MAX(-3,MIN(3,('3a Raw'!D1122-$D3)/$D4)))</f>
        <v/>
      </c>
      <c r="E1122" s="3">
        <f>IF(D1122="","",(D1122-AVERAGE(D6:D1198))/(STDEV(D6:D1198)+1E-12))</f>
        <v/>
      </c>
      <c r="F1122" s="3">
        <f>IF('3a Raw'!E1122="","",MAX(-3,MIN(3,('3a Raw'!E1122-$F3)/$F4)))</f>
        <v/>
      </c>
      <c r="G1122" s="3">
        <f>IF(F1122="","",(F1122-AVERAGE(F6:F1198))/(STDEV(F6:F1198)+1E-12))</f>
        <v/>
      </c>
      <c r="H1122" s="3">
        <f>IF('3a Raw'!F1122="","",MAX(-3,MIN(3,('3a Raw'!F1122-$H3)/$H4)))</f>
        <v/>
      </c>
      <c r="I1122" s="3">
        <f>IF(H1122="","",(H1122-AVERAGE(H6:H1198))/(STDEV(H6:H1198)+1E-12))</f>
        <v/>
      </c>
      <c r="J1122" s="3">
        <f>IF('3a Raw'!G1122="","",MAX(-3,MIN(3,('3a Raw'!G1122-$J3)/$J4)))</f>
        <v/>
      </c>
      <c r="K1122" s="3">
        <f>IF(J1122="","",(J1122-AVERAGE(J6:J1198))/(STDEV(J6:J1198)+1E-12))</f>
        <v/>
      </c>
      <c r="L1122" s="3">
        <f>IF('3a Raw'!H1122="","",MAX(-3,MIN(3,('3a Raw'!H1122-$L3)/$L4)))</f>
        <v/>
      </c>
      <c r="M1122" s="3">
        <f>IF(L1122="","",(L1122-AVERAGE(L6:L1198))/(STDEV(L6:L1198)+1E-12))</f>
        <v/>
      </c>
      <c r="N1122" s="3">
        <f>IF('3a Raw'!I1122="","",MAX(-3,MIN(3,('3a Raw'!I1122-$N3)/$N4)))</f>
        <v/>
      </c>
      <c r="O1122" s="3">
        <f>IF(N1122="","",(N1122-AVERAGE(N6:N1198))/(STDEV(N6:N1198)+1E-12))</f>
        <v/>
      </c>
      <c r="P1122" s="3">
        <f>IF('3a Raw'!J1122="","",MAX(-3,MIN(3,('3a Raw'!J1122-$P3)/$P4)))</f>
        <v/>
      </c>
      <c r="Q1122" s="3">
        <f>IF(P1122="","",(P1122-AVERAGE(P6:P1198))/(STDEV(P6:P1198)+1E-12))</f>
        <v/>
      </c>
      <c r="R1122" s="3">
        <f>IF('3a Raw'!K1122="","",MAX(-3,MIN(3,('3a Raw'!K1122-$R3)/$R4)))</f>
        <v/>
      </c>
      <c r="S1122" s="3">
        <f>IF(R1122="","",(R1122-AVERAGE(R6:R1198))/(STDEV(R6:R1198)+1E-12))</f>
        <v/>
      </c>
      <c r="T1122" s="3">
        <f>IF('3a Raw'!L1122="","",MAX(-3,MIN(3,('3a Raw'!L1122-$T3)/$T4)))</f>
        <v/>
      </c>
      <c r="U1122" s="3">
        <f>IF(T1122="","",(T1122-AVERAGE(T6:T1198))/(STDEV(T6:T1198)+1E-12))</f>
        <v/>
      </c>
      <c r="X1122" s="3">
        <f>IF(U1122="","",U1122-($V$3*G1122+$W$3))</f>
        <v/>
      </c>
      <c r="Y1122" s="3">
        <f>IF(X1122="","",MAX(-3,MIN(3,(X1122-$X3)/$X4)))</f>
        <v/>
      </c>
      <c r="Z1122" s="3">
        <f>IF(Y1122="","",(Y1122-AVERAGE(Y6:Y1198))/(STDEV(Y6:Y1198)+1E-12))</f>
        <v/>
      </c>
    </row>
    <row r="1123">
      <c r="A1123" t="inlineStr">
        <is>
          <t>BBG001M32Y18</t>
        </is>
      </c>
      <c r="B1123" s="3">
        <f>IF('3a Raw'!C1123="","",MAX(-3,MIN(3,('3a Raw'!C1123-$B3)/$B4)))</f>
        <v/>
      </c>
      <c r="C1123" s="3">
        <f>IF(B1123="","",(B1123-AVERAGE(B6:B1198))/(STDEV(B6:B1198)+1E-12))</f>
        <v/>
      </c>
      <c r="D1123" s="3">
        <f>IF('3a Raw'!D1123="","",MAX(-3,MIN(3,('3a Raw'!D1123-$D3)/$D4)))</f>
        <v/>
      </c>
      <c r="E1123" s="3">
        <f>IF(D1123="","",(D1123-AVERAGE(D6:D1198))/(STDEV(D6:D1198)+1E-12))</f>
        <v/>
      </c>
      <c r="F1123" s="3">
        <f>IF('3a Raw'!E1123="","",MAX(-3,MIN(3,('3a Raw'!E1123-$F3)/$F4)))</f>
        <v/>
      </c>
      <c r="G1123" s="3">
        <f>IF(F1123="","",(F1123-AVERAGE(F6:F1198))/(STDEV(F6:F1198)+1E-12))</f>
        <v/>
      </c>
      <c r="H1123" s="3">
        <f>IF('3a Raw'!F1123="","",MAX(-3,MIN(3,('3a Raw'!F1123-$H3)/$H4)))</f>
        <v/>
      </c>
      <c r="I1123" s="3">
        <f>IF(H1123="","",(H1123-AVERAGE(H6:H1198))/(STDEV(H6:H1198)+1E-12))</f>
        <v/>
      </c>
      <c r="J1123" s="3">
        <f>IF('3a Raw'!G1123="","",MAX(-3,MIN(3,('3a Raw'!G1123-$J3)/$J4)))</f>
        <v/>
      </c>
      <c r="K1123" s="3">
        <f>IF(J1123="","",(J1123-AVERAGE(J6:J1198))/(STDEV(J6:J1198)+1E-12))</f>
        <v/>
      </c>
      <c r="L1123" s="3">
        <f>IF('3a Raw'!H1123="","",MAX(-3,MIN(3,('3a Raw'!H1123-$L3)/$L4)))</f>
        <v/>
      </c>
      <c r="M1123" s="3">
        <f>IF(L1123="","",(L1123-AVERAGE(L6:L1198))/(STDEV(L6:L1198)+1E-12))</f>
        <v/>
      </c>
      <c r="N1123" s="3">
        <f>IF('3a Raw'!I1123="","",MAX(-3,MIN(3,('3a Raw'!I1123-$N3)/$N4)))</f>
        <v/>
      </c>
      <c r="O1123" s="3">
        <f>IF(N1123="","",(N1123-AVERAGE(N6:N1198))/(STDEV(N6:N1198)+1E-12))</f>
        <v/>
      </c>
      <c r="P1123" s="3">
        <f>IF('3a Raw'!J1123="","",MAX(-3,MIN(3,('3a Raw'!J1123-$P3)/$P4)))</f>
        <v/>
      </c>
      <c r="Q1123" s="3">
        <f>IF(P1123="","",(P1123-AVERAGE(P6:P1198))/(STDEV(P6:P1198)+1E-12))</f>
        <v/>
      </c>
      <c r="R1123" s="3">
        <f>IF('3a Raw'!K1123="","",MAX(-3,MIN(3,('3a Raw'!K1123-$R3)/$R4)))</f>
        <v/>
      </c>
      <c r="S1123" s="3">
        <f>IF(R1123="","",(R1123-AVERAGE(R6:R1198))/(STDEV(R6:R1198)+1E-12))</f>
        <v/>
      </c>
      <c r="T1123" s="3">
        <f>IF('3a Raw'!L1123="","",MAX(-3,MIN(3,('3a Raw'!L1123-$T3)/$T4)))</f>
        <v/>
      </c>
      <c r="U1123" s="3">
        <f>IF(T1123="","",(T1123-AVERAGE(T6:T1198))/(STDEV(T6:T1198)+1E-12))</f>
        <v/>
      </c>
      <c r="X1123" s="3">
        <f>IF(U1123="","",U1123-($V$3*G1123+$W$3))</f>
        <v/>
      </c>
      <c r="Y1123" s="3">
        <f>IF(X1123="","",MAX(-3,MIN(3,(X1123-$X3)/$X4)))</f>
        <v/>
      </c>
      <c r="Z1123" s="3">
        <f>IF(Y1123="","",(Y1123-AVERAGE(Y6:Y1198))/(STDEV(Y6:Y1198)+1E-12))</f>
        <v/>
      </c>
    </row>
    <row r="1124">
      <c r="A1124" t="inlineStr">
        <is>
          <t>BBG000BWHD54</t>
        </is>
      </c>
      <c r="B1124" s="3">
        <f>IF('3a Raw'!C1124="","",MAX(-3,MIN(3,('3a Raw'!C1124-$B3)/$B4)))</f>
        <v/>
      </c>
      <c r="C1124" s="3">
        <f>IF(B1124="","",(B1124-AVERAGE(B6:B1198))/(STDEV(B6:B1198)+1E-12))</f>
        <v/>
      </c>
      <c r="D1124" s="3">
        <f>IF('3a Raw'!D1124="","",MAX(-3,MIN(3,('3a Raw'!D1124-$D3)/$D4)))</f>
        <v/>
      </c>
      <c r="E1124" s="3">
        <f>IF(D1124="","",(D1124-AVERAGE(D6:D1198))/(STDEV(D6:D1198)+1E-12))</f>
        <v/>
      </c>
      <c r="F1124" s="3">
        <f>IF('3a Raw'!E1124="","",MAX(-3,MIN(3,('3a Raw'!E1124-$F3)/$F4)))</f>
        <v/>
      </c>
      <c r="G1124" s="3">
        <f>IF(F1124="","",(F1124-AVERAGE(F6:F1198))/(STDEV(F6:F1198)+1E-12))</f>
        <v/>
      </c>
      <c r="H1124" s="3">
        <f>IF('3a Raw'!F1124="","",MAX(-3,MIN(3,('3a Raw'!F1124-$H3)/$H4)))</f>
        <v/>
      </c>
      <c r="I1124" s="3">
        <f>IF(H1124="","",(H1124-AVERAGE(H6:H1198))/(STDEV(H6:H1198)+1E-12))</f>
        <v/>
      </c>
      <c r="J1124" s="3">
        <f>IF('3a Raw'!G1124="","",MAX(-3,MIN(3,('3a Raw'!G1124-$J3)/$J4)))</f>
        <v/>
      </c>
      <c r="K1124" s="3">
        <f>IF(J1124="","",(J1124-AVERAGE(J6:J1198))/(STDEV(J6:J1198)+1E-12))</f>
        <v/>
      </c>
      <c r="L1124" s="3">
        <f>IF('3a Raw'!H1124="","",MAX(-3,MIN(3,('3a Raw'!H1124-$L3)/$L4)))</f>
        <v/>
      </c>
      <c r="M1124" s="3">
        <f>IF(L1124="","",(L1124-AVERAGE(L6:L1198))/(STDEV(L6:L1198)+1E-12))</f>
        <v/>
      </c>
      <c r="N1124" s="3">
        <f>IF('3a Raw'!I1124="","",MAX(-3,MIN(3,('3a Raw'!I1124-$N3)/$N4)))</f>
        <v/>
      </c>
      <c r="O1124" s="3">
        <f>IF(N1124="","",(N1124-AVERAGE(N6:N1198))/(STDEV(N6:N1198)+1E-12))</f>
        <v/>
      </c>
      <c r="P1124" s="3">
        <f>IF('3a Raw'!J1124="","",MAX(-3,MIN(3,('3a Raw'!J1124-$P3)/$P4)))</f>
        <v/>
      </c>
      <c r="Q1124" s="3">
        <f>IF(P1124="","",(P1124-AVERAGE(P6:P1198))/(STDEV(P6:P1198)+1E-12))</f>
        <v/>
      </c>
      <c r="R1124" s="3">
        <f>IF('3a Raw'!K1124="","",MAX(-3,MIN(3,('3a Raw'!K1124-$R3)/$R4)))</f>
        <v/>
      </c>
      <c r="S1124" s="3">
        <f>IF(R1124="","",(R1124-AVERAGE(R6:R1198))/(STDEV(R6:R1198)+1E-12))</f>
        <v/>
      </c>
      <c r="T1124" s="3">
        <f>IF('3a Raw'!L1124="","",MAX(-3,MIN(3,('3a Raw'!L1124-$T3)/$T4)))</f>
        <v/>
      </c>
      <c r="U1124" s="3">
        <f>IF(T1124="","",(T1124-AVERAGE(T6:T1198))/(STDEV(T6:T1198)+1E-12))</f>
        <v/>
      </c>
      <c r="X1124" s="3">
        <f>IF(U1124="","",U1124-($V$3*G1124+$W$3))</f>
        <v/>
      </c>
      <c r="Y1124" s="3">
        <f>IF(X1124="","",MAX(-3,MIN(3,(X1124-$X3)/$X4)))</f>
        <v/>
      </c>
      <c r="Z1124" s="3">
        <f>IF(Y1124="","",(Y1124-AVERAGE(Y6:Y1198))/(STDEV(Y6:Y1198)+1E-12))</f>
        <v/>
      </c>
    </row>
    <row r="1125">
      <c r="A1125" t="inlineStr">
        <is>
          <t>BBG000C4R6H6</t>
        </is>
      </c>
      <c r="B1125" s="3">
        <f>IF('3a Raw'!C1125="","",MAX(-3,MIN(3,('3a Raw'!C1125-$B3)/$B4)))</f>
        <v/>
      </c>
      <c r="C1125" s="3">
        <f>IF(B1125="","",(B1125-AVERAGE(B6:B1198))/(STDEV(B6:B1198)+1E-12))</f>
        <v/>
      </c>
      <c r="D1125" s="3">
        <f>IF('3a Raw'!D1125="","",MAX(-3,MIN(3,('3a Raw'!D1125-$D3)/$D4)))</f>
        <v/>
      </c>
      <c r="E1125" s="3">
        <f>IF(D1125="","",(D1125-AVERAGE(D6:D1198))/(STDEV(D6:D1198)+1E-12))</f>
        <v/>
      </c>
      <c r="F1125" s="3">
        <f>IF('3a Raw'!E1125="","",MAX(-3,MIN(3,('3a Raw'!E1125-$F3)/$F4)))</f>
        <v/>
      </c>
      <c r="G1125" s="3">
        <f>IF(F1125="","",(F1125-AVERAGE(F6:F1198))/(STDEV(F6:F1198)+1E-12))</f>
        <v/>
      </c>
      <c r="H1125" s="3">
        <f>IF('3a Raw'!F1125="","",MAX(-3,MIN(3,('3a Raw'!F1125-$H3)/$H4)))</f>
        <v/>
      </c>
      <c r="I1125" s="3">
        <f>IF(H1125="","",(H1125-AVERAGE(H6:H1198))/(STDEV(H6:H1198)+1E-12))</f>
        <v/>
      </c>
      <c r="J1125" s="3">
        <f>IF('3a Raw'!G1125="","",MAX(-3,MIN(3,('3a Raw'!G1125-$J3)/$J4)))</f>
        <v/>
      </c>
      <c r="K1125" s="3">
        <f>IF(J1125="","",(J1125-AVERAGE(J6:J1198))/(STDEV(J6:J1198)+1E-12))</f>
        <v/>
      </c>
      <c r="L1125" s="3">
        <f>IF('3a Raw'!H1125="","",MAX(-3,MIN(3,('3a Raw'!H1125-$L3)/$L4)))</f>
        <v/>
      </c>
      <c r="M1125" s="3">
        <f>IF(L1125="","",(L1125-AVERAGE(L6:L1198))/(STDEV(L6:L1198)+1E-12))</f>
        <v/>
      </c>
      <c r="N1125" s="3">
        <f>IF('3a Raw'!I1125="","",MAX(-3,MIN(3,('3a Raw'!I1125-$N3)/$N4)))</f>
        <v/>
      </c>
      <c r="O1125" s="3">
        <f>IF(N1125="","",(N1125-AVERAGE(N6:N1198))/(STDEV(N6:N1198)+1E-12))</f>
        <v/>
      </c>
      <c r="P1125" s="3">
        <f>IF('3a Raw'!J1125="","",MAX(-3,MIN(3,('3a Raw'!J1125-$P3)/$P4)))</f>
        <v/>
      </c>
      <c r="Q1125" s="3">
        <f>IF(P1125="","",(P1125-AVERAGE(P6:P1198))/(STDEV(P6:P1198)+1E-12))</f>
        <v/>
      </c>
      <c r="R1125" s="3">
        <f>IF('3a Raw'!K1125="","",MAX(-3,MIN(3,('3a Raw'!K1125-$R3)/$R4)))</f>
        <v/>
      </c>
      <c r="S1125" s="3">
        <f>IF(R1125="","",(R1125-AVERAGE(R6:R1198))/(STDEV(R6:R1198)+1E-12))</f>
        <v/>
      </c>
      <c r="T1125" s="3">
        <f>IF('3a Raw'!L1125="","",MAX(-3,MIN(3,('3a Raw'!L1125-$T3)/$T4)))</f>
        <v/>
      </c>
      <c r="U1125" s="3">
        <f>IF(T1125="","",(T1125-AVERAGE(T6:T1198))/(STDEV(T6:T1198)+1E-12))</f>
        <v/>
      </c>
      <c r="X1125" s="3">
        <f>IF(U1125="","",U1125-($V$3*G1125+$W$3))</f>
        <v/>
      </c>
      <c r="Y1125" s="3">
        <f>IF(X1125="","",MAX(-3,MIN(3,(X1125-$X3)/$X4)))</f>
        <v/>
      </c>
      <c r="Z1125" s="3">
        <f>IF(Y1125="","",(Y1125-AVERAGE(Y6:Y1198))/(STDEV(Y6:Y1198)+1E-12))</f>
        <v/>
      </c>
    </row>
    <row r="1126">
      <c r="A1126" t="inlineStr">
        <is>
          <t>BBG000BCWKD6</t>
        </is>
      </c>
      <c r="B1126" s="3">
        <f>IF('3a Raw'!C1126="","",MAX(-3,MIN(3,('3a Raw'!C1126-$B3)/$B4)))</f>
        <v/>
      </c>
      <c r="C1126" s="3">
        <f>IF(B1126="","",(B1126-AVERAGE(B6:B1198))/(STDEV(B6:B1198)+1E-12))</f>
        <v/>
      </c>
      <c r="D1126" s="3">
        <f>IF('3a Raw'!D1126="","",MAX(-3,MIN(3,('3a Raw'!D1126-$D3)/$D4)))</f>
        <v/>
      </c>
      <c r="E1126" s="3">
        <f>IF(D1126="","",(D1126-AVERAGE(D6:D1198))/(STDEV(D6:D1198)+1E-12))</f>
        <v/>
      </c>
      <c r="F1126" s="3">
        <f>IF('3a Raw'!E1126="","",MAX(-3,MIN(3,('3a Raw'!E1126-$F3)/$F4)))</f>
        <v/>
      </c>
      <c r="G1126" s="3">
        <f>IF(F1126="","",(F1126-AVERAGE(F6:F1198))/(STDEV(F6:F1198)+1E-12))</f>
        <v/>
      </c>
      <c r="H1126" s="3">
        <f>IF('3a Raw'!F1126="","",MAX(-3,MIN(3,('3a Raw'!F1126-$H3)/$H4)))</f>
        <v/>
      </c>
      <c r="I1126" s="3">
        <f>IF(H1126="","",(H1126-AVERAGE(H6:H1198))/(STDEV(H6:H1198)+1E-12))</f>
        <v/>
      </c>
      <c r="J1126" s="3">
        <f>IF('3a Raw'!G1126="","",MAX(-3,MIN(3,('3a Raw'!G1126-$J3)/$J4)))</f>
        <v/>
      </c>
      <c r="K1126" s="3">
        <f>IF(J1126="","",(J1126-AVERAGE(J6:J1198))/(STDEV(J6:J1198)+1E-12))</f>
        <v/>
      </c>
      <c r="L1126" s="3">
        <f>IF('3a Raw'!H1126="","",MAX(-3,MIN(3,('3a Raw'!H1126-$L3)/$L4)))</f>
        <v/>
      </c>
      <c r="M1126" s="3">
        <f>IF(L1126="","",(L1126-AVERAGE(L6:L1198))/(STDEV(L6:L1198)+1E-12))</f>
        <v/>
      </c>
      <c r="N1126" s="3">
        <f>IF('3a Raw'!I1126="","",MAX(-3,MIN(3,('3a Raw'!I1126-$N3)/$N4)))</f>
        <v/>
      </c>
      <c r="O1126" s="3">
        <f>IF(N1126="","",(N1126-AVERAGE(N6:N1198))/(STDEV(N6:N1198)+1E-12))</f>
        <v/>
      </c>
      <c r="P1126" s="3">
        <f>IF('3a Raw'!J1126="","",MAX(-3,MIN(3,('3a Raw'!J1126-$P3)/$P4)))</f>
        <v/>
      </c>
      <c r="Q1126" s="3">
        <f>IF(P1126="","",(P1126-AVERAGE(P6:P1198))/(STDEV(P6:P1198)+1E-12))</f>
        <v/>
      </c>
      <c r="R1126" s="3">
        <f>IF('3a Raw'!K1126="","",MAX(-3,MIN(3,('3a Raw'!K1126-$R3)/$R4)))</f>
        <v/>
      </c>
      <c r="S1126" s="3">
        <f>IF(R1126="","",(R1126-AVERAGE(R6:R1198))/(STDEV(R6:R1198)+1E-12))</f>
        <v/>
      </c>
      <c r="T1126" s="3">
        <f>IF('3a Raw'!L1126="","",MAX(-3,MIN(3,('3a Raw'!L1126-$T3)/$T4)))</f>
        <v/>
      </c>
      <c r="U1126" s="3">
        <f>IF(T1126="","",(T1126-AVERAGE(T6:T1198))/(STDEV(T6:T1198)+1E-12))</f>
        <v/>
      </c>
      <c r="X1126" s="3">
        <f>IF(U1126="","",U1126-($V$3*G1126+$W$3))</f>
        <v/>
      </c>
      <c r="Y1126" s="3">
        <f>IF(X1126="","",MAX(-3,MIN(3,(X1126-$X3)/$X4)))</f>
        <v/>
      </c>
      <c r="Z1126" s="3">
        <f>IF(Y1126="","",(Y1126-AVERAGE(Y6:Y1198))/(STDEV(Y6:Y1198)+1E-12))</f>
        <v/>
      </c>
    </row>
    <row r="1127">
      <c r="A1127" t="inlineStr">
        <is>
          <t>BBG01V317FS3</t>
        </is>
      </c>
      <c r="B1127" s="3">
        <f>IF('3a Raw'!C1127="","",MAX(-3,MIN(3,('3a Raw'!C1127-$B3)/$B4)))</f>
        <v/>
      </c>
      <c r="C1127" s="3">
        <f>IF(B1127="","",(B1127-AVERAGE(B6:B1198))/(STDEV(B6:B1198)+1E-12))</f>
        <v/>
      </c>
      <c r="D1127" s="3">
        <f>IF('3a Raw'!D1127="","",MAX(-3,MIN(3,('3a Raw'!D1127-$D3)/$D4)))</f>
        <v/>
      </c>
      <c r="E1127" s="3">
        <f>IF(D1127="","",(D1127-AVERAGE(D6:D1198))/(STDEV(D6:D1198)+1E-12))</f>
        <v/>
      </c>
      <c r="F1127" s="3">
        <f>IF('3a Raw'!E1127="","",MAX(-3,MIN(3,('3a Raw'!E1127-$F3)/$F4)))</f>
        <v/>
      </c>
      <c r="G1127" s="3">
        <f>IF(F1127="","",(F1127-AVERAGE(F6:F1198))/(STDEV(F6:F1198)+1E-12))</f>
        <v/>
      </c>
      <c r="H1127" s="3">
        <f>IF('3a Raw'!F1127="","",MAX(-3,MIN(3,('3a Raw'!F1127-$H3)/$H4)))</f>
        <v/>
      </c>
      <c r="I1127" s="3">
        <f>IF(H1127="","",(H1127-AVERAGE(H6:H1198))/(STDEV(H6:H1198)+1E-12))</f>
        <v/>
      </c>
      <c r="J1127" s="3">
        <f>IF('3a Raw'!G1127="","",MAX(-3,MIN(3,('3a Raw'!G1127-$J3)/$J4)))</f>
        <v/>
      </c>
      <c r="K1127" s="3">
        <f>IF(J1127="","",(J1127-AVERAGE(J6:J1198))/(STDEV(J6:J1198)+1E-12))</f>
        <v/>
      </c>
      <c r="L1127" s="3">
        <f>IF('3a Raw'!H1127="","",MAX(-3,MIN(3,('3a Raw'!H1127-$L3)/$L4)))</f>
        <v/>
      </c>
      <c r="M1127" s="3">
        <f>IF(L1127="","",(L1127-AVERAGE(L6:L1198))/(STDEV(L6:L1198)+1E-12))</f>
        <v/>
      </c>
      <c r="N1127" s="3">
        <f>IF('3a Raw'!I1127="","",MAX(-3,MIN(3,('3a Raw'!I1127-$N3)/$N4)))</f>
        <v/>
      </c>
      <c r="O1127" s="3">
        <f>IF(N1127="","",(N1127-AVERAGE(N6:N1198))/(STDEV(N6:N1198)+1E-12))</f>
        <v/>
      </c>
      <c r="P1127" s="3">
        <f>IF('3a Raw'!J1127="","",MAX(-3,MIN(3,('3a Raw'!J1127-$P3)/$P4)))</f>
        <v/>
      </c>
      <c r="Q1127" s="3">
        <f>IF(P1127="","",(P1127-AVERAGE(P6:P1198))/(STDEV(P6:P1198)+1E-12))</f>
        <v/>
      </c>
      <c r="R1127" s="3">
        <f>IF('3a Raw'!K1127="","",MAX(-3,MIN(3,('3a Raw'!K1127-$R3)/$R4)))</f>
        <v/>
      </c>
      <c r="S1127" s="3">
        <f>IF(R1127="","",(R1127-AVERAGE(R6:R1198))/(STDEV(R6:R1198)+1E-12))</f>
        <v/>
      </c>
      <c r="T1127" s="3">
        <f>IF('3a Raw'!L1127="","",MAX(-3,MIN(3,('3a Raw'!L1127-$T3)/$T4)))</f>
        <v/>
      </c>
      <c r="U1127" s="3">
        <f>IF(T1127="","",(T1127-AVERAGE(T6:T1198))/(STDEV(T6:T1198)+1E-12))</f>
        <v/>
      </c>
      <c r="X1127" s="3">
        <f>IF(U1127="","",U1127-($V$3*G1127+$W$3))</f>
        <v/>
      </c>
      <c r="Y1127" s="3">
        <f>IF(X1127="","",MAX(-3,MIN(3,(X1127-$X3)/$X4)))</f>
        <v/>
      </c>
      <c r="Z1127" s="3">
        <f>IF(Y1127="","",(Y1127-AVERAGE(Y6:Y1198))/(STDEV(Y6:Y1198)+1E-12))</f>
        <v/>
      </c>
    </row>
    <row r="1128">
      <c r="A1128" t="inlineStr">
        <is>
          <t>BBG001Y04TN6</t>
        </is>
      </c>
      <c r="B1128" s="3">
        <f>IF('3a Raw'!C1128="","",MAX(-3,MIN(3,('3a Raw'!C1128-$B3)/$B4)))</f>
        <v/>
      </c>
      <c r="C1128" s="3">
        <f>IF(B1128="","",(B1128-AVERAGE(B6:B1198))/(STDEV(B6:B1198)+1E-12))</f>
        <v/>
      </c>
      <c r="D1128" s="3">
        <f>IF('3a Raw'!D1128="","",MAX(-3,MIN(3,('3a Raw'!D1128-$D3)/$D4)))</f>
        <v/>
      </c>
      <c r="E1128" s="3">
        <f>IF(D1128="","",(D1128-AVERAGE(D6:D1198))/(STDEV(D6:D1198)+1E-12))</f>
        <v/>
      </c>
      <c r="F1128" s="3">
        <f>IF('3a Raw'!E1128="","",MAX(-3,MIN(3,('3a Raw'!E1128-$F3)/$F4)))</f>
        <v/>
      </c>
      <c r="G1128" s="3">
        <f>IF(F1128="","",(F1128-AVERAGE(F6:F1198))/(STDEV(F6:F1198)+1E-12))</f>
        <v/>
      </c>
      <c r="H1128" s="3">
        <f>IF('3a Raw'!F1128="","",MAX(-3,MIN(3,('3a Raw'!F1128-$H3)/$H4)))</f>
        <v/>
      </c>
      <c r="I1128" s="3">
        <f>IF(H1128="","",(H1128-AVERAGE(H6:H1198))/(STDEV(H6:H1198)+1E-12))</f>
        <v/>
      </c>
      <c r="J1128" s="3">
        <f>IF('3a Raw'!G1128="","",MAX(-3,MIN(3,('3a Raw'!G1128-$J3)/$J4)))</f>
        <v/>
      </c>
      <c r="K1128" s="3">
        <f>IF(J1128="","",(J1128-AVERAGE(J6:J1198))/(STDEV(J6:J1198)+1E-12))</f>
        <v/>
      </c>
      <c r="L1128" s="3">
        <f>IF('3a Raw'!H1128="","",MAX(-3,MIN(3,('3a Raw'!H1128-$L3)/$L4)))</f>
        <v/>
      </c>
      <c r="M1128" s="3">
        <f>IF(L1128="","",(L1128-AVERAGE(L6:L1198))/(STDEV(L6:L1198)+1E-12))</f>
        <v/>
      </c>
      <c r="N1128" s="3">
        <f>IF('3a Raw'!I1128="","",MAX(-3,MIN(3,('3a Raw'!I1128-$N3)/$N4)))</f>
        <v/>
      </c>
      <c r="O1128" s="3">
        <f>IF(N1128="","",(N1128-AVERAGE(N6:N1198))/(STDEV(N6:N1198)+1E-12))</f>
        <v/>
      </c>
      <c r="P1128" s="3">
        <f>IF('3a Raw'!J1128="","",MAX(-3,MIN(3,('3a Raw'!J1128-$P3)/$P4)))</f>
        <v/>
      </c>
      <c r="Q1128" s="3">
        <f>IF(P1128="","",(P1128-AVERAGE(P6:P1198))/(STDEV(P6:P1198)+1E-12))</f>
        <v/>
      </c>
      <c r="R1128" s="3">
        <f>IF('3a Raw'!K1128="","",MAX(-3,MIN(3,('3a Raw'!K1128-$R3)/$R4)))</f>
        <v/>
      </c>
      <c r="S1128" s="3">
        <f>IF(R1128="","",(R1128-AVERAGE(R6:R1198))/(STDEV(R6:R1198)+1E-12))</f>
        <v/>
      </c>
      <c r="T1128" s="3">
        <f>IF('3a Raw'!L1128="","",MAX(-3,MIN(3,('3a Raw'!L1128-$T3)/$T4)))</f>
        <v/>
      </c>
      <c r="U1128" s="3">
        <f>IF(T1128="","",(T1128-AVERAGE(T6:T1198))/(STDEV(T6:T1198)+1E-12))</f>
        <v/>
      </c>
      <c r="X1128" s="3">
        <f>IF(U1128="","",U1128-($V$3*G1128+$W$3))</f>
        <v/>
      </c>
      <c r="Y1128" s="3">
        <f>IF(X1128="","",MAX(-3,MIN(3,(X1128-$X3)/$X4)))</f>
        <v/>
      </c>
      <c r="Z1128" s="3">
        <f>IF(Y1128="","",(Y1128-AVERAGE(Y6:Y1198))/(STDEV(Y6:Y1198)+1E-12))</f>
        <v/>
      </c>
    </row>
    <row r="1129">
      <c r="A1129" t="inlineStr">
        <is>
          <t>BBG000BCZL41</t>
        </is>
      </c>
      <c r="B1129" s="3">
        <f>IF('3a Raw'!C1129="","",MAX(-3,MIN(3,('3a Raw'!C1129-$B3)/$B4)))</f>
        <v/>
      </c>
      <c r="C1129" s="3">
        <f>IF(B1129="","",(B1129-AVERAGE(B6:B1198))/(STDEV(B6:B1198)+1E-12))</f>
        <v/>
      </c>
      <c r="D1129" s="3">
        <f>IF('3a Raw'!D1129="","",MAX(-3,MIN(3,('3a Raw'!D1129-$D3)/$D4)))</f>
        <v/>
      </c>
      <c r="E1129" s="3">
        <f>IF(D1129="","",(D1129-AVERAGE(D6:D1198))/(STDEV(D6:D1198)+1E-12))</f>
        <v/>
      </c>
      <c r="F1129" s="3">
        <f>IF('3a Raw'!E1129="","",MAX(-3,MIN(3,('3a Raw'!E1129-$F3)/$F4)))</f>
        <v/>
      </c>
      <c r="G1129" s="3">
        <f>IF(F1129="","",(F1129-AVERAGE(F6:F1198))/(STDEV(F6:F1198)+1E-12))</f>
        <v/>
      </c>
      <c r="H1129" s="3">
        <f>IF('3a Raw'!F1129="","",MAX(-3,MIN(3,('3a Raw'!F1129-$H3)/$H4)))</f>
        <v/>
      </c>
      <c r="I1129" s="3">
        <f>IF(H1129="","",(H1129-AVERAGE(H6:H1198))/(STDEV(H6:H1198)+1E-12))</f>
        <v/>
      </c>
      <c r="J1129" s="3">
        <f>IF('3a Raw'!G1129="","",MAX(-3,MIN(3,('3a Raw'!G1129-$J3)/$J4)))</f>
        <v/>
      </c>
      <c r="K1129" s="3">
        <f>IF(J1129="","",(J1129-AVERAGE(J6:J1198))/(STDEV(J6:J1198)+1E-12))</f>
        <v/>
      </c>
      <c r="L1129" s="3">
        <f>IF('3a Raw'!H1129="","",MAX(-3,MIN(3,('3a Raw'!H1129-$L3)/$L4)))</f>
        <v/>
      </c>
      <c r="M1129" s="3">
        <f>IF(L1129="","",(L1129-AVERAGE(L6:L1198))/(STDEV(L6:L1198)+1E-12))</f>
        <v/>
      </c>
      <c r="N1129" s="3">
        <f>IF('3a Raw'!I1129="","",MAX(-3,MIN(3,('3a Raw'!I1129-$N3)/$N4)))</f>
        <v/>
      </c>
      <c r="O1129" s="3">
        <f>IF(N1129="","",(N1129-AVERAGE(N6:N1198))/(STDEV(N6:N1198)+1E-12))</f>
        <v/>
      </c>
      <c r="P1129" s="3">
        <f>IF('3a Raw'!J1129="","",MAX(-3,MIN(3,('3a Raw'!J1129-$P3)/$P4)))</f>
        <v/>
      </c>
      <c r="Q1129" s="3">
        <f>IF(P1129="","",(P1129-AVERAGE(P6:P1198))/(STDEV(P6:P1198)+1E-12))</f>
        <v/>
      </c>
      <c r="R1129" s="3">
        <f>IF('3a Raw'!K1129="","",MAX(-3,MIN(3,('3a Raw'!K1129-$R3)/$R4)))</f>
        <v/>
      </c>
      <c r="S1129" s="3">
        <f>IF(R1129="","",(R1129-AVERAGE(R6:R1198))/(STDEV(R6:R1198)+1E-12))</f>
        <v/>
      </c>
      <c r="T1129" s="3">
        <f>IF('3a Raw'!L1129="","",MAX(-3,MIN(3,('3a Raw'!L1129-$T3)/$T4)))</f>
        <v/>
      </c>
      <c r="U1129" s="3">
        <f>IF(T1129="","",(T1129-AVERAGE(T6:T1198))/(STDEV(T6:T1198)+1E-12))</f>
        <v/>
      </c>
      <c r="X1129" s="3">
        <f>IF(U1129="","",U1129-($V$3*G1129+$W$3))</f>
        <v/>
      </c>
      <c r="Y1129" s="3">
        <f>IF(X1129="","",MAX(-3,MIN(3,(X1129-$X3)/$X4)))</f>
        <v/>
      </c>
      <c r="Z1129" s="3">
        <f>IF(Y1129="","",(Y1129-AVERAGE(Y6:Y1198))/(STDEV(Y6:Y1198)+1E-12))</f>
        <v/>
      </c>
    </row>
    <row r="1130">
      <c r="A1130" t="inlineStr">
        <is>
          <t>BBG000BGKHZ3</t>
        </is>
      </c>
      <c r="B1130" s="3">
        <f>IF('3a Raw'!C1130="","",MAX(-3,MIN(3,('3a Raw'!C1130-$B3)/$B4)))</f>
        <v/>
      </c>
      <c r="C1130" s="3">
        <f>IF(B1130="","",(B1130-AVERAGE(B6:B1198))/(STDEV(B6:B1198)+1E-12))</f>
        <v/>
      </c>
      <c r="D1130" s="3">
        <f>IF('3a Raw'!D1130="","",MAX(-3,MIN(3,('3a Raw'!D1130-$D3)/$D4)))</f>
        <v/>
      </c>
      <c r="E1130" s="3">
        <f>IF(D1130="","",(D1130-AVERAGE(D6:D1198))/(STDEV(D6:D1198)+1E-12))</f>
        <v/>
      </c>
      <c r="F1130" s="3">
        <f>IF('3a Raw'!E1130="","",MAX(-3,MIN(3,('3a Raw'!E1130-$F3)/$F4)))</f>
        <v/>
      </c>
      <c r="G1130" s="3">
        <f>IF(F1130="","",(F1130-AVERAGE(F6:F1198))/(STDEV(F6:F1198)+1E-12))</f>
        <v/>
      </c>
      <c r="H1130" s="3">
        <f>IF('3a Raw'!F1130="","",MAX(-3,MIN(3,('3a Raw'!F1130-$H3)/$H4)))</f>
        <v/>
      </c>
      <c r="I1130" s="3">
        <f>IF(H1130="","",(H1130-AVERAGE(H6:H1198))/(STDEV(H6:H1198)+1E-12))</f>
        <v/>
      </c>
      <c r="J1130" s="3">
        <f>IF('3a Raw'!G1130="","",MAX(-3,MIN(3,('3a Raw'!G1130-$J3)/$J4)))</f>
        <v/>
      </c>
      <c r="K1130" s="3">
        <f>IF(J1130="","",(J1130-AVERAGE(J6:J1198))/(STDEV(J6:J1198)+1E-12))</f>
        <v/>
      </c>
      <c r="L1130" s="3">
        <f>IF('3a Raw'!H1130="","",MAX(-3,MIN(3,('3a Raw'!H1130-$L3)/$L4)))</f>
        <v/>
      </c>
      <c r="M1130" s="3">
        <f>IF(L1130="","",(L1130-AVERAGE(L6:L1198))/(STDEV(L6:L1198)+1E-12))</f>
        <v/>
      </c>
      <c r="N1130" s="3">
        <f>IF('3a Raw'!I1130="","",MAX(-3,MIN(3,('3a Raw'!I1130-$N3)/$N4)))</f>
        <v/>
      </c>
      <c r="O1130" s="3">
        <f>IF(N1130="","",(N1130-AVERAGE(N6:N1198))/(STDEV(N6:N1198)+1E-12))</f>
        <v/>
      </c>
      <c r="P1130" s="3">
        <f>IF('3a Raw'!J1130="","",MAX(-3,MIN(3,('3a Raw'!J1130-$P3)/$P4)))</f>
        <v/>
      </c>
      <c r="Q1130" s="3">
        <f>IF(P1130="","",(P1130-AVERAGE(P6:P1198))/(STDEV(P6:P1198)+1E-12))</f>
        <v/>
      </c>
      <c r="R1130" s="3">
        <f>IF('3a Raw'!K1130="","",MAX(-3,MIN(3,('3a Raw'!K1130-$R3)/$R4)))</f>
        <v/>
      </c>
      <c r="S1130" s="3">
        <f>IF(R1130="","",(R1130-AVERAGE(R6:R1198))/(STDEV(R6:R1198)+1E-12))</f>
        <v/>
      </c>
      <c r="T1130" s="3">
        <f>IF('3a Raw'!L1130="","",MAX(-3,MIN(3,('3a Raw'!L1130-$T3)/$T4)))</f>
        <v/>
      </c>
      <c r="U1130" s="3">
        <f>IF(T1130="","",(T1130-AVERAGE(T6:T1198))/(STDEV(T6:T1198)+1E-12))</f>
        <v/>
      </c>
      <c r="X1130" s="3">
        <f>IF(U1130="","",U1130-($V$3*G1130+$W$3))</f>
        <v/>
      </c>
      <c r="Y1130" s="3">
        <f>IF(X1130="","",MAX(-3,MIN(3,(X1130-$X3)/$X4)))</f>
        <v/>
      </c>
      <c r="Z1130" s="3">
        <f>IF(Y1130="","",(Y1130-AVERAGE(Y6:Y1198))/(STDEV(Y6:Y1198)+1E-12))</f>
        <v/>
      </c>
    </row>
    <row r="1131">
      <c r="A1131" t="inlineStr">
        <is>
          <t>vrt</t>
        </is>
      </c>
      <c r="B1131" s="3">
        <f>IF('3a Raw'!C1131="","",MAX(-3,MIN(3,('3a Raw'!C1131-$B3)/$B4)))</f>
        <v/>
      </c>
      <c r="C1131" s="3">
        <f>IF(B1131="","",(B1131-AVERAGE(B6:B1198))/(STDEV(B6:B1198)+1E-12))</f>
        <v/>
      </c>
      <c r="D1131" s="3">
        <f>IF('3a Raw'!D1131="","",MAX(-3,MIN(3,('3a Raw'!D1131-$D3)/$D4)))</f>
        <v/>
      </c>
      <c r="E1131" s="3">
        <f>IF(D1131="","",(D1131-AVERAGE(D6:D1198))/(STDEV(D6:D1198)+1E-12))</f>
        <v/>
      </c>
      <c r="F1131" s="3">
        <f>IF('3a Raw'!E1131="","",MAX(-3,MIN(3,('3a Raw'!E1131-$F3)/$F4)))</f>
        <v/>
      </c>
      <c r="G1131" s="3">
        <f>IF(F1131="","",(F1131-AVERAGE(F6:F1198))/(STDEV(F6:F1198)+1E-12))</f>
        <v/>
      </c>
      <c r="H1131" s="3">
        <f>IF('3a Raw'!F1131="","",MAX(-3,MIN(3,('3a Raw'!F1131-$H3)/$H4)))</f>
        <v/>
      </c>
      <c r="I1131" s="3">
        <f>IF(H1131="","",(H1131-AVERAGE(H6:H1198))/(STDEV(H6:H1198)+1E-12))</f>
        <v/>
      </c>
      <c r="J1131" s="3">
        <f>IF('3a Raw'!G1131="","",MAX(-3,MIN(3,('3a Raw'!G1131-$J3)/$J4)))</f>
        <v/>
      </c>
      <c r="K1131" s="3">
        <f>IF(J1131="","",(J1131-AVERAGE(J6:J1198))/(STDEV(J6:J1198)+1E-12))</f>
        <v/>
      </c>
      <c r="L1131" s="3">
        <f>IF('3a Raw'!H1131="","",MAX(-3,MIN(3,('3a Raw'!H1131-$L3)/$L4)))</f>
        <v/>
      </c>
      <c r="M1131" s="3">
        <f>IF(L1131="","",(L1131-AVERAGE(L6:L1198))/(STDEV(L6:L1198)+1E-12))</f>
        <v/>
      </c>
      <c r="N1131" s="3">
        <f>IF('3a Raw'!I1131="","",MAX(-3,MIN(3,('3a Raw'!I1131-$N3)/$N4)))</f>
        <v/>
      </c>
      <c r="O1131" s="3">
        <f>IF(N1131="","",(N1131-AVERAGE(N6:N1198))/(STDEV(N6:N1198)+1E-12))</f>
        <v/>
      </c>
      <c r="P1131" s="3">
        <f>IF('3a Raw'!J1131="","",MAX(-3,MIN(3,('3a Raw'!J1131-$P3)/$P4)))</f>
        <v/>
      </c>
      <c r="Q1131" s="3">
        <f>IF(P1131="","",(P1131-AVERAGE(P6:P1198))/(STDEV(P6:P1198)+1E-12))</f>
        <v/>
      </c>
      <c r="R1131" s="3">
        <f>IF('3a Raw'!K1131="","",MAX(-3,MIN(3,('3a Raw'!K1131-$R3)/$R4)))</f>
        <v/>
      </c>
      <c r="S1131" s="3">
        <f>IF(R1131="","",(R1131-AVERAGE(R6:R1198))/(STDEV(R6:R1198)+1E-12))</f>
        <v/>
      </c>
      <c r="T1131" s="3">
        <f>IF('3a Raw'!L1131="","",MAX(-3,MIN(3,('3a Raw'!L1131-$T3)/$T4)))</f>
        <v/>
      </c>
      <c r="U1131" s="3">
        <f>IF(T1131="","",(T1131-AVERAGE(T6:T1198))/(STDEV(T6:T1198)+1E-12))</f>
        <v/>
      </c>
      <c r="X1131" s="3">
        <f>IF(U1131="","",U1131-($V$3*G1131+$W$3))</f>
        <v/>
      </c>
      <c r="Y1131" s="3">
        <f>IF(X1131="","",MAX(-3,MIN(3,(X1131-$X3)/$X4)))</f>
        <v/>
      </c>
      <c r="Z1131" s="3">
        <f>IF(Y1131="","",(Y1131-AVERAGE(Y6:Y1198))/(STDEV(Y6:Y1198)+1E-12))</f>
        <v/>
      </c>
    </row>
    <row r="1132">
      <c r="A1132" t="inlineStr">
        <is>
          <t>BBG000C1S2X2</t>
        </is>
      </c>
      <c r="B1132" s="3">
        <f>IF('3a Raw'!C1132="","",MAX(-3,MIN(3,('3a Raw'!C1132-$B3)/$B4)))</f>
        <v/>
      </c>
      <c r="C1132" s="3">
        <f>IF(B1132="","",(B1132-AVERAGE(B6:B1198))/(STDEV(B6:B1198)+1E-12))</f>
        <v/>
      </c>
      <c r="D1132" s="3">
        <f>IF('3a Raw'!D1132="","",MAX(-3,MIN(3,('3a Raw'!D1132-$D3)/$D4)))</f>
        <v/>
      </c>
      <c r="E1132" s="3">
        <f>IF(D1132="","",(D1132-AVERAGE(D6:D1198))/(STDEV(D6:D1198)+1E-12))</f>
        <v/>
      </c>
      <c r="F1132" s="3">
        <f>IF('3a Raw'!E1132="","",MAX(-3,MIN(3,('3a Raw'!E1132-$F3)/$F4)))</f>
        <v/>
      </c>
      <c r="G1132" s="3">
        <f>IF(F1132="","",(F1132-AVERAGE(F6:F1198))/(STDEV(F6:F1198)+1E-12))</f>
        <v/>
      </c>
      <c r="H1132" s="3">
        <f>IF('3a Raw'!F1132="","",MAX(-3,MIN(3,('3a Raw'!F1132-$H3)/$H4)))</f>
        <v/>
      </c>
      <c r="I1132" s="3">
        <f>IF(H1132="","",(H1132-AVERAGE(H6:H1198))/(STDEV(H6:H1198)+1E-12))</f>
        <v/>
      </c>
      <c r="J1132" s="3">
        <f>IF('3a Raw'!G1132="","",MAX(-3,MIN(3,('3a Raw'!G1132-$J3)/$J4)))</f>
        <v/>
      </c>
      <c r="K1132" s="3">
        <f>IF(J1132="","",(J1132-AVERAGE(J6:J1198))/(STDEV(J6:J1198)+1E-12))</f>
        <v/>
      </c>
      <c r="L1132" s="3">
        <f>IF('3a Raw'!H1132="","",MAX(-3,MIN(3,('3a Raw'!H1132-$L3)/$L4)))</f>
        <v/>
      </c>
      <c r="M1132" s="3">
        <f>IF(L1132="","",(L1132-AVERAGE(L6:L1198))/(STDEV(L6:L1198)+1E-12))</f>
        <v/>
      </c>
      <c r="N1132" s="3">
        <f>IF('3a Raw'!I1132="","",MAX(-3,MIN(3,('3a Raw'!I1132-$N3)/$N4)))</f>
        <v/>
      </c>
      <c r="O1132" s="3">
        <f>IF(N1132="","",(N1132-AVERAGE(N6:N1198))/(STDEV(N6:N1198)+1E-12))</f>
        <v/>
      </c>
      <c r="P1132" s="3">
        <f>IF('3a Raw'!J1132="","",MAX(-3,MIN(3,('3a Raw'!J1132-$P3)/$P4)))</f>
        <v/>
      </c>
      <c r="Q1132" s="3">
        <f>IF(P1132="","",(P1132-AVERAGE(P6:P1198))/(STDEV(P6:P1198)+1E-12))</f>
        <v/>
      </c>
      <c r="R1132" s="3">
        <f>IF('3a Raw'!K1132="","",MAX(-3,MIN(3,('3a Raw'!K1132-$R3)/$R4)))</f>
        <v/>
      </c>
      <c r="S1132" s="3">
        <f>IF(R1132="","",(R1132-AVERAGE(R6:R1198))/(STDEV(R6:R1198)+1E-12))</f>
        <v/>
      </c>
      <c r="T1132" s="3">
        <f>IF('3a Raw'!L1132="","",MAX(-3,MIN(3,('3a Raw'!L1132-$T3)/$T4)))</f>
        <v/>
      </c>
      <c r="U1132" s="3">
        <f>IF(T1132="","",(T1132-AVERAGE(T6:T1198))/(STDEV(T6:T1198)+1E-12))</f>
        <v/>
      </c>
      <c r="X1132" s="3">
        <f>IF(U1132="","",U1132-($V$3*G1132+$W$3))</f>
        <v/>
      </c>
      <c r="Y1132" s="3">
        <f>IF(X1132="","",MAX(-3,MIN(3,(X1132-$X3)/$X4)))</f>
        <v/>
      </c>
      <c r="Z1132" s="3">
        <f>IF(Y1132="","",(Y1132-AVERAGE(Y6:Y1198))/(STDEV(Y6:Y1198)+1E-12))</f>
        <v/>
      </c>
    </row>
    <row r="1133">
      <c r="A1133" t="inlineStr">
        <is>
          <t>BBG000BWJYL8</t>
        </is>
      </c>
      <c r="B1133" s="3">
        <f>IF('3a Raw'!C1133="","",MAX(-3,MIN(3,('3a Raw'!C1133-$B3)/$B4)))</f>
        <v/>
      </c>
      <c r="C1133" s="3">
        <f>IF(B1133="","",(B1133-AVERAGE(B6:B1198))/(STDEV(B6:B1198)+1E-12))</f>
        <v/>
      </c>
      <c r="D1133" s="3">
        <f>IF('3a Raw'!D1133="","",MAX(-3,MIN(3,('3a Raw'!D1133-$D3)/$D4)))</f>
        <v/>
      </c>
      <c r="E1133" s="3">
        <f>IF(D1133="","",(D1133-AVERAGE(D6:D1198))/(STDEV(D6:D1198)+1E-12))</f>
        <v/>
      </c>
      <c r="F1133" s="3">
        <f>IF('3a Raw'!E1133="","",MAX(-3,MIN(3,('3a Raw'!E1133-$F3)/$F4)))</f>
        <v/>
      </c>
      <c r="G1133" s="3">
        <f>IF(F1133="","",(F1133-AVERAGE(F6:F1198))/(STDEV(F6:F1198)+1E-12))</f>
        <v/>
      </c>
      <c r="H1133" s="3">
        <f>IF('3a Raw'!F1133="","",MAX(-3,MIN(3,('3a Raw'!F1133-$H3)/$H4)))</f>
        <v/>
      </c>
      <c r="I1133" s="3">
        <f>IF(H1133="","",(H1133-AVERAGE(H6:H1198))/(STDEV(H6:H1198)+1E-12))</f>
        <v/>
      </c>
      <c r="J1133" s="3">
        <f>IF('3a Raw'!G1133="","",MAX(-3,MIN(3,('3a Raw'!G1133-$J3)/$J4)))</f>
        <v/>
      </c>
      <c r="K1133" s="3">
        <f>IF(J1133="","",(J1133-AVERAGE(J6:J1198))/(STDEV(J6:J1198)+1E-12))</f>
        <v/>
      </c>
      <c r="L1133" s="3">
        <f>IF('3a Raw'!H1133="","",MAX(-3,MIN(3,('3a Raw'!H1133-$L3)/$L4)))</f>
        <v/>
      </c>
      <c r="M1133" s="3">
        <f>IF(L1133="","",(L1133-AVERAGE(L6:L1198))/(STDEV(L6:L1198)+1E-12))</f>
        <v/>
      </c>
      <c r="N1133" s="3">
        <f>IF('3a Raw'!I1133="","",MAX(-3,MIN(3,('3a Raw'!I1133-$N3)/$N4)))</f>
        <v/>
      </c>
      <c r="O1133" s="3">
        <f>IF(N1133="","",(N1133-AVERAGE(N6:N1198))/(STDEV(N6:N1198)+1E-12))</f>
        <v/>
      </c>
      <c r="P1133" s="3">
        <f>IF('3a Raw'!J1133="","",MAX(-3,MIN(3,('3a Raw'!J1133-$P3)/$P4)))</f>
        <v/>
      </c>
      <c r="Q1133" s="3">
        <f>IF(P1133="","",(P1133-AVERAGE(P6:P1198))/(STDEV(P6:P1198)+1E-12))</f>
        <v/>
      </c>
      <c r="R1133" s="3">
        <f>IF('3a Raw'!K1133="","",MAX(-3,MIN(3,('3a Raw'!K1133-$R3)/$R4)))</f>
        <v/>
      </c>
      <c r="S1133" s="3">
        <f>IF(R1133="","",(R1133-AVERAGE(R6:R1198))/(STDEV(R6:R1198)+1E-12))</f>
        <v/>
      </c>
      <c r="T1133" s="3">
        <f>IF('3a Raw'!L1133="","",MAX(-3,MIN(3,('3a Raw'!L1133-$T3)/$T4)))</f>
        <v/>
      </c>
      <c r="U1133" s="3">
        <f>IF(T1133="","",(T1133-AVERAGE(T6:T1198))/(STDEV(T6:T1198)+1E-12))</f>
        <v/>
      </c>
      <c r="X1133" s="3">
        <f>IF(U1133="","",U1133-($V$3*G1133+$W$3))</f>
        <v/>
      </c>
      <c r="Y1133" s="3">
        <f>IF(X1133="","",MAX(-3,MIN(3,(X1133-$X3)/$X4)))</f>
        <v/>
      </c>
      <c r="Z1133" s="3">
        <f>IF(Y1133="","",(Y1133-AVERAGE(Y6:Y1198))/(STDEV(Y6:Y1198)+1E-12))</f>
        <v/>
      </c>
    </row>
    <row r="1134">
      <c r="A1134" t="inlineStr">
        <is>
          <t>BBG00DXDL6Q1</t>
        </is>
      </c>
      <c r="B1134" s="3">
        <f>IF('3a Raw'!C1134="","",MAX(-3,MIN(3,('3a Raw'!C1134-$B3)/$B4)))</f>
        <v/>
      </c>
      <c r="C1134" s="3">
        <f>IF(B1134="","",(B1134-AVERAGE(B6:B1198))/(STDEV(B6:B1198)+1E-12))</f>
        <v/>
      </c>
      <c r="D1134" s="3">
        <f>IF('3a Raw'!D1134="","",MAX(-3,MIN(3,('3a Raw'!D1134-$D3)/$D4)))</f>
        <v/>
      </c>
      <c r="E1134" s="3">
        <f>IF(D1134="","",(D1134-AVERAGE(D6:D1198))/(STDEV(D6:D1198)+1E-12))</f>
        <v/>
      </c>
      <c r="F1134" s="3">
        <f>IF('3a Raw'!E1134="","",MAX(-3,MIN(3,('3a Raw'!E1134-$F3)/$F4)))</f>
        <v/>
      </c>
      <c r="G1134" s="3">
        <f>IF(F1134="","",(F1134-AVERAGE(F6:F1198))/(STDEV(F6:F1198)+1E-12))</f>
        <v/>
      </c>
      <c r="H1134" s="3">
        <f>IF('3a Raw'!F1134="","",MAX(-3,MIN(3,('3a Raw'!F1134-$H3)/$H4)))</f>
        <v/>
      </c>
      <c r="I1134" s="3">
        <f>IF(H1134="","",(H1134-AVERAGE(H6:H1198))/(STDEV(H6:H1198)+1E-12))</f>
        <v/>
      </c>
      <c r="J1134" s="3">
        <f>IF('3a Raw'!G1134="","",MAX(-3,MIN(3,('3a Raw'!G1134-$J3)/$J4)))</f>
        <v/>
      </c>
      <c r="K1134" s="3">
        <f>IF(J1134="","",(J1134-AVERAGE(J6:J1198))/(STDEV(J6:J1198)+1E-12))</f>
        <v/>
      </c>
      <c r="L1134" s="3">
        <f>IF('3a Raw'!H1134="","",MAX(-3,MIN(3,('3a Raw'!H1134-$L3)/$L4)))</f>
        <v/>
      </c>
      <c r="M1134" s="3">
        <f>IF(L1134="","",(L1134-AVERAGE(L6:L1198))/(STDEV(L6:L1198)+1E-12))</f>
        <v/>
      </c>
      <c r="N1134" s="3">
        <f>IF('3a Raw'!I1134="","",MAX(-3,MIN(3,('3a Raw'!I1134-$N3)/$N4)))</f>
        <v/>
      </c>
      <c r="O1134" s="3">
        <f>IF(N1134="","",(N1134-AVERAGE(N6:N1198))/(STDEV(N6:N1198)+1E-12))</f>
        <v/>
      </c>
      <c r="P1134" s="3">
        <f>IF('3a Raw'!J1134="","",MAX(-3,MIN(3,('3a Raw'!J1134-$P3)/$P4)))</f>
        <v/>
      </c>
      <c r="Q1134" s="3">
        <f>IF(P1134="","",(P1134-AVERAGE(P6:P1198))/(STDEV(P6:P1198)+1E-12))</f>
        <v/>
      </c>
      <c r="R1134" s="3">
        <f>IF('3a Raw'!K1134="","",MAX(-3,MIN(3,('3a Raw'!K1134-$R3)/$R4)))</f>
        <v/>
      </c>
      <c r="S1134" s="3">
        <f>IF(R1134="","",(R1134-AVERAGE(R6:R1198))/(STDEV(R6:R1198)+1E-12))</f>
        <v/>
      </c>
      <c r="T1134" s="3">
        <f>IF('3a Raw'!L1134="","",MAX(-3,MIN(3,('3a Raw'!L1134-$T3)/$T4)))</f>
        <v/>
      </c>
      <c r="U1134" s="3">
        <f>IF(T1134="","",(T1134-AVERAGE(T6:T1198))/(STDEV(T6:T1198)+1E-12))</f>
        <v/>
      </c>
      <c r="X1134" s="3">
        <f>IF(U1134="","",U1134-($V$3*G1134+$W$3))</f>
        <v/>
      </c>
      <c r="Y1134" s="3">
        <f>IF(X1134="","",MAX(-3,MIN(3,(X1134-$X3)/$X4)))</f>
        <v/>
      </c>
      <c r="Z1134" s="3">
        <f>IF(Y1134="","",(Y1134-AVERAGE(Y6:Y1198))/(STDEV(Y6:Y1198)+1E-12))</f>
        <v/>
      </c>
    </row>
    <row r="1135">
      <c r="A1135" t="inlineStr">
        <is>
          <t>BBG000FJWF20</t>
        </is>
      </c>
      <c r="B1135" s="3">
        <f>IF('3a Raw'!C1135="","",MAX(-3,MIN(3,('3a Raw'!C1135-$B3)/$B4)))</f>
        <v/>
      </c>
      <c r="C1135" s="3">
        <f>IF(B1135="","",(B1135-AVERAGE(B6:B1198))/(STDEV(B6:B1198)+1E-12))</f>
        <v/>
      </c>
      <c r="D1135" s="3">
        <f>IF('3a Raw'!D1135="","",MAX(-3,MIN(3,('3a Raw'!D1135-$D3)/$D4)))</f>
        <v/>
      </c>
      <c r="E1135" s="3">
        <f>IF(D1135="","",(D1135-AVERAGE(D6:D1198))/(STDEV(D6:D1198)+1E-12))</f>
        <v/>
      </c>
      <c r="F1135" s="3">
        <f>IF('3a Raw'!E1135="","",MAX(-3,MIN(3,('3a Raw'!E1135-$F3)/$F4)))</f>
        <v/>
      </c>
      <c r="G1135" s="3">
        <f>IF(F1135="","",(F1135-AVERAGE(F6:F1198))/(STDEV(F6:F1198)+1E-12))</f>
        <v/>
      </c>
      <c r="H1135" s="3">
        <f>IF('3a Raw'!F1135="","",MAX(-3,MIN(3,('3a Raw'!F1135-$H3)/$H4)))</f>
        <v/>
      </c>
      <c r="I1135" s="3">
        <f>IF(H1135="","",(H1135-AVERAGE(H6:H1198))/(STDEV(H6:H1198)+1E-12))</f>
        <v/>
      </c>
      <c r="J1135" s="3">
        <f>IF('3a Raw'!G1135="","",MAX(-3,MIN(3,('3a Raw'!G1135-$J3)/$J4)))</f>
        <v/>
      </c>
      <c r="K1135" s="3">
        <f>IF(J1135="","",(J1135-AVERAGE(J6:J1198))/(STDEV(J6:J1198)+1E-12))</f>
        <v/>
      </c>
      <c r="L1135" s="3">
        <f>IF('3a Raw'!H1135="","",MAX(-3,MIN(3,('3a Raw'!H1135-$L3)/$L4)))</f>
        <v/>
      </c>
      <c r="M1135" s="3">
        <f>IF(L1135="","",(L1135-AVERAGE(L6:L1198))/(STDEV(L6:L1198)+1E-12))</f>
        <v/>
      </c>
      <c r="N1135" s="3">
        <f>IF('3a Raw'!I1135="","",MAX(-3,MIN(3,('3a Raw'!I1135-$N3)/$N4)))</f>
        <v/>
      </c>
      <c r="O1135" s="3">
        <f>IF(N1135="","",(N1135-AVERAGE(N6:N1198))/(STDEV(N6:N1198)+1E-12))</f>
        <v/>
      </c>
      <c r="P1135" s="3">
        <f>IF('3a Raw'!J1135="","",MAX(-3,MIN(3,('3a Raw'!J1135-$P3)/$P4)))</f>
        <v/>
      </c>
      <c r="Q1135" s="3">
        <f>IF(P1135="","",(P1135-AVERAGE(P6:P1198))/(STDEV(P6:P1198)+1E-12))</f>
        <v/>
      </c>
      <c r="R1135" s="3">
        <f>IF('3a Raw'!K1135="","",MAX(-3,MIN(3,('3a Raw'!K1135-$R3)/$R4)))</f>
        <v/>
      </c>
      <c r="S1135" s="3">
        <f>IF(R1135="","",(R1135-AVERAGE(R6:R1198))/(STDEV(R6:R1198)+1E-12))</f>
        <v/>
      </c>
      <c r="T1135" s="3">
        <f>IF('3a Raw'!L1135="","",MAX(-3,MIN(3,('3a Raw'!L1135-$T3)/$T4)))</f>
        <v/>
      </c>
      <c r="U1135" s="3">
        <f>IF(T1135="","",(T1135-AVERAGE(T6:T1198))/(STDEV(T6:T1198)+1E-12))</f>
        <v/>
      </c>
      <c r="X1135" s="3">
        <f>IF(U1135="","",U1135-($V$3*G1135+$W$3))</f>
        <v/>
      </c>
      <c r="Y1135" s="3">
        <f>IF(X1135="","",MAX(-3,MIN(3,(X1135-$X3)/$X4)))</f>
        <v/>
      </c>
      <c r="Z1135" s="3">
        <f>IF(Y1135="","",(Y1135-AVERAGE(Y6:Y1198))/(STDEV(Y6:Y1198)+1E-12))</f>
        <v/>
      </c>
    </row>
    <row r="1136">
      <c r="A1136" t="inlineStr">
        <is>
          <t>BBG000FRVHB9</t>
        </is>
      </c>
      <c r="B1136" s="3">
        <f>IF('3a Raw'!C1136="","",MAX(-3,MIN(3,('3a Raw'!C1136-$B3)/$B4)))</f>
        <v/>
      </c>
      <c r="C1136" s="3">
        <f>IF(B1136="","",(B1136-AVERAGE(B6:B1198))/(STDEV(B6:B1198)+1E-12))</f>
        <v/>
      </c>
      <c r="D1136" s="3">
        <f>IF('3a Raw'!D1136="","",MAX(-3,MIN(3,('3a Raw'!D1136-$D3)/$D4)))</f>
        <v/>
      </c>
      <c r="E1136" s="3">
        <f>IF(D1136="","",(D1136-AVERAGE(D6:D1198))/(STDEV(D6:D1198)+1E-12))</f>
        <v/>
      </c>
      <c r="F1136" s="3">
        <f>IF('3a Raw'!E1136="","",MAX(-3,MIN(3,('3a Raw'!E1136-$F3)/$F4)))</f>
        <v/>
      </c>
      <c r="G1136" s="3">
        <f>IF(F1136="","",(F1136-AVERAGE(F6:F1198))/(STDEV(F6:F1198)+1E-12))</f>
        <v/>
      </c>
      <c r="H1136" s="3">
        <f>IF('3a Raw'!F1136="","",MAX(-3,MIN(3,('3a Raw'!F1136-$H3)/$H4)))</f>
        <v/>
      </c>
      <c r="I1136" s="3">
        <f>IF(H1136="","",(H1136-AVERAGE(H6:H1198))/(STDEV(H6:H1198)+1E-12))</f>
        <v/>
      </c>
      <c r="J1136" s="3">
        <f>IF('3a Raw'!G1136="","",MAX(-3,MIN(3,('3a Raw'!G1136-$J3)/$J4)))</f>
        <v/>
      </c>
      <c r="K1136" s="3">
        <f>IF(J1136="","",(J1136-AVERAGE(J6:J1198))/(STDEV(J6:J1198)+1E-12))</f>
        <v/>
      </c>
      <c r="L1136" s="3">
        <f>IF('3a Raw'!H1136="","",MAX(-3,MIN(3,('3a Raw'!H1136-$L3)/$L4)))</f>
        <v/>
      </c>
      <c r="M1136" s="3">
        <f>IF(L1136="","",(L1136-AVERAGE(L6:L1198))/(STDEV(L6:L1198)+1E-12))</f>
        <v/>
      </c>
      <c r="N1136" s="3">
        <f>IF('3a Raw'!I1136="","",MAX(-3,MIN(3,('3a Raw'!I1136-$N3)/$N4)))</f>
        <v/>
      </c>
      <c r="O1136" s="3">
        <f>IF(N1136="","",(N1136-AVERAGE(N6:N1198))/(STDEV(N6:N1198)+1E-12))</f>
        <v/>
      </c>
      <c r="P1136" s="3">
        <f>IF('3a Raw'!J1136="","",MAX(-3,MIN(3,('3a Raw'!J1136-$P3)/$P4)))</f>
        <v/>
      </c>
      <c r="Q1136" s="3">
        <f>IF(P1136="","",(P1136-AVERAGE(P6:P1198))/(STDEV(P6:P1198)+1E-12))</f>
        <v/>
      </c>
      <c r="R1136" s="3">
        <f>IF('3a Raw'!K1136="","",MAX(-3,MIN(3,('3a Raw'!K1136-$R3)/$R4)))</f>
        <v/>
      </c>
      <c r="S1136" s="3">
        <f>IF(R1136="","",(R1136-AVERAGE(R6:R1198))/(STDEV(R6:R1198)+1E-12))</f>
        <v/>
      </c>
      <c r="T1136" s="3">
        <f>IF('3a Raw'!L1136="","",MAX(-3,MIN(3,('3a Raw'!L1136-$T3)/$T4)))</f>
        <v/>
      </c>
      <c r="U1136" s="3">
        <f>IF(T1136="","",(T1136-AVERAGE(T6:T1198))/(STDEV(T6:T1198)+1E-12))</f>
        <v/>
      </c>
      <c r="X1136" s="3">
        <f>IF(U1136="","",U1136-($V$3*G1136+$W$3))</f>
        <v/>
      </c>
      <c r="Y1136" s="3">
        <f>IF(X1136="","",MAX(-3,MIN(3,(X1136-$X3)/$X4)))</f>
        <v/>
      </c>
      <c r="Z1136" s="3">
        <f>IF(Y1136="","",(Y1136-AVERAGE(Y6:Y1198))/(STDEV(Y6:Y1198)+1E-12))</f>
        <v/>
      </c>
    </row>
    <row r="1137">
      <c r="A1137" t="inlineStr">
        <is>
          <t>BBG00Y4RQNH4</t>
        </is>
      </c>
      <c r="B1137" s="3">
        <f>IF('3a Raw'!C1137="","",MAX(-3,MIN(3,('3a Raw'!C1137-$B3)/$B4)))</f>
        <v/>
      </c>
      <c r="C1137" s="3">
        <f>IF(B1137="","",(B1137-AVERAGE(B6:B1198))/(STDEV(B6:B1198)+1E-12))</f>
        <v/>
      </c>
      <c r="D1137" s="3">
        <f>IF('3a Raw'!D1137="","",MAX(-3,MIN(3,('3a Raw'!D1137-$D3)/$D4)))</f>
        <v/>
      </c>
      <c r="E1137" s="3">
        <f>IF(D1137="","",(D1137-AVERAGE(D6:D1198))/(STDEV(D6:D1198)+1E-12))</f>
        <v/>
      </c>
      <c r="F1137" s="3">
        <f>IF('3a Raw'!E1137="","",MAX(-3,MIN(3,('3a Raw'!E1137-$F3)/$F4)))</f>
        <v/>
      </c>
      <c r="G1137" s="3">
        <f>IF(F1137="","",(F1137-AVERAGE(F6:F1198))/(STDEV(F6:F1198)+1E-12))</f>
        <v/>
      </c>
      <c r="H1137" s="3">
        <f>IF('3a Raw'!F1137="","",MAX(-3,MIN(3,('3a Raw'!F1137-$H3)/$H4)))</f>
        <v/>
      </c>
      <c r="I1137" s="3">
        <f>IF(H1137="","",(H1137-AVERAGE(H6:H1198))/(STDEV(H6:H1198)+1E-12))</f>
        <v/>
      </c>
      <c r="J1137" s="3">
        <f>IF('3a Raw'!G1137="","",MAX(-3,MIN(3,('3a Raw'!G1137-$J3)/$J4)))</f>
        <v/>
      </c>
      <c r="K1137" s="3">
        <f>IF(J1137="","",(J1137-AVERAGE(J6:J1198))/(STDEV(J6:J1198)+1E-12))</f>
        <v/>
      </c>
      <c r="L1137" s="3">
        <f>IF('3a Raw'!H1137="","",MAX(-3,MIN(3,('3a Raw'!H1137-$L3)/$L4)))</f>
        <v/>
      </c>
      <c r="M1137" s="3">
        <f>IF(L1137="","",(L1137-AVERAGE(L6:L1198))/(STDEV(L6:L1198)+1E-12))</f>
        <v/>
      </c>
      <c r="N1137" s="3">
        <f>IF('3a Raw'!I1137="","",MAX(-3,MIN(3,('3a Raw'!I1137-$N3)/$N4)))</f>
        <v/>
      </c>
      <c r="O1137" s="3">
        <f>IF(N1137="","",(N1137-AVERAGE(N6:N1198))/(STDEV(N6:N1198)+1E-12))</f>
        <v/>
      </c>
      <c r="P1137" s="3">
        <f>IF('3a Raw'!J1137="","",MAX(-3,MIN(3,('3a Raw'!J1137-$P3)/$P4)))</f>
        <v/>
      </c>
      <c r="Q1137" s="3">
        <f>IF(P1137="","",(P1137-AVERAGE(P6:P1198))/(STDEV(P6:P1198)+1E-12))</f>
        <v/>
      </c>
      <c r="R1137" s="3">
        <f>IF('3a Raw'!K1137="","",MAX(-3,MIN(3,('3a Raw'!K1137-$R3)/$R4)))</f>
        <v/>
      </c>
      <c r="S1137" s="3">
        <f>IF(R1137="","",(R1137-AVERAGE(R6:R1198))/(STDEV(R6:R1198)+1E-12))</f>
        <v/>
      </c>
      <c r="T1137" s="3">
        <f>IF('3a Raw'!L1137="","",MAX(-3,MIN(3,('3a Raw'!L1137-$T3)/$T4)))</f>
        <v/>
      </c>
      <c r="U1137" s="3">
        <f>IF(T1137="","",(T1137-AVERAGE(T6:T1198))/(STDEV(T6:T1198)+1E-12))</f>
        <v/>
      </c>
      <c r="X1137" s="3">
        <f>IF(U1137="","",U1137-($V$3*G1137+$W$3))</f>
        <v/>
      </c>
      <c r="Y1137" s="3">
        <f>IF(X1137="","",MAX(-3,MIN(3,(X1137-$X3)/$X4)))</f>
        <v/>
      </c>
      <c r="Z1137" s="3">
        <f>IF(Y1137="","",(Y1137-AVERAGE(Y6:Y1198))/(STDEV(Y6:Y1198)+1E-12))</f>
        <v/>
      </c>
    </row>
    <row r="1138">
      <c r="A1138" t="inlineStr">
        <is>
          <t>BBG003DNHV56</t>
        </is>
      </c>
      <c r="B1138" s="3">
        <f>IF('3a Raw'!C1138="","",MAX(-3,MIN(3,('3a Raw'!C1138-$B3)/$B4)))</f>
        <v/>
      </c>
      <c r="C1138" s="3">
        <f>IF(B1138="","",(B1138-AVERAGE(B6:B1198))/(STDEV(B6:B1198)+1E-12))</f>
        <v/>
      </c>
      <c r="D1138" s="3">
        <f>IF('3a Raw'!D1138="","",MAX(-3,MIN(3,('3a Raw'!D1138-$D3)/$D4)))</f>
        <v/>
      </c>
      <c r="E1138" s="3">
        <f>IF(D1138="","",(D1138-AVERAGE(D6:D1198))/(STDEV(D6:D1198)+1E-12))</f>
        <v/>
      </c>
      <c r="F1138" s="3">
        <f>IF('3a Raw'!E1138="","",MAX(-3,MIN(3,('3a Raw'!E1138-$F3)/$F4)))</f>
        <v/>
      </c>
      <c r="G1138" s="3">
        <f>IF(F1138="","",(F1138-AVERAGE(F6:F1198))/(STDEV(F6:F1198)+1E-12))</f>
        <v/>
      </c>
      <c r="H1138" s="3">
        <f>IF('3a Raw'!F1138="","",MAX(-3,MIN(3,('3a Raw'!F1138-$H3)/$H4)))</f>
        <v/>
      </c>
      <c r="I1138" s="3">
        <f>IF(H1138="","",(H1138-AVERAGE(H6:H1198))/(STDEV(H6:H1198)+1E-12))</f>
        <v/>
      </c>
      <c r="J1138" s="3">
        <f>IF('3a Raw'!G1138="","",MAX(-3,MIN(3,('3a Raw'!G1138-$J3)/$J4)))</f>
        <v/>
      </c>
      <c r="K1138" s="3">
        <f>IF(J1138="","",(J1138-AVERAGE(J6:J1198))/(STDEV(J6:J1198)+1E-12))</f>
        <v/>
      </c>
      <c r="L1138" s="3">
        <f>IF('3a Raw'!H1138="","",MAX(-3,MIN(3,('3a Raw'!H1138-$L3)/$L4)))</f>
        <v/>
      </c>
      <c r="M1138" s="3">
        <f>IF(L1138="","",(L1138-AVERAGE(L6:L1198))/(STDEV(L6:L1198)+1E-12))</f>
        <v/>
      </c>
      <c r="N1138" s="3">
        <f>IF('3a Raw'!I1138="","",MAX(-3,MIN(3,('3a Raw'!I1138-$N3)/$N4)))</f>
        <v/>
      </c>
      <c r="O1138" s="3">
        <f>IF(N1138="","",(N1138-AVERAGE(N6:N1198))/(STDEV(N6:N1198)+1E-12))</f>
        <v/>
      </c>
      <c r="P1138" s="3">
        <f>IF('3a Raw'!J1138="","",MAX(-3,MIN(3,('3a Raw'!J1138-$P3)/$P4)))</f>
        <v/>
      </c>
      <c r="Q1138" s="3">
        <f>IF(P1138="","",(P1138-AVERAGE(P6:P1198))/(STDEV(P6:P1198)+1E-12))</f>
        <v/>
      </c>
      <c r="R1138" s="3">
        <f>IF('3a Raw'!K1138="","",MAX(-3,MIN(3,('3a Raw'!K1138-$R3)/$R4)))</f>
        <v/>
      </c>
      <c r="S1138" s="3">
        <f>IF(R1138="","",(R1138-AVERAGE(R6:R1198))/(STDEV(R6:R1198)+1E-12))</f>
        <v/>
      </c>
      <c r="T1138" s="3">
        <f>IF('3a Raw'!L1138="","",MAX(-3,MIN(3,('3a Raw'!L1138-$T3)/$T4)))</f>
        <v/>
      </c>
      <c r="U1138" s="3">
        <f>IF(T1138="","",(T1138-AVERAGE(T6:T1198))/(STDEV(T6:T1198)+1E-12))</f>
        <v/>
      </c>
      <c r="X1138" s="3">
        <f>IF(U1138="","",U1138-($V$3*G1138+$W$3))</f>
        <v/>
      </c>
      <c r="Y1138" s="3">
        <f>IF(X1138="","",MAX(-3,MIN(3,(X1138-$X3)/$X4)))</f>
        <v/>
      </c>
      <c r="Z1138" s="3">
        <f>IF(Y1138="","",(Y1138-AVERAGE(Y6:Y1198))/(STDEV(Y6:Y1198)+1E-12))</f>
        <v/>
      </c>
    </row>
    <row r="1139">
      <c r="A1139" t="inlineStr">
        <is>
          <t>BBG005PG80K4</t>
        </is>
      </c>
      <c r="B1139" s="3">
        <f>IF('3a Raw'!C1139="","",MAX(-3,MIN(3,('3a Raw'!C1139-$B3)/$B4)))</f>
        <v/>
      </c>
      <c r="C1139" s="3">
        <f>IF(B1139="","",(B1139-AVERAGE(B6:B1198))/(STDEV(B6:B1198)+1E-12))</f>
        <v/>
      </c>
      <c r="D1139" s="3">
        <f>IF('3a Raw'!D1139="","",MAX(-3,MIN(3,('3a Raw'!D1139-$D3)/$D4)))</f>
        <v/>
      </c>
      <c r="E1139" s="3">
        <f>IF(D1139="","",(D1139-AVERAGE(D6:D1198))/(STDEV(D6:D1198)+1E-12))</f>
        <v/>
      </c>
      <c r="F1139" s="3">
        <f>IF('3a Raw'!E1139="","",MAX(-3,MIN(3,('3a Raw'!E1139-$F3)/$F4)))</f>
        <v/>
      </c>
      <c r="G1139" s="3">
        <f>IF(F1139="","",(F1139-AVERAGE(F6:F1198))/(STDEV(F6:F1198)+1E-12))</f>
        <v/>
      </c>
      <c r="H1139" s="3">
        <f>IF('3a Raw'!F1139="","",MAX(-3,MIN(3,('3a Raw'!F1139-$H3)/$H4)))</f>
        <v/>
      </c>
      <c r="I1139" s="3">
        <f>IF(H1139="","",(H1139-AVERAGE(H6:H1198))/(STDEV(H6:H1198)+1E-12))</f>
        <v/>
      </c>
      <c r="J1139" s="3">
        <f>IF('3a Raw'!G1139="","",MAX(-3,MIN(3,('3a Raw'!G1139-$J3)/$J4)))</f>
        <v/>
      </c>
      <c r="K1139" s="3">
        <f>IF(J1139="","",(J1139-AVERAGE(J6:J1198))/(STDEV(J6:J1198)+1E-12))</f>
        <v/>
      </c>
      <c r="L1139" s="3">
        <f>IF('3a Raw'!H1139="","",MAX(-3,MIN(3,('3a Raw'!H1139-$L3)/$L4)))</f>
        <v/>
      </c>
      <c r="M1139" s="3">
        <f>IF(L1139="","",(L1139-AVERAGE(L6:L1198))/(STDEV(L6:L1198)+1E-12))</f>
        <v/>
      </c>
      <c r="N1139" s="3">
        <f>IF('3a Raw'!I1139="","",MAX(-3,MIN(3,('3a Raw'!I1139-$N3)/$N4)))</f>
        <v/>
      </c>
      <c r="O1139" s="3">
        <f>IF(N1139="","",(N1139-AVERAGE(N6:N1198))/(STDEV(N6:N1198)+1E-12))</f>
        <v/>
      </c>
      <c r="P1139" s="3">
        <f>IF('3a Raw'!J1139="","",MAX(-3,MIN(3,('3a Raw'!J1139-$P3)/$P4)))</f>
        <v/>
      </c>
      <c r="Q1139" s="3">
        <f>IF(P1139="","",(P1139-AVERAGE(P6:P1198))/(STDEV(P6:P1198)+1E-12))</f>
        <v/>
      </c>
      <c r="R1139" s="3">
        <f>IF('3a Raw'!K1139="","",MAX(-3,MIN(3,('3a Raw'!K1139-$R3)/$R4)))</f>
        <v/>
      </c>
      <c r="S1139" s="3">
        <f>IF(R1139="","",(R1139-AVERAGE(R6:R1198))/(STDEV(R6:R1198)+1E-12))</f>
        <v/>
      </c>
      <c r="T1139" s="3">
        <f>IF('3a Raw'!L1139="","",MAX(-3,MIN(3,('3a Raw'!L1139-$T3)/$T4)))</f>
        <v/>
      </c>
      <c r="U1139" s="3">
        <f>IF(T1139="","",(T1139-AVERAGE(T6:T1198))/(STDEV(T6:T1198)+1E-12))</f>
        <v/>
      </c>
      <c r="X1139" s="3">
        <f>IF(U1139="","",U1139-($V$3*G1139+$W$3))</f>
        <v/>
      </c>
      <c r="Y1139" s="3">
        <f>IF(X1139="","",MAX(-3,MIN(3,(X1139-$X3)/$X4)))</f>
        <v/>
      </c>
      <c r="Z1139" s="3">
        <f>IF(Y1139="","",(Y1139-AVERAGE(Y6:Y1198))/(STDEV(Y6:Y1198)+1E-12))</f>
        <v/>
      </c>
    </row>
    <row r="1140">
      <c r="A1140" t="inlineStr">
        <is>
          <t>BBG000BMXK89</t>
        </is>
      </c>
      <c r="B1140" s="3">
        <f>IF('3a Raw'!C1140="","",MAX(-3,MIN(3,('3a Raw'!C1140-$B3)/$B4)))</f>
        <v/>
      </c>
      <c r="C1140" s="3">
        <f>IF(B1140="","",(B1140-AVERAGE(B6:B1198))/(STDEV(B6:B1198)+1E-12))</f>
        <v/>
      </c>
      <c r="D1140" s="3">
        <f>IF('3a Raw'!D1140="","",MAX(-3,MIN(3,('3a Raw'!D1140-$D3)/$D4)))</f>
        <v/>
      </c>
      <c r="E1140" s="3">
        <f>IF(D1140="","",(D1140-AVERAGE(D6:D1198))/(STDEV(D6:D1198)+1E-12))</f>
        <v/>
      </c>
      <c r="F1140" s="3">
        <f>IF('3a Raw'!E1140="","",MAX(-3,MIN(3,('3a Raw'!E1140-$F3)/$F4)))</f>
        <v/>
      </c>
      <c r="G1140" s="3">
        <f>IF(F1140="","",(F1140-AVERAGE(F6:F1198))/(STDEV(F6:F1198)+1E-12))</f>
        <v/>
      </c>
      <c r="H1140" s="3">
        <f>IF('3a Raw'!F1140="","",MAX(-3,MIN(3,('3a Raw'!F1140-$H3)/$H4)))</f>
        <v/>
      </c>
      <c r="I1140" s="3">
        <f>IF(H1140="","",(H1140-AVERAGE(H6:H1198))/(STDEV(H6:H1198)+1E-12))</f>
        <v/>
      </c>
      <c r="J1140" s="3">
        <f>IF('3a Raw'!G1140="","",MAX(-3,MIN(3,('3a Raw'!G1140-$J3)/$J4)))</f>
        <v/>
      </c>
      <c r="K1140" s="3">
        <f>IF(J1140="","",(J1140-AVERAGE(J6:J1198))/(STDEV(J6:J1198)+1E-12))</f>
        <v/>
      </c>
      <c r="L1140" s="3">
        <f>IF('3a Raw'!H1140="","",MAX(-3,MIN(3,('3a Raw'!H1140-$L3)/$L4)))</f>
        <v/>
      </c>
      <c r="M1140" s="3">
        <f>IF(L1140="","",(L1140-AVERAGE(L6:L1198))/(STDEV(L6:L1198)+1E-12))</f>
        <v/>
      </c>
      <c r="N1140" s="3">
        <f>IF('3a Raw'!I1140="","",MAX(-3,MIN(3,('3a Raw'!I1140-$N3)/$N4)))</f>
        <v/>
      </c>
      <c r="O1140" s="3">
        <f>IF(N1140="","",(N1140-AVERAGE(N6:N1198))/(STDEV(N6:N1198)+1E-12))</f>
        <v/>
      </c>
      <c r="P1140" s="3">
        <f>IF('3a Raw'!J1140="","",MAX(-3,MIN(3,('3a Raw'!J1140-$P3)/$P4)))</f>
        <v/>
      </c>
      <c r="Q1140" s="3">
        <f>IF(P1140="","",(P1140-AVERAGE(P6:P1198))/(STDEV(P6:P1198)+1E-12))</f>
        <v/>
      </c>
      <c r="R1140" s="3">
        <f>IF('3a Raw'!K1140="","",MAX(-3,MIN(3,('3a Raw'!K1140-$R3)/$R4)))</f>
        <v/>
      </c>
      <c r="S1140" s="3">
        <f>IF(R1140="","",(R1140-AVERAGE(R6:R1198))/(STDEV(R6:R1198)+1E-12))</f>
        <v/>
      </c>
      <c r="T1140" s="3">
        <f>IF('3a Raw'!L1140="","",MAX(-3,MIN(3,('3a Raw'!L1140-$T3)/$T4)))</f>
        <v/>
      </c>
      <c r="U1140" s="3">
        <f>IF(T1140="","",(T1140-AVERAGE(T6:T1198))/(STDEV(T6:T1198)+1E-12))</f>
        <v/>
      </c>
      <c r="X1140" s="3">
        <f>IF(U1140="","",U1140-($V$3*G1140+$W$3))</f>
        <v/>
      </c>
      <c r="Y1140" s="3">
        <f>IF(X1140="","",MAX(-3,MIN(3,(X1140-$X3)/$X4)))</f>
        <v/>
      </c>
      <c r="Z1140" s="3">
        <f>IF(Y1140="","",(Y1140-AVERAGE(Y6:Y1198))/(STDEV(Y6:Y1198)+1E-12))</f>
        <v/>
      </c>
    </row>
    <row r="1141">
      <c r="A1141" t="inlineStr">
        <is>
          <t>BBG000HS77T5</t>
        </is>
      </c>
      <c r="B1141" s="3">
        <f>IF('3a Raw'!C1141="","",MAX(-3,MIN(3,('3a Raw'!C1141-$B3)/$B4)))</f>
        <v/>
      </c>
      <c r="C1141" s="3">
        <f>IF(B1141="","",(B1141-AVERAGE(B6:B1198))/(STDEV(B6:B1198)+1E-12))</f>
        <v/>
      </c>
      <c r="D1141" s="3">
        <f>IF('3a Raw'!D1141="","",MAX(-3,MIN(3,('3a Raw'!D1141-$D3)/$D4)))</f>
        <v/>
      </c>
      <c r="E1141" s="3">
        <f>IF(D1141="","",(D1141-AVERAGE(D6:D1198))/(STDEV(D6:D1198)+1E-12))</f>
        <v/>
      </c>
      <c r="F1141" s="3">
        <f>IF('3a Raw'!E1141="","",MAX(-3,MIN(3,('3a Raw'!E1141-$F3)/$F4)))</f>
        <v/>
      </c>
      <c r="G1141" s="3">
        <f>IF(F1141="","",(F1141-AVERAGE(F6:F1198))/(STDEV(F6:F1198)+1E-12))</f>
        <v/>
      </c>
      <c r="H1141" s="3">
        <f>IF('3a Raw'!F1141="","",MAX(-3,MIN(3,('3a Raw'!F1141-$H3)/$H4)))</f>
        <v/>
      </c>
      <c r="I1141" s="3">
        <f>IF(H1141="","",(H1141-AVERAGE(H6:H1198))/(STDEV(H6:H1198)+1E-12))</f>
        <v/>
      </c>
      <c r="J1141" s="3">
        <f>IF('3a Raw'!G1141="","",MAX(-3,MIN(3,('3a Raw'!G1141-$J3)/$J4)))</f>
        <v/>
      </c>
      <c r="K1141" s="3">
        <f>IF(J1141="","",(J1141-AVERAGE(J6:J1198))/(STDEV(J6:J1198)+1E-12))</f>
        <v/>
      </c>
      <c r="L1141" s="3">
        <f>IF('3a Raw'!H1141="","",MAX(-3,MIN(3,('3a Raw'!H1141-$L3)/$L4)))</f>
        <v/>
      </c>
      <c r="M1141" s="3">
        <f>IF(L1141="","",(L1141-AVERAGE(L6:L1198))/(STDEV(L6:L1198)+1E-12))</f>
        <v/>
      </c>
      <c r="N1141" s="3">
        <f>IF('3a Raw'!I1141="","",MAX(-3,MIN(3,('3a Raw'!I1141-$N3)/$N4)))</f>
        <v/>
      </c>
      <c r="O1141" s="3">
        <f>IF(N1141="","",(N1141-AVERAGE(N6:N1198))/(STDEV(N6:N1198)+1E-12))</f>
        <v/>
      </c>
      <c r="P1141" s="3">
        <f>IF('3a Raw'!J1141="","",MAX(-3,MIN(3,('3a Raw'!J1141-$P3)/$P4)))</f>
        <v/>
      </c>
      <c r="Q1141" s="3">
        <f>IF(P1141="","",(P1141-AVERAGE(P6:P1198))/(STDEV(P6:P1198)+1E-12))</f>
        <v/>
      </c>
      <c r="R1141" s="3">
        <f>IF('3a Raw'!K1141="","",MAX(-3,MIN(3,('3a Raw'!K1141-$R3)/$R4)))</f>
        <v/>
      </c>
      <c r="S1141" s="3">
        <f>IF(R1141="","",(R1141-AVERAGE(R6:R1198))/(STDEV(R6:R1198)+1E-12))</f>
        <v/>
      </c>
      <c r="T1141" s="3">
        <f>IF('3a Raw'!L1141="","",MAX(-3,MIN(3,('3a Raw'!L1141-$T3)/$T4)))</f>
        <v/>
      </c>
      <c r="U1141" s="3">
        <f>IF(T1141="","",(T1141-AVERAGE(T6:T1198))/(STDEV(T6:T1198)+1E-12))</f>
        <v/>
      </c>
      <c r="X1141" s="3">
        <f>IF(U1141="","",U1141-($V$3*G1141+$W$3))</f>
        <v/>
      </c>
      <c r="Y1141" s="3">
        <f>IF(X1141="","",MAX(-3,MIN(3,(X1141-$X3)/$X4)))</f>
        <v/>
      </c>
      <c r="Z1141" s="3">
        <f>IF(Y1141="","",(Y1141-AVERAGE(Y6:Y1198))/(STDEV(Y6:Y1198)+1E-12))</f>
        <v/>
      </c>
    </row>
    <row r="1142">
      <c r="A1142" t="inlineStr">
        <is>
          <t>BBG001B17MV2</t>
        </is>
      </c>
      <c r="B1142" s="3">
        <f>IF('3a Raw'!C1142="","",MAX(-3,MIN(3,('3a Raw'!C1142-$B3)/$B4)))</f>
        <v/>
      </c>
      <c r="C1142" s="3">
        <f>IF(B1142="","",(B1142-AVERAGE(B6:B1198))/(STDEV(B6:B1198)+1E-12))</f>
        <v/>
      </c>
      <c r="D1142" s="3">
        <f>IF('3a Raw'!D1142="","",MAX(-3,MIN(3,('3a Raw'!D1142-$D3)/$D4)))</f>
        <v/>
      </c>
      <c r="E1142" s="3">
        <f>IF(D1142="","",(D1142-AVERAGE(D6:D1198))/(STDEV(D6:D1198)+1E-12))</f>
        <v/>
      </c>
      <c r="F1142" s="3">
        <f>IF('3a Raw'!E1142="","",MAX(-3,MIN(3,('3a Raw'!E1142-$F3)/$F4)))</f>
        <v/>
      </c>
      <c r="G1142" s="3">
        <f>IF(F1142="","",(F1142-AVERAGE(F6:F1198))/(STDEV(F6:F1198)+1E-12))</f>
        <v/>
      </c>
      <c r="H1142" s="3">
        <f>IF('3a Raw'!F1142="","",MAX(-3,MIN(3,('3a Raw'!F1142-$H3)/$H4)))</f>
        <v/>
      </c>
      <c r="I1142" s="3">
        <f>IF(H1142="","",(H1142-AVERAGE(H6:H1198))/(STDEV(H6:H1198)+1E-12))</f>
        <v/>
      </c>
      <c r="J1142" s="3">
        <f>IF('3a Raw'!G1142="","",MAX(-3,MIN(3,('3a Raw'!G1142-$J3)/$J4)))</f>
        <v/>
      </c>
      <c r="K1142" s="3">
        <f>IF(J1142="","",(J1142-AVERAGE(J6:J1198))/(STDEV(J6:J1198)+1E-12))</f>
        <v/>
      </c>
      <c r="L1142" s="3">
        <f>IF('3a Raw'!H1142="","",MAX(-3,MIN(3,('3a Raw'!H1142-$L3)/$L4)))</f>
        <v/>
      </c>
      <c r="M1142" s="3">
        <f>IF(L1142="","",(L1142-AVERAGE(L6:L1198))/(STDEV(L6:L1198)+1E-12))</f>
        <v/>
      </c>
      <c r="N1142" s="3">
        <f>IF('3a Raw'!I1142="","",MAX(-3,MIN(3,('3a Raw'!I1142-$N3)/$N4)))</f>
        <v/>
      </c>
      <c r="O1142" s="3">
        <f>IF(N1142="","",(N1142-AVERAGE(N6:N1198))/(STDEV(N6:N1198)+1E-12))</f>
        <v/>
      </c>
      <c r="P1142" s="3">
        <f>IF('3a Raw'!J1142="","",MAX(-3,MIN(3,('3a Raw'!J1142-$P3)/$P4)))</f>
        <v/>
      </c>
      <c r="Q1142" s="3">
        <f>IF(P1142="","",(P1142-AVERAGE(P6:P1198))/(STDEV(P6:P1198)+1E-12))</f>
        <v/>
      </c>
      <c r="R1142" s="3">
        <f>IF('3a Raw'!K1142="","",MAX(-3,MIN(3,('3a Raw'!K1142-$R3)/$R4)))</f>
        <v/>
      </c>
      <c r="S1142" s="3">
        <f>IF(R1142="","",(R1142-AVERAGE(R6:R1198))/(STDEV(R6:R1198)+1E-12))</f>
        <v/>
      </c>
      <c r="T1142" s="3">
        <f>IF('3a Raw'!L1142="","",MAX(-3,MIN(3,('3a Raw'!L1142-$T3)/$T4)))</f>
        <v/>
      </c>
      <c r="U1142" s="3">
        <f>IF(T1142="","",(T1142-AVERAGE(T6:T1198))/(STDEV(T6:T1198)+1E-12))</f>
        <v/>
      </c>
      <c r="X1142" s="3">
        <f>IF(U1142="","",U1142-($V$3*G1142+$W$3))</f>
        <v/>
      </c>
      <c r="Y1142" s="3">
        <f>IF(X1142="","",MAX(-3,MIN(3,(X1142-$X3)/$X4)))</f>
        <v/>
      </c>
      <c r="Z1142" s="3">
        <f>IF(Y1142="","",(Y1142-AVERAGE(Y6:Y1198))/(STDEV(Y6:Y1198)+1E-12))</f>
        <v/>
      </c>
    </row>
    <row r="1143">
      <c r="A1143" t="inlineStr">
        <is>
          <t>BBG000BDD940</t>
        </is>
      </c>
      <c r="B1143" s="3">
        <f>IF('3a Raw'!C1143="","",MAX(-3,MIN(3,('3a Raw'!C1143-$B3)/$B4)))</f>
        <v/>
      </c>
      <c r="C1143" s="3">
        <f>IF(B1143="","",(B1143-AVERAGE(B6:B1198))/(STDEV(B6:B1198)+1E-12))</f>
        <v/>
      </c>
      <c r="D1143" s="3">
        <f>IF('3a Raw'!D1143="","",MAX(-3,MIN(3,('3a Raw'!D1143-$D3)/$D4)))</f>
        <v/>
      </c>
      <c r="E1143" s="3">
        <f>IF(D1143="","",(D1143-AVERAGE(D6:D1198))/(STDEV(D6:D1198)+1E-12))</f>
        <v/>
      </c>
      <c r="F1143" s="3">
        <f>IF('3a Raw'!E1143="","",MAX(-3,MIN(3,('3a Raw'!E1143-$F3)/$F4)))</f>
        <v/>
      </c>
      <c r="G1143" s="3">
        <f>IF(F1143="","",(F1143-AVERAGE(F6:F1198))/(STDEV(F6:F1198)+1E-12))</f>
        <v/>
      </c>
      <c r="H1143" s="3">
        <f>IF('3a Raw'!F1143="","",MAX(-3,MIN(3,('3a Raw'!F1143-$H3)/$H4)))</f>
        <v/>
      </c>
      <c r="I1143" s="3">
        <f>IF(H1143="","",(H1143-AVERAGE(H6:H1198))/(STDEV(H6:H1198)+1E-12))</f>
        <v/>
      </c>
      <c r="J1143" s="3">
        <f>IF('3a Raw'!G1143="","",MAX(-3,MIN(3,('3a Raw'!G1143-$J3)/$J4)))</f>
        <v/>
      </c>
      <c r="K1143" s="3">
        <f>IF(J1143="","",(J1143-AVERAGE(J6:J1198))/(STDEV(J6:J1198)+1E-12))</f>
        <v/>
      </c>
      <c r="L1143" s="3">
        <f>IF('3a Raw'!H1143="","",MAX(-3,MIN(3,('3a Raw'!H1143-$L3)/$L4)))</f>
        <v/>
      </c>
      <c r="M1143" s="3">
        <f>IF(L1143="","",(L1143-AVERAGE(L6:L1198))/(STDEV(L6:L1198)+1E-12))</f>
        <v/>
      </c>
      <c r="N1143" s="3">
        <f>IF('3a Raw'!I1143="","",MAX(-3,MIN(3,('3a Raw'!I1143-$N3)/$N4)))</f>
        <v/>
      </c>
      <c r="O1143" s="3">
        <f>IF(N1143="","",(N1143-AVERAGE(N6:N1198))/(STDEV(N6:N1198)+1E-12))</f>
        <v/>
      </c>
      <c r="P1143" s="3">
        <f>IF('3a Raw'!J1143="","",MAX(-3,MIN(3,('3a Raw'!J1143-$P3)/$P4)))</f>
        <v/>
      </c>
      <c r="Q1143" s="3">
        <f>IF(P1143="","",(P1143-AVERAGE(P6:P1198))/(STDEV(P6:P1198)+1E-12))</f>
        <v/>
      </c>
      <c r="R1143" s="3">
        <f>IF('3a Raw'!K1143="","",MAX(-3,MIN(3,('3a Raw'!K1143-$R3)/$R4)))</f>
        <v/>
      </c>
      <c r="S1143" s="3">
        <f>IF(R1143="","",(R1143-AVERAGE(R6:R1198))/(STDEV(R6:R1198)+1E-12))</f>
        <v/>
      </c>
      <c r="T1143" s="3">
        <f>IF('3a Raw'!L1143="","",MAX(-3,MIN(3,('3a Raw'!L1143-$T3)/$T4)))</f>
        <v/>
      </c>
      <c r="U1143" s="3">
        <f>IF(T1143="","",(T1143-AVERAGE(T6:T1198))/(STDEV(T6:T1198)+1E-12))</f>
        <v/>
      </c>
      <c r="X1143" s="3">
        <f>IF(U1143="","",U1143-($V$3*G1143+$W$3))</f>
        <v/>
      </c>
      <c r="Y1143" s="3">
        <f>IF(X1143="","",MAX(-3,MIN(3,(X1143-$X3)/$X4)))</f>
        <v/>
      </c>
      <c r="Z1143" s="3">
        <f>IF(Y1143="","",(Y1143-AVERAGE(Y6:Y1198))/(STDEV(Y6:Y1198)+1E-12))</f>
        <v/>
      </c>
    </row>
    <row r="1144">
      <c r="A1144" t="inlineStr">
        <is>
          <t>BBG000Q1KFH4</t>
        </is>
      </c>
      <c r="B1144" s="3">
        <f>IF('3a Raw'!C1144="","",MAX(-3,MIN(3,('3a Raw'!C1144-$B3)/$B4)))</f>
        <v/>
      </c>
      <c r="C1144" s="3">
        <f>IF(B1144="","",(B1144-AVERAGE(B6:B1198))/(STDEV(B6:B1198)+1E-12))</f>
        <v/>
      </c>
      <c r="D1144" s="3">
        <f>IF('3a Raw'!D1144="","",MAX(-3,MIN(3,('3a Raw'!D1144-$D3)/$D4)))</f>
        <v/>
      </c>
      <c r="E1144" s="3">
        <f>IF(D1144="","",(D1144-AVERAGE(D6:D1198))/(STDEV(D6:D1198)+1E-12))</f>
        <v/>
      </c>
      <c r="F1144" s="3">
        <f>IF('3a Raw'!E1144="","",MAX(-3,MIN(3,('3a Raw'!E1144-$F3)/$F4)))</f>
        <v/>
      </c>
      <c r="G1144" s="3">
        <f>IF(F1144="","",(F1144-AVERAGE(F6:F1198))/(STDEV(F6:F1198)+1E-12))</f>
        <v/>
      </c>
      <c r="H1144" s="3">
        <f>IF('3a Raw'!F1144="","",MAX(-3,MIN(3,('3a Raw'!F1144-$H3)/$H4)))</f>
        <v/>
      </c>
      <c r="I1144" s="3">
        <f>IF(H1144="","",(H1144-AVERAGE(H6:H1198))/(STDEV(H6:H1198)+1E-12))</f>
        <v/>
      </c>
      <c r="J1144" s="3">
        <f>IF('3a Raw'!G1144="","",MAX(-3,MIN(3,('3a Raw'!G1144-$J3)/$J4)))</f>
        <v/>
      </c>
      <c r="K1144" s="3">
        <f>IF(J1144="","",(J1144-AVERAGE(J6:J1198))/(STDEV(J6:J1198)+1E-12))</f>
        <v/>
      </c>
      <c r="L1144" s="3">
        <f>IF('3a Raw'!H1144="","",MAX(-3,MIN(3,('3a Raw'!H1144-$L3)/$L4)))</f>
        <v/>
      </c>
      <c r="M1144" s="3">
        <f>IF(L1144="","",(L1144-AVERAGE(L6:L1198))/(STDEV(L6:L1198)+1E-12))</f>
        <v/>
      </c>
      <c r="N1144" s="3">
        <f>IF('3a Raw'!I1144="","",MAX(-3,MIN(3,('3a Raw'!I1144-$N3)/$N4)))</f>
        <v/>
      </c>
      <c r="O1144" s="3">
        <f>IF(N1144="","",(N1144-AVERAGE(N6:N1198))/(STDEV(N6:N1198)+1E-12))</f>
        <v/>
      </c>
      <c r="P1144" s="3">
        <f>IF('3a Raw'!J1144="","",MAX(-3,MIN(3,('3a Raw'!J1144-$P3)/$P4)))</f>
        <v/>
      </c>
      <c r="Q1144" s="3">
        <f>IF(P1144="","",(P1144-AVERAGE(P6:P1198))/(STDEV(P6:P1198)+1E-12))</f>
        <v/>
      </c>
      <c r="R1144" s="3">
        <f>IF('3a Raw'!K1144="","",MAX(-3,MIN(3,('3a Raw'!K1144-$R3)/$R4)))</f>
        <v/>
      </c>
      <c r="S1144" s="3">
        <f>IF(R1144="","",(R1144-AVERAGE(R6:R1198))/(STDEV(R6:R1198)+1E-12))</f>
        <v/>
      </c>
      <c r="T1144" s="3">
        <f>IF('3a Raw'!L1144="","",MAX(-3,MIN(3,('3a Raw'!L1144-$T3)/$T4)))</f>
        <v/>
      </c>
      <c r="U1144" s="3">
        <f>IF(T1144="","",(T1144-AVERAGE(T6:T1198))/(STDEV(T6:T1198)+1E-12))</f>
        <v/>
      </c>
      <c r="X1144" s="3">
        <f>IF(U1144="","",U1144-($V$3*G1144+$W$3))</f>
        <v/>
      </c>
      <c r="Y1144" s="3">
        <f>IF(X1144="","",MAX(-3,MIN(3,(X1144-$X3)/$X4)))</f>
        <v/>
      </c>
      <c r="Z1144" s="3">
        <f>IF(Y1144="","",(Y1144-AVERAGE(Y6:Y1198))/(STDEV(Y6:Y1198)+1E-12))</f>
        <v/>
      </c>
    </row>
    <row r="1145">
      <c r="A1145" t="inlineStr">
        <is>
          <t>BBG000BWLZX9</t>
        </is>
      </c>
      <c r="B1145" s="3">
        <f>IF('3a Raw'!C1145="","",MAX(-3,MIN(3,('3a Raw'!C1145-$B3)/$B4)))</f>
        <v/>
      </c>
      <c r="C1145" s="3">
        <f>IF(B1145="","",(B1145-AVERAGE(B6:B1198))/(STDEV(B6:B1198)+1E-12))</f>
        <v/>
      </c>
      <c r="D1145" s="3">
        <f>IF('3a Raw'!D1145="","",MAX(-3,MIN(3,('3a Raw'!D1145-$D3)/$D4)))</f>
        <v/>
      </c>
      <c r="E1145" s="3">
        <f>IF(D1145="","",(D1145-AVERAGE(D6:D1198))/(STDEV(D6:D1198)+1E-12))</f>
        <v/>
      </c>
      <c r="F1145" s="3">
        <f>IF('3a Raw'!E1145="","",MAX(-3,MIN(3,('3a Raw'!E1145-$F3)/$F4)))</f>
        <v/>
      </c>
      <c r="G1145" s="3">
        <f>IF(F1145="","",(F1145-AVERAGE(F6:F1198))/(STDEV(F6:F1198)+1E-12))</f>
        <v/>
      </c>
      <c r="H1145" s="3">
        <f>IF('3a Raw'!F1145="","",MAX(-3,MIN(3,('3a Raw'!F1145-$H3)/$H4)))</f>
        <v/>
      </c>
      <c r="I1145" s="3">
        <f>IF(H1145="","",(H1145-AVERAGE(H6:H1198))/(STDEV(H6:H1198)+1E-12))</f>
        <v/>
      </c>
      <c r="J1145" s="3">
        <f>IF('3a Raw'!G1145="","",MAX(-3,MIN(3,('3a Raw'!G1145-$J3)/$J4)))</f>
        <v/>
      </c>
      <c r="K1145" s="3">
        <f>IF(J1145="","",(J1145-AVERAGE(J6:J1198))/(STDEV(J6:J1198)+1E-12))</f>
        <v/>
      </c>
      <c r="L1145" s="3">
        <f>IF('3a Raw'!H1145="","",MAX(-3,MIN(3,('3a Raw'!H1145-$L3)/$L4)))</f>
        <v/>
      </c>
      <c r="M1145" s="3">
        <f>IF(L1145="","",(L1145-AVERAGE(L6:L1198))/(STDEV(L6:L1198)+1E-12))</f>
        <v/>
      </c>
      <c r="N1145" s="3">
        <f>IF('3a Raw'!I1145="","",MAX(-3,MIN(3,('3a Raw'!I1145-$N3)/$N4)))</f>
        <v/>
      </c>
      <c r="O1145" s="3">
        <f>IF(N1145="","",(N1145-AVERAGE(N6:N1198))/(STDEV(N6:N1198)+1E-12))</f>
        <v/>
      </c>
      <c r="P1145" s="3">
        <f>IF('3a Raw'!J1145="","",MAX(-3,MIN(3,('3a Raw'!J1145-$P3)/$P4)))</f>
        <v/>
      </c>
      <c r="Q1145" s="3">
        <f>IF(P1145="","",(P1145-AVERAGE(P6:P1198))/(STDEV(P6:P1198)+1E-12))</f>
        <v/>
      </c>
      <c r="R1145" s="3">
        <f>IF('3a Raw'!K1145="","",MAX(-3,MIN(3,('3a Raw'!K1145-$R3)/$R4)))</f>
        <v/>
      </c>
      <c r="S1145" s="3">
        <f>IF(R1145="","",(R1145-AVERAGE(R6:R1198))/(STDEV(R6:R1198)+1E-12))</f>
        <v/>
      </c>
      <c r="T1145" s="3">
        <f>IF('3a Raw'!L1145="","",MAX(-3,MIN(3,('3a Raw'!L1145-$T3)/$T4)))</f>
        <v/>
      </c>
      <c r="U1145" s="3">
        <f>IF(T1145="","",(T1145-AVERAGE(T6:T1198))/(STDEV(T6:T1198)+1E-12))</f>
        <v/>
      </c>
      <c r="X1145" s="3">
        <f>IF(U1145="","",U1145-($V$3*G1145+$W$3))</f>
        <v/>
      </c>
      <c r="Y1145" s="3">
        <f>IF(X1145="","",MAX(-3,MIN(3,(X1145-$X3)/$X4)))</f>
        <v/>
      </c>
      <c r="Z1145" s="3">
        <f>IF(Y1145="","",(Y1145-AVERAGE(Y6:Y1198))/(STDEV(Y6:Y1198)+1E-12))</f>
        <v/>
      </c>
    </row>
    <row r="1146">
      <c r="A1146" t="inlineStr">
        <is>
          <t>wat</t>
        </is>
      </c>
      <c r="B1146" s="3">
        <f>IF('3a Raw'!C1146="","",MAX(-3,MIN(3,('3a Raw'!C1146-$B3)/$B4)))</f>
        <v/>
      </c>
      <c r="C1146" s="3">
        <f>IF(B1146="","",(B1146-AVERAGE(B6:B1198))/(STDEV(B6:B1198)+1E-12))</f>
        <v/>
      </c>
      <c r="D1146" s="3">
        <f>IF('3a Raw'!D1146="","",MAX(-3,MIN(3,('3a Raw'!D1146-$D3)/$D4)))</f>
        <v/>
      </c>
      <c r="E1146" s="3">
        <f>IF(D1146="","",(D1146-AVERAGE(D6:D1198))/(STDEV(D6:D1198)+1E-12))</f>
        <v/>
      </c>
      <c r="F1146" s="3">
        <f>IF('3a Raw'!E1146="","",MAX(-3,MIN(3,('3a Raw'!E1146-$F3)/$F4)))</f>
        <v/>
      </c>
      <c r="G1146" s="3">
        <f>IF(F1146="","",(F1146-AVERAGE(F6:F1198))/(STDEV(F6:F1198)+1E-12))</f>
        <v/>
      </c>
      <c r="H1146" s="3">
        <f>IF('3a Raw'!F1146="","",MAX(-3,MIN(3,('3a Raw'!F1146-$H3)/$H4)))</f>
        <v/>
      </c>
      <c r="I1146" s="3">
        <f>IF(H1146="","",(H1146-AVERAGE(H6:H1198))/(STDEV(H6:H1198)+1E-12))</f>
        <v/>
      </c>
      <c r="J1146" s="3">
        <f>IF('3a Raw'!G1146="","",MAX(-3,MIN(3,('3a Raw'!G1146-$J3)/$J4)))</f>
        <v/>
      </c>
      <c r="K1146" s="3">
        <f>IF(J1146="","",(J1146-AVERAGE(J6:J1198))/(STDEV(J6:J1198)+1E-12))</f>
        <v/>
      </c>
      <c r="L1146" s="3">
        <f>IF('3a Raw'!H1146="","",MAX(-3,MIN(3,('3a Raw'!H1146-$L3)/$L4)))</f>
        <v/>
      </c>
      <c r="M1146" s="3">
        <f>IF(L1146="","",(L1146-AVERAGE(L6:L1198))/(STDEV(L6:L1198)+1E-12))</f>
        <v/>
      </c>
      <c r="N1146" s="3">
        <f>IF('3a Raw'!I1146="","",MAX(-3,MIN(3,('3a Raw'!I1146-$N3)/$N4)))</f>
        <v/>
      </c>
      <c r="O1146" s="3">
        <f>IF(N1146="","",(N1146-AVERAGE(N6:N1198))/(STDEV(N6:N1198)+1E-12))</f>
        <v/>
      </c>
      <c r="P1146" s="3">
        <f>IF('3a Raw'!J1146="","",MAX(-3,MIN(3,('3a Raw'!J1146-$P3)/$P4)))</f>
        <v/>
      </c>
      <c r="Q1146" s="3">
        <f>IF(P1146="","",(P1146-AVERAGE(P6:P1198))/(STDEV(P6:P1198)+1E-12))</f>
        <v/>
      </c>
      <c r="R1146" s="3">
        <f>IF('3a Raw'!K1146="","",MAX(-3,MIN(3,('3a Raw'!K1146-$R3)/$R4)))</f>
        <v/>
      </c>
      <c r="S1146" s="3">
        <f>IF(R1146="","",(R1146-AVERAGE(R6:R1198))/(STDEV(R6:R1198)+1E-12))</f>
        <v/>
      </c>
      <c r="T1146" s="3">
        <f>IF('3a Raw'!L1146="","",MAX(-3,MIN(3,('3a Raw'!L1146-$T3)/$T4)))</f>
        <v/>
      </c>
      <c r="U1146" s="3">
        <f>IF(T1146="","",(T1146-AVERAGE(T6:T1198))/(STDEV(T6:T1198)+1E-12))</f>
        <v/>
      </c>
      <c r="X1146" s="3">
        <f>IF(U1146="","",U1146-($V$3*G1146+$W$3))</f>
        <v/>
      </c>
      <c r="Y1146" s="3">
        <f>IF(X1146="","",MAX(-3,MIN(3,(X1146-$X3)/$X4)))</f>
        <v/>
      </c>
      <c r="Z1146" s="3">
        <f>IF(Y1146="","",(Y1146-AVERAGE(Y6:Y1198))/(STDEV(Y6:Y1198)+1E-12))</f>
        <v/>
      </c>
    </row>
    <row r="1147">
      <c r="A1147" t="inlineStr">
        <is>
          <t>BBG01JRQSDB9</t>
        </is>
      </c>
      <c r="B1147" s="3">
        <f>IF('3a Raw'!C1147="","",MAX(-3,MIN(3,('3a Raw'!C1147-$B3)/$B4)))</f>
        <v/>
      </c>
      <c r="C1147" s="3">
        <f>IF(B1147="","",(B1147-AVERAGE(B6:B1198))/(STDEV(B6:B1198)+1E-12))</f>
        <v/>
      </c>
      <c r="D1147" s="3">
        <f>IF('3a Raw'!D1147="","",MAX(-3,MIN(3,('3a Raw'!D1147-$D3)/$D4)))</f>
        <v/>
      </c>
      <c r="E1147" s="3">
        <f>IF(D1147="","",(D1147-AVERAGE(D6:D1198))/(STDEV(D6:D1198)+1E-12))</f>
        <v/>
      </c>
      <c r="F1147" s="3">
        <f>IF('3a Raw'!E1147="","",MAX(-3,MIN(3,('3a Raw'!E1147-$F3)/$F4)))</f>
        <v/>
      </c>
      <c r="G1147" s="3">
        <f>IF(F1147="","",(F1147-AVERAGE(F6:F1198))/(STDEV(F6:F1198)+1E-12))</f>
        <v/>
      </c>
      <c r="H1147" s="3">
        <f>IF('3a Raw'!F1147="","",MAX(-3,MIN(3,('3a Raw'!F1147-$H3)/$H4)))</f>
        <v/>
      </c>
      <c r="I1147" s="3">
        <f>IF(H1147="","",(H1147-AVERAGE(H6:H1198))/(STDEV(H6:H1198)+1E-12))</f>
        <v/>
      </c>
      <c r="J1147" s="3">
        <f>IF('3a Raw'!G1147="","",MAX(-3,MIN(3,('3a Raw'!G1147-$J3)/$J4)))</f>
        <v/>
      </c>
      <c r="K1147" s="3">
        <f>IF(J1147="","",(J1147-AVERAGE(J6:J1198))/(STDEV(J6:J1198)+1E-12))</f>
        <v/>
      </c>
      <c r="L1147" s="3">
        <f>IF('3a Raw'!H1147="","",MAX(-3,MIN(3,('3a Raw'!H1147-$L3)/$L4)))</f>
        <v/>
      </c>
      <c r="M1147" s="3">
        <f>IF(L1147="","",(L1147-AVERAGE(L6:L1198))/(STDEV(L6:L1198)+1E-12))</f>
        <v/>
      </c>
      <c r="N1147" s="3">
        <f>IF('3a Raw'!I1147="","",MAX(-3,MIN(3,('3a Raw'!I1147-$N3)/$N4)))</f>
        <v/>
      </c>
      <c r="O1147" s="3">
        <f>IF(N1147="","",(N1147-AVERAGE(N6:N1198))/(STDEV(N6:N1198)+1E-12))</f>
        <v/>
      </c>
      <c r="P1147" s="3">
        <f>IF('3a Raw'!J1147="","",MAX(-3,MIN(3,('3a Raw'!J1147-$P3)/$P4)))</f>
        <v/>
      </c>
      <c r="Q1147" s="3">
        <f>IF(P1147="","",(P1147-AVERAGE(P6:P1198))/(STDEV(P6:P1198)+1E-12))</f>
        <v/>
      </c>
      <c r="R1147" s="3">
        <f>IF('3a Raw'!K1147="","",MAX(-3,MIN(3,('3a Raw'!K1147-$R3)/$R4)))</f>
        <v/>
      </c>
      <c r="S1147" s="3">
        <f>IF(R1147="","",(R1147-AVERAGE(R6:R1198))/(STDEV(R6:R1198)+1E-12))</f>
        <v/>
      </c>
      <c r="T1147" s="3">
        <f>IF('3a Raw'!L1147="","",MAX(-3,MIN(3,('3a Raw'!L1147-$T3)/$T4)))</f>
        <v/>
      </c>
      <c r="U1147" s="3">
        <f>IF(T1147="","",(T1147-AVERAGE(T6:T1198))/(STDEV(T6:T1198)+1E-12))</f>
        <v/>
      </c>
      <c r="X1147" s="3">
        <f>IF(U1147="","",U1147-($V$3*G1147+$W$3))</f>
        <v/>
      </c>
      <c r="Y1147" s="3">
        <f>IF(X1147="","",MAX(-3,MIN(3,(X1147-$X3)/$X4)))</f>
        <v/>
      </c>
      <c r="Z1147" s="3">
        <f>IF(Y1147="","",(Y1147-AVERAGE(Y6:Y1198))/(STDEV(Y6:Y1198)+1E-12))</f>
        <v/>
      </c>
    </row>
    <row r="1148">
      <c r="A1148" t="inlineStr">
        <is>
          <t>BBG011386VF4</t>
        </is>
      </c>
      <c r="B1148" s="3">
        <f>IF('3a Raw'!C1148="","",MAX(-3,MIN(3,('3a Raw'!C1148-$B3)/$B4)))</f>
        <v/>
      </c>
      <c r="C1148" s="3">
        <f>IF(B1148="","",(B1148-AVERAGE(B6:B1198))/(STDEV(B6:B1198)+1E-12))</f>
        <v/>
      </c>
      <c r="D1148" s="3">
        <f>IF('3a Raw'!D1148="","",MAX(-3,MIN(3,('3a Raw'!D1148-$D3)/$D4)))</f>
        <v/>
      </c>
      <c r="E1148" s="3">
        <f>IF(D1148="","",(D1148-AVERAGE(D6:D1198))/(STDEV(D6:D1198)+1E-12))</f>
        <v/>
      </c>
      <c r="F1148" s="3">
        <f>IF('3a Raw'!E1148="","",MAX(-3,MIN(3,('3a Raw'!E1148-$F3)/$F4)))</f>
        <v/>
      </c>
      <c r="G1148" s="3">
        <f>IF(F1148="","",(F1148-AVERAGE(F6:F1198))/(STDEV(F6:F1198)+1E-12))</f>
        <v/>
      </c>
      <c r="H1148" s="3">
        <f>IF('3a Raw'!F1148="","",MAX(-3,MIN(3,('3a Raw'!F1148-$H3)/$H4)))</f>
        <v/>
      </c>
      <c r="I1148" s="3">
        <f>IF(H1148="","",(H1148-AVERAGE(H6:H1198))/(STDEV(H6:H1198)+1E-12))</f>
        <v/>
      </c>
      <c r="J1148" s="3">
        <f>IF('3a Raw'!G1148="","",MAX(-3,MIN(3,('3a Raw'!G1148-$J3)/$J4)))</f>
        <v/>
      </c>
      <c r="K1148" s="3">
        <f>IF(J1148="","",(J1148-AVERAGE(J6:J1198))/(STDEV(J6:J1198)+1E-12))</f>
        <v/>
      </c>
      <c r="L1148" s="3">
        <f>IF('3a Raw'!H1148="","",MAX(-3,MIN(3,('3a Raw'!H1148-$L3)/$L4)))</f>
        <v/>
      </c>
      <c r="M1148" s="3">
        <f>IF(L1148="","",(L1148-AVERAGE(L6:L1198))/(STDEV(L6:L1198)+1E-12))</f>
        <v/>
      </c>
      <c r="N1148" s="3">
        <f>IF('3a Raw'!I1148="","",MAX(-3,MIN(3,('3a Raw'!I1148-$N3)/$N4)))</f>
        <v/>
      </c>
      <c r="O1148" s="3">
        <f>IF(N1148="","",(N1148-AVERAGE(N6:N1198))/(STDEV(N6:N1198)+1E-12))</f>
        <v/>
      </c>
      <c r="P1148" s="3">
        <f>IF('3a Raw'!J1148="","",MAX(-3,MIN(3,('3a Raw'!J1148-$P3)/$P4)))</f>
        <v/>
      </c>
      <c r="Q1148" s="3">
        <f>IF(P1148="","",(P1148-AVERAGE(P6:P1198))/(STDEV(P6:P1198)+1E-12))</f>
        <v/>
      </c>
      <c r="R1148" s="3">
        <f>IF('3a Raw'!K1148="","",MAX(-3,MIN(3,('3a Raw'!K1148-$R3)/$R4)))</f>
        <v/>
      </c>
      <c r="S1148" s="3">
        <f>IF(R1148="","",(R1148-AVERAGE(R6:R1198))/(STDEV(R6:R1198)+1E-12))</f>
        <v/>
      </c>
      <c r="T1148" s="3">
        <f>IF('3a Raw'!L1148="","",MAX(-3,MIN(3,('3a Raw'!L1148-$T3)/$T4)))</f>
        <v/>
      </c>
      <c r="U1148" s="3">
        <f>IF(T1148="","",(T1148-AVERAGE(T6:T1198))/(STDEV(T6:T1198)+1E-12))</f>
        <v/>
      </c>
      <c r="X1148" s="3">
        <f>IF(U1148="","",U1148-($V$3*G1148+$W$3))</f>
        <v/>
      </c>
      <c r="Y1148" s="3">
        <f>IF(X1148="","",MAX(-3,MIN(3,(X1148-$X3)/$X4)))</f>
        <v/>
      </c>
      <c r="Z1148" s="3">
        <f>IF(Y1148="","",(Y1148-AVERAGE(Y6:Y1198))/(STDEV(Y6:Y1198)+1E-12))</f>
        <v/>
      </c>
    </row>
    <row r="1149">
      <c r="A1149" t="inlineStr">
        <is>
          <t>BBG000BWMX63</t>
        </is>
      </c>
      <c r="B1149" s="3">
        <f>IF('3a Raw'!C1149="","",MAX(-3,MIN(3,('3a Raw'!C1149-$B3)/$B4)))</f>
        <v/>
      </c>
      <c r="C1149" s="3">
        <f>IF(B1149="","",(B1149-AVERAGE(B6:B1198))/(STDEV(B6:B1198)+1E-12))</f>
        <v/>
      </c>
      <c r="D1149" s="3">
        <f>IF('3a Raw'!D1149="","",MAX(-3,MIN(3,('3a Raw'!D1149-$D3)/$D4)))</f>
        <v/>
      </c>
      <c r="E1149" s="3">
        <f>IF(D1149="","",(D1149-AVERAGE(D6:D1198))/(STDEV(D6:D1198)+1E-12))</f>
        <v/>
      </c>
      <c r="F1149" s="3">
        <f>IF('3a Raw'!E1149="","",MAX(-3,MIN(3,('3a Raw'!E1149-$F3)/$F4)))</f>
        <v/>
      </c>
      <c r="G1149" s="3">
        <f>IF(F1149="","",(F1149-AVERAGE(F6:F1198))/(STDEV(F6:F1198)+1E-12))</f>
        <v/>
      </c>
      <c r="H1149" s="3">
        <f>IF('3a Raw'!F1149="","",MAX(-3,MIN(3,('3a Raw'!F1149-$H3)/$H4)))</f>
        <v/>
      </c>
      <c r="I1149" s="3">
        <f>IF(H1149="","",(H1149-AVERAGE(H6:H1198))/(STDEV(H6:H1198)+1E-12))</f>
        <v/>
      </c>
      <c r="J1149" s="3">
        <f>IF('3a Raw'!G1149="","",MAX(-3,MIN(3,('3a Raw'!G1149-$J3)/$J4)))</f>
        <v/>
      </c>
      <c r="K1149" s="3">
        <f>IF(J1149="","",(J1149-AVERAGE(J6:J1198))/(STDEV(J6:J1198)+1E-12))</f>
        <v/>
      </c>
      <c r="L1149" s="3">
        <f>IF('3a Raw'!H1149="","",MAX(-3,MIN(3,('3a Raw'!H1149-$L3)/$L4)))</f>
        <v/>
      </c>
      <c r="M1149" s="3">
        <f>IF(L1149="","",(L1149-AVERAGE(L6:L1198))/(STDEV(L6:L1198)+1E-12))</f>
        <v/>
      </c>
      <c r="N1149" s="3">
        <f>IF('3a Raw'!I1149="","",MAX(-3,MIN(3,('3a Raw'!I1149-$N3)/$N4)))</f>
        <v/>
      </c>
      <c r="O1149" s="3">
        <f>IF(N1149="","",(N1149-AVERAGE(N6:N1198))/(STDEV(N6:N1198)+1E-12))</f>
        <v/>
      </c>
      <c r="P1149" s="3">
        <f>IF('3a Raw'!J1149="","",MAX(-3,MIN(3,('3a Raw'!J1149-$P3)/$P4)))</f>
        <v/>
      </c>
      <c r="Q1149" s="3">
        <f>IF(P1149="","",(P1149-AVERAGE(P6:P1198))/(STDEV(P6:P1198)+1E-12))</f>
        <v/>
      </c>
      <c r="R1149" s="3">
        <f>IF('3a Raw'!K1149="","",MAX(-3,MIN(3,('3a Raw'!K1149-$R3)/$R4)))</f>
        <v/>
      </c>
      <c r="S1149" s="3">
        <f>IF(R1149="","",(R1149-AVERAGE(R6:R1198))/(STDEV(R6:R1198)+1E-12))</f>
        <v/>
      </c>
      <c r="T1149" s="3">
        <f>IF('3a Raw'!L1149="","",MAX(-3,MIN(3,('3a Raw'!L1149-$T3)/$T4)))</f>
        <v/>
      </c>
      <c r="U1149" s="3">
        <f>IF(T1149="","",(T1149-AVERAGE(T6:T1198))/(STDEV(T6:T1198)+1E-12))</f>
        <v/>
      </c>
      <c r="X1149" s="3">
        <f>IF(U1149="","",U1149-($V$3*G1149+$W$3))</f>
        <v/>
      </c>
      <c r="Y1149" s="3">
        <f>IF(X1149="","",MAX(-3,MIN(3,(X1149-$X3)/$X4)))</f>
        <v/>
      </c>
      <c r="Z1149" s="3">
        <f>IF(Y1149="","",(Y1149-AVERAGE(Y6:Y1198))/(STDEV(Y6:Y1198)+1E-12))</f>
        <v/>
      </c>
    </row>
    <row r="1150">
      <c r="A1150" t="inlineStr">
        <is>
          <t>BBG00V3Z6Y54</t>
        </is>
      </c>
      <c r="B1150" s="3">
        <f>IF('3a Raw'!C1150="","",MAX(-3,MIN(3,('3a Raw'!C1150-$B3)/$B4)))</f>
        <v/>
      </c>
      <c r="C1150" s="3">
        <f>IF(B1150="","",(B1150-AVERAGE(B6:B1198))/(STDEV(B6:B1198)+1E-12))</f>
        <v/>
      </c>
      <c r="D1150" s="3">
        <f>IF('3a Raw'!D1150="","",MAX(-3,MIN(3,('3a Raw'!D1150-$D3)/$D4)))</f>
        <v/>
      </c>
      <c r="E1150" s="3">
        <f>IF(D1150="","",(D1150-AVERAGE(D6:D1198))/(STDEV(D6:D1198)+1E-12))</f>
        <v/>
      </c>
      <c r="F1150" s="3">
        <f>IF('3a Raw'!E1150="","",MAX(-3,MIN(3,('3a Raw'!E1150-$F3)/$F4)))</f>
        <v/>
      </c>
      <c r="G1150" s="3">
        <f>IF(F1150="","",(F1150-AVERAGE(F6:F1198))/(STDEV(F6:F1198)+1E-12))</f>
        <v/>
      </c>
      <c r="H1150" s="3">
        <f>IF('3a Raw'!F1150="","",MAX(-3,MIN(3,('3a Raw'!F1150-$H3)/$H4)))</f>
        <v/>
      </c>
      <c r="I1150" s="3">
        <f>IF(H1150="","",(H1150-AVERAGE(H6:H1198))/(STDEV(H6:H1198)+1E-12))</f>
        <v/>
      </c>
      <c r="J1150" s="3">
        <f>IF('3a Raw'!G1150="","",MAX(-3,MIN(3,('3a Raw'!G1150-$J3)/$J4)))</f>
        <v/>
      </c>
      <c r="K1150" s="3">
        <f>IF(J1150="","",(J1150-AVERAGE(J6:J1198))/(STDEV(J6:J1198)+1E-12))</f>
        <v/>
      </c>
      <c r="L1150" s="3">
        <f>IF('3a Raw'!H1150="","",MAX(-3,MIN(3,('3a Raw'!H1150-$L3)/$L4)))</f>
        <v/>
      </c>
      <c r="M1150" s="3">
        <f>IF(L1150="","",(L1150-AVERAGE(L6:L1198))/(STDEV(L6:L1198)+1E-12))</f>
        <v/>
      </c>
      <c r="N1150" s="3">
        <f>IF('3a Raw'!I1150="","",MAX(-3,MIN(3,('3a Raw'!I1150-$N3)/$N4)))</f>
        <v/>
      </c>
      <c r="O1150" s="3">
        <f>IF(N1150="","",(N1150-AVERAGE(N6:N1198))/(STDEV(N6:N1198)+1E-12))</f>
        <v/>
      </c>
      <c r="P1150" s="3">
        <f>IF('3a Raw'!J1150="","",MAX(-3,MIN(3,('3a Raw'!J1150-$P3)/$P4)))</f>
        <v/>
      </c>
      <c r="Q1150" s="3">
        <f>IF(P1150="","",(P1150-AVERAGE(P6:P1198))/(STDEV(P6:P1198)+1E-12))</f>
        <v/>
      </c>
      <c r="R1150" s="3">
        <f>IF('3a Raw'!K1150="","",MAX(-3,MIN(3,('3a Raw'!K1150-$R3)/$R4)))</f>
        <v/>
      </c>
      <c r="S1150" s="3">
        <f>IF(R1150="","",(R1150-AVERAGE(R6:R1198))/(STDEV(R6:R1198)+1E-12))</f>
        <v/>
      </c>
      <c r="T1150" s="3">
        <f>IF('3a Raw'!L1150="","",MAX(-3,MIN(3,('3a Raw'!L1150-$T3)/$T4)))</f>
        <v/>
      </c>
      <c r="U1150" s="3">
        <f>IF(T1150="","",(T1150-AVERAGE(T6:T1198))/(STDEV(T6:T1198)+1E-12))</f>
        <v/>
      </c>
      <c r="X1150" s="3">
        <f>IF(U1150="","",U1150-($V$3*G1150+$W$3))</f>
        <v/>
      </c>
      <c r="Y1150" s="3">
        <f>IF(X1150="","",MAX(-3,MIN(3,(X1150-$X3)/$X4)))</f>
        <v/>
      </c>
      <c r="Z1150" s="3">
        <f>IF(Y1150="","",(Y1150-AVERAGE(Y6:Y1198))/(STDEV(Y6:Y1198)+1E-12))</f>
        <v/>
      </c>
    </row>
    <row r="1151">
      <c r="A1151" t="inlineStr">
        <is>
          <t>BBG000VC0T95</t>
        </is>
      </c>
      <c r="B1151" s="3">
        <f>IF('3a Raw'!C1151="","",MAX(-3,MIN(3,('3a Raw'!C1151-$B3)/$B4)))</f>
        <v/>
      </c>
      <c r="C1151" s="3">
        <f>IF(B1151="","",(B1151-AVERAGE(B6:B1198))/(STDEV(B6:B1198)+1E-12))</f>
        <v/>
      </c>
      <c r="D1151" s="3">
        <f>IF('3a Raw'!D1151="","",MAX(-3,MIN(3,('3a Raw'!D1151-$D3)/$D4)))</f>
        <v/>
      </c>
      <c r="E1151" s="3">
        <f>IF(D1151="","",(D1151-AVERAGE(D6:D1198))/(STDEV(D6:D1198)+1E-12))</f>
        <v/>
      </c>
      <c r="F1151" s="3">
        <f>IF('3a Raw'!E1151="","",MAX(-3,MIN(3,('3a Raw'!E1151-$F3)/$F4)))</f>
        <v/>
      </c>
      <c r="G1151" s="3">
        <f>IF(F1151="","",(F1151-AVERAGE(F6:F1198))/(STDEV(F6:F1198)+1E-12))</f>
        <v/>
      </c>
      <c r="H1151" s="3">
        <f>IF('3a Raw'!F1151="","",MAX(-3,MIN(3,('3a Raw'!F1151-$H3)/$H4)))</f>
        <v/>
      </c>
      <c r="I1151" s="3">
        <f>IF(H1151="","",(H1151-AVERAGE(H6:H1198))/(STDEV(H6:H1198)+1E-12))</f>
        <v/>
      </c>
      <c r="J1151" s="3">
        <f>IF('3a Raw'!G1151="","",MAX(-3,MIN(3,('3a Raw'!G1151-$J3)/$J4)))</f>
        <v/>
      </c>
      <c r="K1151" s="3">
        <f>IF(J1151="","",(J1151-AVERAGE(J6:J1198))/(STDEV(J6:J1198)+1E-12))</f>
        <v/>
      </c>
      <c r="L1151" s="3">
        <f>IF('3a Raw'!H1151="","",MAX(-3,MIN(3,('3a Raw'!H1151-$L3)/$L4)))</f>
        <v/>
      </c>
      <c r="M1151" s="3">
        <f>IF(L1151="","",(L1151-AVERAGE(L6:L1198))/(STDEV(L6:L1198)+1E-12))</f>
        <v/>
      </c>
      <c r="N1151" s="3">
        <f>IF('3a Raw'!I1151="","",MAX(-3,MIN(3,('3a Raw'!I1151-$N3)/$N4)))</f>
        <v/>
      </c>
      <c r="O1151" s="3">
        <f>IF(N1151="","",(N1151-AVERAGE(N6:N1198))/(STDEV(N6:N1198)+1E-12))</f>
        <v/>
      </c>
      <c r="P1151" s="3">
        <f>IF('3a Raw'!J1151="","",MAX(-3,MIN(3,('3a Raw'!J1151-$P3)/$P4)))</f>
        <v/>
      </c>
      <c r="Q1151" s="3">
        <f>IF(P1151="","",(P1151-AVERAGE(P6:P1198))/(STDEV(P6:P1198)+1E-12))</f>
        <v/>
      </c>
      <c r="R1151" s="3">
        <f>IF('3a Raw'!K1151="","",MAX(-3,MIN(3,('3a Raw'!K1151-$R3)/$R4)))</f>
        <v/>
      </c>
      <c r="S1151" s="3">
        <f>IF(R1151="","",(R1151-AVERAGE(R6:R1198))/(STDEV(R6:R1198)+1E-12))</f>
        <v/>
      </c>
      <c r="T1151" s="3">
        <f>IF('3a Raw'!L1151="","",MAX(-3,MIN(3,('3a Raw'!L1151-$T3)/$T4)))</f>
        <v/>
      </c>
      <c r="U1151" s="3">
        <f>IF(T1151="","",(T1151-AVERAGE(T6:T1198))/(STDEV(T6:T1198)+1E-12))</f>
        <v/>
      </c>
      <c r="X1151" s="3">
        <f>IF(U1151="","",U1151-($V$3*G1151+$W$3))</f>
        <v/>
      </c>
      <c r="Y1151" s="3">
        <f>IF(X1151="","",MAX(-3,MIN(3,(X1151-$X3)/$X4)))</f>
        <v/>
      </c>
      <c r="Z1151" s="3">
        <f>IF(Y1151="","",(Y1151-AVERAGE(Y6:Y1198))/(STDEV(Y6:Y1198)+1E-12))</f>
        <v/>
      </c>
    </row>
    <row r="1152">
      <c r="A1152" t="inlineStr">
        <is>
          <t>BBG000BWNFZ9</t>
        </is>
      </c>
      <c r="B1152" s="3">
        <f>IF('3a Raw'!C1152="","",MAX(-3,MIN(3,('3a Raw'!C1152-$B3)/$B4)))</f>
        <v/>
      </c>
      <c r="C1152" s="3">
        <f>IF(B1152="","",(B1152-AVERAGE(B6:B1198))/(STDEV(B6:B1198)+1E-12))</f>
        <v/>
      </c>
      <c r="D1152" s="3">
        <f>IF('3a Raw'!D1152="","",MAX(-3,MIN(3,('3a Raw'!D1152-$D3)/$D4)))</f>
        <v/>
      </c>
      <c r="E1152" s="3">
        <f>IF(D1152="","",(D1152-AVERAGE(D6:D1198))/(STDEV(D6:D1198)+1E-12))</f>
        <v/>
      </c>
      <c r="F1152" s="3">
        <f>IF('3a Raw'!E1152="","",MAX(-3,MIN(3,('3a Raw'!E1152-$F3)/$F4)))</f>
        <v/>
      </c>
      <c r="G1152" s="3">
        <f>IF(F1152="","",(F1152-AVERAGE(F6:F1198))/(STDEV(F6:F1198)+1E-12))</f>
        <v/>
      </c>
      <c r="H1152" s="3">
        <f>IF('3a Raw'!F1152="","",MAX(-3,MIN(3,('3a Raw'!F1152-$H3)/$H4)))</f>
        <v/>
      </c>
      <c r="I1152" s="3">
        <f>IF(H1152="","",(H1152-AVERAGE(H6:H1198))/(STDEV(H6:H1198)+1E-12))</f>
        <v/>
      </c>
      <c r="J1152" s="3">
        <f>IF('3a Raw'!G1152="","",MAX(-3,MIN(3,('3a Raw'!G1152-$J3)/$J4)))</f>
        <v/>
      </c>
      <c r="K1152" s="3">
        <f>IF(J1152="","",(J1152-AVERAGE(J6:J1198))/(STDEV(J6:J1198)+1E-12))</f>
        <v/>
      </c>
      <c r="L1152" s="3">
        <f>IF('3a Raw'!H1152="","",MAX(-3,MIN(3,('3a Raw'!H1152-$L3)/$L4)))</f>
        <v/>
      </c>
      <c r="M1152" s="3">
        <f>IF(L1152="","",(L1152-AVERAGE(L6:L1198))/(STDEV(L6:L1198)+1E-12))</f>
        <v/>
      </c>
      <c r="N1152" s="3">
        <f>IF('3a Raw'!I1152="","",MAX(-3,MIN(3,('3a Raw'!I1152-$N3)/$N4)))</f>
        <v/>
      </c>
      <c r="O1152" s="3">
        <f>IF(N1152="","",(N1152-AVERAGE(N6:N1198))/(STDEV(N6:N1198)+1E-12))</f>
        <v/>
      </c>
      <c r="P1152" s="3">
        <f>IF('3a Raw'!J1152="","",MAX(-3,MIN(3,('3a Raw'!J1152-$P3)/$P4)))</f>
        <v/>
      </c>
      <c r="Q1152" s="3">
        <f>IF(P1152="","",(P1152-AVERAGE(P6:P1198))/(STDEV(P6:P1198)+1E-12))</f>
        <v/>
      </c>
      <c r="R1152" s="3">
        <f>IF('3a Raw'!K1152="","",MAX(-3,MIN(3,('3a Raw'!K1152-$R3)/$R4)))</f>
        <v/>
      </c>
      <c r="S1152" s="3">
        <f>IF(R1152="","",(R1152-AVERAGE(R6:R1198))/(STDEV(R6:R1198)+1E-12))</f>
        <v/>
      </c>
      <c r="T1152" s="3">
        <f>IF('3a Raw'!L1152="","",MAX(-3,MIN(3,('3a Raw'!L1152-$T3)/$T4)))</f>
        <v/>
      </c>
      <c r="U1152" s="3">
        <f>IF(T1152="","",(T1152-AVERAGE(T6:T1198))/(STDEV(T6:T1198)+1E-12))</f>
        <v/>
      </c>
      <c r="X1152" s="3">
        <f>IF(U1152="","",U1152-($V$3*G1152+$W$3))</f>
        <v/>
      </c>
      <c r="Y1152" s="3">
        <f>IF(X1152="","",MAX(-3,MIN(3,(X1152-$X3)/$X4)))</f>
        <v/>
      </c>
      <c r="Z1152" s="3">
        <f>IF(Y1152="","",(Y1152-AVERAGE(Y6:Y1198))/(STDEV(Y6:Y1198)+1E-12))</f>
        <v/>
      </c>
    </row>
    <row r="1153">
      <c r="A1153" t="inlineStr">
        <is>
          <t>BBG000BWP7D9</t>
        </is>
      </c>
      <c r="B1153" s="3">
        <f>IF('3a Raw'!C1153="","",MAX(-3,MIN(3,('3a Raw'!C1153-$B3)/$B4)))</f>
        <v/>
      </c>
      <c r="C1153" s="3">
        <f>IF(B1153="","",(B1153-AVERAGE(B6:B1198))/(STDEV(B6:B1198)+1E-12))</f>
        <v/>
      </c>
      <c r="D1153" s="3">
        <f>IF('3a Raw'!D1153="","",MAX(-3,MIN(3,('3a Raw'!D1153-$D3)/$D4)))</f>
        <v/>
      </c>
      <c r="E1153" s="3">
        <f>IF(D1153="","",(D1153-AVERAGE(D6:D1198))/(STDEV(D6:D1198)+1E-12))</f>
        <v/>
      </c>
      <c r="F1153" s="3">
        <f>IF('3a Raw'!E1153="","",MAX(-3,MIN(3,('3a Raw'!E1153-$F3)/$F4)))</f>
        <v/>
      </c>
      <c r="G1153" s="3">
        <f>IF(F1153="","",(F1153-AVERAGE(F6:F1198))/(STDEV(F6:F1198)+1E-12))</f>
        <v/>
      </c>
      <c r="H1153" s="3">
        <f>IF('3a Raw'!F1153="","",MAX(-3,MIN(3,('3a Raw'!F1153-$H3)/$H4)))</f>
        <v/>
      </c>
      <c r="I1153" s="3">
        <f>IF(H1153="","",(H1153-AVERAGE(H6:H1198))/(STDEV(H6:H1198)+1E-12))</f>
        <v/>
      </c>
      <c r="J1153" s="3">
        <f>IF('3a Raw'!G1153="","",MAX(-3,MIN(3,('3a Raw'!G1153-$J3)/$J4)))</f>
        <v/>
      </c>
      <c r="K1153" s="3">
        <f>IF(J1153="","",(J1153-AVERAGE(J6:J1198))/(STDEV(J6:J1198)+1E-12))</f>
        <v/>
      </c>
      <c r="L1153" s="3">
        <f>IF('3a Raw'!H1153="","",MAX(-3,MIN(3,('3a Raw'!H1153-$L3)/$L4)))</f>
        <v/>
      </c>
      <c r="M1153" s="3">
        <f>IF(L1153="","",(L1153-AVERAGE(L6:L1198))/(STDEV(L6:L1198)+1E-12))</f>
        <v/>
      </c>
      <c r="N1153" s="3">
        <f>IF('3a Raw'!I1153="","",MAX(-3,MIN(3,('3a Raw'!I1153-$N3)/$N4)))</f>
        <v/>
      </c>
      <c r="O1153" s="3">
        <f>IF(N1153="","",(N1153-AVERAGE(N6:N1198))/(STDEV(N6:N1198)+1E-12))</f>
        <v/>
      </c>
      <c r="P1153" s="3">
        <f>IF('3a Raw'!J1153="","",MAX(-3,MIN(3,('3a Raw'!J1153-$P3)/$P4)))</f>
        <v/>
      </c>
      <c r="Q1153" s="3">
        <f>IF(P1153="","",(P1153-AVERAGE(P6:P1198))/(STDEV(P6:P1198)+1E-12))</f>
        <v/>
      </c>
      <c r="R1153" s="3">
        <f>IF('3a Raw'!K1153="","",MAX(-3,MIN(3,('3a Raw'!K1153-$R3)/$R4)))</f>
        <v/>
      </c>
      <c r="S1153" s="3">
        <f>IF(R1153="","",(R1153-AVERAGE(R6:R1198))/(STDEV(R6:R1198)+1E-12))</f>
        <v/>
      </c>
      <c r="T1153" s="3">
        <f>IF('3a Raw'!L1153="","",MAX(-3,MIN(3,('3a Raw'!L1153-$T3)/$T4)))</f>
        <v/>
      </c>
      <c r="U1153" s="3">
        <f>IF(T1153="","",(T1153-AVERAGE(T6:T1198))/(STDEV(T6:T1198)+1E-12))</f>
        <v/>
      </c>
      <c r="X1153" s="3">
        <f>IF(U1153="","",U1153-($V$3*G1153+$W$3))</f>
        <v/>
      </c>
      <c r="Y1153" s="3">
        <f>IF(X1153="","",MAX(-3,MIN(3,(X1153-$X3)/$X4)))</f>
        <v/>
      </c>
      <c r="Z1153" s="3">
        <f>IF(Y1153="","",(Y1153-AVERAGE(Y6:Y1198))/(STDEV(Y6:Y1198)+1E-12))</f>
        <v/>
      </c>
    </row>
    <row r="1154">
      <c r="A1154" t="inlineStr">
        <is>
          <t>BBG000BKY1G5</t>
        </is>
      </c>
      <c r="B1154" s="3">
        <f>IF('3a Raw'!C1154="","",MAX(-3,MIN(3,('3a Raw'!C1154-$B3)/$B4)))</f>
        <v/>
      </c>
      <c r="C1154" s="3">
        <f>IF(B1154="","",(B1154-AVERAGE(B6:B1198))/(STDEV(B6:B1198)+1E-12))</f>
        <v/>
      </c>
      <c r="D1154" s="3">
        <f>IF('3a Raw'!D1154="","",MAX(-3,MIN(3,('3a Raw'!D1154-$D3)/$D4)))</f>
        <v/>
      </c>
      <c r="E1154" s="3">
        <f>IF(D1154="","",(D1154-AVERAGE(D6:D1198))/(STDEV(D6:D1198)+1E-12))</f>
        <v/>
      </c>
      <c r="F1154" s="3">
        <f>IF('3a Raw'!E1154="","",MAX(-3,MIN(3,('3a Raw'!E1154-$F3)/$F4)))</f>
        <v/>
      </c>
      <c r="G1154" s="3">
        <f>IF(F1154="","",(F1154-AVERAGE(F6:F1198))/(STDEV(F6:F1198)+1E-12))</f>
        <v/>
      </c>
      <c r="H1154" s="3">
        <f>IF('3a Raw'!F1154="","",MAX(-3,MIN(3,('3a Raw'!F1154-$H3)/$H4)))</f>
        <v/>
      </c>
      <c r="I1154" s="3">
        <f>IF(H1154="","",(H1154-AVERAGE(H6:H1198))/(STDEV(H6:H1198)+1E-12))</f>
        <v/>
      </c>
      <c r="J1154" s="3">
        <f>IF('3a Raw'!G1154="","",MAX(-3,MIN(3,('3a Raw'!G1154-$J3)/$J4)))</f>
        <v/>
      </c>
      <c r="K1154" s="3">
        <f>IF(J1154="","",(J1154-AVERAGE(J6:J1198))/(STDEV(J6:J1198)+1E-12))</f>
        <v/>
      </c>
      <c r="L1154" s="3">
        <f>IF('3a Raw'!H1154="","",MAX(-3,MIN(3,('3a Raw'!H1154-$L3)/$L4)))</f>
        <v/>
      </c>
      <c r="M1154" s="3">
        <f>IF(L1154="","",(L1154-AVERAGE(L6:L1198))/(STDEV(L6:L1198)+1E-12))</f>
        <v/>
      </c>
      <c r="N1154" s="3">
        <f>IF('3a Raw'!I1154="","",MAX(-3,MIN(3,('3a Raw'!I1154-$N3)/$N4)))</f>
        <v/>
      </c>
      <c r="O1154" s="3">
        <f>IF(N1154="","",(N1154-AVERAGE(N6:N1198))/(STDEV(N6:N1198)+1E-12))</f>
        <v/>
      </c>
      <c r="P1154" s="3">
        <f>IF('3a Raw'!J1154="","",MAX(-3,MIN(3,('3a Raw'!J1154-$P3)/$P4)))</f>
        <v/>
      </c>
      <c r="Q1154" s="3">
        <f>IF(P1154="","",(P1154-AVERAGE(P6:P1198))/(STDEV(P6:P1198)+1E-12))</f>
        <v/>
      </c>
      <c r="R1154" s="3">
        <f>IF('3a Raw'!K1154="","",MAX(-3,MIN(3,('3a Raw'!K1154-$R3)/$R4)))</f>
        <v/>
      </c>
      <c r="S1154" s="3">
        <f>IF(R1154="","",(R1154-AVERAGE(R6:R1198))/(STDEV(R6:R1198)+1E-12))</f>
        <v/>
      </c>
      <c r="T1154" s="3">
        <f>IF('3a Raw'!L1154="","",MAX(-3,MIN(3,('3a Raw'!L1154-$T3)/$T4)))</f>
        <v/>
      </c>
      <c r="U1154" s="3">
        <f>IF(T1154="","",(T1154-AVERAGE(T6:T1198))/(STDEV(T6:T1198)+1E-12))</f>
        <v/>
      </c>
      <c r="X1154" s="3">
        <f>IF(U1154="","",U1154-($V$3*G1154+$W$3))</f>
        <v/>
      </c>
      <c r="Y1154" s="3">
        <f>IF(X1154="","",MAX(-3,MIN(3,(X1154-$X3)/$X4)))</f>
        <v/>
      </c>
      <c r="Z1154" s="3">
        <f>IF(Y1154="","",(Y1154-AVERAGE(Y6:Y1198))/(STDEV(Y6:Y1198)+1E-12))</f>
        <v/>
      </c>
    </row>
    <row r="1155">
      <c r="A1155" t="inlineStr">
        <is>
          <t>BBG000D52545</t>
        </is>
      </c>
      <c r="B1155" s="3">
        <f>IF('3a Raw'!C1155="","",MAX(-3,MIN(3,('3a Raw'!C1155-$B3)/$B4)))</f>
        <v/>
      </c>
      <c r="C1155" s="3">
        <f>IF(B1155="","",(B1155-AVERAGE(B6:B1198))/(STDEV(B6:B1198)+1E-12))</f>
        <v/>
      </c>
      <c r="D1155" s="3">
        <f>IF('3a Raw'!D1155="","",MAX(-3,MIN(3,('3a Raw'!D1155-$D3)/$D4)))</f>
        <v/>
      </c>
      <c r="E1155" s="3">
        <f>IF(D1155="","",(D1155-AVERAGE(D6:D1198))/(STDEV(D6:D1198)+1E-12))</f>
        <v/>
      </c>
      <c r="F1155" s="3">
        <f>IF('3a Raw'!E1155="","",MAX(-3,MIN(3,('3a Raw'!E1155-$F3)/$F4)))</f>
        <v/>
      </c>
      <c r="G1155" s="3">
        <f>IF(F1155="","",(F1155-AVERAGE(F6:F1198))/(STDEV(F6:F1198)+1E-12))</f>
        <v/>
      </c>
      <c r="H1155" s="3">
        <f>IF('3a Raw'!F1155="","",MAX(-3,MIN(3,('3a Raw'!F1155-$H3)/$H4)))</f>
        <v/>
      </c>
      <c r="I1155" s="3">
        <f>IF(H1155="","",(H1155-AVERAGE(H6:H1198))/(STDEV(H6:H1198)+1E-12))</f>
        <v/>
      </c>
      <c r="J1155" s="3">
        <f>IF('3a Raw'!G1155="","",MAX(-3,MIN(3,('3a Raw'!G1155-$J3)/$J4)))</f>
        <v/>
      </c>
      <c r="K1155" s="3">
        <f>IF(J1155="","",(J1155-AVERAGE(J6:J1198))/(STDEV(J6:J1198)+1E-12))</f>
        <v/>
      </c>
      <c r="L1155" s="3">
        <f>IF('3a Raw'!H1155="","",MAX(-3,MIN(3,('3a Raw'!H1155-$L3)/$L4)))</f>
        <v/>
      </c>
      <c r="M1155" s="3">
        <f>IF(L1155="","",(L1155-AVERAGE(L6:L1198))/(STDEV(L6:L1198)+1E-12))</f>
        <v/>
      </c>
      <c r="N1155" s="3">
        <f>IF('3a Raw'!I1155="","",MAX(-3,MIN(3,('3a Raw'!I1155-$N3)/$N4)))</f>
        <v/>
      </c>
      <c r="O1155" s="3">
        <f>IF(N1155="","",(N1155-AVERAGE(N6:N1198))/(STDEV(N6:N1198)+1E-12))</f>
        <v/>
      </c>
      <c r="P1155" s="3">
        <f>IF('3a Raw'!J1155="","",MAX(-3,MIN(3,('3a Raw'!J1155-$P3)/$P4)))</f>
        <v/>
      </c>
      <c r="Q1155" s="3">
        <f>IF(P1155="","",(P1155-AVERAGE(P6:P1198))/(STDEV(P6:P1198)+1E-12))</f>
        <v/>
      </c>
      <c r="R1155" s="3">
        <f>IF('3a Raw'!K1155="","",MAX(-3,MIN(3,('3a Raw'!K1155-$R3)/$R4)))</f>
        <v/>
      </c>
      <c r="S1155" s="3">
        <f>IF(R1155="","",(R1155-AVERAGE(R6:R1198))/(STDEV(R6:R1198)+1E-12))</f>
        <v/>
      </c>
      <c r="T1155" s="3">
        <f>IF('3a Raw'!L1155="","",MAX(-3,MIN(3,('3a Raw'!L1155-$T3)/$T4)))</f>
        <v/>
      </c>
      <c r="U1155" s="3">
        <f>IF(T1155="","",(T1155-AVERAGE(T6:T1198))/(STDEV(T6:T1198)+1E-12))</f>
        <v/>
      </c>
      <c r="X1155" s="3">
        <f>IF(U1155="","",U1155-($V$3*G1155+$W$3))</f>
        <v/>
      </c>
      <c r="Y1155" s="3">
        <f>IF(X1155="","",MAX(-3,MIN(3,(X1155-$X3)/$X4)))</f>
        <v/>
      </c>
      <c r="Z1155" s="3">
        <f>IF(Y1155="","",(Y1155-AVERAGE(Y6:Y1198))/(STDEV(Y6:Y1198)+1E-12))</f>
        <v/>
      </c>
    </row>
    <row r="1156">
      <c r="A1156" t="inlineStr">
        <is>
          <t>BBG003M3V230</t>
        </is>
      </c>
      <c r="B1156" s="3">
        <f>IF('3a Raw'!C1156="","",MAX(-3,MIN(3,('3a Raw'!C1156-$B3)/$B4)))</f>
        <v/>
      </c>
      <c r="C1156" s="3">
        <f>IF(B1156="","",(B1156-AVERAGE(B6:B1198))/(STDEV(B6:B1198)+1E-12))</f>
        <v/>
      </c>
      <c r="D1156" s="3">
        <f>IF('3a Raw'!D1156="","",MAX(-3,MIN(3,('3a Raw'!D1156-$D3)/$D4)))</f>
        <v/>
      </c>
      <c r="E1156" s="3">
        <f>IF(D1156="","",(D1156-AVERAGE(D6:D1198))/(STDEV(D6:D1198)+1E-12))</f>
        <v/>
      </c>
      <c r="F1156" s="3">
        <f>IF('3a Raw'!E1156="","",MAX(-3,MIN(3,('3a Raw'!E1156-$F3)/$F4)))</f>
        <v/>
      </c>
      <c r="G1156" s="3">
        <f>IF(F1156="","",(F1156-AVERAGE(F6:F1198))/(STDEV(F6:F1198)+1E-12))</f>
        <v/>
      </c>
      <c r="H1156" s="3">
        <f>IF('3a Raw'!F1156="","",MAX(-3,MIN(3,('3a Raw'!F1156-$H3)/$H4)))</f>
        <v/>
      </c>
      <c r="I1156" s="3">
        <f>IF(H1156="","",(H1156-AVERAGE(H6:H1198))/(STDEV(H6:H1198)+1E-12))</f>
        <v/>
      </c>
      <c r="J1156" s="3">
        <f>IF('3a Raw'!G1156="","",MAX(-3,MIN(3,('3a Raw'!G1156-$J3)/$J4)))</f>
        <v/>
      </c>
      <c r="K1156" s="3">
        <f>IF(J1156="","",(J1156-AVERAGE(J6:J1198))/(STDEV(J6:J1198)+1E-12))</f>
        <v/>
      </c>
      <c r="L1156" s="3">
        <f>IF('3a Raw'!H1156="","",MAX(-3,MIN(3,('3a Raw'!H1156-$L3)/$L4)))</f>
        <v/>
      </c>
      <c r="M1156" s="3">
        <f>IF(L1156="","",(L1156-AVERAGE(L6:L1198))/(STDEV(L6:L1198)+1E-12))</f>
        <v/>
      </c>
      <c r="N1156" s="3">
        <f>IF('3a Raw'!I1156="","",MAX(-3,MIN(3,('3a Raw'!I1156-$N3)/$N4)))</f>
        <v/>
      </c>
      <c r="O1156" s="3">
        <f>IF(N1156="","",(N1156-AVERAGE(N6:N1198))/(STDEV(N6:N1198)+1E-12))</f>
        <v/>
      </c>
      <c r="P1156" s="3">
        <f>IF('3a Raw'!J1156="","",MAX(-3,MIN(3,('3a Raw'!J1156-$P3)/$P4)))</f>
        <v/>
      </c>
      <c r="Q1156" s="3">
        <f>IF(P1156="","",(P1156-AVERAGE(P6:P1198))/(STDEV(P6:P1198)+1E-12))</f>
        <v/>
      </c>
      <c r="R1156" s="3">
        <f>IF('3a Raw'!K1156="","",MAX(-3,MIN(3,('3a Raw'!K1156-$R3)/$R4)))</f>
        <v/>
      </c>
      <c r="S1156" s="3">
        <f>IF(R1156="","",(R1156-AVERAGE(R6:R1198))/(STDEV(R6:R1198)+1E-12))</f>
        <v/>
      </c>
      <c r="T1156" s="3">
        <f>IF('3a Raw'!L1156="","",MAX(-3,MIN(3,('3a Raw'!L1156-$T3)/$T4)))</f>
        <v/>
      </c>
      <c r="U1156" s="3">
        <f>IF(T1156="","",(T1156-AVERAGE(T6:T1198))/(STDEV(T6:T1198)+1E-12))</f>
        <v/>
      </c>
      <c r="X1156" s="3">
        <f>IF(U1156="","",U1156-($V$3*G1156+$W$3))</f>
        <v/>
      </c>
      <c r="Y1156" s="3">
        <f>IF(X1156="","",MAX(-3,MIN(3,(X1156-$X3)/$X4)))</f>
        <v/>
      </c>
      <c r="Z1156" s="3">
        <f>IF(Y1156="","",(Y1156-AVERAGE(Y6:Y1198))/(STDEV(Y6:Y1198)+1E-12))</f>
        <v/>
      </c>
    </row>
    <row r="1157">
      <c r="A1157" t="inlineStr">
        <is>
          <t>BBG000BVZP59</t>
        </is>
      </c>
      <c r="B1157" s="3">
        <f>IF('3a Raw'!C1157="","",MAX(-3,MIN(3,('3a Raw'!C1157-$B3)/$B4)))</f>
        <v/>
      </c>
      <c r="C1157" s="3">
        <f>IF(B1157="","",(B1157-AVERAGE(B6:B1198))/(STDEV(B6:B1198)+1E-12))</f>
        <v/>
      </c>
      <c r="D1157" s="3">
        <f>IF('3a Raw'!D1157="","",MAX(-3,MIN(3,('3a Raw'!D1157-$D3)/$D4)))</f>
        <v/>
      </c>
      <c r="E1157" s="3">
        <f>IF(D1157="","",(D1157-AVERAGE(D6:D1198))/(STDEV(D6:D1198)+1E-12))</f>
        <v/>
      </c>
      <c r="F1157" s="3">
        <f>IF('3a Raw'!E1157="","",MAX(-3,MIN(3,('3a Raw'!E1157-$F3)/$F4)))</f>
        <v/>
      </c>
      <c r="G1157" s="3">
        <f>IF(F1157="","",(F1157-AVERAGE(F6:F1198))/(STDEV(F6:F1198)+1E-12))</f>
        <v/>
      </c>
      <c r="H1157" s="3">
        <f>IF('3a Raw'!F1157="","",MAX(-3,MIN(3,('3a Raw'!F1157-$H3)/$H4)))</f>
        <v/>
      </c>
      <c r="I1157" s="3">
        <f>IF(H1157="","",(H1157-AVERAGE(H6:H1198))/(STDEV(H6:H1198)+1E-12))</f>
        <v/>
      </c>
      <c r="J1157" s="3">
        <f>IF('3a Raw'!G1157="","",MAX(-3,MIN(3,('3a Raw'!G1157-$J3)/$J4)))</f>
        <v/>
      </c>
      <c r="K1157" s="3">
        <f>IF(J1157="","",(J1157-AVERAGE(J6:J1198))/(STDEV(J6:J1198)+1E-12))</f>
        <v/>
      </c>
      <c r="L1157" s="3">
        <f>IF('3a Raw'!H1157="","",MAX(-3,MIN(3,('3a Raw'!H1157-$L3)/$L4)))</f>
        <v/>
      </c>
      <c r="M1157" s="3">
        <f>IF(L1157="","",(L1157-AVERAGE(L6:L1198))/(STDEV(L6:L1198)+1E-12))</f>
        <v/>
      </c>
      <c r="N1157" s="3">
        <f>IF('3a Raw'!I1157="","",MAX(-3,MIN(3,('3a Raw'!I1157-$N3)/$N4)))</f>
        <v/>
      </c>
      <c r="O1157" s="3">
        <f>IF(N1157="","",(N1157-AVERAGE(N6:N1198))/(STDEV(N6:N1198)+1E-12))</f>
        <v/>
      </c>
      <c r="P1157" s="3">
        <f>IF('3a Raw'!J1157="","",MAX(-3,MIN(3,('3a Raw'!J1157-$P3)/$P4)))</f>
        <v/>
      </c>
      <c r="Q1157" s="3">
        <f>IF(P1157="","",(P1157-AVERAGE(P6:P1198))/(STDEV(P6:P1198)+1E-12))</f>
        <v/>
      </c>
      <c r="R1157" s="3">
        <f>IF('3a Raw'!K1157="","",MAX(-3,MIN(3,('3a Raw'!K1157-$R3)/$R4)))</f>
        <v/>
      </c>
      <c r="S1157" s="3">
        <f>IF(R1157="","",(R1157-AVERAGE(R6:R1198))/(STDEV(R6:R1198)+1E-12))</f>
        <v/>
      </c>
      <c r="T1157" s="3">
        <f>IF('3a Raw'!L1157="","",MAX(-3,MIN(3,('3a Raw'!L1157-$T3)/$T4)))</f>
        <v/>
      </c>
      <c r="U1157" s="3">
        <f>IF(T1157="","",(T1157-AVERAGE(T6:T1198))/(STDEV(T6:T1198)+1E-12))</f>
        <v/>
      </c>
      <c r="X1157" s="3">
        <f>IF(U1157="","",U1157-($V$3*G1157+$W$3))</f>
        <v/>
      </c>
      <c r="Y1157" s="3">
        <f>IF(X1157="","",MAX(-3,MIN(3,(X1157-$X3)/$X4)))</f>
        <v/>
      </c>
      <c r="Z1157" s="3">
        <f>IF(Y1157="","",(Y1157-AVERAGE(Y6:Y1198))/(STDEV(Y6:Y1198)+1E-12))</f>
        <v/>
      </c>
    </row>
    <row r="1158">
      <c r="A1158" t="inlineStr">
        <is>
          <t>BBG000BWQFY7</t>
        </is>
      </c>
      <c r="B1158" s="3">
        <f>IF('3a Raw'!C1158="","",MAX(-3,MIN(3,('3a Raw'!C1158-$B3)/$B4)))</f>
        <v/>
      </c>
      <c r="C1158" s="3">
        <f>IF(B1158="","",(B1158-AVERAGE(B6:B1198))/(STDEV(B6:B1198)+1E-12))</f>
        <v/>
      </c>
      <c r="D1158" s="3">
        <f>IF('3a Raw'!D1158="","",MAX(-3,MIN(3,('3a Raw'!D1158-$D3)/$D4)))</f>
        <v/>
      </c>
      <c r="E1158" s="3">
        <f>IF(D1158="","",(D1158-AVERAGE(D6:D1198))/(STDEV(D6:D1198)+1E-12))</f>
        <v/>
      </c>
      <c r="F1158" s="3">
        <f>IF('3a Raw'!E1158="","",MAX(-3,MIN(3,('3a Raw'!E1158-$F3)/$F4)))</f>
        <v/>
      </c>
      <c r="G1158" s="3">
        <f>IF(F1158="","",(F1158-AVERAGE(F6:F1198))/(STDEV(F6:F1198)+1E-12))</f>
        <v/>
      </c>
      <c r="H1158" s="3">
        <f>IF('3a Raw'!F1158="","",MAX(-3,MIN(3,('3a Raw'!F1158-$H3)/$H4)))</f>
        <v/>
      </c>
      <c r="I1158" s="3">
        <f>IF(H1158="","",(H1158-AVERAGE(H6:H1198))/(STDEV(H6:H1198)+1E-12))</f>
        <v/>
      </c>
      <c r="J1158" s="3">
        <f>IF('3a Raw'!G1158="","",MAX(-3,MIN(3,('3a Raw'!G1158-$J3)/$J4)))</f>
        <v/>
      </c>
      <c r="K1158" s="3">
        <f>IF(J1158="","",(J1158-AVERAGE(J6:J1198))/(STDEV(J6:J1198)+1E-12))</f>
        <v/>
      </c>
      <c r="L1158" s="3">
        <f>IF('3a Raw'!H1158="","",MAX(-3,MIN(3,('3a Raw'!H1158-$L3)/$L4)))</f>
        <v/>
      </c>
      <c r="M1158" s="3">
        <f>IF(L1158="","",(L1158-AVERAGE(L6:L1198))/(STDEV(L6:L1198)+1E-12))</f>
        <v/>
      </c>
      <c r="N1158" s="3">
        <f>IF('3a Raw'!I1158="","",MAX(-3,MIN(3,('3a Raw'!I1158-$N3)/$N4)))</f>
        <v/>
      </c>
      <c r="O1158" s="3">
        <f>IF(N1158="","",(N1158-AVERAGE(N6:N1198))/(STDEV(N6:N1198)+1E-12))</f>
        <v/>
      </c>
      <c r="P1158" s="3">
        <f>IF('3a Raw'!J1158="","",MAX(-3,MIN(3,('3a Raw'!J1158-$P3)/$P4)))</f>
        <v/>
      </c>
      <c r="Q1158" s="3">
        <f>IF(P1158="","",(P1158-AVERAGE(P6:P1198))/(STDEV(P6:P1198)+1E-12))</f>
        <v/>
      </c>
      <c r="R1158" s="3">
        <f>IF('3a Raw'!K1158="","",MAX(-3,MIN(3,('3a Raw'!K1158-$R3)/$R4)))</f>
        <v/>
      </c>
      <c r="S1158" s="3">
        <f>IF(R1158="","",(R1158-AVERAGE(R6:R1198))/(STDEV(R6:R1198)+1E-12))</f>
        <v/>
      </c>
      <c r="T1158" s="3">
        <f>IF('3a Raw'!L1158="","",MAX(-3,MIN(3,('3a Raw'!L1158-$T3)/$T4)))</f>
        <v/>
      </c>
      <c r="U1158" s="3">
        <f>IF(T1158="","",(T1158-AVERAGE(T6:T1198))/(STDEV(T6:T1198)+1E-12))</f>
        <v/>
      </c>
      <c r="X1158" s="3">
        <f>IF(U1158="","",U1158-($V$3*G1158+$W$3))</f>
        <v/>
      </c>
      <c r="Y1158" s="3">
        <f>IF(X1158="","",MAX(-3,MIN(3,(X1158-$X3)/$X4)))</f>
        <v/>
      </c>
      <c r="Z1158" s="3">
        <f>IF(Y1158="","",(Y1158-AVERAGE(Y6:Y1198))/(STDEV(Y6:Y1198)+1E-12))</f>
        <v/>
      </c>
    </row>
    <row r="1159">
      <c r="A1159" t="inlineStr">
        <is>
          <t>BBG000BWSV34</t>
        </is>
      </c>
      <c r="B1159" s="3">
        <f>IF('3a Raw'!C1159="","",MAX(-3,MIN(3,('3a Raw'!C1159-$B3)/$B4)))</f>
        <v/>
      </c>
      <c r="C1159" s="3">
        <f>IF(B1159="","",(B1159-AVERAGE(B6:B1198))/(STDEV(B6:B1198)+1E-12))</f>
        <v/>
      </c>
      <c r="D1159" s="3">
        <f>IF('3a Raw'!D1159="","",MAX(-3,MIN(3,('3a Raw'!D1159-$D3)/$D4)))</f>
        <v/>
      </c>
      <c r="E1159" s="3">
        <f>IF(D1159="","",(D1159-AVERAGE(D6:D1198))/(STDEV(D6:D1198)+1E-12))</f>
        <v/>
      </c>
      <c r="F1159" s="3">
        <f>IF('3a Raw'!E1159="","",MAX(-3,MIN(3,('3a Raw'!E1159-$F3)/$F4)))</f>
        <v/>
      </c>
      <c r="G1159" s="3">
        <f>IF(F1159="","",(F1159-AVERAGE(F6:F1198))/(STDEV(F6:F1198)+1E-12))</f>
        <v/>
      </c>
      <c r="H1159" s="3">
        <f>IF('3a Raw'!F1159="","",MAX(-3,MIN(3,('3a Raw'!F1159-$H3)/$H4)))</f>
        <v/>
      </c>
      <c r="I1159" s="3">
        <f>IF(H1159="","",(H1159-AVERAGE(H6:H1198))/(STDEV(H6:H1198)+1E-12))</f>
        <v/>
      </c>
      <c r="J1159" s="3">
        <f>IF('3a Raw'!G1159="","",MAX(-3,MIN(3,('3a Raw'!G1159-$J3)/$J4)))</f>
        <v/>
      </c>
      <c r="K1159" s="3">
        <f>IF(J1159="","",(J1159-AVERAGE(J6:J1198))/(STDEV(J6:J1198)+1E-12))</f>
        <v/>
      </c>
      <c r="L1159" s="3">
        <f>IF('3a Raw'!H1159="","",MAX(-3,MIN(3,('3a Raw'!H1159-$L3)/$L4)))</f>
        <v/>
      </c>
      <c r="M1159" s="3">
        <f>IF(L1159="","",(L1159-AVERAGE(L6:L1198))/(STDEV(L6:L1198)+1E-12))</f>
        <v/>
      </c>
      <c r="N1159" s="3">
        <f>IF('3a Raw'!I1159="","",MAX(-3,MIN(3,('3a Raw'!I1159-$N3)/$N4)))</f>
        <v/>
      </c>
      <c r="O1159" s="3">
        <f>IF(N1159="","",(N1159-AVERAGE(N6:N1198))/(STDEV(N6:N1198)+1E-12))</f>
        <v/>
      </c>
      <c r="P1159" s="3">
        <f>IF('3a Raw'!J1159="","",MAX(-3,MIN(3,('3a Raw'!J1159-$P3)/$P4)))</f>
        <v/>
      </c>
      <c r="Q1159" s="3">
        <f>IF(P1159="","",(P1159-AVERAGE(P6:P1198))/(STDEV(P6:P1198)+1E-12))</f>
        <v/>
      </c>
      <c r="R1159" s="3">
        <f>IF('3a Raw'!K1159="","",MAX(-3,MIN(3,('3a Raw'!K1159-$R3)/$R4)))</f>
        <v/>
      </c>
      <c r="S1159" s="3">
        <f>IF(R1159="","",(R1159-AVERAGE(R6:R1198))/(STDEV(R6:R1198)+1E-12))</f>
        <v/>
      </c>
      <c r="T1159" s="3">
        <f>IF('3a Raw'!L1159="","",MAX(-3,MIN(3,('3a Raw'!L1159-$T3)/$T4)))</f>
        <v/>
      </c>
      <c r="U1159" s="3">
        <f>IF(T1159="","",(T1159-AVERAGE(T6:T1198))/(STDEV(T6:T1198)+1E-12))</f>
        <v/>
      </c>
      <c r="X1159" s="3">
        <f>IF(U1159="","",U1159-($V$3*G1159+$W$3))</f>
        <v/>
      </c>
      <c r="Y1159" s="3">
        <f>IF(X1159="","",MAX(-3,MIN(3,(X1159-$X3)/$X4)))</f>
        <v/>
      </c>
      <c r="Z1159" s="3">
        <f>IF(Y1159="","",(Y1159-AVERAGE(Y6:Y1198))/(STDEV(Y6:Y1198)+1E-12))</f>
        <v/>
      </c>
    </row>
    <row r="1160">
      <c r="A1160" t="inlineStr">
        <is>
          <t>BBG007BVZ8H9</t>
        </is>
      </c>
      <c r="B1160" s="3">
        <f>IF('3a Raw'!C1160="","",MAX(-3,MIN(3,('3a Raw'!C1160-$B3)/$B4)))</f>
        <v/>
      </c>
      <c r="C1160" s="3">
        <f>IF(B1160="","",(B1160-AVERAGE(B6:B1198))/(STDEV(B6:B1198)+1E-12))</f>
        <v/>
      </c>
      <c r="D1160" s="3">
        <f>IF('3a Raw'!D1160="","",MAX(-3,MIN(3,('3a Raw'!D1160-$D3)/$D4)))</f>
        <v/>
      </c>
      <c r="E1160" s="3">
        <f>IF(D1160="","",(D1160-AVERAGE(D6:D1198))/(STDEV(D6:D1198)+1E-12))</f>
        <v/>
      </c>
      <c r="F1160" s="3">
        <f>IF('3a Raw'!E1160="","",MAX(-3,MIN(3,('3a Raw'!E1160-$F3)/$F4)))</f>
        <v/>
      </c>
      <c r="G1160" s="3">
        <f>IF(F1160="","",(F1160-AVERAGE(F6:F1198))/(STDEV(F6:F1198)+1E-12))</f>
        <v/>
      </c>
      <c r="H1160" s="3">
        <f>IF('3a Raw'!F1160="","",MAX(-3,MIN(3,('3a Raw'!F1160-$H3)/$H4)))</f>
        <v/>
      </c>
      <c r="I1160" s="3">
        <f>IF(H1160="","",(H1160-AVERAGE(H6:H1198))/(STDEV(H6:H1198)+1E-12))</f>
        <v/>
      </c>
      <c r="J1160" s="3">
        <f>IF('3a Raw'!G1160="","",MAX(-3,MIN(3,('3a Raw'!G1160-$J3)/$J4)))</f>
        <v/>
      </c>
      <c r="K1160" s="3">
        <f>IF(J1160="","",(J1160-AVERAGE(J6:J1198))/(STDEV(J6:J1198)+1E-12))</f>
        <v/>
      </c>
      <c r="L1160" s="3">
        <f>IF('3a Raw'!H1160="","",MAX(-3,MIN(3,('3a Raw'!H1160-$L3)/$L4)))</f>
        <v/>
      </c>
      <c r="M1160" s="3">
        <f>IF(L1160="","",(L1160-AVERAGE(L6:L1198))/(STDEV(L6:L1198)+1E-12))</f>
        <v/>
      </c>
      <c r="N1160" s="3">
        <f>IF('3a Raw'!I1160="","",MAX(-3,MIN(3,('3a Raw'!I1160-$N3)/$N4)))</f>
        <v/>
      </c>
      <c r="O1160" s="3">
        <f>IF(N1160="","",(N1160-AVERAGE(N6:N1198))/(STDEV(N6:N1198)+1E-12))</f>
        <v/>
      </c>
      <c r="P1160" s="3">
        <f>IF('3a Raw'!J1160="","",MAX(-3,MIN(3,('3a Raw'!J1160-$P3)/$P4)))</f>
        <v/>
      </c>
      <c r="Q1160" s="3">
        <f>IF(P1160="","",(P1160-AVERAGE(P6:P1198))/(STDEV(P6:P1198)+1E-12))</f>
        <v/>
      </c>
      <c r="R1160" s="3">
        <f>IF('3a Raw'!K1160="","",MAX(-3,MIN(3,('3a Raw'!K1160-$R3)/$R4)))</f>
        <v/>
      </c>
      <c r="S1160" s="3">
        <f>IF(R1160="","",(R1160-AVERAGE(R6:R1198))/(STDEV(R6:R1198)+1E-12))</f>
        <v/>
      </c>
      <c r="T1160" s="3">
        <f>IF('3a Raw'!L1160="","",MAX(-3,MIN(3,('3a Raw'!L1160-$T3)/$T4)))</f>
        <v/>
      </c>
      <c r="U1160" s="3">
        <f>IF(T1160="","",(T1160-AVERAGE(T6:T1198))/(STDEV(T6:T1198)+1E-12))</f>
        <v/>
      </c>
      <c r="X1160" s="3">
        <f>IF(U1160="","",U1160-($V$3*G1160+$W$3))</f>
        <v/>
      </c>
      <c r="Y1160" s="3">
        <f>IF(X1160="","",MAX(-3,MIN(3,(X1160-$X3)/$X4)))</f>
        <v/>
      </c>
      <c r="Z1160" s="3">
        <f>IF(Y1160="","",(Y1160-AVERAGE(Y6:Y1198))/(STDEV(Y6:Y1198)+1E-12))</f>
        <v/>
      </c>
    </row>
    <row r="1161">
      <c r="A1161" t="inlineStr">
        <is>
          <t>BBG000PXZFW2</t>
        </is>
      </c>
      <c r="B1161" s="3">
        <f>IF('3a Raw'!C1161="","",MAX(-3,MIN(3,('3a Raw'!C1161-$B3)/$B4)))</f>
        <v/>
      </c>
      <c r="C1161" s="3">
        <f>IF(B1161="","",(B1161-AVERAGE(B6:B1198))/(STDEV(B6:B1198)+1E-12))</f>
        <v/>
      </c>
      <c r="D1161" s="3">
        <f>IF('3a Raw'!D1161="","",MAX(-3,MIN(3,('3a Raw'!D1161-$D3)/$D4)))</f>
        <v/>
      </c>
      <c r="E1161" s="3">
        <f>IF(D1161="","",(D1161-AVERAGE(D6:D1198))/(STDEV(D6:D1198)+1E-12))</f>
        <v/>
      </c>
      <c r="F1161" s="3">
        <f>IF('3a Raw'!E1161="","",MAX(-3,MIN(3,('3a Raw'!E1161-$F3)/$F4)))</f>
        <v/>
      </c>
      <c r="G1161" s="3">
        <f>IF(F1161="","",(F1161-AVERAGE(F6:F1198))/(STDEV(F6:F1198)+1E-12))</f>
        <v/>
      </c>
      <c r="H1161" s="3">
        <f>IF('3a Raw'!F1161="","",MAX(-3,MIN(3,('3a Raw'!F1161-$H3)/$H4)))</f>
        <v/>
      </c>
      <c r="I1161" s="3">
        <f>IF(H1161="","",(H1161-AVERAGE(H6:H1198))/(STDEV(H6:H1198)+1E-12))</f>
        <v/>
      </c>
      <c r="J1161" s="3">
        <f>IF('3a Raw'!G1161="","",MAX(-3,MIN(3,('3a Raw'!G1161-$J3)/$J4)))</f>
        <v/>
      </c>
      <c r="K1161" s="3">
        <f>IF(J1161="","",(J1161-AVERAGE(J6:J1198))/(STDEV(J6:J1198)+1E-12))</f>
        <v/>
      </c>
      <c r="L1161" s="3">
        <f>IF('3a Raw'!H1161="","",MAX(-3,MIN(3,('3a Raw'!H1161-$L3)/$L4)))</f>
        <v/>
      </c>
      <c r="M1161" s="3">
        <f>IF(L1161="","",(L1161-AVERAGE(L6:L1198))/(STDEV(L6:L1198)+1E-12))</f>
        <v/>
      </c>
      <c r="N1161" s="3">
        <f>IF('3a Raw'!I1161="","",MAX(-3,MIN(3,('3a Raw'!I1161-$N3)/$N4)))</f>
        <v/>
      </c>
      <c r="O1161" s="3">
        <f>IF(N1161="","",(N1161-AVERAGE(N6:N1198))/(STDEV(N6:N1198)+1E-12))</f>
        <v/>
      </c>
      <c r="P1161" s="3">
        <f>IF('3a Raw'!J1161="","",MAX(-3,MIN(3,('3a Raw'!J1161-$P3)/$P4)))</f>
        <v/>
      </c>
      <c r="Q1161" s="3">
        <f>IF(P1161="","",(P1161-AVERAGE(P6:P1198))/(STDEV(P6:P1198)+1E-12))</f>
        <v/>
      </c>
      <c r="R1161" s="3">
        <f>IF('3a Raw'!K1161="","",MAX(-3,MIN(3,('3a Raw'!K1161-$R3)/$R4)))</f>
        <v/>
      </c>
      <c r="S1161" s="3">
        <f>IF(R1161="","",(R1161-AVERAGE(R6:R1198))/(STDEV(R6:R1198)+1E-12))</f>
        <v/>
      </c>
      <c r="T1161" s="3">
        <f>IF('3a Raw'!L1161="","",MAX(-3,MIN(3,('3a Raw'!L1161-$T3)/$T4)))</f>
        <v/>
      </c>
      <c r="U1161" s="3">
        <f>IF(T1161="","",(T1161-AVERAGE(T6:T1198))/(STDEV(T6:T1198)+1E-12))</f>
        <v/>
      </c>
      <c r="X1161" s="3">
        <f>IF(U1161="","",U1161-($V$3*G1161+$W$3))</f>
        <v/>
      </c>
      <c r="Y1161" s="3">
        <f>IF(X1161="","",MAX(-3,MIN(3,(X1161-$X3)/$X4)))</f>
        <v/>
      </c>
      <c r="Z1161" s="3">
        <f>IF(Y1161="","",(Y1161-AVERAGE(Y6:Y1198))/(STDEV(Y6:Y1198)+1E-12))</f>
        <v/>
      </c>
    </row>
    <row r="1162">
      <c r="A1162" t="inlineStr">
        <is>
          <t>BBG002WK8MH0</t>
        </is>
      </c>
      <c r="B1162" s="3">
        <f>IF('3a Raw'!C1162="","",MAX(-3,MIN(3,('3a Raw'!C1162-$B3)/$B4)))</f>
        <v/>
      </c>
      <c r="C1162" s="3">
        <f>IF(B1162="","",(B1162-AVERAGE(B6:B1198))/(STDEV(B6:B1198)+1E-12))</f>
        <v/>
      </c>
      <c r="D1162" s="3">
        <f>IF('3a Raw'!D1162="","",MAX(-3,MIN(3,('3a Raw'!D1162-$D3)/$D4)))</f>
        <v/>
      </c>
      <c r="E1162" s="3">
        <f>IF(D1162="","",(D1162-AVERAGE(D6:D1198))/(STDEV(D6:D1198)+1E-12))</f>
        <v/>
      </c>
      <c r="F1162" s="3">
        <f>IF('3a Raw'!E1162="","",MAX(-3,MIN(3,('3a Raw'!E1162-$F3)/$F4)))</f>
        <v/>
      </c>
      <c r="G1162" s="3">
        <f>IF(F1162="","",(F1162-AVERAGE(F6:F1198))/(STDEV(F6:F1198)+1E-12))</f>
        <v/>
      </c>
      <c r="H1162" s="3">
        <f>IF('3a Raw'!F1162="","",MAX(-3,MIN(3,('3a Raw'!F1162-$H3)/$H4)))</f>
        <v/>
      </c>
      <c r="I1162" s="3">
        <f>IF(H1162="","",(H1162-AVERAGE(H6:H1198))/(STDEV(H6:H1198)+1E-12))</f>
        <v/>
      </c>
      <c r="J1162" s="3">
        <f>IF('3a Raw'!G1162="","",MAX(-3,MIN(3,('3a Raw'!G1162-$J3)/$J4)))</f>
        <v/>
      </c>
      <c r="K1162" s="3">
        <f>IF(J1162="","",(J1162-AVERAGE(J6:J1198))/(STDEV(J6:J1198)+1E-12))</f>
        <v/>
      </c>
      <c r="L1162" s="3">
        <f>IF('3a Raw'!H1162="","",MAX(-3,MIN(3,('3a Raw'!H1162-$L3)/$L4)))</f>
        <v/>
      </c>
      <c r="M1162" s="3">
        <f>IF(L1162="","",(L1162-AVERAGE(L6:L1198))/(STDEV(L6:L1198)+1E-12))</f>
        <v/>
      </c>
      <c r="N1162" s="3">
        <f>IF('3a Raw'!I1162="","",MAX(-3,MIN(3,('3a Raw'!I1162-$N3)/$N4)))</f>
        <v/>
      </c>
      <c r="O1162" s="3">
        <f>IF(N1162="","",(N1162-AVERAGE(N6:N1198))/(STDEV(N6:N1198)+1E-12))</f>
        <v/>
      </c>
      <c r="P1162" s="3">
        <f>IF('3a Raw'!J1162="","",MAX(-3,MIN(3,('3a Raw'!J1162-$P3)/$P4)))</f>
        <v/>
      </c>
      <c r="Q1162" s="3">
        <f>IF(P1162="","",(P1162-AVERAGE(P6:P1198))/(STDEV(P6:P1198)+1E-12))</f>
        <v/>
      </c>
      <c r="R1162" s="3">
        <f>IF('3a Raw'!K1162="","",MAX(-3,MIN(3,('3a Raw'!K1162-$R3)/$R4)))</f>
        <v/>
      </c>
      <c r="S1162" s="3">
        <f>IF(R1162="","",(R1162-AVERAGE(R6:R1198))/(STDEV(R6:R1198)+1E-12))</f>
        <v/>
      </c>
      <c r="T1162" s="3">
        <f>IF('3a Raw'!L1162="","",MAX(-3,MIN(3,('3a Raw'!L1162-$T3)/$T4)))</f>
        <v/>
      </c>
      <c r="U1162" s="3">
        <f>IF(T1162="","",(T1162-AVERAGE(T6:T1198))/(STDEV(T6:T1198)+1E-12))</f>
        <v/>
      </c>
      <c r="X1162" s="3">
        <f>IF(U1162="","",U1162-($V$3*G1162+$W$3))</f>
        <v/>
      </c>
      <c r="Y1162" s="3">
        <f>IF(X1162="","",MAX(-3,MIN(3,(X1162-$X3)/$X4)))</f>
        <v/>
      </c>
      <c r="Z1162" s="3">
        <f>IF(Y1162="","",(Y1162-AVERAGE(Y6:Y1198))/(STDEV(Y6:Y1198)+1E-12))</f>
        <v/>
      </c>
    </row>
    <row r="1163">
      <c r="A1163" t="inlineStr">
        <is>
          <t>wm</t>
        </is>
      </c>
      <c r="B1163" s="3">
        <f>IF('3a Raw'!C1163="","",MAX(-3,MIN(3,('3a Raw'!C1163-$B3)/$B4)))</f>
        <v/>
      </c>
      <c r="C1163" s="3">
        <f>IF(B1163="","",(B1163-AVERAGE(B6:B1198))/(STDEV(B6:B1198)+1E-12))</f>
        <v/>
      </c>
      <c r="D1163" s="3">
        <f>IF('3a Raw'!D1163="","",MAX(-3,MIN(3,('3a Raw'!D1163-$D3)/$D4)))</f>
        <v/>
      </c>
      <c r="E1163" s="3">
        <f>IF(D1163="","",(D1163-AVERAGE(D6:D1198))/(STDEV(D6:D1198)+1E-12))</f>
        <v/>
      </c>
      <c r="F1163" s="3">
        <f>IF('3a Raw'!E1163="","",MAX(-3,MIN(3,('3a Raw'!E1163-$F3)/$F4)))</f>
        <v/>
      </c>
      <c r="G1163" s="3">
        <f>IF(F1163="","",(F1163-AVERAGE(F6:F1198))/(STDEV(F6:F1198)+1E-12))</f>
        <v/>
      </c>
      <c r="H1163" s="3">
        <f>IF('3a Raw'!F1163="","",MAX(-3,MIN(3,('3a Raw'!F1163-$H3)/$H4)))</f>
        <v/>
      </c>
      <c r="I1163" s="3">
        <f>IF(H1163="","",(H1163-AVERAGE(H6:H1198))/(STDEV(H6:H1198)+1E-12))</f>
        <v/>
      </c>
      <c r="J1163" s="3">
        <f>IF('3a Raw'!G1163="","",MAX(-3,MIN(3,('3a Raw'!G1163-$J3)/$J4)))</f>
        <v/>
      </c>
      <c r="K1163" s="3">
        <f>IF(J1163="","",(J1163-AVERAGE(J6:J1198))/(STDEV(J6:J1198)+1E-12))</f>
        <v/>
      </c>
      <c r="L1163" s="3">
        <f>IF('3a Raw'!H1163="","",MAX(-3,MIN(3,('3a Raw'!H1163-$L3)/$L4)))</f>
        <v/>
      </c>
      <c r="M1163" s="3">
        <f>IF(L1163="","",(L1163-AVERAGE(L6:L1198))/(STDEV(L6:L1198)+1E-12))</f>
        <v/>
      </c>
      <c r="N1163" s="3">
        <f>IF('3a Raw'!I1163="","",MAX(-3,MIN(3,('3a Raw'!I1163-$N3)/$N4)))</f>
        <v/>
      </c>
      <c r="O1163" s="3">
        <f>IF(N1163="","",(N1163-AVERAGE(N6:N1198))/(STDEV(N6:N1198)+1E-12))</f>
        <v/>
      </c>
      <c r="P1163" s="3">
        <f>IF('3a Raw'!J1163="","",MAX(-3,MIN(3,('3a Raw'!J1163-$P3)/$P4)))</f>
        <v/>
      </c>
      <c r="Q1163" s="3">
        <f>IF(P1163="","",(P1163-AVERAGE(P6:P1198))/(STDEV(P6:P1198)+1E-12))</f>
        <v/>
      </c>
      <c r="R1163" s="3">
        <f>IF('3a Raw'!K1163="","",MAX(-3,MIN(3,('3a Raw'!K1163-$R3)/$R4)))</f>
        <v/>
      </c>
      <c r="S1163" s="3">
        <f>IF(R1163="","",(R1163-AVERAGE(R6:R1198))/(STDEV(R6:R1198)+1E-12))</f>
        <v/>
      </c>
      <c r="T1163" s="3">
        <f>IF('3a Raw'!L1163="","",MAX(-3,MIN(3,('3a Raw'!L1163-$T3)/$T4)))</f>
        <v/>
      </c>
      <c r="U1163" s="3">
        <f>IF(T1163="","",(T1163-AVERAGE(T6:T1198))/(STDEV(T6:T1198)+1E-12))</f>
        <v/>
      </c>
      <c r="X1163" s="3">
        <f>IF(U1163="","",U1163-($V$3*G1163+$W$3))</f>
        <v/>
      </c>
      <c r="Y1163" s="3">
        <f>IF(X1163="","",MAX(-3,MIN(3,(X1163-$X3)/$X4)))</f>
        <v/>
      </c>
      <c r="Z1163" s="3">
        <f>IF(Y1163="","",(Y1163-AVERAGE(Y6:Y1198))/(STDEV(Y6:Y1198)+1E-12))</f>
        <v/>
      </c>
    </row>
    <row r="1164">
      <c r="A1164" t="inlineStr">
        <is>
          <t>BBG000BWVCP8</t>
        </is>
      </c>
      <c r="B1164" s="3">
        <f>IF('3a Raw'!C1164="","",MAX(-3,MIN(3,('3a Raw'!C1164-$B3)/$B4)))</f>
        <v/>
      </c>
      <c r="C1164" s="3">
        <f>IF(B1164="","",(B1164-AVERAGE(B6:B1198))/(STDEV(B6:B1198)+1E-12))</f>
        <v/>
      </c>
      <c r="D1164" s="3">
        <f>IF('3a Raw'!D1164="","",MAX(-3,MIN(3,('3a Raw'!D1164-$D3)/$D4)))</f>
        <v/>
      </c>
      <c r="E1164" s="3">
        <f>IF(D1164="","",(D1164-AVERAGE(D6:D1198))/(STDEV(D6:D1198)+1E-12))</f>
        <v/>
      </c>
      <c r="F1164" s="3">
        <f>IF('3a Raw'!E1164="","",MAX(-3,MIN(3,('3a Raw'!E1164-$F3)/$F4)))</f>
        <v/>
      </c>
      <c r="G1164" s="3">
        <f>IF(F1164="","",(F1164-AVERAGE(F6:F1198))/(STDEV(F6:F1198)+1E-12))</f>
        <v/>
      </c>
      <c r="H1164" s="3">
        <f>IF('3a Raw'!F1164="","",MAX(-3,MIN(3,('3a Raw'!F1164-$H3)/$H4)))</f>
        <v/>
      </c>
      <c r="I1164" s="3">
        <f>IF(H1164="","",(H1164-AVERAGE(H6:H1198))/(STDEV(H6:H1198)+1E-12))</f>
        <v/>
      </c>
      <c r="J1164" s="3">
        <f>IF('3a Raw'!G1164="","",MAX(-3,MIN(3,('3a Raw'!G1164-$J3)/$J4)))</f>
        <v/>
      </c>
      <c r="K1164" s="3">
        <f>IF(J1164="","",(J1164-AVERAGE(J6:J1198))/(STDEV(J6:J1198)+1E-12))</f>
        <v/>
      </c>
      <c r="L1164" s="3">
        <f>IF('3a Raw'!H1164="","",MAX(-3,MIN(3,('3a Raw'!H1164-$L3)/$L4)))</f>
        <v/>
      </c>
      <c r="M1164" s="3">
        <f>IF(L1164="","",(L1164-AVERAGE(L6:L1198))/(STDEV(L6:L1198)+1E-12))</f>
        <v/>
      </c>
      <c r="N1164" s="3">
        <f>IF('3a Raw'!I1164="","",MAX(-3,MIN(3,('3a Raw'!I1164-$N3)/$N4)))</f>
        <v/>
      </c>
      <c r="O1164" s="3">
        <f>IF(N1164="","",(N1164-AVERAGE(N6:N1198))/(STDEV(N6:N1198)+1E-12))</f>
        <v/>
      </c>
      <c r="P1164" s="3">
        <f>IF('3a Raw'!J1164="","",MAX(-3,MIN(3,('3a Raw'!J1164-$P3)/$P4)))</f>
        <v/>
      </c>
      <c r="Q1164" s="3">
        <f>IF(P1164="","",(P1164-AVERAGE(P6:P1198))/(STDEV(P6:P1198)+1E-12))</f>
        <v/>
      </c>
      <c r="R1164" s="3">
        <f>IF('3a Raw'!K1164="","",MAX(-3,MIN(3,('3a Raw'!K1164-$R3)/$R4)))</f>
        <v/>
      </c>
      <c r="S1164" s="3">
        <f>IF(R1164="","",(R1164-AVERAGE(R6:R1198))/(STDEV(R6:R1198)+1E-12))</f>
        <v/>
      </c>
      <c r="T1164" s="3">
        <f>IF('3a Raw'!L1164="","",MAX(-3,MIN(3,('3a Raw'!L1164-$T3)/$T4)))</f>
        <v/>
      </c>
      <c r="U1164" s="3">
        <f>IF(T1164="","",(T1164-AVERAGE(T6:T1198))/(STDEV(T6:T1198)+1E-12))</f>
        <v/>
      </c>
      <c r="X1164" s="3">
        <f>IF(U1164="","",U1164-($V$3*G1164+$W$3))</f>
        <v/>
      </c>
      <c r="Y1164" s="3">
        <f>IF(X1164="","",MAX(-3,MIN(3,(X1164-$X3)/$X4)))</f>
        <v/>
      </c>
      <c r="Z1164" s="3">
        <f>IF(Y1164="","",(Y1164-AVERAGE(Y6:Y1198))/(STDEV(Y6:Y1198)+1E-12))</f>
        <v/>
      </c>
    </row>
    <row r="1165">
      <c r="A1165" t="inlineStr">
        <is>
          <t>BBG00RP2T9T6</t>
        </is>
      </c>
      <c r="B1165" s="3">
        <f>IF('3a Raw'!C1165="","",MAX(-3,MIN(3,('3a Raw'!C1165-$B3)/$B4)))</f>
        <v/>
      </c>
      <c r="C1165" s="3">
        <f>IF(B1165="","",(B1165-AVERAGE(B6:B1198))/(STDEV(B6:B1198)+1E-12))</f>
        <v/>
      </c>
      <c r="D1165" s="3">
        <f>IF('3a Raw'!D1165="","",MAX(-3,MIN(3,('3a Raw'!D1165-$D3)/$D4)))</f>
        <v/>
      </c>
      <c r="E1165" s="3">
        <f>IF(D1165="","",(D1165-AVERAGE(D6:D1198))/(STDEV(D6:D1198)+1E-12))</f>
        <v/>
      </c>
      <c r="F1165" s="3">
        <f>IF('3a Raw'!E1165="","",MAX(-3,MIN(3,('3a Raw'!E1165-$F3)/$F4)))</f>
        <v/>
      </c>
      <c r="G1165" s="3">
        <f>IF(F1165="","",(F1165-AVERAGE(F6:F1198))/(STDEV(F6:F1198)+1E-12))</f>
        <v/>
      </c>
      <c r="H1165" s="3">
        <f>IF('3a Raw'!F1165="","",MAX(-3,MIN(3,('3a Raw'!F1165-$H3)/$H4)))</f>
        <v/>
      </c>
      <c r="I1165" s="3">
        <f>IF(H1165="","",(H1165-AVERAGE(H6:H1198))/(STDEV(H6:H1198)+1E-12))</f>
        <v/>
      </c>
      <c r="J1165" s="3">
        <f>IF('3a Raw'!G1165="","",MAX(-3,MIN(3,('3a Raw'!G1165-$J3)/$J4)))</f>
        <v/>
      </c>
      <c r="K1165" s="3">
        <f>IF(J1165="","",(J1165-AVERAGE(J6:J1198))/(STDEV(J6:J1198)+1E-12))</f>
        <v/>
      </c>
      <c r="L1165" s="3">
        <f>IF('3a Raw'!H1165="","",MAX(-3,MIN(3,('3a Raw'!H1165-$L3)/$L4)))</f>
        <v/>
      </c>
      <c r="M1165" s="3">
        <f>IF(L1165="","",(L1165-AVERAGE(L6:L1198))/(STDEV(L6:L1198)+1E-12))</f>
        <v/>
      </c>
      <c r="N1165" s="3">
        <f>IF('3a Raw'!I1165="","",MAX(-3,MIN(3,('3a Raw'!I1165-$N3)/$N4)))</f>
        <v/>
      </c>
      <c r="O1165" s="3">
        <f>IF(N1165="","",(N1165-AVERAGE(N6:N1198))/(STDEV(N6:N1198)+1E-12))</f>
        <v/>
      </c>
      <c r="P1165" s="3">
        <f>IF('3a Raw'!J1165="","",MAX(-3,MIN(3,('3a Raw'!J1165-$P3)/$P4)))</f>
        <v/>
      </c>
      <c r="Q1165" s="3">
        <f>IF(P1165="","",(P1165-AVERAGE(P6:P1198))/(STDEV(P6:P1198)+1E-12))</f>
        <v/>
      </c>
      <c r="R1165" s="3">
        <f>IF('3a Raw'!K1165="","",MAX(-3,MIN(3,('3a Raw'!K1165-$R3)/$R4)))</f>
        <v/>
      </c>
      <c r="S1165" s="3">
        <f>IF(R1165="","",(R1165-AVERAGE(R6:R1198))/(STDEV(R6:R1198)+1E-12))</f>
        <v/>
      </c>
      <c r="T1165" s="3">
        <f>IF('3a Raw'!L1165="","",MAX(-3,MIN(3,('3a Raw'!L1165-$T3)/$T4)))</f>
        <v/>
      </c>
      <c r="U1165" s="3">
        <f>IF(T1165="","",(T1165-AVERAGE(T6:T1198))/(STDEV(T6:T1198)+1E-12))</f>
        <v/>
      </c>
      <c r="X1165" s="3">
        <f>IF(U1165="","",U1165-($V$3*G1165+$W$3))</f>
        <v/>
      </c>
      <c r="Y1165" s="3">
        <f>IF(X1165="","",MAX(-3,MIN(3,(X1165-$X3)/$X4)))</f>
        <v/>
      </c>
      <c r="Z1165" s="3">
        <f>IF(Y1165="","",(Y1165-AVERAGE(Y6:Y1198))/(STDEV(Y6:Y1198)+1E-12))</f>
        <v/>
      </c>
    </row>
    <row r="1166">
      <c r="A1166" t="inlineStr">
        <is>
          <t>BBG000BWXBC2</t>
        </is>
      </c>
      <c r="B1166" s="3">
        <f>IF('3a Raw'!C1166="","",MAX(-3,MIN(3,('3a Raw'!C1166-$B3)/$B4)))</f>
        <v/>
      </c>
      <c r="C1166" s="3">
        <f>IF(B1166="","",(B1166-AVERAGE(B6:B1198))/(STDEV(B6:B1198)+1E-12))</f>
        <v/>
      </c>
      <c r="D1166" s="3">
        <f>IF('3a Raw'!D1166="","",MAX(-3,MIN(3,('3a Raw'!D1166-$D3)/$D4)))</f>
        <v/>
      </c>
      <c r="E1166" s="3">
        <f>IF(D1166="","",(D1166-AVERAGE(D6:D1198))/(STDEV(D6:D1198)+1E-12))</f>
        <v/>
      </c>
      <c r="F1166" s="3">
        <f>IF('3a Raw'!E1166="","",MAX(-3,MIN(3,('3a Raw'!E1166-$F3)/$F4)))</f>
        <v/>
      </c>
      <c r="G1166" s="3">
        <f>IF(F1166="","",(F1166-AVERAGE(F6:F1198))/(STDEV(F6:F1198)+1E-12))</f>
        <v/>
      </c>
      <c r="H1166" s="3">
        <f>IF('3a Raw'!F1166="","",MAX(-3,MIN(3,('3a Raw'!F1166-$H3)/$H4)))</f>
        <v/>
      </c>
      <c r="I1166" s="3">
        <f>IF(H1166="","",(H1166-AVERAGE(H6:H1198))/(STDEV(H6:H1198)+1E-12))</f>
        <v/>
      </c>
      <c r="J1166" s="3">
        <f>IF('3a Raw'!G1166="","",MAX(-3,MIN(3,('3a Raw'!G1166-$J3)/$J4)))</f>
        <v/>
      </c>
      <c r="K1166" s="3">
        <f>IF(J1166="","",(J1166-AVERAGE(J6:J1198))/(STDEV(J6:J1198)+1E-12))</f>
        <v/>
      </c>
      <c r="L1166" s="3">
        <f>IF('3a Raw'!H1166="","",MAX(-3,MIN(3,('3a Raw'!H1166-$L3)/$L4)))</f>
        <v/>
      </c>
      <c r="M1166" s="3">
        <f>IF(L1166="","",(L1166-AVERAGE(L6:L1198))/(STDEV(L6:L1198)+1E-12))</f>
        <v/>
      </c>
      <c r="N1166" s="3">
        <f>IF('3a Raw'!I1166="","",MAX(-3,MIN(3,('3a Raw'!I1166-$N3)/$N4)))</f>
        <v/>
      </c>
      <c r="O1166" s="3">
        <f>IF(N1166="","",(N1166-AVERAGE(N6:N1198))/(STDEV(N6:N1198)+1E-12))</f>
        <v/>
      </c>
      <c r="P1166" s="3">
        <f>IF('3a Raw'!J1166="","",MAX(-3,MIN(3,('3a Raw'!J1166-$P3)/$P4)))</f>
        <v/>
      </c>
      <c r="Q1166" s="3">
        <f>IF(P1166="","",(P1166-AVERAGE(P6:P1198))/(STDEV(P6:P1198)+1E-12))</f>
        <v/>
      </c>
      <c r="R1166" s="3">
        <f>IF('3a Raw'!K1166="","",MAX(-3,MIN(3,('3a Raw'!K1166-$R3)/$R4)))</f>
        <v/>
      </c>
      <c r="S1166" s="3">
        <f>IF(R1166="","",(R1166-AVERAGE(R6:R1198))/(STDEV(R6:R1198)+1E-12))</f>
        <v/>
      </c>
      <c r="T1166" s="3">
        <f>IF('3a Raw'!L1166="","",MAX(-3,MIN(3,('3a Raw'!L1166-$T3)/$T4)))</f>
        <v/>
      </c>
      <c r="U1166" s="3">
        <f>IF(T1166="","",(T1166-AVERAGE(T6:T1198))/(STDEV(T6:T1198)+1E-12))</f>
        <v/>
      </c>
      <c r="X1166" s="3">
        <f>IF(U1166="","",U1166-($V$3*G1166+$W$3))</f>
        <v/>
      </c>
      <c r="Y1166" s="3">
        <f>IF(X1166="","",MAX(-3,MIN(3,(X1166-$X3)/$X4)))</f>
        <v/>
      </c>
      <c r="Z1166" s="3">
        <f>IF(Y1166="","",(Y1166-AVERAGE(Y6:Y1198))/(STDEV(Y6:Y1198)+1E-12))</f>
        <v/>
      </c>
    </row>
    <row r="1167">
      <c r="A1167" t="inlineStr">
        <is>
          <t>BBG01XLDHDP0</t>
        </is>
      </c>
      <c r="B1167" s="3">
        <f>IF('3a Raw'!C1167="","",MAX(-3,MIN(3,('3a Raw'!C1167-$B3)/$B4)))</f>
        <v/>
      </c>
      <c r="C1167" s="3">
        <f>IF(B1167="","",(B1167-AVERAGE(B6:B1198))/(STDEV(B6:B1198)+1E-12))</f>
        <v/>
      </c>
      <c r="D1167" s="3">
        <f>IF('3a Raw'!D1167="","",MAX(-3,MIN(3,('3a Raw'!D1167-$D3)/$D4)))</f>
        <v/>
      </c>
      <c r="E1167" s="3">
        <f>IF(D1167="","",(D1167-AVERAGE(D6:D1198))/(STDEV(D6:D1198)+1E-12))</f>
        <v/>
      </c>
      <c r="F1167" s="3">
        <f>IF('3a Raw'!E1167="","",MAX(-3,MIN(3,('3a Raw'!E1167-$F3)/$F4)))</f>
        <v/>
      </c>
      <c r="G1167" s="3">
        <f>IF(F1167="","",(F1167-AVERAGE(F6:F1198))/(STDEV(F6:F1198)+1E-12))</f>
        <v/>
      </c>
      <c r="H1167" s="3">
        <f>IF('3a Raw'!F1167="","",MAX(-3,MIN(3,('3a Raw'!F1167-$H3)/$H4)))</f>
        <v/>
      </c>
      <c r="I1167" s="3">
        <f>IF(H1167="","",(H1167-AVERAGE(H6:H1198))/(STDEV(H6:H1198)+1E-12))</f>
        <v/>
      </c>
      <c r="J1167" s="3">
        <f>IF('3a Raw'!G1167="","",MAX(-3,MIN(3,('3a Raw'!G1167-$J3)/$J4)))</f>
        <v/>
      </c>
      <c r="K1167" s="3">
        <f>IF(J1167="","",(J1167-AVERAGE(J6:J1198))/(STDEV(J6:J1198)+1E-12))</f>
        <v/>
      </c>
      <c r="L1167" s="3">
        <f>IF('3a Raw'!H1167="","",MAX(-3,MIN(3,('3a Raw'!H1167-$L3)/$L4)))</f>
        <v/>
      </c>
      <c r="M1167" s="3">
        <f>IF(L1167="","",(L1167-AVERAGE(L6:L1198))/(STDEV(L6:L1198)+1E-12))</f>
        <v/>
      </c>
      <c r="N1167" s="3">
        <f>IF('3a Raw'!I1167="","",MAX(-3,MIN(3,('3a Raw'!I1167-$N3)/$N4)))</f>
        <v/>
      </c>
      <c r="O1167" s="3">
        <f>IF(N1167="","",(N1167-AVERAGE(N6:N1198))/(STDEV(N6:N1198)+1E-12))</f>
        <v/>
      </c>
      <c r="P1167" s="3">
        <f>IF('3a Raw'!J1167="","",MAX(-3,MIN(3,('3a Raw'!J1167-$P3)/$P4)))</f>
        <v/>
      </c>
      <c r="Q1167" s="3">
        <f>IF(P1167="","",(P1167-AVERAGE(P6:P1198))/(STDEV(P6:P1198)+1E-12))</f>
        <v/>
      </c>
      <c r="R1167" s="3">
        <f>IF('3a Raw'!K1167="","",MAX(-3,MIN(3,('3a Raw'!K1167-$R3)/$R4)))</f>
        <v/>
      </c>
      <c r="S1167" s="3">
        <f>IF(R1167="","",(R1167-AVERAGE(R6:R1198))/(STDEV(R6:R1198)+1E-12))</f>
        <v/>
      </c>
      <c r="T1167" s="3">
        <f>IF('3a Raw'!L1167="","",MAX(-3,MIN(3,('3a Raw'!L1167-$T3)/$T4)))</f>
        <v/>
      </c>
      <c r="U1167" s="3">
        <f>IF(T1167="","",(T1167-AVERAGE(T6:T1198))/(STDEV(T6:T1198)+1E-12))</f>
        <v/>
      </c>
      <c r="X1167" s="3">
        <f>IF(U1167="","",U1167-($V$3*G1167+$W$3))</f>
        <v/>
      </c>
      <c r="Y1167" s="3">
        <f>IF(X1167="","",MAX(-3,MIN(3,(X1167-$X3)/$X4)))</f>
        <v/>
      </c>
      <c r="Z1167" s="3">
        <f>IF(Y1167="","",(Y1167-AVERAGE(Y6:Y1198))/(STDEV(Y6:Y1198)+1E-12))</f>
        <v/>
      </c>
    </row>
    <row r="1168">
      <c r="A1168" t="inlineStr">
        <is>
          <t>wrb</t>
        </is>
      </c>
      <c r="B1168" s="3">
        <f>IF('3a Raw'!C1168="","",MAX(-3,MIN(3,('3a Raw'!C1168-$B3)/$B4)))</f>
        <v/>
      </c>
      <c r="C1168" s="3">
        <f>IF(B1168="","",(B1168-AVERAGE(B6:B1198))/(STDEV(B6:B1198)+1E-12))</f>
        <v/>
      </c>
      <c r="D1168" s="3">
        <f>IF('3a Raw'!D1168="","",MAX(-3,MIN(3,('3a Raw'!D1168-$D3)/$D4)))</f>
        <v/>
      </c>
      <c r="E1168" s="3">
        <f>IF(D1168="","",(D1168-AVERAGE(D6:D1198))/(STDEV(D6:D1198)+1E-12))</f>
        <v/>
      </c>
      <c r="F1168" s="3">
        <f>IF('3a Raw'!E1168="","",MAX(-3,MIN(3,('3a Raw'!E1168-$F3)/$F4)))</f>
        <v/>
      </c>
      <c r="G1168" s="3">
        <f>IF(F1168="","",(F1168-AVERAGE(F6:F1198))/(STDEV(F6:F1198)+1E-12))</f>
        <v/>
      </c>
      <c r="H1168" s="3">
        <f>IF('3a Raw'!F1168="","",MAX(-3,MIN(3,('3a Raw'!F1168-$H3)/$H4)))</f>
        <v/>
      </c>
      <c r="I1168" s="3">
        <f>IF(H1168="","",(H1168-AVERAGE(H6:H1198))/(STDEV(H6:H1198)+1E-12))</f>
        <v/>
      </c>
      <c r="J1168" s="3">
        <f>IF('3a Raw'!G1168="","",MAX(-3,MIN(3,('3a Raw'!G1168-$J3)/$J4)))</f>
        <v/>
      </c>
      <c r="K1168" s="3">
        <f>IF(J1168="","",(J1168-AVERAGE(J6:J1198))/(STDEV(J6:J1198)+1E-12))</f>
        <v/>
      </c>
      <c r="L1168" s="3">
        <f>IF('3a Raw'!H1168="","",MAX(-3,MIN(3,('3a Raw'!H1168-$L3)/$L4)))</f>
        <v/>
      </c>
      <c r="M1168" s="3">
        <f>IF(L1168="","",(L1168-AVERAGE(L6:L1198))/(STDEV(L6:L1198)+1E-12))</f>
        <v/>
      </c>
      <c r="N1168" s="3">
        <f>IF('3a Raw'!I1168="","",MAX(-3,MIN(3,('3a Raw'!I1168-$N3)/$N4)))</f>
        <v/>
      </c>
      <c r="O1168" s="3">
        <f>IF(N1168="","",(N1168-AVERAGE(N6:N1198))/(STDEV(N6:N1198)+1E-12))</f>
        <v/>
      </c>
      <c r="P1168" s="3">
        <f>IF('3a Raw'!J1168="","",MAX(-3,MIN(3,('3a Raw'!J1168-$P3)/$P4)))</f>
        <v/>
      </c>
      <c r="Q1168" s="3">
        <f>IF(P1168="","",(P1168-AVERAGE(P6:P1198))/(STDEV(P6:P1198)+1E-12))</f>
        <v/>
      </c>
      <c r="R1168" s="3">
        <f>IF('3a Raw'!K1168="","",MAX(-3,MIN(3,('3a Raw'!K1168-$R3)/$R4)))</f>
        <v/>
      </c>
      <c r="S1168" s="3">
        <f>IF(R1168="","",(R1168-AVERAGE(R6:R1198))/(STDEV(R6:R1198)+1E-12))</f>
        <v/>
      </c>
      <c r="T1168" s="3">
        <f>IF('3a Raw'!L1168="","",MAX(-3,MIN(3,('3a Raw'!L1168-$T3)/$T4)))</f>
        <v/>
      </c>
      <c r="U1168" s="3">
        <f>IF(T1168="","",(T1168-AVERAGE(T6:T1198))/(STDEV(T6:T1198)+1E-12))</f>
        <v/>
      </c>
      <c r="X1168" s="3">
        <f>IF(U1168="","",U1168-($V$3*G1168+$W$3))</f>
        <v/>
      </c>
      <c r="Y1168" s="3">
        <f>IF(X1168="","",MAX(-3,MIN(3,(X1168-$X3)/$X4)))</f>
        <v/>
      </c>
      <c r="Z1168" s="3">
        <f>IF(Y1168="","",(Y1168-AVERAGE(Y6:Y1198))/(STDEV(Y6:Y1198)+1E-12))</f>
        <v/>
      </c>
    </row>
    <row r="1169">
      <c r="A1169" t="inlineStr">
        <is>
          <t>BBG005DWN8K8</t>
        </is>
      </c>
      <c r="B1169" s="3">
        <f>IF('3a Raw'!C1169="","",MAX(-3,MIN(3,('3a Raw'!C1169-$B3)/$B4)))</f>
        <v/>
      </c>
      <c r="C1169" s="3">
        <f>IF(B1169="","",(B1169-AVERAGE(B6:B1198))/(STDEV(B6:B1198)+1E-12))</f>
        <v/>
      </c>
      <c r="D1169" s="3">
        <f>IF('3a Raw'!D1169="","",MAX(-3,MIN(3,('3a Raw'!D1169-$D3)/$D4)))</f>
        <v/>
      </c>
      <c r="E1169" s="3">
        <f>IF(D1169="","",(D1169-AVERAGE(D6:D1198))/(STDEV(D6:D1198)+1E-12))</f>
        <v/>
      </c>
      <c r="F1169" s="3">
        <f>IF('3a Raw'!E1169="","",MAX(-3,MIN(3,('3a Raw'!E1169-$F3)/$F4)))</f>
        <v/>
      </c>
      <c r="G1169" s="3">
        <f>IF(F1169="","",(F1169-AVERAGE(F6:F1198))/(STDEV(F6:F1198)+1E-12))</f>
        <v/>
      </c>
      <c r="H1169" s="3">
        <f>IF('3a Raw'!F1169="","",MAX(-3,MIN(3,('3a Raw'!F1169-$H3)/$H4)))</f>
        <v/>
      </c>
      <c r="I1169" s="3">
        <f>IF(H1169="","",(H1169-AVERAGE(H6:H1198))/(STDEV(H6:H1198)+1E-12))</f>
        <v/>
      </c>
      <c r="J1169" s="3">
        <f>IF('3a Raw'!G1169="","",MAX(-3,MIN(3,('3a Raw'!G1169-$J3)/$J4)))</f>
        <v/>
      </c>
      <c r="K1169" s="3">
        <f>IF(J1169="","",(J1169-AVERAGE(J6:J1198))/(STDEV(J6:J1198)+1E-12))</f>
        <v/>
      </c>
      <c r="L1169" s="3">
        <f>IF('3a Raw'!H1169="","",MAX(-3,MIN(3,('3a Raw'!H1169-$L3)/$L4)))</f>
        <v/>
      </c>
      <c r="M1169" s="3">
        <f>IF(L1169="","",(L1169-AVERAGE(L6:L1198))/(STDEV(L6:L1198)+1E-12))</f>
        <v/>
      </c>
      <c r="N1169" s="3">
        <f>IF('3a Raw'!I1169="","",MAX(-3,MIN(3,('3a Raw'!I1169-$N3)/$N4)))</f>
        <v/>
      </c>
      <c r="O1169" s="3">
        <f>IF(N1169="","",(N1169-AVERAGE(N6:N1198))/(STDEV(N6:N1198)+1E-12))</f>
        <v/>
      </c>
      <c r="P1169" s="3">
        <f>IF('3a Raw'!J1169="","",MAX(-3,MIN(3,('3a Raw'!J1169-$P3)/$P4)))</f>
        <v/>
      </c>
      <c r="Q1169" s="3">
        <f>IF(P1169="","",(P1169-AVERAGE(P6:P1198))/(STDEV(P6:P1198)+1E-12))</f>
        <v/>
      </c>
      <c r="R1169" s="3">
        <f>IF('3a Raw'!K1169="","",MAX(-3,MIN(3,('3a Raw'!K1169-$R3)/$R4)))</f>
        <v/>
      </c>
      <c r="S1169" s="3">
        <f>IF(R1169="","",(R1169-AVERAGE(R6:R1198))/(STDEV(R6:R1198)+1E-12))</f>
        <v/>
      </c>
      <c r="T1169" s="3">
        <f>IF('3a Raw'!L1169="","",MAX(-3,MIN(3,('3a Raw'!L1169-$T3)/$T4)))</f>
        <v/>
      </c>
      <c r="U1169" s="3">
        <f>IF(T1169="","",(T1169-AVERAGE(T6:T1198))/(STDEV(T6:T1198)+1E-12))</f>
        <v/>
      </c>
      <c r="X1169" s="3">
        <f>IF(U1169="","",U1169-($V$3*G1169+$W$3))</f>
        <v/>
      </c>
      <c r="Y1169" s="3">
        <f>IF(X1169="","",MAX(-3,MIN(3,(X1169-$X3)/$X4)))</f>
        <v/>
      </c>
      <c r="Z1169" s="3">
        <f>IF(Y1169="","",(Y1169-AVERAGE(Y6:Y1198))/(STDEV(Y6:Y1198)+1E-12))</f>
        <v/>
      </c>
    </row>
    <row r="1170">
      <c r="A1170" t="inlineStr">
        <is>
          <t>BBG00B0FS947</t>
        </is>
      </c>
      <c r="B1170" s="3">
        <f>IF('3a Raw'!C1170="","",MAX(-3,MIN(3,('3a Raw'!C1170-$B3)/$B4)))</f>
        <v/>
      </c>
      <c r="C1170" s="3">
        <f>IF(B1170="","",(B1170-AVERAGE(B6:B1198))/(STDEV(B6:B1198)+1E-12))</f>
        <v/>
      </c>
      <c r="D1170" s="3">
        <f>IF('3a Raw'!D1170="","",MAX(-3,MIN(3,('3a Raw'!D1170-$D3)/$D4)))</f>
        <v/>
      </c>
      <c r="E1170" s="3">
        <f>IF(D1170="","",(D1170-AVERAGE(D6:D1198))/(STDEV(D6:D1198)+1E-12))</f>
        <v/>
      </c>
      <c r="F1170" s="3">
        <f>IF('3a Raw'!E1170="","",MAX(-3,MIN(3,('3a Raw'!E1170-$F3)/$F4)))</f>
        <v/>
      </c>
      <c r="G1170" s="3">
        <f>IF(F1170="","",(F1170-AVERAGE(F6:F1198))/(STDEV(F6:F1198)+1E-12))</f>
        <v/>
      </c>
      <c r="H1170" s="3">
        <f>IF('3a Raw'!F1170="","",MAX(-3,MIN(3,('3a Raw'!F1170-$H3)/$H4)))</f>
        <v/>
      </c>
      <c r="I1170" s="3">
        <f>IF(H1170="","",(H1170-AVERAGE(H6:H1198))/(STDEV(H6:H1198)+1E-12))</f>
        <v/>
      </c>
      <c r="J1170" s="3">
        <f>IF('3a Raw'!G1170="","",MAX(-3,MIN(3,('3a Raw'!G1170-$J3)/$J4)))</f>
        <v/>
      </c>
      <c r="K1170" s="3">
        <f>IF(J1170="","",(J1170-AVERAGE(J6:J1198))/(STDEV(J6:J1198)+1E-12))</f>
        <v/>
      </c>
      <c r="L1170" s="3">
        <f>IF('3a Raw'!H1170="","",MAX(-3,MIN(3,('3a Raw'!H1170-$L3)/$L4)))</f>
        <v/>
      </c>
      <c r="M1170" s="3">
        <f>IF(L1170="","",(L1170-AVERAGE(L6:L1198))/(STDEV(L6:L1198)+1E-12))</f>
        <v/>
      </c>
      <c r="N1170" s="3">
        <f>IF('3a Raw'!I1170="","",MAX(-3,MIN(3,('3a Raw'!I1170-$N3)/$N4)))</f>
        <v/>
      </c>
      <c r="O1170" s="3">
        <f>IF(N1170="","",(N1170-AVERAGE(N6:N1198))/(STDEV(N6:N1198)+1E-12))</f>
        <v/>
      </c>
      <c r="P1170" s="3">
        <f>IF('3a Raw'!J1170="","",MAX(-3,MIN(3,('3a Raw'!J1170-$P3)/$P4)))</f>
        <v/>
      </c>
      <c r="Q1170" s="3">
        <f>IF(P1170="","",(P1170-AVERAGE(P6:P1198))/(STDEV(P6:P1198)+1E-12))</f>
        <v/>
      </c>
      <c r="R1170" s="3">
        <f>IF('3a Raw'!K1170="","",MAX(-3,MIN(3,('3a Raw'!K1170-$R3)/$R4)))</f>
        <v/>
      </c>
      <c r="S1170" s="3">
        <f>IF(R1170="","",(R1170-AVERAGE(R6:R1198))/(STDEV(R6:R1198)+1E-12))</f>
        <v/>
      </c>
      <c r="T1170" s="3">
        <f>IF('3a Raw'!L1170="","",MAX(-3,MIN(3,('3a Raw'!L1170-$T3)/$T4)))</f>
        <v/>
      </c>
      <c r="U1170" s="3">
        <f>IF(T1170="","",(T1170-AVERAGE(T6:T1198))/(STDEV(T6:T1198)+1E-12))</f>
        <v/>
      </c>
      <c r="X1170" s="3">
        <f>IF(U1170="","",U1170-($V$3*G1170+$W$3))</f>
        <v/>
      </c>
      <c r="Y1170" s="3">
        <f>IF(X1170="","",MAX(-3,MIN(3,(X1170-$X3)/$X4)))</f>
        <v/>
      </c>
      <c r="Z1170" s="3">
        <f>IF(Y1170="","",(Y1170-AVERAGE(Y6:Y1198))/(STDEV(Y6:Y1198)+1E-12))</f>
        <v/>
      </c>
    </row>
    <row r="1171">
      <c r="A1171" t="inlineStr">
        <is>
          <t>wsm</t>
        </is>
      </c>
      <c r="B1171" s="3">
        <f>IF('3a Raw'!C1171="","",MAX(-3,MIN(3,('3a Raw'!C1171-$B3)/$B4)))</f>
        <v/>
      </c>
      <c r="C1171" s="3">
        <f>IF(B1171="","",(B1171-AVERAGE(B6:B1198))/(STDEV(B6:B1198)+1E-12))</f>
        <v/>
      </c>
      <c r="D1171" s="3">
        <f>IF('3a Raw'!D1171="","",MAX(-3,MIN(3,('3a Raw'!D1171-$D3)/$D4)))</f>
        <v/>
      </c>
      <c r="E1171" s="3">
        <f>IF(D1171="","",(D1171-AVERAGE(D6:D1198))/(STDEV(D6:D1198)+1E-12))</f>
        <v/>
      </c>
      <c r="F1171" s="3">
        <f>IF('3a Raw'!E1171="","",MAX(-3,MIN(3,('3a Raw'!E1171-$F3)/$F4)))</f>
        <v/>
      </c>
      <c r="G1171" s="3">
        <f>IF(F1171="","",(F1171-AVERAGE(F6:F1198))/(STDEV(F6:F1198)+1E-12))</f>
        <v/>
      </c>
      <c r="H1171" s="3">
        <f>IF('3a Raw'!F1171="","",MAX(-3,MIN(3,('3a Raw'!F1171-$H3)/$H4)))</f>
        <v/>
      </c>
      <c r="I1171" s="3">
        <f>IF(H1171="","",(H1171-AVERAGE(H6:H1198))/(STDEV(H6:H1198)+1E-12))</f>
        <v/>
      </c>
      <c r="J1171" s="3">
        <f>IF('3a Raw'!G1171="","",MAX(-3,MIN(3,('3a Raw'!G1171-$J3)/$J4)))</f>
        <v/>
      </c>
      <c r="K1171" s="3">
        <f>IF(J1171="","",(J1171-AVERAGE(J6:J1198))/(STDEV(J6:J1198)+1E-12))</f>
        <v/>
      </c>
      <c r="L1171" s="3">
        <f>IF('3a Raw'!H1171="","",MAX(-3,MIN(3,('3a Raw'!H1171-$L3)/$L4)))</f>
        <v/>
      </c>
      <c r="M1171" s="3">
        <f>IF(L1171="","",(L1171-AVERAGE(L6:L1198))/(STDEV(L6:L1198)+1E-12))</f>
        <v/>
      </c>
      <c r="N1171" s="3">
        <f>IF('3a Raw'!I1171="","",MAX(-3,MIN(3,('3a Raw'!I1171-$N3)/$N4)))</f>
        <v/>
      </c>
      <c r="O1171" s="3">
        <f>IF(N1171="","",(N1171-AVERAGE(N6:N1198))/(STDEV(N6:N1198)+1E-12))</f>
        <v/>
      </c>
      <c r="P1171" s="3">
        <f>IF('3a Raw'!J1171="","",MAX(-3,MIN(3,('3a Raw'!J1171-$P3)/$P4)))</f>
        <v/>
      </c>
      <c r="Q1171" s="3">
        <f>IF(P1171="","",(P1171-AVERAGE(P6:P1198))/(STDEV(P6:P1198)+1E-12))</f>
        <v/>
      </c>
      <c r="R1171" s="3">
        <f>IF('3a Raw'!K1171="","",MAX(-3,MIN(3,('3a Raw'!K1171-$R3)/$R4)))</f>
        <v/>
      </c>
      <c r="S1171" s="3">
        <f>IF(R1171="","",(R1171-AVERAGE(R6:R1198))/(STDEV(R6:R1198)+1E-12))</f>
        <v/>
      </c>
      <c r="T1171" s="3">
        <f>IF('3a Raw'!L1171="","",MAX(-3,MIN(3,('3a Raw'!L1171-$T3)/$T4)))</f>
        <v/>
      </c>
      <c r="U1171" s="3">
        <f>IF(T1171="","",(T1171-AVERAGE(T6:T1198))/(STDEV(T6:T1198)+1E-12))</f>
        <v/>
      </c>
      <c r="X1171" s="3">
        <f>IF(U1171="","",U1171-($V$3*G1171+$W$3))</f>
        <v/>
      </c>
      <c r="Y1171" s="3">
        <f>IF(X1171="","",MAX(-3,MIN(3,(X1171-$X3)/$X4)))</f>
        <v/>
      </c>
      <c r="Z1171" s="3">
        <f>IF(Y1171="","",(Y1171-AVERAGE(Y6:Y1198))/(STDEV(Y6:Y1198)+1E-12))</f>
        <v/>
      </c>
    </row>
    <row r="1172">
      <c r="A1172" t="inlineStr">
        <is>
          <t>wst</t>
        </is>
      </c>
      <c r="B1172" s="3">
        <f>IF('3a Raw'!C1172="","",MAX(-3,MIN(3,('3a Raw'!C1172-$B3)/$B4)))</f>
        <v/>
      </c>
      <c r="C1172" s="3">
        <f>IF(B1172="","",(B1172-AVERAGE(B6:B1198))/(STDEV(B6:B1198)+1E-12))</f>
        <v/>
      </c>
      <c r="D1172" s="3">
        <f>IF('3a Raw'!D1172="","",MAX(-3,MIN(3,('3a Raw'!D1172-$D3)/$D4)))</f>
        <v/>
      </c>
      <c r="E1172" s="3">
        <f>IF(D1172="","",(D1172-AVERAGE(D6:D1198))/(STDEV(D6:D1198)+1E-12))</f>
        <v/>
      </c>
      <c r="F1172" s="3">
        <f>IF('3a Raw'!E1172="","",MAX(-3,MIN(3,('3a Raw'!E1172-$F3)/$F4)))</f>
        <v/>
      </c>
      <c r="G1172" s="3">
        <f>IF(F1172="","",(F1172-AVERAGE(F6:F1198))/(STDEV(F6:F1198)+1E-12))</f>
        <v/>
      </c>
      <c r="H1172" s="3">
        <f>IF('3a Raw'!F1172="","",MAX(-3,MIN(3,('3a Raw'!F1172-$H3)/$H4)))</f>
        <v/>
      </c>
      <c r="I1172" s="3">
        <f>IF(H1172="","",(H1172-AVERAGE(H6:H1198))/(STDEV(H6:H1198)+1E-12))</f>
        <v/>
      </c>
      <c r="J1172" s="3">
        <f>IF('3a Raw'!G1172="","",MAX(-3,MIN(3,('3a Raw'!G1172-$J3)/$J4)))</f>
        <v/>
      </c>
      <c r="K1172" s="3">
        <f>IF(J1172="","",(J1172-AVERAGE(J6:J1198))/(STDEV(J6:J1198)+1E-12))</f>
        <v/>
      </c>
      <c r="L1172" s="3">
        <f>IF('3a Raw'!H1172="","",MAX(-3,MIN(3,('3a Raw'!H1172-$L3)/$L4)))</f>
        <v/>
      </c>
      <c r="M1172" s="3">
        <f>IF(L1172="","",(L1172-AVERAGE(L6:L1198))/(STDEV(L6:L1198)+1E-12))</f>
        <v/>
      </c>
      <c r="N1172" s="3">
        <f>IF('3a Raw'!I1172="","",MAX(-3,MIN(3,('3a Raw'!I1172-$N3)/$N4)))</f>
        <v/>
      </c>
      <c r="O1172" s="3">
        <f>IF(N1172="","",(N1172-AVERAGE(N6:N1198))/(STDEV(N6:N1198)+1E-12))</f>
        <v/>
      </c>
      <c r="P1172" s="3">
        <f>IF('3a Raw'!J1172="","",MAX(-3,MIN(3,('3a Raw'!J1172-$P3)/$P4)))</f>
        <v/>
      </c>
      <c r="Q1172" s="3">
        <f>IF(P1172="","",(P1172-AVERAGE(P6:P1198))/(STDEV(P6:P1198)+1E-12))</f>
        <v/>
      </c>
      <c r="R1172" s="3">
        <f>IF('3a Raw'!K1172="","",MAX(-3,MIN(3,('3a Raw'!K1172-$R3)/$R4)))</f>
        <v/>
      </c>
      <c r="S1172" s="3">
        <f>IF(R1172="","",(R1172-AVERAGE(R6:R1198))/(STDEV(R6:R1198)+1E-12))</f>
        <v/>
      </c>
      <c r="T1172" s="3">
        <f>IF('3a Raw'!L1172="","",MAX(-3,MIN(3,('3a Raw'!L1172-$T3)/$T4)))</f>
        <v/>
      </c>
      <c r="U1172" s="3">
        <f>IF(T1172="","",(T1172-AVERAGE(T6:T1198))/(STDEV(T6:T1198)+1E-12))</f>
        <v/>
      </c>
      <c r="X1172" s="3">
        <f>IF(U1172="","",U1172-($V$3*G1172+$W$3))</f>
        <v/>
      </c>
      <c r="Y1172" s="3">
        <f>IF(X1172="","",MAX(-3,MIN(3,(X1172-$X3)/$X4)))</f>
        <v/>
      </c>
      <c r="Z1172" s="3">
        <f>IF(Y1172="","",(Y1172-AVERAGE(Y6:Y1198))/(STDEV(Y6:Y1198)+1E-12))</f>
        <v/>
      </c>
    </row>
    <row r="1173">
      <c r="A1173" t="inlineStr">
        <is>
          <t>BBG000HD3DW5</t>
        </is>
      </c>
      <c r="B1173" s="3">
        <f>IF('3a Raw'!C1173="","",MAX(-3,MIN(3,('3a Raw'!C1173-$B3)/$B4)))</f>
        <v/>
      </c>
      <c r="C1173" s="3">
        <f>IF(B1173="","",(B1173-AVERAGE(B6:B1198))/(STDEV(B6:B1198)+1E-12))</f>
        <v/>
      </c>
      <c r="D1173" s="3">
        <f>IF('3a Raw'!D1173="","",MAX(-3,MIN(3,('3a Raw'!D1173-$D3)/$D4)))</f>
        <v/>
      </c>
      <c r="E1173" s="3">
        <f>IF(D1173="","",(D1173-AVERAGE(D6:D1198))/(STDEV(D6:D1198)+1E-12))</f>
        <v/>
      </c>
      <c r="F1173" s="3">
        <f>IF('3a Raw'!E1173="","",MAX(-3,MIN(3,('3a Raw'!E1173-$F3)/$F4)))</f>
        <v/>
      </c>
      <c r="G1173" s="3">
        <f>IF(F1173="","",(F1173-AVERAGE(F6:F1198))/(STDEV(F6:F1198)+1E-12))</f>
        <v/>
      </c>
      <c r="H1173" s="3">
        <f>IF('3a Raw'!F1173="","",MAX(-3,MIN(3,('3a Raw'!F1173-$H3)/$H4)))</f>
        <v/>
      </c>
      <c r="I1173" s="3">
        <f>IF(H1173="","",(H1173-AVERAGE(H6:H1198))/(STDEV(H6:H1198)+1E-12))</f>
        <v/>
      </c>
      <c r="J1173" s="3">
        <f>IF('3a Raw'!G1173="","",MAX(-3,MIN(3,('3a Raw'!G1173-$J3)/$J4)))</f>
        <v/>
      </c>
      <c r="K1173" s="3">
        <f>IF(J1173="","",(J1173-AVERAGE(J6:J1198))/(STDEV(J6:J1198)+1E-12))</f>
        <v/>
      </c>
      <c r="L1173" s="3">
        <f>IF('3a Raw'!H1173="","",MAX(-3,MIN(3,('3a Raw'!H1173-$L3)/$L4)))</f>
        <v/>
      </c>
      <c r="M1173" s="3">
        <f>IF(L1173="","",(L1173-AVERAGE(L6:L1198))/(STDEV(L6:L1198)+1E-12))</f>
        <v/>
      </c>
      <c r="N1173" s="3">
        <f>IF('3a Raw'!I1173="","",MAX(-3,MIN(3,('3a Raw'!I1173-$N3)/$N4)))</f>
        <v/>
      </c>
      <c r="O1173" s="3">
        <f>IF(N1173="","",(N1173-AVERAGE(N6:N1198))/(STDEV(N6:N1198)+1E-12))</f>
        <v/>
      </c>
      <c r="P1173" s="3">
        <f>IF('3a Raw'!J1173="","",MAX(-3,MIN(3,('3a Raw'!J1173-$P3)/$P4)))</f>
        <v/>
      </c>
      <c r="Q1173" s="3">
        <f>IF(P1173="","",(P1173-AVERAGE(P6:P1198))/(STDEV(P6:P1198)+1E-12))</f>
        <v/>
      </c>
      <c r="R1173" s="3">
        <f>IF('3a Raw'!K1173="","",MAX(-3,MIN(3,('3a Raw'!K1173-$R3)/$R4)))</f>
        <v/>
      </c>
      <c r="S1173" s="3">
        <f>IF(R1173="","",(R1173-AVERAGE(R6:R1198))/(STDEV(R6:R1198)+1E-12))</f>
        <v/>
      </c>
      <c r="T1173" s="3">
        <f>IF('3a Raw'!L1173="","",MAX(-3,MIN(3,('3a Raw'!L1173-$T3)/$T4)))</f>
        <v/>
      </c>
      <c r="U1173" s="3">
        <f>IF(T1173="","",(T1173-AVERAGE(T6:T1198))/(STDEV(T6:T1198)+1E-12))</f>
        <v/>
      </c>
      <c r="X1173" s="3">
        <f>IF(U1173="","",U1173-($V$3*G1173+$W$3))</f>
        <v/>
      </c>
      <c r="Y1173" s="3">
        <f>IF(X1173="","",MAX(-3,MIN(3,(X1173-$X3)/$X4)))</f>
        <v/>
      </c>
      <c r="Z1173" s="3">
        <f>IF(Y1173="","",(Y1173-AVERAGE(Y6:Y1198))/(STDEV(Y6:Y1198)+1E-12))</f>
        <v/>
      </c>
    </row>
    <row r="1174">
      <c r="A1174" t="inlineStr">
        <is>
          <t>wtw</t>
        </is>
      </c>
      <c r="B1174" s="3">
        <f>IF('3a Raw'!C1174="","",MAX(-3,MIN(3,('3a Raw'!C1174-$B3)/$B4)))</f>
        <v/>
      </c>
      <c r="C1174" s="3">
        <f>IF(B1174="","",(B1174-AVERAGE(B6:B1198))/(STDEV(B6:B1198)+1E-12))</f>
        <v/>
      </c>
      <c r="D1174" s="3">
        <f>IF('3a Raw'!D1174="","",MAX(-3,MIN(3,('3a Raw'!D1174-$D3)/$D4)))</f>
        <v/>
      </c>
      <c r="E1174" s="3">
        <f>IF(D1174="","",(D1174-AVERAGE(D6:D1198))/(STDEV(D6:D1198)+1E-12))</f>
        <v/>
      </c>
      <c r="F1174" s="3">
        <f>IF('3a Raw'!E1174="","",MAX(-3,MIN(3,('3a Raw'!E1174-$F3)/$F4)))</f>
        <v/>
      </c>
      <c r="G1174" s="3">
        <f>IF(F1174="","",(F1174-AVERAGE(F6:F1198))/(STDEV(F6:F1198)+1E-12))</f>
        <v/>
      </c>
      <c r="H1174" s="3">
        <f>IF('3a Raw'!F1174="","",MAX(-3,MIN(3,('3a Raw'!F1174-$H3)/$H4)))</f>
        <v/>
      </c>
      <c r="I1174" s="3">
        <f>IF(H1174="","",(H1174-AVERAGE(H6:H1198))/(STDEV(H6:H1198)+1E-12))</f>
        <v/>
      </c>
      <c r="J1174" s="3">
        <f>IF('3a Raw'!G1174="","",MAX(-3,MIN(3,('3a Raw'!G1174-$J3)/$J4)))</f>
        <v/>
      </c>
      <c r="K1174" s="3">
        <f>IF(J1174="","",(J1174-AVERAGE(J6:J1198))/(STDEV(J6:J1198)+1E-12))</f>
        <v/>
      </c>
      <c r="L1174" s="3">
        <f>IF('3a Raw'!H1174="","",MAX(-3,MIN(3,('3a Raw'!H1174-$L3)/$L4)))</f>
        <v/>
      </c>
      <c r="M1174" s="3">
        <f>IF(L1174="","",(L1174-AVERAGE(L6:L1198))/(STDEV(L6:L1198)+1E-12))</f>
        <v/>
      </c>
      <c r="N1174" s="3">
        <f>IF('3a Raw'!I1174="","",MAX(-3,MIN(3,('3a Raw'!I1174-$N3)/$N4)))</f>
        <v/>
      </c>
      <c r="O1174" s="3">
        <f>IF(N1174="","",(N1174-AVERAGE(N6:N1198))/(STDEV(N6:N1198)+1E-12))</f>
        <v/>
      </c>
      <c r="P1174" s="3">
        <f>IF('3a Raw'!J1174="","",MAX(-3,MIN(3,('3a Raw'!J1174-$P3)/$P4)))</f>
        <v/>
      </c>
      <c r="Q1174" s="3">
        <f>IF(P1174="","",(P1174-AVERAGE(P6:P1198))/(STDEV(P6:P1198)+1E-12))</f>
        <v/>
      </c>
      <c r="R1174" s="3">
        <f>IF('3a Raw'!K1174="","",MAX(-3,MIN(3,('3a Raw'!K1174-$R3)/$R4)))</f>
        <v/>
      </c>
      <c r="S1174" s="3">
        <f>IF(R1174="","",(R1174-AVERAGE(R6:R1198))/(STDEV(R6:R1198)+1E-12))</f>
        <v/>
      </c>
      <c r="T1174" s="3">
        <f>IF('3a Raw'!L1174="","",MAX(-3,MIN(3,('3a Raw'!L1174-$T3)/$T4)))</f>
        <v/>
      </c>
      <c r="U1174" s="3">
        <f>IF(T1174="","",(T1174-AVERAGE(T6:T1198))/(STDEV(T6:T1198)+1E-12))</f>
        <v/>
      </c>
      <c r="X1174" s="3">
        <f>IF(U1174="","",U1174-($V$3*G1174+$W$3))</f>
        <v/>
      </c>
      <c r="Y1174" s="3">
        <f>IF(X1174="","",MAX(-3,MIN(3,(X1174-$X3)/$X4)))</f>
        <v/>
      </c>
      <c r="Z1174" s="3">
        <f>IF(Y1174="","",(Y1174-AVERAGE(Y6:Y1198))/(STDEV(Y6:Y1198)+1E-12))</f>
        <v/>
      </c>
    </row>
    <row r="1175">
      <c r="A1175" t="inlineStr">
        <is>
          <t>BBG0122MC900</t>
        </is>
      </c>
      <c r="B1175" s="3">
        <f>IF('3a Raw'!C1175="","",MAX(-3,MIN(3,('3a Raw'!C1175-$B3)/$B4)))</f>
        <v/>
      </c>
      <c r="C1175" s="3">
        <f>IF(B1175="","",(B1175-AVERAGE(B6:B1198))/(STDEV(B6:B1198)+1E-12))</f>
        <v/>
      </c>
      <c r="D1175" s="3">
        <f>IF('3a Raw'!D1175="","",MAX(-3,MIN(3,('3a Raw'!D1175-$D3)/$D4)))</f>
        <v/>
      </c>
      <c r="E1175" s="3">
        <f>IF(D1175="","",(D1175-AVERAGE(D6:D1198))/(STDEV(D6:D1198)+1E-12))</f>
        <v/>
      </c>
      <c r="F1175" s="3">
        <f>IF('3a Raw'!E1175="","",MAX(-3,MIN(3,('3a Raw'!E1175-$F3)/$F4)))</f>
        <v/>
      </c>
      <c r="G1175" s="3">
        <f>IF(F1175="","",(F1175-AVERAGE(F6:F1198))/(STDEV(F6:F1198)+1E-12))</f>
        <v/>
      </c>
      <c r="H1175" s="3">
        <f>IF('3a Raw'!F1175="","",MAX(-3,MIN(3,('3a Raw'!F1175-$H3)/$H4)))</f>
        <v/>
      </c>
      <c r="I1175" s="3">
        <f>IF(H1175="","",(H1175-AVERAGE(H6:H1198))/(STDEV(H6:H1198)+1E-12))</f>
        <v/>
      </c>
      <c r="J1175" s="3">
        <f>IF('3a Raw'!G1175="","",MAX(-3,MIN(3,('3a Raw'!G1175-$J3)/$J4)))</f>
        <v/>
      </c>
      <c r="K1175" s="3">
        <f>IF(J1175="","",(J1175-AVERAGE(J6:J1198))/(STDEV(J6:J1198)+1E-12))</f>
        <v/>
      </c>
      <c r="L1175" s="3">
        <f>IF('3a Raw'!H1175="","",MAX(-3,MIN(3,('3a Raw'!H1175-$L3)/$L4)))</f>
        <v/>
      </c>
      <c r="M1175" s="3">
        <f>IF(L1175="","",(L1175-AVERAGE(L6:L1198))/(STDEV(L6:L1198)+1E-12))</f>
        <v/>
      </c>
      <c r="N1175" s="3">
        <f>IF('3a Raw'!I1175="","",MAX(-3,MIN(3,('3a Raw'!I1175-$N3)/$N4)))</f>
        <v/>
      </c>
      <c r="O1175" s="3">
        <f>IF(N1175="","",(N1175-AVERAGE(N6:N1198))/(STDEV(N6:N1198)+1E-12))</f>
        <v/>
      </c>
      <c r="P1175" s="3">
        <f>IF('3a Raw'!J1175="","",MAX(-3,MIN(3,('3a Raw'!J1175-$P3)/$P4)))</f>
        <v/>
      </c>
      <c r="Q1175" s="3">
        <f>IF(P1175="","",(P1175-AVERAGE(P6:P1198))/(STDEV(P6:P1198)+1E-12))</f>
        <v/>
      </c>
      <c r="R1175" s="3">
        <f>IF('3a Raw'!K1175="","",MAX(-3,MIN(3,('3a Raw'!K1175-$R3)/$R4)))</f>
        <v/>
      </c>
      <c r="S1175" s="3">
        <f>IF(R1175="","",(R1175-AVERAGE(R6:R1198))/(STDEV(R6:R1198)+1E-12))</f>
        <v/>
      </c>
      <c r="T1175" s="3">
        <f>IF('3a Raw'!L1175="","",MAX(-3,MIN(3,('3a Raw'!L1175-$T3)/$T4)))</f>
        <v/>
      </c>
      <c r="U1175" s="3">
        <f>IF(T1175="","",(T1175-AVERAGE(T6:T1198))/(STDEV(T6:T1198)+1E-12))</f>
        <v/>
      </c>
      <c r="X1175" s="3">
        <f>IF(U1175="","",U1175-($V$3*G1175+$W$3))</f>
        <v/>
      </c>
      <c r="Y1175" s="3">
        <f>IF(X1175="","",MAX(-3,MIN(3,(X1175-$X3)/$X4)))</f>
        <v/>
      </c>
      <c r="Z1175" s="3">
        <f>IF(Y1175="","",(Y1175-AVERAGE(Y6:Y1198))/(STDEV(Y6:Y1198)+1E-12))</f>
        <v/>
      </c>
    </row>
    <row r="1176">
      <c r="A1176" t="inlineStr">
        <is>
          <t>BBG000BD53V2</t>
        </is>
      </c>
      <c r="B1176" s="3">
        <f>IF('3a Raw'!C1176="","",MAX(-3,MIN(3,('3a Raw'!C1176-$B3)/$B4)))</f>
        <v/>
      </c>
      <c r="C1176" s="3">
        <f>IF(B1176="","",(B1176-AVERAGE(B6:B1198))/(STDEV(B6:B1198)+1E-12))</f>
        <v/>
      </c>
      <c r="D1176" s="3">
        <f>IF('3a Raw'!D1176="","",MAX(-3,MIN(3,('3a Raw'!D1176-$D3)/$D4)))</f>
        <v/>
      </c>
      <c r="E1176" s="3">
        <f>IF(D1176="","",(D1176-AVERAGE(D6:D1198))/(STDEV(D6:D1198)+1E-12))</f>
        <v/>
      </c>
      <c r="F1176" s="3">
        <f>IF('3a Raw'!E1176="","",MAX(-3,MIN(3,('3a Raw'!E1176-$F3)/$F4)))</f>
        <v/>
      </c>
      <c r="G1176" s="3">
        <f>IF(F1176="","",(F1176-AVERAGE(F6:F1198))/(STDEV(F6:F1198)+1E-12))</f>
        <v/>
      </c>
      <c r="H1176" s="3">
        <f>IF('3a Raw'!F1176="","",MAX(-3,MIN(3,('3a Raw'!F1176-$H3)/$H4)))</f>
        <v/>
      </c>
      <c r="I1176" s="3">
        <f>IF(H1176="","",(H1176-AVERAGE(H6:H1198))/(STDEV(H6:H1198)+1E-12))</f>
        <v/>
      </c>
      <c r="J1176" s="3">
        <f>IF('3a Raw'!G1176="","",MAX(-3,MIN(3,('3a Raw'!G1176-$J3)/$J4)))</f>
        <v/>
      </c>
      <c r="K1176" s="3">
        <f>IF(J1176="","",(J1176-AVERAGE(J6:J1198))/(STDEV(J6:J1198)+1E-12))</f>
        <v/>
      </c>
      <c r="L1176" s="3">
        <f>IF('3a Raw'!H1176="","",MAX(-3,MIN(3,('3a Raw'!H1176-$L3)/$L4)))</f>
        <v/>
      </c>
      <c r="M1176" s="3">
        <f>IF(L1176="","",(L1176-AVERAGE(L6:L1198))/(STDEV(L6:L1198)+1E-12))</f>
        <v/>
      </c>
      <c r="N1176" s="3">
        <f>IF('3a Raw'!I1176="","",MAX(-3,MIN(3,('3a Raw'!I1176-$N3)/$N4)))</f>
        <v/>
      </c>
      <c r="O1176" s="3">
        <f>IF(N1176="","",(N1176-AVERAGE(N6:N1198))/(STDEV(N6:N1198)+1E-12))</f>
        <v/>
      </c>
      <c r="P1176" s="3">
        <f>IF('3a Raw'!J1176="","",MAX(-3,MIN(3,('3a Raw'!J1176-$P3)/$P4)))</f>
        <v/>
      </c>
      <c r="Q1176" s="3">
        <f>IF(P1176="","",(P1176-AVERAGE(P6:P1198))/(STDEV(P6:P1198)+1E-12))</f>
        <v/>
      </c>
      <c r="R1176" s="3">
        <f>IF('3a Raw'!K1176="","",MAX(-3,MIN(3,('3a Raw'!K1176-$R3)/$R4)))</f>
        <v/>
      </c>
      <c r="S1176" s="3">
        <f>IF(R1176="","",(R1176-AVERAGE(R6:R1198))/(STDEV(R6:R1198)+1E-12))</f>
        <v/>
      </c>
      <c r="T1176" s="3">
        <f>IF('3a Raw'!L1176="","",MAX(-3,MIN(3,('3a Raw'!L1176-$T3)/$T4)))</f>
        <v/>
      </c>
      <c r="U1176" s="3">
        <f>IF(T1176="","",(T1176-AVERAGE(T6:T1198))/(STDEV(T6:T1198)+1E-12))</f>
        <v/>
      </c>
      <c r="X1176" s="3">
        <f>IF(U1176="","",U1176-($V$3*G1176+$W$3))</f>
        <v/>
      </c>
      <c r="Y1176" s="3">
        <f>IF(X1176="","",MAX(-3,MIN(3,(X1176-$X3)/$X4)))</f>
        <v/>
      </c>
      <c r="Z1176" s="3">
        <f>IF(Y1176="","",(Y1176-AVERAGE(Y6:Y1198))/(STDEV(Y6:Y1198)+1E-12))</f>
        <v/>
      </c>
    </row>
    <row r="1177">
      <c r="A1177" t="inlineStr">
        <is>
          <t>wy</t>
        </is>
      </c>
      <c r="B1177" s="3">
        <f>IF('3a Raw'!C1177="","",MAX(-3,MIN(3,('3a Raw'!C1177-$B3)/$B4)))</f>
        <v/>
      </c>
      <c r="C1177" s="3">
        <f>IF(B1177="","",(B1177-AVERAGE(B6:B1198))/(STDEV(B6:B1198)+1E-12))</f>
        <v/>
      </c>
      <c r="D1177" s="3">
        <f>IF('3a Raw'!D1177="","",MAX(-3,MIN(3,('3a Raw'!D1177-$D3)/$D4)))</f>
        <v/>
      </c>
      <c r="E1177" s="3">
        <f>IF(D1177="","",(D1177-AVERAGE(D6:D1198))/(STDEV(D6:D1198)+1E-12))</f>
        <v/>
      </c>
      <c r="F1177" s="3">
        <f>IF('3a Raw'!E1177="","",MAX(-3,MIN(3,('3a Raw'!E1177-$F3)/$F4)))</f>
        <v/>
      </c>
      <c r="G1177" s="3">
        <f>IF(F1177="","",(F1177-AVERAGE(F6:F1198))/(STDEV(F6:F1198)+1E-12))</f>
        <v/>
      </c>
      <c r="H1177" s="3">
        <f>IF('3a Raw'!F1177="","",MAX(-3,MIN(3,('3a Raw'!F1177-$H3)/$H4)))</f>
        <v/>
      </c>
      <c r="I1177" s="3">
        <f>IF(H1177="","",(H1177-AVERAGE(H6:H1198))/(STDEV(H6:H1198)+1E-12))</f>
        <v/>
      </c>
      <c r="J1177" s="3">
        <f>IF('3a Raw'!G1177="","",MAX(-3,MIN(3,('3a Raw'!G1177-$J3)/$J4)))</f>
        <v/>
      </c>
      <c r="K1177" s="3">
        <f>IF(J1177="","",(J1177-AVERAGE(J6:J1198))/(STDEV(J6:J1198)+1E-12))</f>
        <v/>
      </c>
      <c r="L1177" s="3">
        <f>IF('3a Raw'!H1177="","",MAX(-3,MIN(3,('3a Raw'!H1177-$L3)/$L4)))</f>
        <v/>
      </c>
      <c r="M1177" s="3">
        <f>IF(L1177="","",(L1177-AVERAGE(L6:L1198))/(STDEV(L6:L1198)+1E-12))</f>
        <v/>
      </c>
      <c r="N1177" s="3">
        <f>IF('3a Raw'!I1177="","",MAX(-3,MIN(3,('3a Raw'!I1177-$N3)/$N4)))</f>
        <v/>
      </c>
      <c r="O1177" s="3">
        <f>IF(N1177="","",(N1177-AVERAGE(N6:N1198))/(STDEV(N6:N1198)+1E-12))</f>
        <v/>
      </c>
      <c r="P1177" s="3">
        <f>IF('3a Raw'!J1177="","",MAX(-3,MIN(3,('3a Raw'!J1177-$P3)/$P4)))</f>
        <v/>
      </c>
      <c r="Q1177" s="3">
        <f>IF(P1177="","",(P1177-AVERAGE(P6:P1198))/(STDEV(P6:P1198)+1E-12))</f>
        <v/>
      </c>
      <c r="R1177" s="3">
        <f>IF('3a Raw'!K1177="","",MAX(-3,MIN(3,('3a Raw'!K1177-$R3)/$R4)))</f>
        <v/>
      </c>
      <c r="S1177" s="3">
        <f>IF(R1177="","",(R1177-AVERAGE(R6:R1198))/(STDEV(R6:R1198)+1E-12))</f>
        <v/>
      </c>
      <c r="T1177" s="3">
        <f>IF('3a Raw'!L1177="","",MAX(-3,MIN(3,('3a Raw'!L1177-$T3)/$T4)))</f>
        <v/>
      </c>
      <c r="U1177" s="3">
        <f>IF(T1177="","",(T1177-AVERAGE(T6:T1198))/(STDEV(T6:T1198)+1E-12))</f>
        <v/>
      </c>
      <c r="X1177" s="3">
        <f>IF(U1177="","",U1177-($V$3*G1177+$W$3))</f>
        <v/>
      </c>
      <c r="Y1177" s="3">
        <f>IF(X1177="","",MAX(-3,MIN(3,(X1177-$X3)/$X4)))</f>
        <v/>
      </c>
      <c r="Z1177" s="3">
        <f>IF(Y1177="","",(Y1177-AVERAGE(Y6:Y1198))/(STDEV(Y6:Y1198)+1E-12))</f>
        <v/>
      </c>
    </row>
    <row r="1178">
      <c r="A1178" t="inlineStr">
        <is>
          <t>BBG000LD9JQ8</t>
        </is>
      </c>
      <c r="B1178" s="3">
        <f>IF('3a Raw'!C1178="","",MAX(-3,MIN(3,('3a Raw'!C1178-$B3)/$B4)))</f>
        <v/>
      </c>
      <c r="C1178" s="3">
        <f>IF(B1178="","",(B1178-AVERAGE(B6:B1198))/(STDEV(B6:B1198)+1E-12))</f>
        <v/>
      </c>
      <c r="D1178" s="3">
        <f>IF('3a Raw'!D1178="","",MAX(-3,MIN(3,('3a Raw'!D1178-$D3)/$D4)))</f>
        <v/>
      </c>
      <c r="E1178" s="3">
        <f>IF(D1178="","",(D1178-AVERAGE(D6:D1198))/(STDEV(D6:D1198)+1E-12))</f>
        <v/>
      </c>
      <c r="F1178" s="3">
        <f>IF('3a Raw'!E1178="","",MAX(-3,MIN(3,('3a Raw'!E1178-$F3)/$F4)))</f>
        <v/>
      </c>
      <c r="G1178" s="3">
        <f>IF(F1178="","",(F1178-AVERAGE(F6:F1198))/(STDEV(F6:F1198)+1E-12))</f>
        <v/>
      </c>
      <c r="H1178" s="3">
        <f>IF('3a Raw'!F1178="","",MAX(-3,MIN(3,('3a Raw'!F1178-$H3)/$H4)))</f>
        <v/>
      </c>
      <c r="I1178" s="3">
        <f>IF(H1178="","",(H1178-AVERAGE(H6:H1198))/(STDEV(H6:H1198)+1E-12))</f>
        <v/>
      </c>
      <c r="J1178" s="3">
        <f>IF('3a Raw'!G1178="","",MAX(-3,MIN(3,('3a Raw'!G1178-$J3)/$J4)))</f>
        <v/>
      </c>
      <c r="K1178" s="3">
        <f>IF(J1178="","",(J1178-AVERAGE(J6:J1198))/(STDEV(J6:J1198)+1E-12))</f>
        <v/>
      </c>
      <c r="L1178" s="3">
        <f>IF('3a Raw'!H1178="","",MAX(-3,MIN(3,('3a Raw'!H1178-$L3)/$L4)))</f>
        <v/>
      </c>
      <c r="M1178" s="3">
        <f>IF(L1178="","",(L1178-AVERAGE(L6:L1198))/(STDEV(L6:L1198)+1E-12))</f>
        <v/>
      </c>
      <c r="N1178" s="3">
        <f>IF('3a Raw'!I1178="","",MAX(-3,MIN(3,('3a Raw'!I1178-$N3)/$N4)))</f>
        <v/>
      </c>
      <c r="O1178" s="3">
        <f>IF(N1178="","",(N1178-AVERAGE(N6:N1198))/(STDEV(N6:N1198)+1E-12))</f>
        <v/>
      </c>
      <c r="P1178" s="3">
        <f>IF('3a Raw'!J1178="","",MAX(-3,MIN(3,('3a Raw'!J1178-$P3)/$P4)))</f>
        <v/>
      </c>
      <c r="Q1178" s="3">
        <f>IF(P1178="","",(P1178-AVERAGE(P6:P1198))/(STDEV(P6:P1198)+1E-12))</f>
        <v/>
      </c>
      <c r="R1178" s="3">
        <f>IF('3a Raw'!K1178="","",MAX(-3,MIN(3,('3a Raw'!K1178-$R3)/$R4)))</f>
        <v/>
      </c>
      <c r="S1178" s="3">
        <f>IF(R1178="","",(R1178-AVERAGE(R6:R1198))/(STDEV(R6:R1198)+1E-12))</f>
        <v/>
      </c>
      <c r="T1178" s="3">
        <f>IF('3a Raw'!L1178="","",MAX(-3,MIN(3,('3a Raw'!L1178-$T3)/$T4)))</f>
        <v/>
      </c>
      <c r="U1178" s="3">
        <f>IF(T1178="","",(T1178-AVERAGE(T6:T1198))/(STDEV(T6:T1198)+1E-12))</f>
        <v/>
      </c>
      <c r="X1178" s="3">
        <f>IF(U1178="","",U1178-($V$3*G1178+$W$3))</f>
        <v/>
      </c>
      <c r="Y1178" s="3">
        <f>IF(X1178="","",MAX(-3,MIN(3,(X1178-$X3)/$X4)))</f>
        <v/>
      </c>
      <c r="Z1178" s="3">
        <f>IF(Y1178="","",(Y1178-AVERAGE(Y6:Y1198))/(STDEV(Y6:Y1198)+1E-12))</f>
        <v/>
      </c>
    </row>
    <row r="1179">
      <c r="A1179" t="inlineStr">
        <is>
          <t>BBG000BCTQ65</t>
        </is>
      </c>
      <c r="B1179" s="3">
        <f>IF('3a Raw'!C1179="","",MAX(-3,MIN(3,('3a Raw'!C1179-$B3)/$B4)))</f>
        <v/>
      </c>
      <c r="C1179" s="3">
        <f>IF(B1179="","",(B1179-AVERAGE(B6:B1198))/(STDEV(B6:B1198)+1E-12))</f>
        <v/>
      </c>
      <c r="D1179" s="3">
        <f>IF('3a Raw'!D1179="","",MAX(-3,MIN(3,('3a Raw'!D1179-$D3)/$D4)))</f>
        <v/>
      </c>
      <c r="E1179" s="3">
        <f>IF(D1179="","",(D1179-AVERAGE(D6:D1198))/(STDEV(D6:D1198)+1E-12))</f>
        <v/>
      </c>
      <c r="F1179" s="3">
        <f>IF('3a Raw'!E1179="","",MAX(-3,MIN(3,('3a Raw'!E1179-$F3)/$F4)))</f>
        <v/>
      </c>
      <c r="G1179" s="3">
        <f>IF(F1179="","",(F1179-AVERAGE(F6:F1198))/(STDEV(F6:F1198)+1E-12))</f>
        <v/>
      </c>
      <c r="H1179" s="3">
        <f>IF('3a Raw'!F1179="","",MAX(-3,MIN(3,('3a Raw'!F1179-$H3)/$H4)))</f>
        <v/>
      </c>
      <c r="I1179" s="3">
        <f>IF(H1179="","",(H1179-AVERAGE(H6:H1198))/(STDEV(H6:H1198)+1E-12))</f>
        <v/>
      </c>
      <c r="J1179" s="3">
        <f>IF('3a Raw'!G1179="","",MAX(-3,MIN(3,('3a Raw'!G1179-$J3)/$J4)))</f>
        <v/>
      </c>
      <c r="K1179" s="3">
        <f>IF(J1179="","",(J1179-AVERAGE(J6:J1198))/(STDEV(J6:J1198)+1E-12))</f>
        <v/>
      </c>
      <c r="L1179" s="3">
        <f>IF('3a Raw'!H1179="","",MAX(-3,MIN(3,('3a Raw'!H1179-$L3)/$L4)))</f>
        <v/>
      </c>
      <c r="M1179" s="3">
        <f>IF(L1179="","",(L1179-AVERAGE(L6:L1198))/(STDEV(L6:L1198)+1E-12))</f>
        <v/>
      </c>
      <c r="N1179" s="3">
        <f>IF('3a Raw'!I1179="","",MAX(-3,MIN(3,('3a Raw'!I1179-$N3)/$N4)))</f>
        <v/>
      </c>
      <c r="O1179" s="3">
        <f>IF(N1179="","",(N1179-AVERAGE(N6:N1198))/(STDEV(N6:N1198)+1E-12))</f>
        <v/>
      </c>
      <c r="P1179" s="3">
        <f>IF('3a Raw'!J1179="","",MAX(-3,MIN(3,('3a Raw'!J1179-$P3)/$P4)))</f>
        <v/>
      </c>
      <c r="Q1179" s="3">
        <f>IF(P1179="","",(P1179-AVERAGE(P6:P1198))/(STDEV(P6:P1198)+1E-12))</f>
        <v/>
      </c>
      <c r="R1179" s="3">
        <f>IF('3a Raw'!K1179="","",MAX(-3,MIN(3,('3a Raw'!K1179-$R3)/$R4)))</f>
        <v/>
      </c>
      <c r="S1179" s="3">
        <f>IF(R1179="","",(R1179-AVERAGE(R6:R1198))/(STDEV(R6:R1198)+1E-12))</f>
        <v/>
      </c>
      <c r="T1179" s="3">
        <f>IF('3a Raw'!L1179="","",MAX(-3,MIN(3,('3a Raw'!L1179-$T3)/$T4)))</f>
        <v/>
      </c>
      <c r="U1179" s="3">
        <f>IF(T1179="","",(T1179-AVERAGE(T6:T1198))/(STDEV(T6:T1198)+1E-12))</f>
        <v/>
      </c>
      <c r="X1179" s="3">
        <f>IF(U1179="","",U1179-($V$3*G1179+$W$3))</f>
        <v/>
      </c>
      <c r="Y1179" s="3">
        <f>IF(X1179="","",MAX(-3,MIN(3,(X1179-$X3)/$X4)))</f>
        <v/>
      </c>
      <c r="Z1179" s="3">
        <f>IF(Y1179="","",(Y1179-AVERAGE(Y6:Y1198))/(STDEV(Y6:Y1198)+1E-12))</f>
        <v/>
      </c>
    </row>
    <row r="1180">
      <c r="A1180" t="inlineStr">
        <is>
          <t>BBG006JNW321</t>
        </is>
      </c>
      <c r="B1180" s="3">
        <f>IF('3a Raw'!C1180="","",MAX(-3,MIN(3,('3a Raw'!C1180-$B3)/$B4)))</f>
        <v/>
      </c>
      <c r="C1180" s="3">
        <f>IF(B1180="","",(B1180-AVERAGE(B6:B1198))/(STDEV(B6:B1198)+1E-12))</f>
        <v/>
      </c>
      <c r="D1180" s="3">
        <f>IF('3a Raw'!D1180="","",MAX(-3,MIN(3,('3a Raw'!D1180-$D3)/$D4)))</f>
        <v/>
      </c>
      <c r="E1180" s="3">
        <f>IF(D1180="","",(D1180-AVERAGE(D6:D1198))/(STDEV(D6:D1198)+1E-12))</f>
        <v/>
      </c>
      <c r="F1180" s="3">
        <f>IF('3a Raw'!E1180="","",MAX(-3,MIN(3,('3a Raw'!E1180-$F3)/$F4)))</f>
        <v/>
      </c>
      <c r="G1180" s="3">
        <f>IF(F1180="","",(F1180-AVERAGE(F6:F1198))/(STDEV(F6:F1198)+1E-12))</f>
        <v/>
      </c>
      <c r="H1180" s="3">
        <f>IF('3a Raw'!F1180="","",MAX(-3,MIN(3,('3a Raw'!F1180-$H3)/$H4)))</f>
        <v/>
      </c>
      <c r="I1180" s="3">
        <f>IF(H1180="","",(H1180-AVERAGE(H6:H1198))/(STDEV(H6:H1198)+1E-12))</f>
        <v/>
      </c>
      <c r="J1180" s="3">
        <f>IF('3a Raw'!G1180="","",MAX(-3,MIN(3,('3a Raw'!G1180-$J3)/$J4)))</f>
        <v/>
      </c>
      <c r="K1180" s="3">
        <f>IF(J1180="","",(J1180-AVERAGE(J6:J1198))/(STDEV(J6:J1198)+1E-12))</f>
        <v/>
      </c>
      <c r="L1180" s="3">
        <f>IF('3a Raw'!H1180="","",MAX(-3,MIN(3,('3a Raw'!H1180-$L3)/$L4)))</f>
        <v/>
      </c>
      <c r="M1180" s="3">
        <f>IF(L1180="","",(L1180-AVERAGE(L6:L1198))/(STDEV(L6:L1198)+1E-12))</f>
        <v/>
      </c>
      <c r="N1180" s="3">
        <f>IF('3a Raw'!I1180="","",MAX(-3,MIN(3,('3a Raw'!I1180-$N3)/$N4)))</f>
        <v/>
      </c>
      <c r="O1180" s="3">
        <f>IF(N1180="","",(N1180-AVERAGE(N6:N1198))/(STDEV(N6:N1198)+1E-12))</f>
        <v/>
      </c>
      <c r="P1180" s="3">
        <f>IF('3a Raw'!J1180="","",MAX(-3,MIN(3,('3a Raw'!J1180-$P3)/$P4)))</f>
        <v/>
      </c>
      <c r="Q1180" s="3">
        <f>IF(P1180="","",(P1180-AVERAGE(P6:P1198))/(STDEV(P6:P1198)+1E-12))</f>
        <v/>
      </c>
      <c r="R1180" s="3">
        <f>IF('3a Raw'!K1180="","",MAX(-3,MIN(3,('3a Raw'!K1180-$R3)/$R4)))</f>
        <v/>
      </c>
      <c r="S1180" s="3">
        <f>IF(R1180="","",(R1180-AVERAGE(R6:R1198))/(STDEV(R6:R1198)+1E-12))</f>
        <v/>
      </c>
      <c r="T1180" s="3">
        <f>IF('3a Raw'!L1180="","",MAX(-3,MIN(3,('3a Raw'!L1180-$T3)/$T4)))</f>
        <v/>
      </c>
      <c r="U1180" s="3">
        <f>IF(T1180="","",(T1180-AVERAGE(T6:T1198))/(STDEV(T6:T1198)+1E-12))</f>
        <v/>
      </c>
      <c r="X1180" s="3">
        <f>IF(U1180="","",U1180-($V$3*G1180+$W$3))</f>
        <v/>
      </c>
      <c r="Y1180" s="3">
        <f>IF(X1180="","",MAX(-3,MIN(3,(X1180-$X3)/$X4)))</f>
        <v/>
      </c>
      <c r="Z1180" s="3">
        <f>IF(Y1180="","",(Y1180-AVERAGE(Y6:Y1198))/(STDEV(Y6:Y1198)+1E-12))</f>
        <v/>
      </c>
    </row>
    <row r="1181">
      <c r="A1181" t="inlineStr">
        <is>
          <t>BBG00BDCCV93</t>
        </is>
      </c>
      <c r="B1181" s="3">
        <f>IF('3a Raw'!C1181="","",MAX(-3,MIN(3,('3a Raw'!C1181-$B3)/$B4)))</f>
        <v/>
      </c>
      <c r="C1181" s="3">
        <f>IF(B1181="","",(B1181-AVERAGE(B6:B1198))/(STDEV(B6:B1198)+1E-12))</f>
        <v/>
      </c>
      <c r="D1181" s="3">
        <f>IF('3a Raw'!D1181="","",MAX(-3,MIN(3,('3a Raw'!D1181-$D3)/$D4)))</f>
        <v/>
      </c>
      <c r="E1181" s="3">
        <f>IF(D1181="","",(D1181-AVERAGE(D6:D1198))/(STDEV(D6:D1198)+1E-12))</f>
        <v/>
      </c>
      <c r="F1181" s="3">
        <f>IF('3a Raw'!E1181="","",MAX(-3,MIN(3,('3a Raw'!E1181-$F3)/$F4)))</f>
        <v/>
      </c>
      <c r="G1181" s="3">
        <f>IF(F1181="","",(F1181-AVERAGE(F6:F1198))/(STDEV(F6:F1198)+1E-12))</f>
        <v/>
      </c>
      <c r="H1181" s="3">
        <f>IF('3a Raw'!F1181="","",MAX(-3,MIN(3,('3a Raw'!F1181-$H3)/$H4)))</f>
        <v/>
      </c>
      <c r="I1181" s="3">
        <f>IF(H1181="","",(H1181-AVERAGE(H6:H1198))/(STDEV(H6:H1198)+1E-12))</f>
        <v/>
      </c>
      <c r="J1181" s="3">
        <f>IF('3a Raw'!G1181="","",MAX(-3,MIN(3,('3a Raw'!G1181-$J3)/$J4)))</f>
        <v/>
      </c>
      <c r="K1181" s="3">
        <f>IF(J1181="","",(J1181-AVERAGE(J6:J1198))/(STDEV(J6:J1198)+1E-12))</f>
        <v/>
      </c>
      <c r="L1181" s="3">
        <f>IF('3a Raw'!H1181="","",MAX(-3,MIN(3,('3a Raw'!H1181-$L3)/$L4)))</f>
        <v/>
      </c>
      <c r="M1181" s="3">
        <f>IF(L1181="","",(L1181-AVERAGE(L6:L1198))/(STDEV(L6:L1198)+1E-12))</f>
        <v/>
      </c>
      <c r="N1181" s="3">
        <f>IF('3a Raw'!I1181="","",MAX(-3,MIN(3,('3a Raw'!I1181-$N3)/$N4)))</f>
        <v/>
      </c>
      <c r="O1181" s="3">
        <f>IF(N1181="","",(N1181-AVERAGE(N6:N1198))/(STDEV(N6:N1198)+1E-12))</f>
        <v/>
      </c>
      <c r="P1181" s="3">
        <f>IF('3a Raw'!J1181="","",MAX(-3,MIN(3,('3a Raw'!J1181-$P3)/$P4)))</f>
        <v/>
      </c>
      <c r="Q1181" s="3">
        <f>IF(P1181="","",(P1181-AVERAGE(P6:P1198))/(STDEV(P6:P1198)+1E-12))</f>
        <v/>
      </c>
      <c r="R1181" s="3">
        <f>IF('3a Raw'!K1181="","",MAX(-3,MIN(3,('3a Raw'!K1181-$R3)/$R4)))</f>
        <v/>
      </c>
      <c r="S1181" s="3">
        <f>IF(R1181="","",(R1181-AVERAGE(R6:R1198))/(STDEV(R6:R1198)+1E-12))</f>
        <v/>
      </c>
      <c r="T1181" s="3">
        <f>IF('3a Raw'!L1181="","",MAX(-3,MIN(3,('3a Raw'!L1181-$T3)/$T4)))</f>
        <v/>
      </c>
      <c r="U1181" s="3">
        <f>IF(T1181="","",(T1181-AVERAGE(T6:T1198))/(STDEV(T6:T1198)+1E-12))</f>
        <v/>
      </c>
      <c r="X1181" s="3">
        <f>IF(U1181="","",U1181-($V$3*G1181+$W$3))</f>
        <v/>
      </c>
      <c r="Y1181" s="3">
        <f>IF(X1181="","",MAX(-3,MIN(3,(X1181-$X3)/$X4)))</f>
        <v/>
      </c>
      <c r="Z1181" s="3">
        <f>IF(Y1181="","",(Y1181-AVERAGE(Y6:Y1198))/(STDEV(Y6:Y1198)+1E-12))</f>
        <v/>
      </c>
    </row>
    <row r="1182">
      <c r="A1182" t="inlineStr">
        <is>
          <t>xom</t>
        </is>
      </c>
      <c r="B1182" s="3">
        <f>IF('3a Raw'!C1182="","",MAX(-3,MIN(3,('3a Raw'!C1182-$B3)/$B4)))</f>
        <v/>
      </c>
      <c r="C1182" s="3">
        <f>IF(B1182="","",(B1182-AVERAGE(B6:B1198))/(STDEV(B6:B1198)+1E-12))</f>
        <v/>
      </c>
      <c r="D1182" s="3">
        <f>IF('3a Raw'!D1182="","",MAX(-3,MIN(3,('3a Raw'!D1182-$D3)/$D4)))</f>
        <v/>
      </c>
      <c r="E1182" s="3">
        <f>IF(D1182="","",(D1182-AVERAGE(D6:D1198))/(STDEV(D6:D1198)+1E-12))</f>
        <v/>
      </c>
      <c r="F1182" s="3">
        <f>IF('3a Raw'!E1182="","",MAX(-3,MIN(3,('3a Raw'!E1182-$F3)/$F4)))</f>
        <v/>
      </c>
      <c r="G1182" s="3">
        <f>IF(F1182="","",(F1182-AVERAGE(F6:F1198))/(STDEV(F6:F1198)+1E-12))</f>
        <v/>
      </c>
      <c r="H1182" s="3">
        <f>IF('3a Raw'!F1182="","",MAX(-3,MIN(3,('3a Raw'!F1182-$H3)/$H4)))</f>
        <v/>
      </c>
      <c r="I1182" s="3">
        <f>IF(H1182="","",(H1182-AVERAGE(H6:H1198))/(STDEV(H6:H1198)+1E-12))</f>
        <v/>
      </c>
      <c r="J1182" s="3">
        <f>IF('3a Raw'!G1182="","",MAX(-3,MIN(3,('3a Raw'!G1182-$J3)/$J4)))</f>
        <v/>
      </c>
      <c r="K1182" s="3">
        <f>IF(J1182="","",(J1182-AVERAGE(J6:J1198))/(STDEV(J6:J1198)+1E-12))</f>
        <v/>
      </c>
      <c r="L1182" s="3">
        <f>IF('3a Raw'!H1182="","",MAX(-3,MIN(3,('3a Raw'!H1182-$L3)/$L4)))</f>
        <v/>
      </c>
      <c r="M1182" s="3">
        <f>IF(L1182="","",(L1182-AVERAGE(L6:L1198))/(STDEV(L6:L1198)+1E-12))</f>
        <v/>
      </c>
      <c r="N1182" s="3">
        <f>IF('3a Raw'!I1182="","",MAX(-3,MIN(3,('3a Raw'!I1182-$N3)/$N4)))</f>
        <v/>
      </c>
      <c r="O1182" s="3">
        <f>IF(N1182="","",(N1182-AVERAGE(N6:N1198))/(STDEV(N6:N1198)+1E-12))</f>
        <v/>
      </c>
      <c r="P1182" s="3">
        <f>IF('3a Raw'!J1182="","",MAX(-3,MIN(3,('3a Raw'!J1182-$P3)/$P4)))</f>
        <v/>
      </c>
      <c r="Q1182" s="3">
        <f>IF(P1182="","",(P1182-AVERAGE(P6:P1198))/(STDEV(P6:P1198)+1E-12))</f>
        <v/>
      </c>
      <c r="R1182" s="3">
        <f>IF('3a Raw'!K1182="","",MAX(-3,MIN(3,('3a Raw'!K1182-$R3)/$R4)))</f>
        <v/>
      </c>
      <c r="S1182" s="3">
        <f>IF(R1182="","",(R1182-AVERAGE(R6:R1198))/(STDEV(R6:R1198)+1E-12))</f>
        <v/>
      </c>
      <c r="T1182" s="3">
        <f>IF('3a Raw'!L1182="","",MAX(-3,MIN(3,('3a Raw'!L1182-$T3)/$T4)))</f>
        <v/>
      </c>
      <c r="U1182" s="3">
        <f>IF(T1182="","",(T1182-AVERAGE(T6:T1198))/(STDEV(T6:T1198)+1E-12))</f>
        <v/>
      </c>
      <c r="X1182" s="3">
        <f>IF(U1182="","",U1182-($V$3*G1182+$W$3))</f>
        <v/>
      </c>
      <c r="Y1182" s="3">
        <f>IF(X1182="","",MAX(-3,MIN(3,(X1182-$X3)/$X4)))</f>
        <v/>
      </c>
      <c r="Z1182" s="3">
        <f>IF(Y1182="","",(Y1182-AVERAGE(Y6:Y1198))/(STDEV(Y6:Y1198)+1E-12))</f>
        <v/>
      </c>
    </row>
    <row r="1183">
      <c r="A1183" t="inlineStr">
        <is>
          <t>BBG000L5CJF3</t>
        </is>
      </c>
      <c r="B1183" s="3">
        <f>IF('3a Raw'!C1183="","",MAX(-3,MIN(3,('3a Raw'!C1183-$B3)/$B4)))</f>
        <v/>
      </c>
      <c r="C1183" s="3">
        <f>IF(B1183="","",(B1183-AVERAGE(B6:B1198))/(STDEV(B6:B1198)+1E-12))</f>
        <v/>
      </c>
      <c r="D1183" s="3">
        <f>IF('3a Raw'!D1183="","",MAX(-3,MIN(3,('3a Raw'!D1183-$D3)/$D4)))</f>
        <v/>
      </c>
      <c r="E1183" s="3">
        <f>IF(D1183="","",(D1183-AVERAGE(D6:D1198))/(STDEV(D6:D1198)+1E-12))</f>
        <v/>
      </c>
      <c r="F1183" s="3">
        <f>IF('3a Raw'!E1183="","",MAX(-3,MIN(3,('3a Raw'!E1183-$F3)/$F4)))</f>
        <v/>
      </c>
      <c r="G1183" s="3">
        <f>IF(F1183="","",(F1183-AVERAGE(F6:F1198))/(STDEV(F6:F1198)+1E-12))</f>
        <v/>
      </c>
      <c r="H1183" s="3">
        <f>IF('3a Raw'!F1183="","",MAX(-3,MIN(3,('3a Raw'!F1183-$H3)/$H4)))</f>
        <v/>
      </c>
      <c r="I1183" s="3">
        <f>IF(H1183="","",(H1183-AVERAGE(H6:H1198))/(STDEV(H6:H1198)+1E-12))</f>
        <v/>
      </c>
      <c r="J1183" s="3">
        <f>IF('3a Raw'!G1183="","",MAX(-3,MIN(3,('3a Raw'!G1183-$J3)/$J4)))</f>
        <v/>
      </c>
      <c r="K1183" s="3">
        <f>IF(J1183="","",(J1183-AVERAGE(J6:J1198))/(STDEV(J6:J1198)+1E-12))</f>
        <v/>
      </c>
      <c r="L1183" s="3">
        <f>IF('3a Raw'!H1183="","",MAX(-3,MIN(3,('3a Raw'!H1183-$L3)/$L4)))</f>
        <v/>
      </c>
      <c r="M1183" s="3">
        <f>IF(L1183="","",(L1183-AVERAGE(L6:L1198))/(STDEV(L6:L1198)+1E-12))</f>
        <v/>
      </c>
      <c r="N1183" s="3">
        <f>IF('3a Raw'!I1183="","",MAX(-3,MIN(3,('3a Raw'!I1183-$N3)/$N4)))</f>
        <v/>
      </c>
      <c r="O1183" s="3">
        <f>IF(N1183="","",(N1183-AVERAGE(N6:N1198))/(STDEV(N6:N1198)+1E-12))</f>
        <v/>
      </c>
      <c r="P1183" s="3">
        <f>IF('3a Raw'!J1183="","",MAX(-3,MIN(3,('3a Raw'!J1183-$P3)/$P4)))</f>
        <v/>
      </c>
      <c r="Q1183" s="3">
        <f>IF(P1183="","",(P1183-AVERAGE(P6:P1198))/(STDEV(P6:P1198)+1E-12))</f>
        <v/>
      </c>
      <c r="R1183" s="3">
        <f>IF('3a Raw'!K1183="","",MAX(-3,MIN(3,('3a Raw'!K1183-$R3)/$R4)))</f>
        <v/>
      </c>
      <c r="S1183" s="3">
        <f>IF(R1183="","",(R1183-AVERAGE(R6:R1198))/(STDEV(R6:R1198)+1E-12))</f>
        <v/>
      </c>
      <c r="T1183" s="3">
        <f>IF('3a Raw'!L1183="","",MAX(-3,MIN(3,('3a Raw'!L1183-$T3)/$T4)))</f>
        <v/>
      </c>
      <c r="U1183" s="3">
        <f>IF(T1183="","",(T1183-AVERAGE(T6:T1198))/(STDEV(T6:T1198)+1E-12))</f>
        <v/>
      </c>
      <c r="X1183" s="3">
        <f>IF(U1183="","",U1183-($V$3*G1183+$W$3))</f>
        <v/>
      </c>
      <c r="Y1183" s="3">
        <f>IF(X1183="","",MAX(-3,MIN(3,(X1183-$X3)/$X4)))</f>
        <v/>
      </c>
      <c r="Z1183" s="3">
        <f>IF(Y1183="","",(Y1183-AVERAGE(Y6:Y1198))/(STDEV(Y6:Y1198)+1E-12))</f>
        <v/>
      </c>
    </row>
    <row r="1184">
      <c r="A1184" t="inlineStr">
        <is>
          <t>BBG001D8R5D0</t>
        </is>
      </c>
      <c r="B1184" s="3">
        <f>IF('3a Raw'!C1184="","",MAX(-3,MIN(3,('3a Raw'!C1184-$B3)/$B4)))</f>
        <v/>
      </c>
      <c r="C1184" s="3">
        <f>IF(B1184="","",(B1184-AVERAGE(B6:B1198))/(STDEV(B6:B1198)+1E-12))</f>
        <v/>
      </c>
      <c r="D1184" s="3">
        <f>IF('3a Raw'!D1184="","",MAX(-3,MIN(3,('3a Raw'!D1184-$D3)/$D4)))</f>
        <v/>
      </c>
      <c r="E1184" s="3">
        <f>IF(D1184="","",(D1184-AVERAGE(D6:D1198))/(STDEV(D6:D1198)+1E-12))</f>
        <v/>
      </c>
      <c r="F1184" s="3">
        <f>IF('3a Raw'!E1184="","",MAX(-3,MIN(3,('3a Raw'!E1184-$F3)/$F4)))</f>
        <v/>
      </c>
      <c r="G1184" s="3">
        <f>IF(F1184="","",(F1184-AVERAGE(F6:F1198))/(STDEV(F6:F1198)+1E-12))</f>
        <v/>
      </c>
      <c r="H1184" s="3">
        <f>IF('3a Raw'!F1184="","",MAX(-3,MIN(3,('3a Raw'!F1184-$H3)/$H4)))</f>
        <v/>
      </c>
      <c r="I1184" s="3">
        <f>IF(H1184="","",(H1184-AVERAGE(H6:H1198))/(STDEV(H6:H1198)+1E-12))</f>
        <v/>
      </c>
      <c r="J1184" s="3">
        <f>IF('3a Raw'!G1184="","",MAX(-3,MIN(3,('3a Raw'!G1184-$J3)/$J4)))</f>
        <v/>
      </c>
      <c r="K1184" s="3">
        <f>IF(J1184="","",(J1184-AVERAGE(J6:J1198))/(STDEV(J6:J1198)+1E-12))</f>
        <v/>
      </c>
      <c r="L1184" s="3">
        <f>IF('3a Raw'!H1184="","",MAX(-3,MIN(3,('3a Raw'!H1184-$L3)/$L4)))</f>
        <v/>
      </c>
      <c r="M1184" s="3">
        <f>IF(L1184="","",(L1184-AVERAGE(L6:L1198))/(STDEV(L6:L1198)+1E-12))</f>
        <v/>
      </c>
      <c r="N1184" s="3">
        <f>IF('3a Raw'!I1184="","",MAX(-3,MIN(3,('3a Raw'!I1184-$N3)/$N4)))</f>
        <v/>
      </c>
      <c r="O1184" s="3">
        <f>IF(N1184="","",(N1184-AVERAGE(N6:N1198))/(STDEV(N6:N1198)+1E-12))</f>
        <v/>
      </c>
      <c r="P1184" s="3">
        <f>IF('3a Raw'!J1184="","",MAX(-3,MIN(3,('3a Raw'!J1184-$P3)/$P4)))</f>
        <v/>
      </c>
      <c r="Q1184" s="3">
        <f>IF(P1184="","",(P1184-AVERAGE(P6:P1198))/(STDEV(P6:P1198)+1E-12))</f>
        <v/>
      </c>
      <c r="R1184" s="3">
        <f>IF('3a Raw'!K1184="","",MAX(-3,MIN(3,('3a Raw'!K1184-$R3)/$R4)))</f>
        <v/>
      </c>
      <c r="S1184" s="3">
        <f>IF(R1184="","",(R1184-AVERAGE(R6:R1198))/(STDEV(R6:R1198)+1E-12))</f>
        <v/>
      </c>
      <c r="T1184" s="3">
        <f>IF('3a Raw'!L1184="","",MAX(-3,MIN(3,('3a Raw'!L1184-$T3)/$T4)))</f>
        <v/>
      </c>
      <c r="U1184" s="3">
        <f>IF(T1184="","",(T1184-AVERAGE(T6:T1198))/(STDEV(T6:T1198)+1E-12))</f>
        <v/>
      </c>
      <c r="X1184" s="3">
        <f>IF(U1184="","",U1184-($V$3*G1184+$W$3))</f>
        <v/>
      </c>
      <c r="Y1184" s="3">
        <f>IF(X1184="","",MAX(-3,MIN(3,(X1184-$X3)/$X4)))</f>
        <v/>
      </c>
      <c r="Z1184" s="3">
        <f>IF(Y1184="","",(Y1184-AVERAGE(Y6:Y1198))/(STDEV(Y6:Y1198)+1E-12))</f>
        <v/>
      </c>
    </row>
    <row r="1185">
      <c r="A1185" t="inlineStr">
        <is>
          <t>BBG0018SLC07</t>
        </is>
      </c>
      <c r="B1185" s="3">
        <f>IF('3a Raw'!C1185="","",MAX(-3,MIN(3,('3a Raw'!C1185-$B3)/$B4)))</f>
        <v/>
      </c>
      <c r="C1185" s="3">
        <f>IF(B1185="","",(B1185-AVERAGE(B6:B1198))/(STDEV(B6:B1198)+1E-12))</f>
        <v/>
      </c>
      <c r="D1185" s="3">
        <f>IF('3a Raw'!D1185="","",MAX(-3,MIN(3,('3a Raw'!D1185-$D3)/$D4)))</f>
        <v/>
      </c>
      <c r="E1185" s="3">
        <f>IF(D1185="","",(D1185-AVERAGE(D6:D1198))/(STDEV(D6:D1198)+1E-12))</f>
        <v/>
      </c>
      <c r="F1185" s="3">
        <f>IF('3a Raw'!E1185="","",MAX(-3,MIN(3,('3a Raw'!E1185-$F3)/$F4)))</f>
        <v/>
      </c>
      <c r="G1185" s="3">
        <f>IF(F1185="","",(F1185-AVERAGE(F6:F1198))/(STDEV(F6:F1198)+1E-12))</f>
        <v/>
      </c>
      <c r="H1185" s="3">
        <f>IF('3a Raw'!F1185="","",MAX(-3,MIN(3,('3a Raw'!F1185-$H3)/$H4)))</f>
        <v/>
      </c>
      <c r="I1185" s="3">
        <f>IF(H1185="","",(H1185-AVERAGE(H6:H1198))/(STDEV(H6:H1198)+1E-12))</f>
        <v/>
      </c>
      <c r="J1185" s="3">
        <f>IF('3a Raw'!G1185="","",MAX(-3,MIN(3,('3a Raw'!G1185-$J3)/$J4)))</f>
        <v/>
      </c>
      <c r="K1185" s="3">
        <f>IF(J1185="","",(J1185-AVERAGE(J6:J1198))/(STDEV(J6:J1198)+1E-12))</f>
        <v/>
      </c>
      <c r="L1185" s="3">
        <f>IF('3a Raw'!H1185="","",MAX(-3,MIN(3,('3a Raw'!H1185-$L3)/$L4)))</f>
        <v/>
      </c>
      <c r="M1185" s="3">
        <f>IF(L1185="","",(L1185-AVERAGE(L6:L1198))/(STDEV(L6:L1198)+1E-12))</f>
        <v/>
      </c>
      <c r="N1185" s="3">
        <f>IF('3a Raw'!I1185="","",MAX(-3,MIN(3,('3a Raw'!I1185-$N3)/$N4)))</f>
        <v/>
      </c>
      <c r="O1185" s="3">
        <f>IF(N1185="","",(N1185-AVERAGE(N6:N1198))/(STDEV(N6:N1198)+1E-12))</f>
        <v/>
      </c>
      <c r="P1185" s="3">
        <f>IF('3a Raw'!J1185="","",MAX(-3,MIN(3,('3a Raw'!J1185-$P3)/$P4)))</f>
        <v/>
      </c>
      <c r="Q1185" s="3">
        <f>IF(P1185="","",(P1185-AVERAGE(P6:P1198))/(STDEV(P6:P1198)+1E-12))</f>
        <v/>
      </c>
      <c r="R1185" s="3">
        <f>IF('3a Raw'!K1185="","",MAX(-3,MIN(3,('3a Raw'!K1185-$R3)/$R4)))</f>
        <v/>
      </c>
      <c r="S1185" s="3">
        <f>IF(R1185="","",(R1185-AVERAGE(R6:R1198))/(STDEV(R6:R1198)+1E-12))</f>
        <v/>
      </c>
      <c r="T1185" s="3">
        <f>IF('3a Raw'!L1185="","",MAX(-3,MIN(3,('3a Raw'!L1185-$T3)/$T4)))</f>
        <v/>
      </c>
      <c r="U1185" s="3">
        <f>IF(T1185="","",(T1185-AVERAGE(T6:T1198))/(STDEV(T6:T1198)+1E-12))</f>
        <v/>
      </c>
      <c r="X1185" s="3">
        <f>IF(U1185="","",U1185-($V$3*G1185+$W$3))</f>
        <v/>
      </c>
      <c r="Y1185" s="3">
        <f>IF(X1185="","",MAX(-3,MIN(3,(X1185-$X3)/$X4)))</f>
        <v/>
      </c>
      <c r="Z1185" s="3">
        <f>IF(Y1185="","",(Y1185-AVERAGE(Y6:Y1198))/(STDEV(Y6:Y1198)+1E-12))</f>
        <v/>
      </c>
    </row>
    <row r="1186">
      <c r="A1186" t="inlineStr">
        <is>
          <t>BBG000Q2HM09</t>
        </is>
      </c>
      <c r="B1186" s="3">
        <f>IF('3a Raw'!C1186="","",MAX(-3,MIN(3,('3a Raw'!C1186-$B3)/$B4)))</f>
        <v/>
      </c>
      <c r="C1186" s="3">
        <f>IF(B1186="","",(B1186-AVERAGE(B6:B1198))/(STDEV(B6:B1198)+1E-12))</f>
        <v/>
      </c>
      <c r="D1186" s="3">
        <f>IF('3a Raw'!D1186="","",MAX(-3,MIN(3,('3a Raw'!D1186-$D3)/$D4)))</f>
        <v/>
      </c>
      <c r="E1186" s="3">
        <f>IF(D1186="","",(D1186-AVERAGE(D6:D1198))/(STDEV(D6:D1198)+1E-12))</f>
        <v/>
      </c>
      <c r="F1186" s="3">
        <f>IF('3a Raw'!E1186="","",MAX(-3,MIN(3,('3a Raw'!E1186-$F3)/$F4)))</f>
        <v/>
      </c>
      <c r="G1186" s="3">
        <f>IF(F1186="","",(F1186-AVERAGE(F6:F1198))/(STDEV(F6:F1198)+1E-12))</f>
        <v/>
      </c>
      <c r="H1186" s="3">
        <f>IF('3a Raw'!F1186="","",MAX(-3,MIN(3,('3a Raw'!F1186-$H3)/$H4)))</f>
        <v/>
      </c>
      <c r="I1186" s="3">
        <f>IF(H1186="","",(H1186-AVERAGE(H6:H1198))/(STDEV(H6:H1198)+1E-12))</f>
        <v/>
      </c>
      <c r="J1186" s="3">
        <f>IF('3a Raw'!G1186="","",MAX(-3,MIN(3,('3a Raw'!G1186-$J3)/$J4)))</f>
        <v/>
      </c>
      <c r="K1186" s="3">
        <f>IF(J1186="","",(J1186-AVERAGE(J6:J1198))/(STDEV(J6:J1198)+1E-12))</f>
        <v/>
      </c>
      <c r="L1186" s="3">
        <f>IF('3a Raw'!H1186="","",MAX(-3,MIN(3,('3a Raw'!H1186-$L3)/$L4)))</f>
        <v/>
      </c>
      <c r="M1186" s="3">
        <f>IF(L1186="","",(L1186-AVERAGE(L6:L1198))/(STDEV(L6:L1198)+1E-12))</f>
        <v/>
      </c>
      <c r="N1186" s="3">
        <f>IF('3a Raw'!I1186="","",MAX(-3,MIN(3,('3a Raw'!I1186-$N3)/$N4)))</f>
        <v/>
      </c>
      <c r="O1186" s="3">
        <f>IF(N1186="","",(N1186-AVERAGE(N6:N1198))/(STDEV(N6:N1198)+1E-12))</f>
        <v/>
      </c>
      <c r="P1186" s="3">
        <f>IF('3a Raw'!J1186="","",MAX(-3,MIN(3,('3a Raw'!J1186-$P3)/$P4)))</f>
        <v/>
      </c>
      <c r="Q1186" s="3">
        <f>IF(P1186="","",(P1186-AVERAGE(P6:P1198))/(STDEV(P6:P1198)+1E-12))</f>
        <v/>
      </c>
      <c r="R1186" s="3">
        <f>IF('3a Raw'!K1186="","",MAX(-3,MIN(3,('3a Raw'!K1186-$R3)/$R4)))</f>
        <v/>
      </c>
      <c r="S1186" s="3">
        <f>IF(R1186="","",(R1186-AVERAGE(R6:R1198))/(STDEV(R6:R1198)+1E-12))</f>
        <v/>
      </c>
      <c r="T1186" s="3">
        <f>IF('3a Raw'!L1186="","",MAX(-3,MIN(3,('3a Raw'!L1186-$T3)/$T4)))</f>
        <v/>
      </c>
      <c r="U1186" s="3">
        <f>IF(T1186="","",(T1186-AVERAGE(T6:T1198))/(STDEV(T6:T1198)+1E-12))</f>
        <v/>
      </c>
      <c r="X1186" s="3">
        <f>IF(U1186="","",U1186-($V$3*G1186+$W$3))</f>
        <v/>
      </c>
      <c r="Y1186" s="3">
        <f>IF(X1186="","",MAX(-3,MIN(3,(X1186-$X3)/$X4)))</f>
        <v/>
      </c>
      <c r="Z1186" s="3">
        <f>IF(Y1186="","",(Y1186-AVERAGE(Y6:Y1198))/(STDEV(Y6:Y1198)+1E-12))</f>
        <v/>
      </c>
    </row>
    <row r="1187">
      <c r="A1187" t="inlineStr">
        <is>
          <t>BBG000BHPFQ0</t>
        </is>
      </c>
      <c r="B1187" s="3">
        <f>IF('3a Raw'!C1187="","",MAX(-3,MIN(3,('3a Raw'!C1187-$B3)/$B4)))</f>
        <v/>
      </c>
      <c r="C1187" s="3">
        <f>IF(B1187="","",(B1187-AVERAGE(B6:B1198))/(STDEV(B6:B1198)+1E-12))</f>
        <v/>
      </c>
      <c r="D1187" s="3">
        <f>IF('3a Raw'!D1187="","",MAX(-3,MIN(3,('3a Raw'!D1187-$D3)/$D4)))</f>
        <v/>
      </c>
      <c r="E1187" s="3">
        <f>IF(D1187="","",(D1187-AVERAGE(D6:D1198))/(STDEV(D6:D1198)+1E-12))</f>
        <v/>
      </c>
      <c r="F1187" s="3">
        <f>IF('3a Raw'!E1187="","",MAX(-3,MIN(3,('3a Raw'!E1187-$F3)/$F4)))</f>
        <v/>
      </c>
      <c r="G1187" s="3">
        <f>IF(F1187="","",(F1187-AVERAGE(F6:F1198))/(STDEV(F6:F1198)+1E-12))</f>
        <v/>
      </c>
      <c r="H1187" s="3">
        <f>IF('3a Raw'!F1187="","",MAX(-3,MIN(3,('3a Raw'!F1187-$H3)/$H4)))</f>
        <v/>
      </c>
      <c r="I1187" s="3">
        <f>IF(H1187="","",(H1187-AVERAGE(H6:H1198))/(STDEV(H6:H1198)+1E-12))</f>
        <v/>
      </c>
      <c r="J1187" s="3">
        <f>IF('3a Raw'!G1187="","",MAX(-3,MIN(3,('3a Raw'!G1187-$J3)/$J4)))</f>
        <v/>
      </c>
      <c r="K1187" s="3">
        <f>IF(J1187="","",(J1187-AVERAGE(J6:J1198))/(STDEV(J6:J1198)+1E-12))</f>
        <v/>
      </c>
      <c r="L1187" s="3">
        <f>IF('3a Raw'!H1187="","",MAX(-3,MIN(3,('3a Raw'!H1187-$L3)/$L4)))</f>
        <v/>
      </c>
      <c r="M1187" s="3">
        <f>IF(L1187="","",(L1187-AVERAGE(L6:L1198))/(STDEV(L6:L1198)+1E-12))</f>
        <v/>
      </c>
      <c r="N1187" s="3">
        <f>IF('3a Raw'!I1187="","",MAX(-3,MIN(3,('3a Raw'!I1187-$N3)/$N4)))</f>
        <v/>
      </c>
      <c r="O1187" s="3">
        <f>IF(N1187="","",(N1187-AVERAGE(N6:N1198))/(STDEV(N6:N1198)+1E-12))</f>
        <v/>
      </c>
      <c r="P1187" s="3">
        <f>IF('3a Raw'!J1187="","",MAX(-3,MIN(3,('3a Raw'!J1187-$P3)/$P4)))</f>
        <v/>
      </c>
      <c r="Q1187" s="3">
        <f>IF(P1187="","",(P1187-AVERAGE(P6:P1198))/(STDEV(P6:P1198)+1E-12))</f>
        <v/>
      </c>
      <c r="R1187" s="3">
        <f>IF('3a Raw'!K1187="","",MAX(-3,MIN(3,('3a Raw'!K1187-$R3)/$R4)))</f>
        <v/>
      </c>
      <c r="S1187" s="3">
        <f>IF(R1187="","",(R1187-AVERAGE(R6:R1198))/(STDEV(R6:R1198)+1E-12))</f>
        <v/>
      </c>
      <c r="T1187" s="3">
        <f>IF('3a Raw'!L1187="","",MAX(-3,MIN(3,('3a Raw'!L1187-$T3)/$T4)))</f>
        <v/>
      </c>
      <c r="U1187" s="3">
        <f>IF(T1187="","",(T1187-AVERAGE(T6:T1198))/(STDEV(T6:T1198)+1E-12))</f>
        <v/>
      </c>
      <c r="X1187" s="3">
        <f>IF(U1187="","",U1187-($V$3*G1187+$W$3))</f>
        <v/>
      </c>
      <c r="Y1187" s="3">
        <f>IF(X1187="","",MAX(-3,MIN(3,(X1187-$X3)/$X4)))</f>
        <v/>
      </c>
      <c r="Z1187" s="3">
        <f>IF(Y1187="","",(Y1187-AVERAGE(Y6:Y1198))/(STDEV(Y6:Y1198)+1E-12))</f>
        <v/>
      </c>
    </row>
    <row r="1188">
      <c r="A1188" t="inlineStr">
        <is>
          <t>BBG000BH3GZ2</t>
        </is>
      </c>
      <c r="B1188" s="3">
        <f>IF('3a Raw'!C1188="","",MAX(-3,MIN(3,('3a Raw'!C1188-$B3)/$B4)))</f>
        <v/>
      </c>
      <c r="C1188" s="3">
        <f>IF(B1188="","",(B1188-AVERAGE(B6:B1198))/(STDEV(B6:B1198)+1E-12))</f>
        <v/>
      </c>
      <c r="D1188" s="3">
        <f>IF('3a Raw'!D1188="","",MAX(-3,MIN(3,('3a Raw'!D1188-$D3)/$D4)))</f>
        <v/>
      </c>
      <c r="E1188" s="3">
        <f>IF(D1188="","",(D1188-AVERAGE(D6:D1198))/(STDEV(D6:D1198)+1E-12))</f>
        <v/>
      </c>
      <c r="F1188" s="3">
        <f>IF('3a Raw'!E1188="","",MAX(-3,MIN(3,('3a Raw'!E1188-$F3)/$F4)))</f>
        <v/>
      </c>
      <c r="G1188" s="3">
        <f>IF(F1188="","",(F1188-AVERAGE(F6:F1198))/(STDEV(F6:F1198)+1E-12))</f>
        <v/>
      </c>
      <c r="H1188" s="3">
        <f>IF('3a Raw'!F1188="","",MAX(-3,MIN(3,('3a Raw'!F1188-$H3)/$H4)))</f>
        <v/>
      </c>
      <c r="I1188" s="3">
        <f>IF(H1188="","",(H1188-AVERAGE(H6:H1198))/(STDEV(H6:H1198)+1E-12))</f>
        <v/>
      </c>
      <c r="J1188" s="3">
        <f>IF('3a Raw'!G1188="","",MAX(-3,MIN(3,('3a Raw'!G1188-$J3)/$J4)))</f>
        <v/>
      </c>
      <c r="K1188" s="3">
        <f>IF(J1188="","",(J1188-AVERAGE(J6:J1198))/(STDEV(J6:J1198)+1E-12))</f>
        <v/>
      </c>
      <c r="L1188" s="3">
        <f>IF('3a Raw'!H1188="","",MAX(-3,MIN(3,('3a Raw'!H1188-$L3)/$L4)))</f>
        <v/>
      </c>
      <c r="M1188" s="3">
        <f>IF(L1188="","",(L1188-AVERAGE(L6:L1198))/(STDEV(L6:L1198)+1E-12))</f>
        <v/>
      </c>
      <c r="N1188" s="3">
        <f>IF('3a Raw'!I1188="","",MAX(-3,MIN(3,('3a Raw'!I1188-$N3)/$N4)))</f>
        <v/>
      </c>
      <c r="O1188" s="3">
        <f>IF(N1188="","",(N1188-AVERAGE(N6:N1198))/(STDEV(N6:N1198)+1E-12))</f>
        <v/>
      </c>
      <c r="P1188" s="3">
        <f>IF('3a Raw'!J1188="","",MAX(-3,MIN(3,('3a Raw'!J1188-$P3)/$P4)))</f>
        <v/>
      </c>
      <c r="Q1188" s="3">
        <f>IF(P1188="","",(P1188-AVERAGE(P6:P1198))/(STDEV(P6:P1198)+1E-12))</f>
        <v/>
      </c>
      <c r="R1188" s="3">
        <f>IF('3a Raw'!K1188="","",MAX(-3,MIN(3,('3a Raw'!K1188-$R3)/$R4)))</f>
        <v/>
      </c>
      <c r="S1188" s="3">
        <f>IF(R1188="","",(R1188-AVERAGE(R6:R1198))/(STDEV(R6:R1198)+1E-12))</f>
        <v/>
      </c>
      <c r="T1188" s="3">
        <f>IF('3a Raw'!L1188="","",MAX(-3,MIN(3,('3a Raw'!L1188-$T3)/$T4)))</f>
        <v/>
      </c>
      <c r="U1188" s="3">
        <f>IF(T1188="","",(T1188-AVERAGE(T6:T1198))/(STDEV(T6:T1198)+1E-12))</f>
        <v/>
      </c>
      <c r="X1188" s="3">
        <f>IF(U1188="","",U1188-($V$3*G1188+$W$3))</f>
        <v/>
      </c>
      <c r="Y1188" s="3">
        <f>IF(X1188="","",MAX(-3,MIN(3,(X1188-$X3)/$X4)))</f>
        <v/>
      </c>
      <c r="Z1188" s="3">
        <f>IF(Y1188="","",(Y1188-AVERAGE(Y6:Y1198))/(STDEV(Y6:Y1198)+1E-12))</f>
        <v/>
      </c>
    </row>
    <row r="1189">
      <c r="A1189" t="inlineStr">
        <is>
          <t>BBG009NRSWJ4</t>
        </is>
      </c>
      <c r="B1189" s="3">
        <f>IF('3a Raw'!C1189="","",MAX(-3,MIN(3,('3a Raw'!C1189-$B3)/$B4)))</f>
        <v/>
      </c>
      <c r="C1189" s="3">
        <f>IF(B1189="","",(B1189-AVERAGE(B6:B1198))/(STDEV(B6:B1198)+1E-12))</f>
        <v/>
      </c>
      <c r="D1189" s="3">
        <f>IF('3a Raw'!D1189="","",MAX(-3,MIN(3,('3a Raw'!D1189-$D3)/$D4)))</f>
        <v/>
      </c>
      <c r="E1189" s="3">
        <f>IF(D1189="","",(D1189-AVERAGE(D6:D1198))/(STDEV(D6:D1198)+1E-12))</f>
        <v/>
      </c>
      <c r="F1189" s="3">
        <f>IF('3a Raw'!E1189="","",MAX(-3,MIN(3,('3a Raw'!E1189-$F3)/$F4)))</f>
        <v/>
      </c>
      <c r="G1189" s="3">
        <f>IF(F1189="","",(F1189-AVERAGE(F6:F1198))/(STDEV(F6:F1198)+1E-12))</f>
        <v/>
      </c>
      <c r="H1189" s="3">
        <f>IF('3a Raw'!F1189="","",MAX(-3,MIN(3,('3a Raw'!F1189-$H3)/$H4)))</f>
        <v/>
      </c>
      <c r="I1189" s="3">
        <f>IF(H1189="","",(H1189-AVERAGE(H6:H1198))/(STDEV(H6:H1198)+1E-12))</f>
        <v/>
      </c>
      <c r="J1189" s="3">
        <f>IF('3a Raw'!G1189="","",MAX(-3,MIN(3,('3a Raw'!G1189-$J3)/$J4)))</f>
        <v/>
      </c>
      <c r="K1189" s="3">
        <f>IF(J1189="","",(J1189-AVERAGE(J6:J1198))/(STDEV(J6:J1198)+1E-12))</f>
        <v/>
      </c>
      <c r="L1189" s="3">
        <f>IF('3a Raw'!H1189="","",MAX(-3,MIN(3,('3a Raw'!H1189-$L3)/$L4)))</f>
        <v/>
      </c>
      <c r="M1189" s="3">
        <f>IF(L1189="","",(L1189-AVERAGE(L6:L1198))/(STDEV(L6:L1198)+1E-12))</f>
        <v/>
      </c>
      <c r="N1189" s="3">
        <f>IF('3a Raw'!I1189="","",MAX(-3,MIN(3,('3a Raw'!I1189-$N3)/$N4)))</f>
        <v/>
      </c>
      <c r="O1189" s="3">
        <f>IF(N1189="","",(N1189-AVERAGE(N6:N1198))/(STDEV(N6:N1198)+1E-12))</f>
        <v/>
      </c>
      <c r="P1189" s="3">
        <f>IF('3a Raw'!J1189="","",MAX(-3,MIN(3,('3a Raw'!J1189-$P3)/$P4)))</f>
        <v/>
      </c>
      <c r="Q1189" s="3">
        <f>IF(P1189="","",(P1189-AVERAGE(P6:P1198))/(STDEV(P6:P1198)+1E-12))</f>
        <v/>
      </c>
      <c r="R1189" s="3">
        <f>IF('3a Raw'!K1189="","",MAX(-3,MIN(3,('3a Raw'!K1189-$R3)/$R4)))</f>
        <v/>
      </c>
      <c r="S1189" s="3">
        <f>IF(R1189="","",(R1189-AVERAGE(R6:R1198))/(STDEV(R6:R1198)+1E-12))</f>
        <v/>
      </c>
      <c r="T1189" s="3">
        <f>IF('3a Raw'!L1189="","",MAX(-3,MIN(3,('3a Raw'!L1189-$T3)/$T4)))</f>
        <v/>
      </c>
      <c r="U1189" s="3">
        <f>IF(T1189="","",(T1189-AVERAGE(T6:T1198))/(STDEV(T6:T1198)+1E-12))</f>
        <v/>
      </c>
      <c r="X1189" s="3">
        <f>IF(U1189="","",U1189-($V$3*G1189+$W$3))</f>
        <v/>
      </c>
      <c r="Y1189" s="3">
        <f>IF(X1189="","",MAX(-3,MIN(3,(X1189-$X3)/$X4)))</f>
        <v/>
      </c>
      <c r="Z1189" s="3">
        <f>IF(Y1189="","",(Y1189-AVERAGE(Y6:Y1198))/(STDEV(Y6:Y1198)+1E-12))</f>
        <v/>
      </c>
    </row>
    <row r="1190">
      <c r="A1190" t="inlineStr">
        <is>
          <t>BBG000BKPL53</t>
        </is>
      </c>
      <c r="B1190" s="3">
        <f>IF('3a Raw'!C1190="","",MAX(-3,MIN(3,('3a Raw'!C1190-$B3)/$B4)))</f>
        <v/>
      </c>
      <c r="C1190" s="3">
        <f>IF(B1190="","",(B1190-AVERAGE(B6:B1198))/(STDEV(B6:B1198)+1E-12))</f>
        <v/>
      </c>
      <c r="D1190" s="3">
        <f>IF('3a Raw'!D1190="","",MAX(-3,MIN(3,('3a Raw'!D1190-$D3)/$D4)))</f>
        <v/>
      </c>
      <c r="E1190" s="3">
        <f>IF(D1190="","",(D1190-AVERAGE(D6:D1198))/(STDEV(D6:D1198)+1E-12))</f>
        <v/>
      </c>
      <c r="F1190" s="3">
        <f>IF('3a Raw'!E1190="","",MAX(-3,MIN(3,('3a Raw'!E1190-$F3)/$F4)))</f>
        <v/>
      </c>
      <c r="G1190" s="3">
        <f>IF(F1190="","",(F1190-AVERAGE(F6:F1198))/(STDEV(F6:F1198)+1E-12))</f>
        <v/>
      </c>
      <c r="H1190" s="3">
        <f>IF('3a Raw'!F1190="","",MAX(-3,MIN(3,('3a Raw'!F1190-$H3)/$H4)))</f>
        <v/>
      </c>
      <c r="I1190" s="3">
        <f>IF(H1190="","",(H1190-AVERAGE(H6:H1198))/(STDEV(H6:H1198)+1E-12))</f>
        <v/>
      </c>
      <c r="J1190" s="3">
        <f>IF('3a Raw'!G1190="","",MAX(-3,MIN(3,('3a Raw'!G1190-$J3)/$J4)))</f>
        <v/>
      </c>
      <c r="K1190" s="3">
        <f>IF(J1190="","",(J1190-AVERAGE(J6:J1198))/(STDEV(J6:J1198)+1E-12))</f>
        <v/>
      </c>
      <c r="L1190" s="3">
        <f>IF('3a Raw'!H1190="","",MAX(-3,MIN(3,('3a Raw'!H1190-$L3)/$L4)))</f>
        <v/>
      </c>
      <c r="M1190" s="3">
        <f>IF(L1190="","",(L1190-AVERAGE(L6:L1198))/(STDEV(L6:L1198)+1E-12))</f>
        <v/>
      </c>
      <c r="N1190" s="3">
        <f>IF('3a Raw'!I1190="","",MAX(-3,MIN(3,('3a Raw'!I1190-$N3)/$N4)))</f>
        <v/>
      </c>
      <c r="O1190" s="3">
        <f>IF(N1190="","",(N1190-AVERAGE(N6:N1198))/(STDEV(N6:N1198)+1E-12))</f>
        <v/>
      </c>
      <c r="P1190" s="3">
        <f>IF('3a Raw'!J1190="","",MAX(-3,MIN(3,('3a Raw'!J1190-$P3)/$P4)))</f>
        <v/>
      </c>
      <c r="Q1190" s="3">
        <f>IF(P1190="","",(P1190-AVERAGE(P6:P1198))/(STDEV(P6:P1198)+1E-12))</f>
        <v/>
      </c>
      <c r="R1190" s="3">
        <f>IF('3a Raw'!K1190="","",MAX(-3,MIN(3,('3a Raw'!K1190-$R3)/$R4)))</f>
        <v/>
      </c>
      <c r="S1190" s="3">
        <f>IF(R1190="","",(R1190-AVERAGE(R6:R1198))/(STDEV(R6:R1198)+1E-12))</f>
        <v/>
      </c>
      <c r="T1190" s="3">
        <f>IF('3a Raw'!L1190="","",MAX(-3,MIN(3,('3a Raw'!L1190-$T3)/$T4)))</f>
        <v/>
      </c>
      <c r="U1190" s="3">
        <f>IF(T1190="","",(T1190-AVERAGE(T6:T1198))/(STDEV(T6:T1198)+1E-12))</f>
        <v/>
      </c>
      <c r="X1190" s="3">
        <f>IF(U1190="","",U1190-($V$3*G1190+$W$3))</f>
        <v/>
      </c>
      <c r="Y1190" s="3">
        <f>IF(X1190="","",MAX(-3,MIN(3,(X1190-$X3)/$X4)))</f>
        <v/>
      </c>
      <c r="Z1190" s="3">
        <f>IF(Y1190="","",(Y1190-AVERAGE(Y6:Y1198))/(STDEV(Y6:Y1198)+1E-12))</f>
        <v/>
      </c>
    </row>
    <row r="1191">
      <c r="A1191" t="inlineStr">
        <is>
          <t>BBG01J1MG9D6</t>
        </is>
      </c>
      <c r="B1191" s="3">
        <f>IF('3a Raw'!C1191="","",MAX(-3,MIN(3,('3a Raw'!C1191-$B3)/$B4)))</f>
        <v/>
      </c>
      <c r="C1191" s="3">
        <f>IF(B1191="","",(B1191-AVERAGE(B6:B1198))/(STDEV(B6:B1198)+1E-12))</f>
        <v/>
      </c>
      <c r="D1191" s="3">
        <f>IF('3a Raw'!D1191="","",MAX(-3,MIN(3,('3a Raw'!D1191-$D3)/$D4)))</f>
        <v/>
      </c>
      <c r="E1191" s="3">
        <f>IF(D1191="","",(D1191-AVERAGE(D6:D1198))/(STDEV(D6:D1198)+1E-12))</f>
        <v/>
      </c>
      <c r="F1191" s="3">
        <f>IF('3a Raw'!E1191="","",MAX(-3,MIN(3,('3a Raw'!E1191-$F3)/$F4)))</f>
        <v/>
      </c>
      <c r="G1191" s="3">
        <f>IF(F1191="","",(F1191-AVERAGE(F6:F1198))/(STDEV(F6:F1198)+1E-12))</f>
        <v/>
      </c>
      <c r="H1191" s="3">
        <f>IF('3a Raw'!F1191="","",MAX(-3,MIN(3,('3a Raw'!F1191-$H3)/$H4)))</f>
        <v/>
      </c>
      <c r="I1191" s="3">
        <f>IF(H1191="","",(H1191-AVERAGE(H6:H1198))/(STDEV(H6:H1198)+1E-12))</f>
        <v/>
      </c>
      <c r="J1191" s="3">
        <f>IF('3a Raw'!G1191="","",MAX(-3,MIN(3,('3a Raw'!G1191-$J3)/$J4)))</f>
        <v/>
      </c>
      <c r="K1191" s="3">
        <f>IF(J1191="","",(J1191-AVERAGE(J6:J1198))/(STDEV(J6:J1198)+1E-12))</f>
        <v/>
      </c>
      <c r="L1191" s="3">
        <f>IF('3a Raw'!H1191="","",MAX(-3,MIN(3,('3a Raw'!H1191-$L3)/$L4)))</f>
        <v/>
      </c>
      <c r="M1191" s="3">
        <f>IF(L1191="","",(L1191-AVERAGE(L6:L1198))/(STDEV(L6:L1198)+1E-12))</f>
        <v/>
      </c>
      <c r="N1191" s="3">
        <f>IF('3a Raw'!I1191="","",MAX(-3,MIN(3,('3a Raw'!I1191-$N3)/$N4)))</f>
        <v/>
      </c>
      <c r="O1191" s="3">
        <f>IF(N1191="","",(N1191-AVERAGE(N6:N1198))/(STDEV(N6:N1198)+1E-12))</f>
        <v/>
      </c>
      <c r="P1191" s="3">
        <f>IF('3a Raw'!J1191="","",MAX(-3,MIN(3,('3a Raw'!J1191-$P3)/$P4)))</f>
        <v/>
      </c>
      <c r="Q1191" s="3">
        <f>IF(P1191="","",(P1191-AVERAGE(P6:P1198))/(STDEV(P6:P1198)+1E-12))</f>
        <v/>
      </c>
      <c r="R1191" s="3">
        <f>IF('3a Raw'!K1191="","",MAX(-3,MIN(3,('3a Raw'!K1191-$R3)/$R4)))</f>
        <v/>
      </c>
      <c r="S1191" s="3">
        <f>IF(R1191="","",(R1191-AVERAGE(R6:R1198))/(STDEV(R6:R1198)+1E-12))</f>
        <v/>
      </c>
      <c r="T1191" s="3">
        <f>IF('3a Raw'!L1191="","",MAX(-3,MIN(3,('3a Raw'!L1191-$T3)/$T4)))</f>
        <v/>
      </c>
      <c r="U1191" s="3">
        <f>IF(T1191="","",(T1191-AVERAGE(T6:T1198))/(STDEV(T6:T1198)+1E-12))</f>
        <v/>
      </c>
      <c r="X1191" s="3">
        <f>IF(U1191="","",U1191-($V$3*G1191+$W$3))</f>
        <v/>
      </c>
      <c r="Y1191" s="3">
        <f>IF(X1191="","",MAX(-3,MIN(3,(X1191-$X3)/$X4)))</f>
        <v/>
      </c>
      <c r="Z1191" s="3">
        <f>IF(Y1191="","",(Y1191-AVERAGE(Y6:Y1198))/(STDEV(Y6:Y1198)+1E-12))</f>
        <v/>
      </c>
    </row>
    <row r="1192">
      <c r="A1192" t="inlineStr">
        <is>
          <t>BBG000CC7LQ7</t>
        </is>
      </c>
      <c r="B1192" s="3">
        <f>IF('3a Raw'!C1192="","",MAX(-3,MIN(3,('3a Raw'!C1192-$B3)/$B4)))</f>
        <v/>
      </c>
      <c r="C1192" s="3">
        <f>IF(B1192="","",(B1192-AVERAGE(B6:B1198))/(STDEV(B6:B1198)+1E-12))</f>
        <v/>
      </c>
      <c r="D1192" s="3">
        <f>IF('3a Raw'!D1192="","",MAX(-3,MIN(3,('3a Raw'!D1192-$D3)/$D4)))</f>
        <v/>
      </c>
      <c r="E1192" s="3">
        <f>IF(D1192="","",(D1192-AVERAGE(D6:D1198))/(STDEV(D6:D1198)+1E-12))</f>
        <v/>
      </c>
      <c r="F1192" s="3">
        <f>IF('3a Raw'!E1192="","",MAX(-3,MIN(3,('3a Raw'!E1192-$F3)/$F4)))</f>
        <v/>
      </c>
      <c r="G1192" s="3">
        <f>IF(F1192="","",(F1192-AVERAGE(F6:F1198))/(STDEV(F6:F1198)+1E-12))</f>
        <v/>
      </c>
      <c r="H1192" s="3">
        <f>IF('3a Raw'!F1192="","",MAX(-3,MIN(3,('3a Raw'!F1192-$H3)/$H4)))</f>
        <v/>
      </c>
      <c r="I1192" s="3">
        <f>IF(H1192="","",(H1192-AVERAGE(H6:H1198))/(STDEV(H6:H1198)+1E-12))</f>
        <v/>
      </c>
      <c r="J1192" s="3">
        <f>IF('3a Raw'!G1192="","",MAX(-3,MIN(3,('3a Raw'!G1192-$J3)/$J4)))</f>
        <v/>
      </c>
      <c r="K1192" s="3">
        <f>IF(J1192="","",(J1192-AVERAGE(J6:J1198))/(STDEV(J6:J1198)+1E-12))</f>
        <v/>
      </c>
      <c r="L1192" s="3">
        <f>IF('3a Raw'!H1192="","",MAX(-3,MIN(3,('3a Raw'!H1192-$L3)/$L4)))</f>
        <v/>
      </c>
      <c r="M1192" s="3">
        <f>IF(L1192="","",(L1192-AVERAGE(L6:L1198))/(STDEV(L6:L1198)+1E-12))</f>
        <v/>
      </c>
      <c r="N1192" s="3">
        <f>IF('3a Raw'!I1192="","",MAX(-3,MIN(3,('3a Raw'!I1192-$N3)/$N4)))</f>
        <v/>
      </c>
      <c r="O1192" s="3">
        <f>IF(N1192="","",(N1192-AVERAGE(N6:N1198))/(STDEV(N6:N1198)+1E-12))</f>
        <v/>
      </c>
      <c r="P1192" s="3">
        <f>IF('3a Raw'!J1192="","",MAX(-3,MIN(3,('3a Raw'!J1192-$P3)/$P4)))</f>
        <v/>
      </c>
      <c r="Q1192" s="3">
        <f>IF(P1192="","",(P1192-AVERAGE(P6:P1198))/(STDEV(P6:P1198)+1E-12))</f>
        <v/>
      </c>
      <c r="R1192" s="3">
        <f>IF('3a Raw'!K1192="","",MAX(-3,MIN(3,('3a Raw'!K1192-$R3)/$R4)))</f>
        <v/>
      </c>
      <c r="S1192" s="3">
        <f>IF(R1192="","",(R1192-AVERAGE(R6:R1198))/(STDEV(R6:R1198)+1E-12))</f>
        <v/>
      </c>
      <c r="T1192" s="3">
        <f>IF('3a Raw'!L1192="","",MAX(-3,MIN(3,('3a Raw'!L1192-$T3)/$T4)))</f>
        <v/>
      </c>
      <c r="U1192" s="3">
        <f>IF(T1192="","",(T1192-AVERAGE(T6:T1198))/(STDEV(T6:T1198)+1E-12))</f>
        <v/>
      </c>
      <c r="X1192" s="3">
        <f>IF(U1192="","",U1192-($V$3*G1192+$W$3))</f>
        <v/>
      </c>
      <c r="Y1192" s="3">
        <f>IF(X1192="","",MAX(-3,MIN(3,(X1192-$X3)/$X4)))</f>
        <v/>
      </c>
      <c r="Z1192" s="3">
        <f>IF(Y1192="","",(Y1192-AVERAGE(Y6:Y1198))/(STDEV(Y6:Y1198)+1E-12))</f>
        <v/>
      </c>
    </row>
    <row r="1193">
      <c r="A1193" t="inlineStr">
        <is>
          <t>BBG000BX9WL1</t>
        </is>
      </c>
      <c r="B1193" s="3">
        <f>IF('3a Raw'!C1193="","",MAX(-3,MIN(3,('3a Raw'!C1193-$B3)/$B4)))</f>
        <v/>
      </c>
      <c r="C1193" s="3">
        <f>IF(B1193="","",(B1193-AVERAGE(B6:B1198))/(STDEV(B6:B1198)+1E-12))</f>
        <v/>
      </c>
      <c r="D1193" s="3">
        <f>IF('3a Raw'!D1193="","",MAX(-3,MIN(3,('3a Raw'!D1193-$D3)/$D4)))</f>
        <v/>
      </c>
      <c r="E1193" s="3">
        <f>IF(D1193="","",(D1193-AVERAGE(D6:D1198))/(STDEV(D6:D1198)+1E-12))</f>
        <v/>
      </c>
      <c r="F1193" s="3">
        <f>IF('3a Raw'!E1193="","",MAX(-3,MIN(3,('3a Raw'!E1193-$F3)/$F4)))</f>
        <v/>
      </c>
      <c r="G1193" s="3">
        <f>IF(F1193="","",(F1193-AVERAGE(F6:F1198))/(STDEV(F6:F1198)+1E-12))</f>
        <v/>
      </c>
      <c r="H1193" s="3">
        <f>IF('3a Raw'!F1193="","",MAX(-3,MIN(3,('3a Raw'!F1193-$H3)/$H4)))</f>
        <v/>
      </c>
      <c r="I1193" s="3">
        <f>IF(H1193="","",(H1193-AVERAGE(H6:H1198))/(STDEV(H6:H1198)+1E-12))</f>
        <v/>
      </c>
      <c r="J1193" s="3">
        <f>IF('3a Raw'!G1193="","",MAX(-3,MIN(3,('3a Raw'!G1193-$J3)/$J4)))</f>
        <v/>
      </c>
      <c r="K1193" s="3">
        <f>IF(J1193="","",(J1193-AVERAGE(J6:J1198))/(STDEV(J6:J1198)+1E-12))</f>
        <v/>
      </c>
      <c r="L1193" s="3">
        <f>IF('3a Raw'!H1193="","",MAX(-3,MIN(3,('3a Raw'!H1193-$L3)/$L4)))</f>
        <v/>
      </c>
      <c r="M1193" s="3">
        <f>IF(L1193="","",(L1193-AVERAGE(L6:L1198))/(STDEV(L6:L1198)+1E-12))</f>
        <v/>
      </c>
      <c r="N1193" s="3">
        <f>IF('3a Raw'!I1193="","",MAX(-3,MIN(3,('3a Raw'!I1193-$N3)/$N4)))</f>
        <v/>
      </c>
      <c r="O1193" s="3">
        <f>IF(N1193="","",(N1193-AVERAGE(N6:N1198))/(STDEV(N6:N1198)+1E-12))</f>
        <v/>
      </c>
      <c r="P1193" s="3">
        <f>IF('3a Raw'!J1193="","",MAX(-3,MIN(3,('3a Raw'!J1193-$P3)/$P4)))</f>
        <v/>
      </c>
      <c r="Q1193" s="3">
        <f>IF(P1193="","",(P1193-AVERAGE(P6:P1198))/(STDEV(P6:P1198)+1E-12))</f>
        <v/>
      </c>
      <c r="R1193" s="3">
        <f>IF('3a Raw'!K1193="","",MAX(-3,MIN(3,('3a Raw'!K1193-$R3)/$R4)))</f>
        <v/>
      </c>
      <c r="S1193" s="3">
        <f>IF(R1193="","",(R1193-AVERAGE(R6:R1198))/(STDEV(R6:R1198)+1E-12))</f>
        <v/>
      </c>
      <c r="T1193" s="3">
        <f>IF('3a Raw'!L1193="","",MAX(-3,MIN(3,('3a Raw'!L1193-$T3)/$T4)))</f>
        <v/>
      </c>
      <c r="U1193" s="3">
        <f>IF(T1193="","",(T1193-AVERAGE(T6:T1198))/(STDEV(T6:T1198)+1E-12))</f>
        <v/>
      </c>
      <c r="X1193" s="3">
        <f>IF(U1193="","",U1193-($V$3*G1193+$W$3))</f>
        <v/>
      </c>
      <c r="Y1193" s="3">
        <f>IF(X1193="","",MAX(-3,MIN(3,(X1193-$X3)/$X4)))</f>
        <v/>
      </c>
      <c r="Z1193" s="3">
        <f>IF(Y1193="","",(Y1193-AVERAGE(Y6:Y1198))/(STDEV(Y6:Y1198)+1E-12))</f>
        <v/>
      </c>
    </row>
    <row r="1194">
      <c r="A1194" t="inlineStr">
        <is>
          <t>BBG00HFX3N90</t>
        </is>
      </c>
      <c r="B1194" s="3">
        <f>IF('3a Raw'!C1194="","",MAX(-3,MIN(3,('3a Raw'!C1194-$B3)/$B4)))</f>
        <v/>
      </c>
      <c r="C1194" s="3">
        <f>IF(B1194="","",(B1194-AVERAGE(B6:B1198))/(STDEV(B6:B1198)+1E-12))</f>
        <v/>
      </c>
      <c r="D1194" s="3">
        <f>IF('3a Raw'!D1194="","",MAX(-3,MIN(3,('3a Raw'!D1194-$D3)/$D4)))</f>
        <v/>
      </c>
      <c r="E1194" s="3">
        <f>IF(D1194="","",(D1194-AVERAGE(D6:D1198))/(STDEV(D6:D1198)+1E-12))</f>
        <v/>
      </c>
      <c r="F1194" s="3">
        <f>IF('3a Raw'!E1194="","",MAX(-3,MIN(3,('3a Raw'!E1194-$F3)/$F4)))</f>
        <v/>
      </c>
      <c r="G1194" s="3">
        <f>IF(F1194="","",(F1194-AVERAGE(F6:F1198))/(STDEV(F6:F1198)+1E-12))</f>
        <v/>
      </c>
      <c r="H1194" s="3">
        <f>IF('3a Raw'!F1194="","",MAX(-3,MIN(3,('3a Raw'!F1194-$H3)/$H4)))</f>
        <v/>
      </c>
      <c r="I1194" s="3">
        <f>IF(H1194="","",(H1194-AVERAGE(H6:H1198))/(STDEV(H6:H1198)+1E-12))</f>
        <v/>
      </c>
      <c r="J1194" s="3">
        <f>IF('3a Raw'!G1194="","",MAX(-3,MIN(3,('3a Raw'!G1194-$J3)/$J4)))</f>
        <v/>
      </c>
      <c r="K1194" s="3">
        <f>IF(J1194="","",(J1194-AVERAGE(J6:J1198))/(STDEV(J6:J1198)+1E-12))</f>
        <v/>
      </c>
      <c r="L1194" s="3">
        <f>IF('3a Raw'!H1194="","",MAX(-3,MIN(3,('3a Raw'!H1194-$L3)/$L4)))</f>
        <v/>
      </c>
      <c r="M1194" s="3">
        <f>IF(L1194="","",(L1194-AVERAGE(L6:L1198))/(STDEV(L6:L1198)+1E-12))</f>
        <v/>
      </c>
      <c r="N1194" s="3">
        <f>IF('3a Raw'!I1194="","",MAX(-3,MIN(3,('3a Raw'!I1194-$N3)/$N4)))</f>
        <v/>
      </c>
      <c r="O1194" s="3">
        <f>IF(N1194="","",(N1194-AVERAGE(N6:N1198))/(STDEV(N6:N1198)+1E-12))</f>
        <v/>
      </c>
      <c r="P1194" s="3">
        <f>IF('3a Raw'!J1194="","",MAX(-3,MIN(3,('3a Raw'!J1194-$P3)/$P4)))</f>
        <v/>
      </c>
      <c r="Q1194" s="3">
        <f>IF(P1194="","",(P1194-AVERAGE(P6:P1198))/(STDEV(P6:P1198)+1E-12))</f>
        <v/>
      </c>
      <c r="R1194" s="3">
        <f>IF('3a Raw'!K1194="","",MAX(-3,MIN(3,('3a Raw'!K1194-$R3)/$R4)))</f>
        <v/>
      </c>
      <c r="S1194" s="3">
        <f>IF(R1194="","",(R1194-AVERAGE(R6:R1198))/(STDEV(R6:R1198)+1E-12))</f>
        <v/>
      </c>
      <c r="T1194" s="3">
        <f>IF('3a Raw'!L1194="","",MAX(-3,MIN(3,('3a Raw'!L1194-$T3)/$T4)))</f>
        <v/>
      </c>
      <c r="U1194" s="3">
        <f>IF(T1194="","",(T1194-AVERAGE(T6:T1198))/(STDEV(T6:T1198)+1E-12))</f>
        <v/>
      </c>
      <c r="X1194" s="3">
        <f>IF(U1194="","",U1194-($V$3*G1194+$W$3))</f>
        <v/>
      </c>
      <c r="Y1194" s="3">
        <f>IF(X1194="","",MAX(-3,MIN(3,(X1194-$X3)/$X4)))</f>
        <v/>
      </c>
      <c r="Z1194" s="3">
        <f>IF(Y1194="","",(Y1194-AVERAGE(Y6:Y1198))/(STDEV(Y6:Y1198)+1E-12))</f>
        <v/>
      </c>
    </row>
    <row r="1195">
      <c r="A1195" t="inlineStr">
        <is>
          <t>BBG0042V6JM8</t>
        </is>
      </c>
      <c r="B1195" s="3">
        <f>IF('3a Raw'!C1195="","",MAX(-3,MIN(3,('3a Raw'!C1195-$B3)/$B4)))</f>
        <v/>
      </c>
      <c r="C1195" s="3">
        <f>IF(B1195="","",(B1195-AVERAGE(B6:B1198))/(STDEV(B6:B1198)+1E-12))</f>
        <v/>
      </c>
      <c r="D1195" s="3">
        <f>IF('3a Raw'!D1195="","",MAX(-3,MIN(3,('3a Raw'!D1195-$D3)/$D4)))</f>
        <v/>
      </c>
      <c r="E1195" s="3">
        <f>IF(D1195="","",(D1195-AVERAGE(D6:D1198))/(STDEV(D6:D1198)+1E-12))</f>
        <v/>
      </c>
      <c r="F1195" s="3">
        <f>IF('3a Raw'!E1195="","",MAX(-3,MIN(3,('3a Raw'!E1195-$F3)/$F4)))</f>
        <v/>
      </c>
      <c r="G1195" s="3">
        <f>IF(F1195="","",(F1195-AVERAGE(F6:F1198))/(STDEV(F6:F1198)+1E-12))</f>
        <v/>
      </c>
      <c r="H1195" s="3">
        <f>IF('3a Raw'!F1195="","",MAX(-3,MIN(3,('3a Raw'!F1195-$H3)/$H4)))</f>
        <v/>
      </c>
      <c r="I1195" s="3">
        <f>IF(H1195="","",(H1195-AVERAGE(H6:H1198))/(STDEV(H6:H1198)+1E-12))</f>
        <v/>
      </c>
      <c r="J1195" s="3">
        <f>IF('3a Raw'!G1195="","",MAX(-3,MIN(3,('3a Raw'!G1195-$J3)/$J4)))</f>
        <v/>
      </c>
      <c r="K1195" s="3">
        <f>IF(J1195="","",(J1195-AVERAGE(J6:J1198))/(STDEV(J6:J1198)+1E-12))</f>
        <v/>
      </c>
      <c r="L1195" s="3">
        <f>IF('3a Raw'!H1195="","",MAX(-3,MIN(3,('3a Raw'!H1195-$L3)/$L4)))</f>
        <v/>
      </c>
      <c r="M1195" s="3">
        <f>IF(L1195="","",(L1195-AVERAGE(L6:L1198))/(STDEV(L6:L1198)+1E-12))</f>
        <v/>
      </c>
      <c r="N1195" s="3">
        <f>IF('3a Raw'!I1195="","",MAX(-3,MIN(3,('3a Raw'!I1195-$N3)/$N4)))</f>
        <v/>
      </c>
      <c r="O1195" s="3">
        <f>IF(N1195="","",(N1195-AVERAGE(N6:N1198))/(STDEV(N6:N1198)+1E-12))</f>
        <v/>
      </c>
      <c r="P1195" s="3">
        <f>IF('3a Raw'!J1195="","",MAX(-3,MIN(3,('3a Raw'!J1195-$P3)/$P4)))</f>
        <v/>
      </c>
      <c r="Q1195" s="3">
        <f>IF(P1195="","",(P1195-AVERAGE(P6:P1198))/(STDEV(P6:P1198)+1E-12))</f>
        <v/>
      </c>
      <c r="R1195" s="3">
        <f>IF('3a Raw'!K1195="","",MAX(-3,MIN(3,('3a Raw'!K1195-$R3)/$R4)))</f>
        <v/>
      </c>
      <c r="S1195" s="3">
        <f>IF(R1195="","",(R1195-AVERAGE(R6:R1198))/(STDEV(R6:R1198)+1E-12))</f>
        <v/>
      </c>
      <c r="T1195" s="3">
        <f>IF('3a Raw'!L1195="","",MAX(-3,MIN(3,('3a Raw'!L1195-$T3)/$T4)))</f>
        <v/>
      </c>
      <c r="U1195" s="3">
        <f>IF(T1195="","",(T1195-AVERAGE(T6:T1198))/(STDEV(T6:T1198)+1E-12))</f>
        <v/>
      </c>
      <c r="X1195" s="3">
        <f>IF(U1195="","",U1195-($V$3*G1195+$W$3))</f>
        <v/>
      </c>
      <c r="Y1195" s="3">
        <f>IF(X1195="","",MAX(-3,MIN(3,(X1195-$X3)/$X4)))</f>
        <v/>
      </c>
      <c r="Z1195" s="3">
        <f>IF(Y1195="","",(Y1195-AVERAGE(Y6:Y1198))/(STDEV(Y6:Y1198)+1E-12))</f>
        <v/>
      </c>
    </row>
    <row r="1196">
      <c r="A1196" t="inlineStr">
        <is>
          <t>BBG003338H34</t>
        </is>
      </c>
      <c r="B1196" s="3">
        <f>IF('3a Raw'!C1196="","",MAX(-3,MIN(3,('3a Raw'!C1196-$B3)/$B4)))</f>
        <v/>
      </c>
      <c r="C1196" s="3">
        <f>IF(B1196="","",(B1196-AVERAGE(B6:B1198))/(STDEV(B6:B1198)+1E-12))</f>
        <v/>
      </c>
      <c r="D1196" s="3">
        <f>IF('3a Raw'!D1196="","",MAX(-3,MIN(3,('3a Raw'!D1196-$D3)/$D4)))</f>
        <v/>
      </c>
      <c r="E1196" s="3">
        <f>IF(D1196="","",(D1196-AVERAGE(D6:D1198))/(STDEV(D6:D1198)+1E-12))</f>
        <v/>
      </c>
      <c r="F1196" s="3">
        <f>IF('3a Raw'!E1196="","",MAX(-3,MIN(3,('3a Raw'!E1196-$F3)/$F4)))</f>
        <v/>
      </c>
      <c r="G1196" s="3">
        <f>IF(F1196="","",(F1196-AVERAGE(F6:F1198))/(STDEV(F6:F1198)+1E-12))</f>
        <v/>
      </c>
      <c r="H1196" s="3">
        <f>IF('3a Raw'!F1196="","",MAX(-3,MIN(3,('3a Raw'!F1196-$H3)/$H4)))</f>
        <v/>
      </c>
      <c r="I1196" s="3">
        <f>IF(H1196="","",(H1196-AVERAGE(H6:H1198))/(STDEV(H6:H1198)+1E-12))</f>
        <v/>
      </c>
      <c r="J1196" s="3">
        <f>IF('3a Raw'!G1196="","",MAX(-3,MIN(3,('3a Raw'!G1196-$J3)/$J4)))</f>
        <v/>
      </c>
      <c r="K1196" s="3">
        <f>IF(J1196="","",(J1196-AVERAGE(J6:J1198))/(STDEV(J6:J1198)+1E-12))</f>
        <v/>
      </c>
      <c r="L1196" s="3">
        <f>IF('3a Raw'!H1196="","",MAX(-3,MIN(3,('3a Raw'!H1196-$L3)/$L4)))</f>
        <v/>
      </c>
      <c r="M1196" s="3">
        <f>IF(L1196="","",(L1196-AVERAGE(L6:L1198))/(STDEV(L6:L1198)+1E-12))</f>
        <v/>
      </c>
      <c r="N1196" s="3">
        <f>IF('3a Raw'!I1196="","",MAX(-3,MIN(3,('3a Raw'!I1196-$N3)/$N4)))</f>
        <v/>
      </c>
      <c r="O1196" s="3">
        <f>IF(N1196="","",(N1196-AVERAGE(N6:N1198))/(STDEV(N6:N1198)+1E-12))</f>
        <v/>
      </c>
      <c r="P1196" s="3">
        <f>IF('3a Raw'!J1196="","",MAX(-3,MIN(3,('3a Raw'!J1196-$P3)/$P4)))</f>
        <v/>
      </c>
      <c r="Q1196" s="3">
        <f>IF(P1196="","",(P1196-AVERAGE(P6:P1198))/(STDEV(P6:P1198)+1E-12))</f>
        <v/>
      </c>
      <c r="R1196" s="3">
        <f>IF('3a Raw'!K1196="","",MAX(-3,MIN(3,('3a Raw'!K1196-$R3)/$R4)))</f>
        <v/>
      </c>
      <c r="S1196" s="3">
        <f>IF(R1196="","",(R1196-AVERAGE(R6:R1198))/(STDEV(R6:R1198)+1E-12))</f>
        <v/>
      </c>
      <c r="T1196" s="3">
        <f>IF('3a Raw'!L1196="","",MAX(-3,MIN(3,('3a Raw'!L1196-$T3)/$T4)))</f>
        <v/>
      </c>
      <c r="U1196" s="3">
        <f>IF(T1196="","",(T1196-AVERAGE(T6:T1198))/(STDEV(T6:T1198)+1E-12))</f>
        <v/>
      </c>
      <c r="X1196" s="3">
        <f>IF(U1196="","",U1196-($V$3*G1196+$W$3))</f>
        <v/>
      </c>
      <c r="Y1196" s="3">
        <f>IF(X1196="","",MAX(-3,MIN(3,(X1196-$X3)/$X4)))</f>
        <v/>
      </c>
      <c r="Z1196" s="3">
        <f>IF(Y1196="","",(Y1196-AVERAGE(Y6:Y1198))/(STDEV(Y6:Y1198)+1E-12))</f>
        <v/>
      </c>
    </row>
    <row r="1197">
      <c r="A1197" t="inlineStr">
        <is>
          <t>BBG0039320N9</t>
        </is>
      </c>
      <c r="B1197" s="3">
        <f>IF('3a Raw'!C1197="","",MAX(-3,MIN(3,('3a Raw'!C1197-$B3)/$B4)))</f>
        <v/>
      </c>
      <c r="C1197" s="3">
        <f>IF(B1197="","",(B1197-AVERAGE(B6:B1198))/(STDEV(B6:B1198)+1E-12))</f>
        <v/>
      </c>
      <c r="D1197" s="3">
        <f>IF('3a Raw'!D1197="","",MAX(-3,MIN(3,('3a Raw'!D1197-$D3)/$D4)))</f>
        <v/>
      </c>
      <c r="E1197" s="3">
        <f>IF(D1197="","",(D1197-AVERAGE(D6:D1198))/(STDEV(D6:D1198)+1E-12))</f>
        <v/>
      </c>
      <c r="F1197" s="3">
        <f>IF('3a Raw'!E1197="","",MAX(-3,MIN(3,('3a Raw'!E1197-$F3)/$F4)))</f>
        <v/>
      </c>
      <c r="G1197" s="3">
        <f>IF(F1197="","",(F1197-AVERAGE(F6:F1198))/(STDEV(F6:F1198)+1E-12))</f>
        <v/>
      </c>
      <c r="H1197" s="3">
        <f>IF('3a Raw'!F1197="","",MAX(-3,MIN(3,('3a Raw'!F1197-$H3)/$H4)))</f>
        <v/>
      </c>
      <c r="I1197" s="3">
        <f>IF(H1197="","",(H1197-AVERAGE(H6:H1198))/(STDEV(H6:H1198)+1E-12))</f>
        <v/>
      </c>
      <c r="J1197" s="3">
        <f>IF('3a Raw'!G1197="","",MAX(-3,MIN(3,('3a Raw'!G1197-$J3)/$J4)))</f>
        <v/>
      </c>
      <c r="K1197" s="3">
        <f>IF(J1197="","",(J1197-AVERAGE(J6:J1198))/(STDEV(J6:J1198)+1E-12))</f>
        <v/>
      </c>
      <c r="L1197" s="3">
        <f>IF('3a Raw'!H1197="","",MAX(-3,MIN(3,('3a Raw'!H1197-$L3)/$L4)))</f>
        <v/>
      </c>
      <c r="M1197" s="3">
        <f>IF(L1197="","",(L1197-AVERAGE(L6:L1198))/(STDEV(L6:L1198)+1E-12))</f>
        <v/>
      </c>
      <c r="N1197" s="3">
        <f>IF('3a Raw'!I1197="","",MAX(-3,MIN(3,('3a Raw'!I1197-$N3)/$N4)))</f>
        <v/>
      </c>
      <c r="O1197" s="3">
        <f>IF(N1197="","",(N1197-AVERAGE(N6:N1198))/(STDEV(N6:N1198)+1E-12))</f>
        <v/>
      </c>
      <c r="P1197" s="3">
        <f>IF('3a Raw'!J1197="","",MAX(-3,MIN(3,('3a Raw'!J1197-$P3)/$P4)))</f>
        <v/>
      </c>
      <c r="Q1197" s="3">
        <f>IF(P1197="","",(P1197-AVERAGE(P6:P1198))/(STDEV(P6:P1198)+1E-12))</f>
        <v/>
      </c>
      <c r="R1197" s="3">
        <f>IF('3a Raw'!K1197="","",MAX(-3,MIN(3,('3a Raw'!K1197-$R3)/$R4)))</f>
        <v/>
      </c>
      <c r="S1197" s="3">
        <f>IF(R1197="","",(R1197-AVERAGE(R6:R1198))/(STDEV(R6:R1198)+1E-12))</f>
        <v/>
      </c>
      <c r="T1197" s="3">
        <f>IF('3a Raw'!L1197="","",MAX(-3,MIN(3,('3a Raw'!L1197-$T3)/$T4)))</f>
        <v/>
      </c>
      <c r="U1197" s="3">
        <f>IF(T1197="","",(T1197-AVERAGE(T6:T1198))/(STDEV(T6:T1198)+1E-12))</f>
        <v/>
      </c>
      <c r="X1197" s="3">
        <f>IF(U1197="","",U1197-($V$3*G1197+$W$3))</f>
        <v/>
      </c>
      <c r="Y1197" s="3">
        <f>IF(X1197="","",MAX(-3,MIN(3,(X1197-$X3)/$X4)))</f>
        <v/>
      </c>
      <c r="Z1197" s="3">
        <f>IF(Y1197="","",(Y1197-AVERAGE(Y6:Y1198))/(STDEV(Y6:Y1198)+1E-12))</f>
        <v/>
      </c>
    </row>
    <row r="1198">
      <c r="A1198" t="inlineStr">
        <is>
          <t>BBG000H8R0N8</t>
        </is>
      </c>
      <c r="B1198" s="3">
        <f>IF('3a Raw'!C1198="","",MAX(-3,MIN(3,('3a Raw'!C1198-$B3)/$B4)))</f>
        <v/>
      </c>
      <c r="C1198" s="3">
        <f>IF(B1198="","",(B1198-AVERAGE(B6:B1198))/(STDEV(B6:B1198)+1E-12))</f>
        <v/>
      </c>
      <c r="D1198" s="3">
        <f>IF('3a Raw'!D1198="","",MAX(-3,MIN(3,('3a Raw'!D1198-$D3)/$D4)))</f>
        <v/>
      </c>
      <c r="E1198" s="3">
        <f>IF(D1198="","",(D1198-AVERAGE(D6:D1198))/(STDEV(D6:D1198)+1E-12))</f>
        <v/>
      </c>
      <c r="F1198" s="3">
        <f>IF('3a Raw'!E1198="","",MAX(-3,MIN(3,('3a Raw'!E1198-$F3)/$F4)))</f>
        <v/>
      </c>
      <c r="G1198" s="3">
        <f>IF(F1198="","",(F1198-AVERAGE(F6:F1198))/(STDEV(F6:F1198)+1E-12))</f>
        <v/>
      </c>
      <c r="H1198" s="3">
        <f>IF('3a Raw'!F1198="","",MAX(-3,MIN(3,('3a Raw'!F1198-$H3)/$H4)))</f>
        <v/>
      </c>
      <c r="I1198" s="3">
        <f>IF(H1198="","",(H1198-AVERAGE(H6:H1198))/(STDEV(H6:H1198)+1E-12))</f>
        <v/>
      </c>
      <c r="J1198" s="3">
        <f>IF('3a Raw'!G1198="","",MAX(-3,MIN(3,('3a Raw'!G1198-$J3)/$J4)))</f>
        <v/>
      </c>
      <c r="K1198" s="3">
        <f>IF(J1198="","",(J1198-AVERAGE(J6:J1198))/(STDEV(J6:J1198)+1E-12))</f>
        <v/>
      </c>
      <c r="L1198" s="3">
        <f>IF('3a Raw'!H1198="","",MAX(-3,MIN(3,('3a Raw'!H1198-$L3)/$L4)))</f>
        <v/>
      </c>
      <c r="M1198" s="3">
        <f>IF(L1198="","",(L1198-AVERAGE(L6:L1198))/(STDEV(L6:L1198)+1E-12))</f>
        <v/>
      </c>
      <c r="N1198" s="3">
        <f>IF('3a Raw'!I1198="","",MAX(-3,MIN(3,('3a Raw'!I1198-$N3)/$N4)))</f>
        <v/>
      </c>
      <c r="O1198" s="3">
        <f>IF(N1198="","",(N1198-AVERAGE(N6:N1198))/(STDEV(N6:N1198)+1E-12))</f>
        <v/>
      </c>
      <c r="P1198" s="3">
        <f>IF('3a Raw'!J1198="","",MAX(-3,MIN(3,('3a Raw'!J1198-$P3)/$P4)))</f>
        <v/>
      </c>
      <c r="Q1198" s="3">
        <f>IF(P1198="","",(P1198-AVERAGE(P6:P1198))/(STDEV(P6:P1198)+1E-12))</f>
        <v/>
      </c>
      <c r="R1198" s="3">
        <f>IF('3a Raw'!K1198="","",MAX(-3,MIN(3,('3a Raw'!K1198-$R3)/$R4)))</f>
        <v/>
      </c>
      <c r="S1198" s="3">
        <f>IF(R1198="","",(R1198-AVERAGE(R6:R1198))/(STDEV(R6:R1198)+1E-12))</f>
        <v/>
      </c>
      <c r="T1198" s="3">
        <f>IF('3a Raw'!L1198="","",MAX(-3,MIN(3,('3a Raw'!L1198-$T3)/$T4)))</f>
        <v/>
      </c>
      <c r="U1198" s="3">
        <f>IF(T1198="","",(T1198-AVERAGE(T6:T1198))/(STDEV(T6:T1198)+1E-12))</f>
        <v/>
      </c>
      <c r="X1198" s="3">
        <f>IF(U1198="","",U1198-($V$3*G1198+$W$3))</f>
        <v/>
      </c>
      <c r="Y1198" s="3">
        <f>IF(X1198="","",MAX(-3,MIN(3,(X1198-$X3)/$X4)))</f>
        <v/>
      </c>
      <c r="Z1198" s="3">
        <f>IF(Y1198="","",(Y1198-AVERAGE(Y6:Y1198))/(STDEV(Y6:Y1198)+1E-12))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§3e · Daily WLS of stock returns on the month-M loadings — factor returns + residual</t>
        </is>
      </c>
    </row>
    <row r="2">
      <c r="A2" t="inlineStr">
        <is>
          <t>Regression day d (first trading day after M)</t>
        </is>
      </c>
      <c r="B2" s="2" t="n">
        <v>45628</v>
      </c>
    </row>
    <row r="3">
      <c r="A3" t="inlineStr">
        <is>
          <t>Population: 969 names with ≥6/10 loadings, factor screen std&gt;0.05, return on d, Size present. Weight W = exp(0.25·zSize). Intercept column = Market factor.</t>
        </is>
      </c>
    </row>
    <row r="4">
      <c r="A4" t="inlineStr">
        <is>
          <t>LINEST(y·W, [W, loadings·W], FALSE) — const FALSE because the Market intercept is an explicit W column; coefficients come back in REVERSE column order (read right→left).</t>
        </is>
      </c>
    </row>
    <row r="6">
      <c r="A6" s="1" t="inlineStr">
        <is>
          <t>Position</t>
        </is>
      </c>
      <c r="B6" s="1" t="inlineStr">
        <is>
          <t>Ticker</t>
        </is>
      </c>
      <c r="C6" s="1" t="inlineStr">
        <is>
          <t>y = ret(d)</t>
        </is>
      </c>
      <c r="D6" s="1" t="inlineStr">
        <is>
          <t>W</t>
        </is>
      </c>
      <c r="E6" s="1" t="inlineStr">
        <is>
          <t>L:Beta</t>
        </is>
      </c>
      <c r="F6" s="1" t="inlineStr">
        <is>
          <t>L:Momentum</t>
        </is>
      </c>
      <c r="G6" s="1" t="inlineStr">
        <is>
          <t>L:Size</t>
        </is>
      </c>
      <c r="H6" s="1" t="inlineStr">
        <is>
          <t>L:Value</t>
        </is>
      </c>
      <c r="I6" s="1" t="inlineStr">
        <is>
          <t>L:Growth</t>
        </is>
      </c>
      <c r="J6" s="1" t="inlineStr">
        <is>
          <t>L:Leverage</t>
        </is>
      </c>
      <c r="K6" s="1" t="inlineStr">
        <is>
          <t>L:Liquidity</t>
        </is>
      </c>
      <c r="L6" s="1" t="inlineStr">
        <is>
          <t>L:ResidVol</t>
        </is>
      </c>
      <c r="M6" s="1" t="inlineStr">
        <is>
          <t>L:EarnYield</t>
        </is>
      </c>
      <c r="N6" s="1" t="inlineStr">
        <is>
          <t>L:NonLinSize</t>
        </is>
      </c>
      <c r="O6" s="1" t="inlineStr">
        <is>
          <t>Market·W</t>
        </is>
      </c>
      <c r="P6" s="1" t="inlineStr">
        <is>
          <t>Beta·W</t>
        </is>
      </c>
      <c r="Q6" s="1" t="inlineStr">
        <is>
          <t>Momentum·W</t>
        </is>
      </c>
      <c r="R6" s="1" t="inlineStr">
        <is>
          <t>Size·W</t>
        </is>
      </c>
      <c r="S6" s="1" t="inlineStr">
        <is>
          <t>Value·W</t>
        </is>
      </c>
      <c r="T6" s="1" t="inlineStr">
        <is>
          <t>Growth·W</t>
        </is>
      </c>
      <c r="U6" s="1" t="inlineStr">
        <is>
          <t>Leverage·W</t>
        </is>
      </c>
      <c r="V6" s="1" t="inlineStr">
        <is>
          <t>Liquidity·W</t>
        </is>
      </c>
      <c r="W6" s="1" t="inlineStr">
        <is>
          <t>ResidVol·W</t>
        </is>
      </c>
      <c r="X6" s="1" t="inlineStr">
        <is>
          <t>EarnYield·W</t>
        </is>
      </c>
      <c r="Y6" s="1" t="inlineStr">
        <is>
          <t>NonLinSize·W</t>
        </is>
      </c>
      <c r="Z6" s="1" t="inlineStr">
        <is>
          <t>y·W</t>
        </is>
      </c>
      <c r="AA6" s="1" t="inlineStr">
        <is>
          <t>fit ŷ</t>
        </is>
      </c>
      <c r="AB6" s="1" t="inlineStr">
        <is>
          <t>resid u</t>
        </is>
      </c>
      <c r="AC6" s="1" t="inlineStr">
        <is>
          <t>u²</t>
        </is>
      </c>
    </row>
    <row r="7">
      <c r="A7" t="inlineStr">
        <is>
          <t>BBG000C2V3D6</t>
        </is>
      </c>
      <c r="B7" t="inlineStr">
        <is>
          <t>a</t>
        </is>
      </c>
      <c r="C7" s="9" t="n">
        <v>0.01166904458983753</v>
      </c>
      <c r="D7" s="3">
        <f>EXP(0.25*'3b-d Exposures'!G6)</f>
        <v/>
      </c>
      <c r="E7" s="3">
        <f>IF('3b-d Exposures'!C6="",0,'3b-d Exposures'!C6)</f>
        <v/>
      </c>
      <c r="F7" s="3">
        <f>IF('3b-d Exposures'!E6="",0,'3b-d Exposures'!E6)</f>
        <v/>
      </c>
      <c r="G7" s="3">
        <f>IF('3b-d Exposures'!G6="",0,'3b-d Exposures'!G6)</f>
        <v/>
      </c>
      <c r="H7" s="3">
        <f>IF('3b-d Exposures'!I6="",0,'3b-d Exposures'!I6)</f>
        <v/>
      </c>
      <c r="I7" s="3">
        <f>IF('3b-d Exposures'!K6="",0,'3b-d Exposures'!K6)</f>
        <v/>
      </c>
      <c r="J7" s="3">
        <f>IF('3b-d Exposures'!M6="",0,'3b-d Exposures'!M6)</f>
        <v/>
      </c>
      <c r="K7" s="3">
        <f>IF('3b-d Exposures'!O6="",0,'3b-d Exposures'!O6)</f>
        <v/>
      </c>
      <c r="L7" s="3">
        <f>IF('3b-d Exposures'!Q6="",0,'3b-d Exposures'!Q6)</f>
        <v/>
      </c>
      <c r="M7" s="3">
        <f>IF('3b-d Exposures'!S6="",0,'3b-d Exposures'!S6)</f>
        <v/>
      </c>
      <c r="N7" s="3">
        <f>IF('3b-d Exposures'!Z6="",0,'3b-d Exposures'!Z6)</f>
        <v/>
      </c>
      <c r="O7" s="3">
        <f>$D7</f>
        <v/>
      </c>
      <c r="P7" s="3">
        <f>E7*$D7</f>
        <v/>
      </c>
      <c r="Q7" s="3">
        <f>F7*$D7</f>
        <v/>
      </c>
      <c r="R7" s="3">
        <f>G7*$D7</f>
        <v/>
      </c>
      <c r="S7" s="3">
        <f>H7*$D7</f>
        <v/>
      </c>
      <c r="T7" s="3">
        <f>I7*$D7</f>
        <v/>
      </c>
      <c r="U7" s="3">
        <f>J7*$D7</f>
        <v/>
      </c>
      <c r="V7" s="3">
        <f>K7*$D7</f>
        <v/>
      </c>
      <c r="W7" s="3">
        <f>L7*$D7</f>
        <v/>
      </c>
      <c r="X7" s="3">
        <f>M7*$D7</f>
        <v/>
      </c>
      <c r="Y7" s="3">
        <f>N7*$D7</f>
        <v/>
      </c>
      <c r="Z7" s="3">
        <f>C7*$D7</f>
        <v/>
      </c>
      <c r="AA7" s="9">
        <f>$L978+$K978*E7+$J978*F7+$I978*G7+$H978*H7+$G978*I7+$F978*J7+$E978*K7+$D978*L7+$C978*M7+$B978*N7</f>
        <v/>
      </c>
      <c r="AB7" s="9">
        <f>C7-AA7</f>
        <v/>
      </c>
      <c r="AC7" s="4">
        <f>AB7^2</f>
        <v/>
      </c>
    </row>
    <row r="8">
      <c r="A8" t="inlineStr">
        <is>
          <t>BBG00B3T3HD3</t>
        </is>
      </c>
      <c r="B8" t="inlineStr">
        <is>
          <t>aa</t>
        </is>
      </c>
      <c r="C8" s="9" t="n">
        <v>-0.01572259944395138</v>
      </c>
      <c r="D8" s="3">
        <f>EXP(0.25*'3b-d Exposures'!G7)</f>
        <v/>
      </c>
      <c r="E8" s="3">
        <f>IF('3b-d Exposures'!C7="",0,'3b-d Exposures'!C7)</f>
        <v/>
      </c>
      <c r="F8" s="3">
        <f>IF('3b-d Exposures'!E7="",0,'3b-d Exposures'!E7)</f>
        <v/>
      </c>
      <c r="G8" s="3">
        <f>IF('3b-d Exposures'!G7="",0,'3b-d Exposures'!G7)</f>
        <v/>
      </c>
      <c r="H8" s="3">
        <f>IF('3b-d Exposures'!I7="",0,'3b-d Exposures'!I7)</f>
        <v/>
      </c>
      <c r="I8" s="3">
        <f>IF('3b-d Exposures'!K7="",0,'3b-d Exposures'!K7)</f>
        <v/>
      </c>
      <c r="J8" s="3">
        <f>IF('3b-d Exposures'!M7="",0,'3b-d Exposures'!M7)</f>
        <v/>
      </c>
      <c r="K8" s="3">
        <f>IF('3b-d Exposures'!O7="",0,'3b-d Exposures'!O7)</f>
        <v/>
      </c>
      <c r="L8" s="3">
        <f>IF('3b-d Exposures'!Q7="",0,'3b-d Exposures'!Q7)</f>
        <v/>
      </c>
      <c r="M8" s="3">
        <f>IF('3b-d Exposures'!S7="",0,'3b-d Exposures'!S7)</f>
        <v/>
      </c>
      <c r="N8" s="3">
        <f>IF('3b-d Exposures'!Z7="",0,'3b-d Exposures'!Z7)</f>
        <v/>
      </c>
      <c r="O8" s="3">
        <f>$D8</f>
        <v/>
      </c>
      <c r="P8" s="3">
        <f>E8*$D8</f>
        <v/>
      </c>
      <c r="Q8" s="3">
        <f>F8*$D8</f>
        <v/>
      </c>
      <c r="R8" s="3">
        <f>G8*$D8</f>
        <v/>
      </c>
      <c r="S8" s="3">
        <f>H8*$D8</f>
        <v/>
      </c>
      <c r="T8" s="3">
        <f>I8*$D8</f>
        <v/>
      </c>
      <c r="U8" s="3">
        <f>J8*$D8</f>
        <v/>
      </c>
      <c r="V8" s="3">
        <f>K8*$D8</f>
        <v/>
      </c>
      <c r="W8" s="3">
        <f>L8*$D8</f>
        <v/>
      </c>
      <c r="X8" s="3">
        <f>M8*$D8</f>
        <v/>
      </c>
      <c r="Y8" s="3">
        <f>N8*$D8</f>
        <v/>
      </c>
      <c r="Z8" s="3">
        <f>C8*$D8</f>
        <v/>
      </c>
      <c r="AA8" s="9">
        <f>$L978+$K978*E8+$J978*F8+$I978*G8+$H978*H8+$G978*I8+$F978*J8+$E978*K8+$D978*L8+$C978*M8+$B978*N8</f>
        <v/>
      </c>
      <c r="AB8" s="9">
        <f>C8-AA8</f>
        <v/>
      </c>
      <c r="AC8" s="4">
        <f>AB8^2</f>
        <v/>
      </c>
    </row>
    <row r="9">
      <c r="A9" t="inlineStr">
        <is>
          <t>BBG005P7Q881</t>
        </is>
      </c>
      <c r="B9" t="inlineStr">
        <is>
          <t>aal</t>
        </is>
      </c>
      <c r="C9" s="9" t="n">
        <v>0.006198291740786566</v>
      </c>
      <c r="D9" s="3">
        <f>EXP(0.25*'3b-d Exposures'!G8)</f>
        <v/>
      </c>
      <c r="E9" s="3">
        <f>IF('3b-d Exposures'!C8="",0,'3b-d Exposures'!C8)</f>
        <v/>
      </c>
      <c r="F9" s="3">
        <f>IF('3b-d Exposures'!E8="",0,'3b-d Exposures'!E8)</f>
        <v/>
      </c>
      <c r="G9" s="3">
        <f>IF('3b-d Exposures'!G8="",0,'3b-d Exposures'!G8)</f>
        <v/>
      </c>
      <c r="H9" s="3">
        <f>IF('3b-d Exposures'!I8="",0,'3b-d Exposures'!I8)</f>
        <v/>
      </c>
      <c r="I9" s="3">
        <f>IF('3b-d Exposures'!K8="",0,'3b-d Exposures'!K8)</f>
        <v/>
      </c>
      <c r="J9" s="3">
        <f>IF('3b-d Exposures'!M8="",0,'3b-d Exposures'!M8)</f>
        <v/>
      </c>
      <c r="K9" s="3">
        <f>IF('3b-d Exposures'!O8="",0,'3b-d Exposures'!O8)</f>
        <v/>
      </c>
      <c r="L9" s="3">
        <f>IF('3b-d Exposures'!Q8="",0,'3b-d Exposures'!Q8)</f>
        <v/>
      </c>
      <c r="M9" s="3">
        <f>IF('3b-d Exposures'!S8="",0,'3b-d Exposures'!S8)</f>
        <v/>
      </c>
      <c r="N9" s="3">
        <f>IF('3b-d Exposures'!Z8="",0,'3b-d Exposures'!Z8)</f>
        <v/>
      </c>
      <c r="O9" s="3">
        <f>$D9</f>
        <v/>
      </c>
      <c r="P9" s="3">
        <f>E9*$D9</f>
        <v/>
      </c>
      <c r="Q9" s="3">
        <f>F9*$D9</f>
        <v/>
      </c>
      <c r="R9" s="3">
        <f>G9*$D9</f>
        <v/>
      </c>
      <c r="S9" s="3">
        <f>H9*$D9</f>
        <v/>
      </c>
      <c r="T9" s="3">
        <f>I9*$D9</f>
        <v/>
      </c>
      <c r="U9" s="3">
        <f>J9*$D9</f>
        <v/>
      </c>
      <c r="V9" s="3">
        <f>K9*$D9</f>
        <v/>
      </c>
      <c r="W9" s="3">
        <f>L9*$D9</f>
        <v/>
      </c>
      <c r="X9" s="3">
        <f>M9*$D9</f>
        <v/>
      </c>
      <c r="Y9" s="3">
        <f>N9*$D9</f>
        <v/>
      </c>
      <c r="Z9" s="3">
        <f>C9*$D9</f>
        <v/>
      </c>
      <c r="AA9" s="9">
        <f>$L978+$K978*E9+$J978*F9+$I978*G9+$H978*H9+$G978*I9+$F978*J9+$E978*K9+$D978*L9+$C978*M9+$B978*N9</f>
        <v/>
      </c>
      <c r="AB9" s="9">
        <f>C9-AA9</f>
        <v/>
      </c>
      <c r="AC9" s="4">
        <f>AB9^2</f>
        <v/>
      </c>
    </row>
    <row r="10">
      <c r="A10" t="inlineStr">
        <is>
          <t>BBG000D6VW15</t>
        </is>
      </c>
      <c r="B10" t="inlineStr">
        <is>
          <t>aaoi</t>
        </is>
      </c>
      <c r="C10" s="9" t="n">
        <v>-0.01164482115529986</v>
      </c>
      <c r="D10" s="3">
        <f>EXP(0.25*'3b-d Exposures'!G10)</f>
        <v/>
      </c>
      <c r="E10" s="3">
        <f>IF('3b-d Exposures'!C10="",0,'3b-d Exposures'!C10)</f>
        <v/>
      </c>
      <c r="F10" s="3">
        <f>IF('3b-d Exposures'!E10="",0,'3b-d Exposures'!E10)</f>
        <v/>
      </c>
      <c r="G10" s="3">
        <f>IF('3b-d Exposures'!G10="",0,'3b-d Exposures'!G10)</f>
        <v/>
      </c>
      <c r="H10" s="3">
        <f>IF('3b-d Exposures'!I10="",0,'3b-d Exposures'!I10)</f>
        <v/>
      </c>
      <c r="I10" s="3">
        <f>IF('3b-d Exposures'!K10="",0,'3b-d Exposures'!K10)</f>
        <v/>
      </c>
      <c r="J10" s="3">
        <f>IF('3b-d Exposures'!M10="",0,'3b-d Exposures'!M10)</f>
        <v/>
      </c>
      <c r="K10" s="3">
        <f>IF('3b-d Exposures'!O10="",0,'3b-d Exposures'!O10)</f>
        <v/>
      </c>
      <c r="L10" s="3">
        <f>IF('3b-d Exposures'!Q10="",0,'3b-d Exposures'!Q10)</f>
        <v/>
      </c>
      <c r="M10" s="3">
        <f>IF('3b-d Exposures'!S10="",0,'3b-d Exposures'!S10)</f>
        <v/>
      </c>
      <c r="N10" s="3">
        <f>IF('3b-d Exposures'!Z10="",0,'3b-d Exposures'!Z10)</f>
        <v/>
      </c>
      <c r="O10" s="3">
        <f>$D10</f>
        <v/>
      </c>
      <c r="P10" s="3">
        <f>E10*$D10</f>
        <v/>
      </c>
      <c r="Q10" s="3">
        <f>F10*$D10</f>
        <v/>
      </c>
      <c r="R10" s="3">
        <f>G10*$D10</f>
        <v/>
      </c>
      <c r="S10" s="3">
        <f>H10*$D10</f>
        <v/>
      </c>
      <c r="T10" s="3">
        <f>I10*$D10</f>
        <v/>
      </c>
      <c r="U10" s="3">
        <f>J10*$D10</f>
        <v/>
      </c>
      <c r="V10" s="3">
        <f>K10*$D10</f>
        <v/>
      </c>
      <c r="W10" s="3">
        <f>L10*$D10</f>
        <v/>
      </c>
      <c r="X10" s="3">
        <f>M10*$D10</f>
        <v/>
      </c>
      <c r="Y10" s="3">
        <f>N10*$D10</f>
        <v/>
      </c>
      <c r="Z10" s="3">
        <f>C10*$D10</f>
        <v/>
      </c>
      <c r="AA10" s="9">
        <f>$L978+$K978*E10+$J978*F10+$I978*G10+$H978*H10+$G978*I10+$F978*J10+$E978*K10+$D978*L10+$C978*M10+$B978*N10</f>
        <v/>
      </c>
      <c r="AB10" s="9">
        <f>C10-AA10</f>
        <v/>
      </c>
      <c r="AC10" s="4">
        <f>AB10^2</f>
        <v/>
      </c>
    </row>
    <row r="11">
      <c r="A11" t="inlineStr">
        <is>
          <t>BBG000F7RCJ1</t>
        </is>
      </c>
      <c r="B11" t="inlineStr">
        <is>
          <t>aap</t>
        </is>
      </c>
      <c r="C11" s="9" t="n">
        <v>0.0302298803674852</v>
      </c>
      <c r="D11" s="3">
        <f>EXP(0.25*'3b-d Exposures'!G11)</f>
        <v/>
      </c>
      <c r="E11" s="3">
        <f>IF('3b-d Exposures'!C11="",0,'3b-d Exposures'!C11)</f>
        <v/>
      </c>
      <c r="F11" s="3">
        <f>IF('3b-d Exposures'!E11="",0,'3b-d Exposures'!E11)</f>
        <v/>
      </c>
      <c r="G11" s="3">
        <f>IF('3b-d Exposures'!G11="",0,'3b-d Exposures'!G11)</f>
        <v/>
      </c>
      <c r="H11" s="3">
        <f>IF('3b-d Exposures'!I11="",0,'3b-d Exposures'!I11)</f>
        <v/>
      </c>
      <c r="I11" s="3">
        <f>IF('3b-d Exposures'!K11="",0,'3b-d Exposures'!K11)</f>
        <v/>
      </c>
      <c r="J11" s="3">
        <f>IF('3b-d Exposures'!M11="",0,'3b-d Exposures'!M11)</f>
        <v/>
      </c>
      <c r="K11" s="3">
        <f>IF('3b-d Exposures'!O11="",0,'3b-d Exposures'!O11)</f>
        <v/>
      </c>
      <c r="L11" s="3">
        <f>IF('3b-d Exposures'!Q11="",0,'3b-d Exposures'!Q11)</f>
        <v/>
      </c>
      <c r="M11" s="3">
        <f>IF('3b-d Exposures'!S11="",0,'3b-d Exposures'!S11)</f>
        <v/>
      </c>
      <c r="N11" s="3">
        <f>IF('3b-d Exposures'!Z11="",0,'3b-d Exposures'!Z11)</f>
        <v/>
      </c>
      <c r="O11" s="3">
        <f>$D11</f>
        <v/>
      </c>
      <c r="P11" s="3">
        <f>E11*$D11</f>
        <v/>
      </c>
      <c r="Q11" s="3">
        <f>F11*$D11</f>
        <v/>
      </c>
      <c r="R11" s="3">
        <f>G11*$D11</f>
        <v/>
      </c>
      <c r="S11" s="3">
        <f>H11*$D11</f>
        <v/>
      </c>
      <c r="T11" s="3">
        <f>I11*$D11</f>
        <v/>
      </c>
      <c r="U11" s="3">
        <f>J11*$D11</f>
        <v/>
      </c>
      <c r="V11" s="3">
        <f>K11*$D11</f>
        <v/>
      </c>
      <c r="W11" s="3">
        <f>L11*$D11</f>
        <v/>
      </c>
      <c r="X11" s="3">
        <f>M11*$D11</f>
        <v/>
      </c>
      <c r="Y11" s="3">
        <f>N11*$D11</f>
        <v/>
      </c>
      <c r="Z11" s="3">
        <f>C11*$D11</f>
        <v/>
      </c>
      <c r="AA11" s="9">
        <f>$L978+$K978*E11+$J978*F11+$I978*G11+$H978*H11+$G978*I11+$F978*J11+$E978*K11+$D978*L11+$C978*M11+$B978*N11</f>
        <v/>
      </c>
      <c r="AB11" s="9">
        <f>C11-AA11</f>
        <v/>
      </c>
      <c r="AC11" s="4">
        <f>AB11^2</f>
        <v/>
      </c>
    </row>
    <row r="12">
      <c r="A12" t="inlineStr">
        <is>
          <t>BBG000B9XRY4</t>
        </is>
      </c>
      <c r="B12" t="inlineStr">
        <is>
          <t>aapl</t>
        </is>
      </c>
      <c r="C12" s="9" t="n">
        <v>0.009522535772919394</v>
      </c>
      <c r="D12" s="3">
        <f>EXP(0.25*'3b-d Exposures'!G12)</f>
        <v/>
      </c>
      <c r="E12" s="3">
        <f>IF('3b-d Exposures'!C12="",0,'3b-d Exposures'!C12)</f>
        <v/>
      </c>
      <c r="F12" s="3">
        <f>IF('3b-d Exposures'!E12="",0,'3b-d Exposures'!E12)</f>
        <v/>
      </c>
      <c r="G12" s="3">
        <f>IF('3b-d Exposures'!G12="",0,'3b-d Exposures'!G12)</f>
        <v/>
      </c>
      <c r="H12" s="3">
        <f>IF('3b-d Exposures'!I12="",0,'3b-d Exposures'!I12)</f>
        <v/>
      </c>
      <c r="I12" s="3">
        <f>IF('3b-d Exposures'!K12="",0,'3b-d Exposures'!K12)</f>
        <v/>
      </c>
      <c r="J12" s="3">
        <f>IF('3b-d Exposures'!M12="",0,'3b-d Exposures'!M12)</f>
        <v/>
      </c>
      <c r="K12" s="3">
        <f>IF('3b-d Exposures'!O12="",0,'3b-d Exposures'!O12)</f>
        <v/>
      </c>
      <c r="L12" s="3">
        <f>IF('3b-d Exposures'!Q12="",0,'3b-d Exposures'!Q12)</f>
        <v/>
      </c>
      <c r="M12" s="3">
        <f>IF('3b-d Exposures'!S12="",0,'3b-d Exposures'!S12)</f>
        <v/>
      </c>
      <c r="N12" s="3">
        <f>IF('3b-d Exposures'!Z12="",0,'3b-d Exposures'!Z12)</f>
        <v/>
      </c>
      <c r="O12" s="3">
        <f>$D12</f>
        <v/>
      </c>
      <c r="P12" s="3">
        <f>E12*$D12</f>
        <v/>
      </c>
      <c r="Q12" s="3">
        <f>F12*$D12</f>
        <v/>
      </c>
      <c r="R12" s="3">
        <f>G12*$D12</f>
        <v/>
      </c>
      <c r="S12" s="3">
        <f>H12*$D12</f>
        <v/>
      </c>
      <c r="T12" s="3">
        <f>I12*$D12</f>
        <v/>
      </c>
      <c r="U12" s="3">
        <f>J12*$D12</f>
        <v/>
      </c>
      <c r="V12" s="3">
        <f>K12*$D12</f>
        <v/>
      </c>
      <c r="W12" s="3">
        <f>L12*$D12</f>
        <v/>
      </c>
      <c r="X12" s="3">
        <f>M12*$D12</f>
        <v/>
      </c>
      <c r="Y12" s="3">
        <f>N12*$D12</f>
        <v/>
      </c>
      <c r="Z12" s="3">
        <f>C12*$D12</f>
        <v/>
      </c>
      <c r="AA12" s="9">
        <f>$L978+$K978*E12+$J978*F12+$I978*G12+$H978*H12+$G978*I12+$F978*J12+$E978*K12+$D978*L12+$C978*M12+$B978*N12</f>
        <v/>
      </c>
      <c r="AB12" s="9">
        <f>C12-AA12</f>
        <v/>
      </c>
      <c r="AC12" s="4">
        <f>AB12^2</f>
        <v/>
      </c>
    </row>
    <row r="13">
      <c r="A13" t="inlineStr">
        <is>
          <t>BBG0025Y4RY4</t>
        </is>
      </c>
      <c r="B13" t="inlineStr">
        <is>
          <t>abbv</t>
        </is>
      </c>
      <c r="C13" s="9" t="n">
        <v>-0.006341170726810619</v>
      </c>
      <c r="D13" s="3">
        <f>EXP(0.25*'3b-d Exposures'!G13)</f>
        <v/>
      </c>
      <c r="E13" s="3">
        <f>IF('3b-d Exposures'!C13="",0,'3b-d Exposures'!C13)</f>
        <v/>
      </c>
      <c r="F13" s="3">
        <f>IF('3b-d Exposures'!E13="",0,'3b-d Exposures'!E13)</f>
        <v/>
      </c>
      <c r="G13" s="3">
        <f>IF('3b-d Exposures'!G13="",0,'3b-d Exposures'!G13)</f>
        <v/>
      </c>
      <c r="H13" s="3">
        <f>IF('3b-d Exposures'!I13="",0,'3b-d Exposures'!I13)</f>
        <v/>
      </c>
      <c r="I13" s="3">
        <f>IF('3b-d Exposures'!K13="",0,'3b-d Exposures'!K13)</f>
        <v/>
      </c>
      <c r="J13" s="3">
        <f>IF('3b-d Exposures'!M13="",0,'3b-d Exposures'!M13)</f>
        <v/>
      </c>
      <c r="K13" s="3">
        <f>IF('3b-d Exposures'!O13="",0,'3b-d Exposures'!O13)</f>
        <v/>
      </c>
      <c r="L13" s="3">
        <f>IF('3b-d Exposures'!Q13="",0,'3b-d Exposures'!Q13)</f>
        <v/>
      </c>
      <c r="M13" s="3">
        <f>IF('3b-d Exposures'!S13="",0,'3b-d Exposures'!S13)</f>
        <v/>
      </c>
      <c r="N13" s="3">
        <f>IF('3b-d Exposures'!Z13="",0,'3b-d Exposures'!Z13)</f>
        <v/>
      </c>
      <c r="O13" s="3">
        <f>$D13</f>
        <v/>
      </c>
      <c r="P13" s="3">
        <f>E13*$D13</f>
        <v/>
      </c>
      <c r="Q13" s="3">
        <f>F13*$D13</f>
        <v/>
      </c>
      <c r="R13" s="3">
        <f>G13*$D13</f>
        <v/>
      </c>
      <c r="S13" s="3">
        <f>H13*$D13</f>
        <v/>
      </c>
      <c r="T13" s="3">
        <f>I13*$D13</f>
        <v/>
      </c>
      <c r="U13" s="3">
        <f>J13*$D13</f>
        <v/>
      </c>
      <c r="V13" s="3">
        <f>K13*$D13</f>
        <v/>
      </c>
      <c r="W13" s="3">
        <f>L13*$D13</f>
        <v/>
      </c>
      <c r="X13" s="3">
        <f>M13*$D13</f>
        <v/>
      </c>
      <c r="Y13" s="3">
        <f>N13*$D13</f>
        <v/>
      </c>
      <c r="Z13" s="3">
        <f>C13*$D13</f>
        <v/>
      </c>
      <c r="AA13" s="9">
        <f>$L978+$K978*E13+$J978*F13+$I978*G13+$H978*H13+$G978*I13+$F978*J13+$E978*K13+$D978*L13+$C978*M13+$B978*N13</f>
        <v/>
      </c>
      <c r="AB13" s="9">
        <f>C13-AA13</f>
        <v/>
      </c>
      <c r="AC13" s="4">
        <f>AB13^2</f>
        <v/>
      </c>
    </row>
    <row r="14">
      <c r="A14" t="inlineStr">
        <is>
          <t>BBG000KMVDV1</t>
        </is>
      </c>
      <c r="B14" t="inlineStr">
        <is>
          <t>abr</t>
        </is>
      </c>
      <c r="C14" s="9" t="n">
        <v>-0.008179980917352392</v>
      </c>
      <c r="D14" s="3">
        <f>EXP(0.25*'3b-d Exposures'!G15)</f>
        <v/>
      </c>
      <c r="E14" s="3">
        <f>IF('3b-d Exposures'!C15="",0,'3b-d Exposures'!C15)</f>
        <v/>
      </c>
      <c r="F14" s="3">
        <f>IF('3b-d Exposures'!E15="",0,'3b-d Exposures'!E15)</f>
        <v/>
      </c>
      <c r="G14" s="3">
        <f>IF('3b-d Exposures'!G15="",0,'3b-d Exposures'!G15)</f>
        <v/>
      </c>
      <c r="H14" s="3">
        <f>IF('3b-d Exposures'!I15="",0,'3b-d Exposures'!I15)</f>
        <v/>
      </c>
      <c r="I14" s="3">
        <f>IF('3b-d Exposures'!K15="",0,'3b-d Exposures'!K15)</f>
        <v/>
      </c>
      <c r="J14" s="3">
        <f>IF('3b-d Exposures'!M15="",0,'3b-d Exposures'!M15)</f>
        <v/>
      </c>
      <c r="K14" s="3">
        <f>IF('3b-d Exposures'!O15="",0,'3b-d Exposures'!O15)</f>
        <v/>
      </c>
      <c r="L14" s="3">
        <f>IF('3b-d Exposures'!Q15="",0,'3b-d Exposures'!Q15)</f>
        <v/>
      </c>
      <c r="M14" s="3">
        <f>IF('3b-d Exposures'!S15="",0,'3b-d Exposures'!S15)</f>
        <v/>
      </c>
      <c r="N14" s="3">
        <f>IF('3b-d Exposures'!Z15="",0,'3b-d Exposures'!Z15)</f>
        <v/>
      </c>
      <c r="O14" s="3">
        <f>$D14</f>
        <v/>
      </c>
      <c r="P14" s="3">
        <f>E14*$D14</f>
        <v/>
      </c>
      <c r="Q14" s="3">
        <f>F14*$D14</f>
        <v/>
      </c>
      <c r="R14" s="3">
        <f>G14*$D14</f>
        <v/>
      </c>
      <c r="S14" s="3">
        <f>H14*$D14</f>
        <v/>
      </c>
      <c r="T14" s="3">
        <f>I14*$D14</f>
        <v/>
      </c>
      <c r="U14" s="3">
        <f>J14*$D14</f>
        <v/>
      </c>
      <c r="V14" s="3">
        <f>K14*$D14</f>
        <v/>
      </c>
      <c r="W14" s="3">
        <f>L14*$D14</f>
        <v/>
      </c>
      <c r="X14" s="3">
        <f>M14*$D14</f>
        <v/>
      </c>
      <c r="Y14" s="3">
        <f>N14*$D14</f>
        <v/>
      </c>
      <c r="Z14" s="3">
        <f>C14*$D14</f>
        <v/>
      </c>
      <c r="AA14" s="9">
        <f>$L978+$K978*E14+$J978*F14+$I978*G14+$H978*H14+$G978*I14+$F978*J14+$E978*K14+$D978*L14+$C978*M14+$B978*N14</f>
        <v/>
      </c>
      <c r="AB14" s="9">
        <f>C14-AA14</f>
        <v/>
      </c>
      <c r="AC14" s="4">
        <f>AB14^2</f>
        <v/>
      </c>
    </row>
    <row r="15">
      <c r="A15" t="inlineStr">
        <is>
          <t>BBG000B9ZXB4</t>
        </is>
      </c>
      <c r="B15" t="inlineStr">
        <is>
          <t>abt</t>
        </is>
      </c>
      <c r="C15" s="9" t="n">
        <v>-0.01650254154630182</v>
      </c>
      <c r="D15" s="3">
        <f>EXP(0.25*'3b-d Exposures'!G16)</f>
        <v/>
      </c>
      <c r="E15" s="3">
        <f>IF('3b-d Exposures'!C16="",0,'3b-d Exposures'!C16)</f>
        <v/>
      </c>
      <c r="F15" s="3">
        <f>IF('3b-d Exposures'!E16="",0,'3b-d Exposures'!E16)</f>
        <v/>
      </c>
      <c r="G15" s="3">
        <f>IF('3b-d Exposures'!G16="",0,'3b-d Exposures'!G16)</f>
        <v/>
      </c>
      <c r="H15" s="3">
        <f>IF('3b-d Exposures'!I16="",0,'3b-d Exposures'!I16)</f>
        <v/>
      </c>
      <c r="I15" s="3">
        <f>IF('3b-d Exposures'!K16="",0,'3b-d Exposures'!K16)</f>
        <v/>
      </c>
      <c r="J15" s="3">
        <f>IF('3b-d Exposures'!M16="",0,'3b-d Exposures'!M16)</f>
        <v/>
      </c>
      <c r="K15" s="3">
        <f>IF('3b-d Exposures'!O16="",0,'3b-d Exposures'!O16)</f>
        <v/>
      </c>
      <c r="L15" s="3">
        <f>IF('3b-d Exposures'!Q16="",0,'3b-d Exposures'!Q16)</f>
        <v/>
      </c>
      <c r="M15" s="3">
        <f>IF('3b-d Exposures'!S16="",0,'3b-d Exposures'!S16)</f>
        <v/>
      </c>
      <c r="N15" s="3">
        <f>IF('3b-d Exposures'!Z16="",0,'3b-d Exposures'!Z16)</f>
        <v/>
      </c>
      <c r="O15" s="3">
        <f>$D15</f>
        <v/>
      </c>
      <c r="P15" s="3">
        <f>E15*$D15</f>
        <v/>
      </c>
      <c r="Q15" s="3">
        <f>F15*$D15</f>
        <v/>
      </c>
      <c r="R15" s="3">
        <f>G15*$D15</f>
        <v/>
      </c>
      <c r="S15" s="3">
        <f>H15*$D15</f>
        <v/>
      </c>
      <c r="T15" s="3">
        <f>I15*$D15</f>
        <v/>
      </c>
      <c r="U15" s="3">
        <f>J15*$D15</f>
        <v/>
      </c>
      <c r="V15" s="3">
        <f>K15*$D15</f>
        <v/>
      </c>
      <c r="W15" s="3">
        <f>L15*$D15</f>
        <v/>
      </c>
      <c r="X15" s="3">
        <f>M15*$D15</f>
        <v/>
      </c>
      <c r="Y15" s="3">
        <f>N15*$D15</f>
        <v/>
      </c>
      <c r="Z15" s="3">
        <f>C15*$D15</f>
        <v/>
      </c>
      <c r="AA15" s="9">
        <f>$L978+$K978*E15+$J978*F15+$I978*G15+$H978*H15+$G978*I15+$F978*J15+$E978*K15+$D978*L15+$C978*M15+$B978*N15</f>
        <v/>
      </c>
      <c r="AB15" s="9">
        <f>C15-AA15</f>
        <v/>
      </c>
      <c r="AC15" s="4">
        <f>AB15^2</f>
        <v/>
      </c>
    </row>
    <row r="16">
      <c r="A16" t="inlineStr">
        <is>
          <t>BBG000BHG9K0</t>
        </is>
      </c>
      <c r="B16" t="inlineStr">
        <is>
          <t>acad</t>
        </is>
      </c>
      <c r="C16" s="9" t="n">
        <v>0.01776966427391025</v>
      </c>
      <c r="D16" s="3">
        <f>EXP(0.25*'3b-d Exposures'!G18)</f>
        <v/>
      </c>
      <c r="E16" s="3">
        <f>IF('3b-d Exposures'!C18="",0,'3b-d Exposures'!C18)</f>
        <v/>
      </c>
      <c r="F16" s="3">
        <f>IF('3b-d Exposures'!E18="",0,'3b-d Exposures'!E18)</f>
        <v/>
      </c>
      <c r="G16" s="3">
        <f>IF('3b-d Exposures'!G18="",0,'3b-d Exposures'!G18)</f>
        <v/>
      </c>
      <c r="H16" s="3">
        <f>IF('3b-d Exposures'!I18="",0,'3b-d Exposures'!I18)</f>
        <v/>
      </c>
      <c r="I16" s="3">
        <f>IF('3b-d Exposures'!K18="",0,'3b-d Exposures'!K18)</f>
        <v/>
      </c>
      <c r="J16" s="3">
        <f>IF('3b-d Exposures'!M18="",0,'3b-d Exposures'!M18)</f>
        <v/>
      </c>
      <c r="K16" s="3">
        <f>IF('3b-d Exposures'!O18="",0,'3b-d Exposures'!O18)</f>
        <v/>
      </c>
      <c r="L16" s="3">
        <f>IF('3b-d Exposures'!Q18="",0,'3b-d Exposures'!Q18)</f>
        <v/>
      </c>
      <c r="M16" s="3">
        <f>IF('3b-d Exposures'!S18="",0,'3b-d Exposures'!S18)</f>
        <v/>
      </c>
      <c r="N16" s="3">
        <f>IF('3b-d Exposures'!Z18="",0,'3b-d Exposures'!Z18)</f>
        <v/>
      </c>
      <c r="O16" s="3">
        <f>$D16</f>
        <v/>
      </c>
      <c r="P16" s="3">
        <f>E16*$D16</f>
        <v/>
      </c>
      <c r="Q16" s="3">
        <f>F16*$D16</f>
        <v/>
      </c>
      <c r="R16" s="3">
        <f>G16*$D16</f>
        <v/>
      </c>
      <c r="S16" s="3">
        <f>H16*$D16</f>
        <v/>
      </c>
      <c r="T16" s="3">
        <f>I16*$D16</f>
        <v/>
      </c>
      <c r="U16" s="3">
        <f>J16*$D16</f>
        <v/>
      </c>
      <c r="V16" s="3">
        <f>K16*$D16</f>
        <v/>
      </c>
      <c r="W16" s="3">
        <f>L16*$D16</f>
        <v/>
      </c>
      <c r="X16" s="3">
        <f>M16*$D16</f>
        <v/>
      </c>
      <c r="Y16" s="3">
        <f>N16*$D16</f>
        <v/>
      </c>
      <c r="Z16" s="3">
        <f>C16*$D16</f>
        <v/>
      </c>
      <c r="AA16" s="9">
        <f>$L978+$K978*E16+$J978*F16+$I978*G16+$H978*H16+$G978*I16+$F978*J16+$E978*K16+$D978*L16+$C978*M16+$B978*N16</f>
        <v/>
      </c>
      <c r="AB16" s="9">
        <f>C16-AA16</f>
        <v/>
      </c>
      <c r="AC16" s="4">
        <f>AB16^2</f>
        <v/>
      </c>
    </row>
    <row r="17">
      <c r="A17" t="inlineStr">
        <is>
          <t>acgl</t>
        </is>
      </c>
      <c r="B17" t="inlineStr">
        <is>
          <t>acgl</t>
        </is>
      </c>
      <c r="C17" s="9" t="n">
        <v>-0.01409847251524288</v>
      </c>
      <c r="D17" s="3">
        <f>EXP(0.25*'3b-d Exposures'!G19)</f>
        <v/>
      </c>
      <c r="E17" s="3">
        <f>IF('3b-d Exposures'!C19="",0,'3b-d Exposures'!C19)</f>
        <v/>
      </c>
      <c r="F17" s="3">
        <f>IF('3b-d Exposures'!E19="",0,'3b-d Exposures'!E19)</f>
        <v/>
      </c>
      <c r="G17" s="3">
        <f>IF('3b-d Exposures'!G19="",0,'3b-d Exposures'!G19)</f>
        <v/>
      </c>
      <c r="H17" s="3">
        <f>IF('3b-d Exposures'!I19="",0,'3b-d Exposures'!I19)</f>
        <v/>
      </c>
      <c r="I17" s="3">
        <f>IF('3b-d Exposures'!K19="",0,'3b-d Exposures'!K19)</f>
        <v/>
      </c>
      <c r="J17" s="3">
        <f>IF('3b-d Exposures'!M19="",0,'3b-d Exposures'!M19)</f>
        <v/>
      </c>
      <c r="K17" s="3">
        <f>IF('3b-d Exposures'!O19="",0,'3b-d Exposures'!O19)</f>
        <v/>
      </c>
      <c r="L17" s="3">
        <f>IF('3b-d Exposures'!Q19="",0,'3b-d Exposures'!Q19)</f>
        <v/>
      </c>
      <c r="M17" s="3">
        <f>IF('3b-d Exposures'!S19="",0,'3b-d Exposures'!S19)</f>
        <v/>
      </c>
      <c r="N17" s="3">
        <f>IF('3b-d Exposures'!Z19="",0,'3b-d Exposures'!Z19)</f>
        <v/>
      </c>
      <c r="O17" s="3">
        <f>$D17</f>
        <v/>
      </c>
      <c r="P17" s="3">
        <f>E17*$D17</f>
        <v/>
      </c>
      <c r="Q17" s="3">
        <f>F17*$D17</f>
        <v/>
      </c>
      <c r="R17" s="3">
        <f>G17*$D17</f>
        <v/>
      </c>
      <c r="S17" s="3">
        <f>H17*$D17</f>
        <v/>
      </c>
      <c r="T17" s="3">
        <f>I17*$D17</f>
        <v/>
      </c>
      <c r="U17" s="3">
        <f>J17*$D17</f>
        <v/>
      </c>
      <c r="V17" s="3">
        <f>K17*$D17</f>
        <v/>
      </c>
      <c r="W17" s="3">
        <f>L17*$D17</f>
        <v/>
      </c>
      <c r="X17" s="3">
        <f>M17*$D17</f>
        <v/>
      </c>
      <c r="Y17" s="3">
        <f>N17*$D17</f>
        <v/>
      </c>
      <c r="Z17" s="3">
        <f>C17*$D17</f>
        <v/>
      </c>
      <c r="AA17" s="9">
        <f>$L978+$K978*E17+$J978*F17+$I978*G17+$H978*H17+$G978*I17+$F978*J17+$E978*K17+$D978*L17+$C978*M17+$B978*N17</f>
        <v/>
      </c>
      <c r="AB17" s="9">
        <f>C17-AA17</f>
        <v/>
      </c>
      <c r="AC17" s="4">
        <f>AB17^2</f>
        <v/>
      </c>
    </row>
    <row r="18">
      <c r="A18" t="inlineStr">
        <is>
          <t>BBG000FPNN38</t>
        </is>
      </c>
      <c r="B18" t="inlineStr">
        <is>
          <t>achc</t>
        </is>
      </c>
      <c r="C18" s="9" t="n">
        <v>0.04651733546548265</v>
      </c>
      <c r="D18" s="3">
        <f>EXP(0.25*'3b-d Exposures'!G20)</f>
        <v/>
      </c>
      <c r="E18" s="3">
        <f>IF('3b-d Exposures'!C20="",0,'3b-d Exposures'!C20)</f>
        <v/>
      </c>
      <c r="F18" s="3">
        <f>IF('3b-d Exposures'!E20="",0,'3b-d Exposures'!E20)</f>
        <v/>
      </c>
      <c r="G18" s="3">
        <f>IF('3b-d Exposures'!G20="",0,'3b-d Exposures'!G20)</f>
        <v/>
      </c>
      <c r="H18" s="3">
        <f>IF('3b-d Exposures'!I20="",0,'3b-d Exposures'!I20)</f>
        <v/>
      </c>
      <c r="I18" s="3">
        <f>IF('3b-d Exposures'!K20="",0,'3b-d Exposures'!K20)</f>
        <v/>
      </c>
      <c r="J18" s="3">
        <f>IF('3b-d Exposures'!M20="",0,'3b-d Exposures'!M20)</f>
        <v/>
      </c>
      <c r="K18" s="3">
        <f>IF('3b-d Exposures'!O20="",0,'3b-d Exposures'!O20)</f>
        <v/>
      </c>
      <c r="L18" s="3">
        <f>IF('3b-d Exposures'!Q20="",0,'3b-d Exposures'!Q20)</f>
        <v/>
      </c>
      <c r="M18" s="3">
        <f>IF('3b-d Exposures'!S20="",0,'3b-d Exposures'!S20)</f>
        <v/>
      </c>
      <c r="N18" s="3">
        <f>IF('3b-d Exposures'!Z20="",0,'3b-d Exposures'!Z20)</f>
        <v/>
      </c>
      <c r="O18" s="3">
        <f>$D18</f>
        <v/>
      </c>
      <c r="P18" s="3">
        <f>E18*$D18</f>
        <v/>
      </c>
      <c r="Q18" s="3">
        <f>F18*$D18</f>
        <v/>
      </c>
      <c r="R18" s="3">
        <f>G18*$D18</f>
        <v/>
      </c>
      <c r="S18" s="3">
        <f>H18*$D18</f>
        <v/>
      </c>
      <c r="T18" s="3">
        <f>I18*$D18</f>
        <v/>
      </c>
      <c r="U18" s="3">
        <f>J18*$D18</f>
        <v/>
      </c>
      <c r="V18" s="3">
        <f>K18*$D18</f>
        <v/>
      </c>
      <c r="W18" s="3">
        <f>L18*$D18</f>
        <v/>
      </c>
      <c r="X18" s="3">
        <f>M18*$D18</f>
        <v/>
      </c>
      <c r="Y18" s="3">
        <f>N18*$D18</f>
        <v/>
      </c>
      <c r="Z18" s="3">
        <f>C18*$D18</f>
        <v/>
      </c>
      <c r="AA18" s="9">
        <f>$L978+$K978*E18+$J978*F18+$I978*G18+$H978*H18+$G978*I18+$F978*J18+$E978*K18+$D978*L18+$C978*M18+$B978*N18</f>
        <v/>
      </c>
      <c r="AB18" s="9">
        <f>C18-AA18</f>
        <v/>
      </c>
      <c r="AC18" s="4">
        <f>AB18^2</f>
        <v/>
      </c>
    </row>
    <row r="19">
      <c r="A19" t="inlineStr">
        <is>
          <t>BBG009KG1750</t>
        </is>
      </c>
      <c r="B19" t="inlineStr">
        <is>
          <t>aci</t>
        </is>
      </c>
      <c r="C19" s="9" t="n">
        <v>-0.02015117516416376</v>
      </c>
      <c r="D19" s="3">
        <f>EXP(0.25*'3b-d Exposures'!G21)</f>
        <v/>
      </c>
      <c r="E19" s="3">
        <f>IF('3b-d Exposures'!C21="",0,'3b-d Exposures'!C21)</f>
        <v/>
      </c>
      <c r="F19" s="3">
        <f>IF('3b-d Exposures'!E21="",0,'3b-d Exposures'!E21)</f>
        <v/>
      </c>
      <c r="G19" s="3">
        <f>IF('3b-d Exposures'!G21="",0,'3b-d Exposures'!G21)</f>
        <v/>
      </c>
      <c r="H19" s="3">
        <f>IF('3b-d Exposures'!I21="",0,'3b-d Exposures'!I21)</f>
        <v/>
      </c>
      <c r="I19" s="3">
        <f>IF('3b-d Exposures'!K21="",0,'3b-d Exposures'!K21)</f>
        <v/>
      </c>
      <c r="J19" s="3">
        <f>IF('3b-d Exposures'!M21="",0,'3b-d Exposures'!M21)</f>
        <v/>
      </c>
      <c r="K19" s="3">
        <f>IF('3b-d Exposures'!O21="",0,'3b-d Exposures'!O21)</f>
        <v/>
      </c>
      <c r="L19" s="3">
        <f>IF('3b-d Exposures'!Q21="",0,'3b-d Exposures'!Q21)</f>
        <v/>
      </c>
      <c r="M19" s="3">
        <f>IF('3b-d Exposures'!S21="",0,'3b-d Exposures'!S21)</f>
        <v/>
      </c>
      <c r="N19" s="3">
        <f>IF('3b-d Exposures'!Z21="",0,'3b-d Exposures'!Z21)</f>
        <v/>
      </c>
      <c r="O19" s="3">
        <f>$D19</f>
        <v/>
      </c>
      <c r="P19" s="3">
        <f>E19*$D19</f>
        <v/>
      </c>
      <c r="Q19" s="3">
        <f>F19*$D19</f>
        <v/>
      </c>
      <c r="R19" s="3">
        <f>G19*$D19</f>
        <v/>
      </c>
      <c r="S19" s="3">
        <f>H19*$D19</f>
        <v/>
      </c>
      <c r="T19" s="3">
        <f>I19*$D19</f>
        <v/>
      </c>
      <c r="U19" s="3">
        <f>J19*$D19</f>
        <v/>
      </c>
      <c r="V19" s="3">
        <f>K19*$D19</f>
        <v/>
      </c>
      <c r="W19" s="3">
        <f>L19*$D19</f>
        <v/>
      </c>
      <c r="X19" s="3">
        <f>M19*$D19</f>
        <v/>
      </c>
      <c r="Y19" s="3">
        <f>N19*$D19</f>
        <v/>
      </c>
      <c r="Z19" s="3">
        <f>C19*$D19</f>
        <v/>
      </c>
      <c r="AA19" s="9">
        <f>$L978+$K978*E19+$J978*F19+$I978*G19+$H978*H19+$G978*I19+$F978*J19+$E978*K19+$D978*L19+$C978*M19+$B978*N19</f>
        <v/>
      </c>
      <c r="AB19" s="9">
        <f>C19-AA19</f>
        <v/>
      </c>
      <c r="AC19" s="4">
        <f>AB19^2</f>
        <v/>
      </c>
    </row>
    <row r="20">
      <c r="A20" t="inlineStr">
        <is>
          <t>acn</t>
        </is>
      </c>
      <c r="B20" t="inlineStr">
        <is>
          <t>acn</t>
        </is>
      </c>
      <c r="C20" s="9" t="n">
        <v>-0.002732037082310179</v>
      </c>
      <c r="D20" s="3">
        <f>EXP(0.25*'3b-d Exposures'!G22)</f>
        <v/>
      </c>
      <c r="E20" s="3">
        <f>IF('3b-d Exposures'!C22="",0,'3b-d Exposures'!C22)</f>
        <v/>
      </c>
      <c r="F20" s="3">
        <f>IF('3b-d Exposures'!E22="",0,'3b-d Exposures'!E22)</f>
        <v/>
      </c>
      <c r="G20" s="3">
        <f>IF('3b-d Exposures'!G22="",0,'3b-d Exposures'!G22)</f>
        <v/>
      </c>
      <c r="H20" s="3">
        <f>IF('3b-d Exposures'!I22="",0,'3b-d Exposures'!I22)</f>
        <v/>
      </c>
      <c r="I20" s="3">
        <f>IF('3b-d Exposures'!K22="",0,'3b-d Exposures'!K22)</f>
        <v/>
      </c>
      <c r="J20" s="3">
        <f>IF('3b-d Exposures'!M22="",0,'3b-d Exposures'!M22)</f>
        <v/>
      </c>
      <c r="K20" s="3">
        <f>IF('3b-d Exposures'!O22="",0,'3b-d Exposures'!O22)</f>
        <v/>
      </c>
      <c r="L20" s="3">
        <f>IF('3b-d Exposures'!Q22="",0,'3b-d Exposures'!Q22)</f>
        <v/>
      </c>
      <c r="M20" s="3">
        <f>IF('3b-d Exposures'!S22="",0,'3b-d Exposures'!S22)</f>
        <v/>
      </c>
      <c r="N20" s="3">
        <f>IF('3b-d Exposures'!Z22="",0,'3b-d Exposures'!Z22)</f>
        <v/>
      </c>
      <c r="O20" s="3">
        <f>$D20</f>
        <v/>
      </c>
      <c r="P20" s="3">
        <f>E20*$D20</f>
        <v/>
      </c>
      <c r="Q20" s="3">
        <f>F20*$D20</f>
        <v/>
      </c>
      <c r="R20" s="3">
        <f>G20*$D20</f>
        <v/>
      </c>
      <c r="S20" s="3">
        <f>H20*$D20</f>
        <v/>
      </c>
      <c r="T20" s="3">
        <f>I20*$D20</f>
        <v/>
      </c>
      <c r="U20" s="3">
        <f>J20*$D20</f>
        <v/>
      </c>
      <c r="V20" s="3">
        <f>K20*$D20</f>
        <v/>
      </c>
      <c r="W20" s="3">
        <f>L20*$D20</f>
        <v/>
      </c>
      <c r="X20" s="3">
        <f>M20*$D20</f>
        <v/>
      </c>
      <c r="Y20" s="3">
        <f>N20*$D20</f>
        <v/>
      </c>
      <c r="Z20" s="3">
        <f>C20*$D20</f>
        <v/>
      </c>
      <c r="AA20" s="9">
        <f>$L978+$K978*E20+$J978*F20+$I978*G20+$H978*H20+$G978*I20+$F978*J20+$E978*K20+$D978*L20+$C978*M20+$B978*N20</f>
        <v/>
      </c>
      <c r="AB20" s="9">
        <f>C20-AA20</f>
        <v/>
      </c>
      <c r="AC20" s="4">
        <f>AB20^2</f>
        <v/>
      </c>
    </row>
    <row r="21">
      <c r="A21" t="inlineStr">
        <is>
          <t>BBG000KF9J02</t>
        </is>
      </c>
      <c r="B21" t="inlineStr">
        <is>
          <t>actg</t>
        </is>
      </c>
      <c r="C21" s="9" t="n">
        <v>-0.02857145252557047</v>
      </c>
      <c r="D21" s="3">
        <f>EXP(0.25*'3b-d Exposures'!G23)</f>
        <v/>
      </c>
      <c r="E21" s="3">
        <f>IF('3b-d Exposures'!C23="",0,'3b-d Exposures'!C23)</f>
        <v/>
      </c>
      <c r="F21" s="3">
        <f>IF('3b-d Exposures'!E23="",0,'3b-d Exposures'!E23)</f>
        <v/>
      </c>
      <c r="G21" s="3">
        <f>IF('3b-d Exposures'!G23="",0,'3b-d Exposures'!G23)</f>
        <v/>
      </c>
      <c r="H21" s="3">
        <f>IF('3b-d Exposures'!I23="",0,'3b-d Exposures'!I23)</f>
        <v/>
      </c>
      <c r="I21" s="3">
        <f>IF('3b-d Exposures'!K23="",0,'3b-d Exposures'!K23)</f>
        <v/>
      </c>
      <c r="J21" s="3">
        <f>IF('3b-d Exposures'!M23="",0,'3b-d Exposures'!M23)</f>
        <v/>
      </c>
      <c r="K21" s="3">
        <f>IF('3b-d Exposures'!O23="",0,'3b-d Exposures'!O23)</f>
        <v/>
      </c>
      <c r="L21" s="3">
        <f>IF('3b-d Exposures'!Q23="",0,'3b-d Exposures'!Q23)</f>
        <v/>
      </c>
      <c r="M21" s="3">
        <f>IF('3b-d Exposures'!S23="",0,'3b-d Exposures'!S23)</f>
        <v/>
      </c>
      <c r="N21" s="3">
        <f>IF('3b-d Exposures'!Z23="",0,'3b-d Exposures'!Z23)</f>
        <v/>
      </c>
      <c r="O21" s="3">
        <f>$D21</f>
        <v/>
      </c>
      <c r="P21" s="3">
        <f>E21*$D21</f>
        <v/>
      </c>
      <c r="Q21" s="3">
        <f>F21*$D21</f>
        <v/>
      </c>
      <c r="R21" s="3">
        <f>G21*$D21</f>
        <v/>
      </c>
      <c r="S21" s="3">
        <f>H21*$D21</f>
        <v/>
      </c>
      <c r="T21" s="3">
        <f>I21*$D21</f>
        <v/>
      </c>
      <c r="U21" s="3">
        <f>J21*$D21</f>
        <v/>
      </c>
      <c r="V21" s="3">
        <f>K21*$D21</f>
        <v/>
      </c>
      <c r="W21" s="3">
        <f>L21*$D21</f>
        <v/>
      </c>
      <c r="X21" s="3">
        <f>M21*$D21</f>
        <v/>
      </c>
      <c r="Y21" s="3">
        <f>N21*$D21</f>
        <v/>
      </c>
      <c r="Z21" s="3">
        <f>C21*$D21</f>
        <v/>
      </c>
      <c r="AA21" s="9">
        <f>$L978+$K978*E21+$J978*F21+$I978*G21+$H978*H21+$G978*I21+$F978*J21+$E978*K21+$D978*L21+$C978*M21+$B978*N21</f>
        <v/>
      </c>
      <c r="AB21" s="9">
        <f>C21-AA21</f>
        <v/>
      </c>
      <c r="AC21" s="4">
        <f>AB21^2</f>
        <v/>
      </c>
    </row>
    <row r="22">
      <c r="A22" t="inlineStr">
        <is>
          <t>BBG000BB5006</t>
        </is>
      </c>
      <c r="B22" t="inlineStr">
        <is>
          <t>adbe</t>
        </is>
      </c>
      <c r="C22" s="9" t="n">
        <v>0.0005233646717253126</v>
      </c>
      <c r="D22" s="3">
        <f>EXP(0.25*'3b-d Exposures'!G24)</f>
        <v/>
      </c>
      <c r="E22" s="3">
        <f>IF('3b-d Exposures'!C24="",0,'3b-d Exposures'!C24)</f>
        <v/>
      </c>
      <c r="F22" s="3">
        <f>IF('3b-d Exposures'!E24="",0,'3b-d Exposures'!E24)</f>
        <v/>
      </c>
      <c r="G22" s="3">
        <f>IF('3b-d Exposures'!G24="",0,'3b-d Exposures'!G24)</f>
        <v/>
      </c>
      <c r="H22" s="3">
        <f>IF('3b-d Exposures'!I24="",0,'3b-d Exposures'!I24)</f>
        <v/>
      </c>
      <c r="I22" s="3">
        <f>IF('3b-d Exposures'!K24="",0,'3b-d Exposures'!K24)</f>
        <v/>
      </c>
      <c r="J22" s="3">
        <f>IF('3b-d Exposures'!M24="",0,'3b-d Exposures'!M24)</f>
        <v/>
      </c>
      <c r="K22" s="3">
        <f>IF('3b-d Exposures'!O24="",0,'3b-d Exposures'!O24)</f>
        <v/>
      </c>
      <c r="L22" s="3">
        <f>IF('3b-d Exposures'!Q24="",0,'3b-d Exposures'!Q24)</f>
        <v/>
      </c>
      <c r="M22" s="3">
        <f>IF('3b-d Exposures'!S24="",0,'3b-d Exposures'!S24)</f>
        <v/>
      </c>
      <c r="N22" s="3">
        <f>IF('3b-d Exposures'!Z24="",0,'3b-d Exposures'!Z24)</f>
        <v/>
      </c>
      <c r="O22" s="3">
        <f>$D22</f>
        <v/>
      </c>
      <c r="P22" s="3">
        <f>E22*$D22</f>
        <v/>
      </c>
      <c r="Q22" s="3">
        <f>F22*$D22</f>
        <v/>
      </c>
      <c r="R22" s="3">
        <f>G22*$D22</f>
        <v/>
      </c>
      <c r="S22" s="3">
        <f>H22*$D22</f>
        <v/>
      </c>
      <c r="T22" s="3">
        <f>I22*$D22</f>
        <v/>
      </c>
      <c r="U22" s="3">
        <f>J22*$D22</f>
        <v/>
      </c>
      <c r="V22" s="3">
        <f>K22*$D22</f>
        <v/>
      </c>
      <c r="W22" s="3">
        <f>L22*$D22</f>
        <v/>
      </c>
      <c r="X22" s="3">
        <f>M22*$D22</f>
        <v/>
      </c>
      <c r="Y22" s="3">
        <f>N22*$D22</f>
        <v/>
      </c>
      <c r="Z22" s="3">
        <f>C22*$D22</f>
        <v/>
      </c>
      <c r="AA22" s="9">
        <f>$L978+$K978*E22+$J978*F22+$I978*G22+$H978*H22+$G978*I22+$F978*J22+$E978*K22+$D978*L22+$C978*M22+$B978*N22</f>
        <v/>
      </c>
      <c r="AB22" s="9">
        <f>C22-AA22</f>
        <v/>
      </c>
      <c r="AC22" s="4">
        <f>AB22^2</f>
        <v/>
      </c>
    </row>
    <row r="23">
      <c r="A23" t="inlineStr">
        <is>
          <t>BBG000BC9DK0</t>
        </is>
      </c>
      <c r="B23" t="inlineStr">
        <is>
          <t>adc</t>
        </is>
      </c>
      <c r="C23" s="9" t="n">
        <v>-0.01692699226773553</v>
      </c>
      <c r="D23" s="3">
        <f>EXP(0.25*'3b-d Exposures'!G25)</f>
        <v/>
      </c>
      <c r="E23" s="3">
        <f>IF('3b-d Exposures'!C25="",0,'3b-d Exposures'!C25)</f>
        <v/>
      </c>
      <c r="F23" s="3">
        <f>IF('3b-d Exposures'!E25="",0,'3b-d Exposures'!E25)</f>
        <v/>
      </c>
      <c r="G23" s="3">
        <f>IF('3b-d Exposures'!G25="",0,'3b-d Exposures'!G25)</f>
        <v/>
      </c>
      <c r="H23" s="3">
        <f>IF('3b-d Exposures'!I25="",0,'3b-d Exposures'!I25)</f>
        <v/>
      </c>
      <c r="I23" s="3">
        <f>IF('3b-d Exposures'!K25="",0,'3b-d Exposures'!K25)</f>
        <v/>
      </c>
      <c r="J23" s="3">
        <f>IF('3b-d Exposures'!M25="",0,'3b-d Exposures'!M25)</f>
        <v/>
      </c>
      <c r="K23" s="3">
        <f>IF('3b-d Exposures'!O25="",0,'3b-d Exposures'!O25)</f>
        <v/>
      </c>
      <c r="L23" s="3">
        <f>IF('3b-d Exposures'!Q25="",0,'3b-d Exposures'!Q25)</f>
        <v/>
      </c>
      <c r="M23" s="3">
        <f>IF('3b-d Exposures'!S25="",0,'3b-d Exposures'!S25)</f>
        <v/>
      </c>
      <c r="N23" s="3">
        <f>IF('3b-d Exposures'!Z25="",0,'3b-d Exposures'!Z25)</f>
        <v/>
      </c>
      <c r="O23" s="3">
        <f>$D23</f>
        <v/>
      </c>
      <c r="P23" s="3">
        <f>E23*$D23</f>
        <v/>
      </c>
      <c r="Q23" s="3">
        <f>F23*$D23</f>
        <v/>
      </c>
      <c r="R23" s="3">
        <f>G23*$D23</f>
        <v/>
      </c>
      <c r="S23" s="3">
        <f>H23*$D23</f>
        <v/>
      </c>
      <c r="T23" s="3">
        <f>I23*$D23</f>
        <v/>
      </c>
      <c r="U23" s="3">
        <f>J23*$D23</f>
        <v/>
      </c>
      <c r="V23" s="3">
        <f>K23*$D23</f>
        <v/>
      </c>
      <c r="W23" s="3">
        <f>L23*$D23</f>
        <v/>
      </c>
      <c r="X23" s="3">
        <f>M23*$D23</f>
        <v/>
      </c>
      <c r="Y23" s="3">
        <f>N23*$D23</f>
        <v/>
      </c>
      <c r="Z23" s="3">
        <f>C23*$D23</f>
        <v/>
      </c>
      <c r="AA23" s="9">
        <f>$L978+$K978*E23+$J978*F23+$I978*G23+$H978*H23+$G978*I23+$F978*J23+$E978*K23+$D978*L23+$C978*M23+$B978*N23</f>
        <v/>
      </c>
      <c r="AB23" s="9">
        <f>C23-AA23</f>
        <v/>
      </c>
      <c r="AC23" s="4">
        <f>AB23^2</f>
        <v/>
      </c>
    </row>
    <row r="24">
      <c r="A24" t="inlineStr">
        <is>
          <t>BBG00RBFBL50</t>
        </is>
      </c>
      <c r="B24" t="inlineStr">
        <is>
          <t>adea</t>
        </is>
      </c>
      <c r="C24" s="9" t="n">
        <v>0.03217837301227777</v>
      </c>
      <c r="D24" s="3">
        <f>EXP(0.25*'3b-d Exposures'!G26)</f>
        <v/>
      </c>
      <c r="E24" s="3">
        <f>IF('3b-d Exposures'!C26="",0,'3b-d Exposures'!C26)</f>
        <v/>
      </c>
      <c r="F24" s="3">
        <f>IF('3b-d Exposures'!E26="",0,'3b-d Exposures'!E26)</f>
        <v/>
      </c>
      <c r="G24" s="3">
        <f>IF('3b-d Exposures'!G26="",0,'3b-d Exposures'!G26)</f>
        <v/>
      </c>
      <c r="H24" s="3">
        <f>IF('3b-d Exposures'!I26="",0,'3b-d Exposures'!I26)</f>
        <v/>
      </c>
      <c r="I24" s="3">
        <f>IF('3b-d Exposures'!K26="",0,'3b-d Exposures'!K26)</f>
        <v/>
      </c>
      <c r="J24" s="3">
        <f>IF('3b-d Exposures'!M26="",0,'3b-d Exposures'!M26)</f>
        <v/>
      </c>
      <c r="K24" s="3">
        <f>IF('3b-d Exposures'!O26="",0,'3b-d Exposures'!O26)</f>
        <v/>
      </c>
      <c r="L24" s="3">
        <f>IF('3b-d Exposures'!Q26="",0,'3b-d Exposures'!Q26)</f>
        <v/>
      </c>
      <c r="M24" s="3">
        <f>IF('3b-d Exposures'!S26="",0,'3b-d Exposures'!S26)</f>
        <v/>
      </c>
      <c r="N24" s="3">
        <f>IF('3b-d Exposures'!Z26="",0,'3b-d Exposures'!Z26)</f>
        <v/>
      </c>
      <c r="O24" s="3">
        <f>$D24</f>
        <v/>
      </c>
      <c r="P24" s="3">
        <f>E24*$D24</f>
        <v/>
      </c>
      <c r="Q24" s="3">
        <f>F24*$D24</f>
        <v/>
      </c>
      <c r="R24" s="3">
        <f>G24*$D24</f>
        <v/>
      </c>
      <c r="S24" s="3">
        <f>H24*$D24</f>
        <v/>
      </c>
      <c r="T24" s="3">
        <f>I24*$D24</f>
        <v/>
      </c>
      <c r="U24" s="3">
        <f>J24*$D24</f>
        <v/>
      </c>
      <c r="V24" s="3">
        <f>K24*$D24</f>
        <v/>
      </c>
      <c r="W24" s="3">
        <f>L24*$D24</f>
        <v/>
      </c>
      <c r="X24" s="3">
        <f>M24*$D24</f>
        <v/>
      </c>
      <c r="Y24" s="3">
        <f>N24*$D24</f>
        <v/>
      </c>
      <c r="Z24" s="3">
        <f>C24*$D24</f>
        <v/>
      </c>
      <c r="AA24" s="9">
        <f>$L978+$K978*E24+$J978*F24+$I978*G24+$H978*H24+$G978*I24+$F978*J24+$E978*K24+$D978*L24+$C978*M24+$B978*N24</f>
        <v/>
      </c>
      <c r="AB24" s="9">
        <f>C24-AA24</f>
        <v/>
      </c>
      <c r="AC24" s="4">
        <f>AB24^2</f>
        <v/>
      </c>
    </row>
    <row r="25">
      <c r="A25" t="inlineStr">
        <is>
          <t>BBG000BB6G37</t>
        </is>
      </c>
      <c r="B25" t="inlineStr">
        <is>
          <t>adi</t>
        </is>
      </c>
      <c r="C25" s="9" t="n">
        <v>0.02325159965806334</v>
      </c>
      <c r="D25" s="3">
        <f>EXP(0.25*'3b-d Exposures'!G27)</f>
        <v/>
      </c>
      <c r="E25" s="3">
        <f>IF('3b-d Exposures'!C27="",0,'3b-d Exposures'!C27)</f>
        <v/>
      </c>
      <c r="F25" s="3">
        <f>IF('3b-d Exposures'!E27="",0,'3b-d Exposures'!E27)</f>
        <v/>
      </c>
      <c r="G25" s="3">
        <f>IF('3b-d Exposures'!G27="",0,'3b-d Exposures'!G27)</f>
        <v/>
      </c>
      <c r="H25" s="3">
        <f>IF('3b-d Exposures'!I27="",0,'3b-d Exposures'!I27)</f>
        <v/>
      </c>
      <c r="I25" s="3">
        <f>IF('3b-d Exposures'!K27="",0,'3b-d Exposures'!K27)</f>
        <v/>
      </c>
      <c r="J25" s="3">
        <f>IF('3b-d Exposures'!M27="",0,'3b-d Exposures'!M27)</f>
        <v/>
      </c>
      <c r="K25" s="3">
        <f>IF('3b-d Exposures'!O27="",0,'3b-d Exposures'!O27)</f>
        <v/>
      </c>
      <c r="L25" s="3">
        <f>IF('3b-d Exposures'!Q27="",0,'3b-d Exposures'!Q27)</f>
        <v/>
      </c>
      <c r="M25" s="3">
        <f>IF('3b-d Exposures'!S27="",0,'3b-d Exposures'!S27)</f>
        <v/>
      </c>
      <c r="N25" s="3">
        <f>IF('3b-d Exposures'!Z27="",0,'3b-d Exposures'!Z27)</f>
        <v/>
      </c>
      <c r="O25" s="3">
        <f>$D25</f>
        <v/>
      </c>
      <c r="P25" s="3">
        <f>E25*$D25</f>
        <v/>
      </c>
      <c r="Q25" s="3">
        <f>F25*$D25</f>
        <v/>
      </c>
      <c r="R25" s="3">
        <f>G25*$D25</f>
        <v/>
      </c>
      <c r="S25" s="3">
        <f>H25*$D25</f>
        <v/>
      </c>
      <c r="T25" s="3">
        <f>I25*$D25</f>
        <v/>
      </c>
      <c r="U25" s="3">
        <f>J25*$D25</f>
        <v/>
      </c>
      <c r="V25" s="3">
        <f>K25*$D25</f>
        <v/>
      </c>
      <c r="W25" s="3">
        <f>L25*$D25</f>
        <v/>
      </c>
      <c r="X25" s="3">
        <f>M25*$D25</f>
        <v/>
      </c>
      <c r="Y25" s="3">
        <f>N25*$D25</f>
        <v/>
      </c>
      <c r="Z25" s="3">
        <f>C25*$D25</f>
        <v/>
      </c>
      <c r="AA25" s="9">
        <f>$L978+$K978*E25+$J978*F25+$I978*G25+$H978*H25+$G978*I25+$F978*J25+$E978*K25+$D978*L25+$C978*M25+$B978*N25</f>
        <v/>
      </c>
      <c r="AB25" s="9">
        <f>C25-AA25</f>
        <v/>
      </c>
      <c r="AC25" s="4">
        <f>AB25^2</f>
        <v/>
      </c>
    </row>
    <row r="26">
      <c r="A26" t="inlineStr">
        <is>
          <t>BBG000JG0547</t>
        </is>
      </c>
      <c r="B26" t="inlineStr">
        <is>
          <t>adp</t>
        </is>
      </c>
      <c r="C26" s="9" t="n">
        <v>-0.002932287318011872</v>
      </c>
      <c r="D26" s="3">
        <f>EXP(0.25*'3b-d Exposures'!G29)</f>
        <v/>
      </c>
      <c r="E26" s="3">
        <f>IF('3b-d Exposures'!C29="",0,'3b-d Exposures'!C29)</f>
        <v/>
      </c>
      <c r="F26" s="3">
        <f>IF('3b-d Exposures'!E29="",0,'3b-d Exposures'!E29)</f>
        <v/>
      </c>
      <c r="G26" s="3">
        <f>IF('3b-d Exposures'!G29="",0,'3b-d Exposures'!G29)</f>
        <v/>
      </c>
      <c r="H26" s="3">
        <f>IF('3b-d Exposures'!I29="",0,'3b-d Exposures'!I29)</f>
        <v/>
      </c>
      <c r="I26" s="3">
        <f>IF('3b-d Exposures'!K29="",0,'3b-d Exposures'!K29)</f>
        <v/>
      </c>
      <c r="J26" s="3">
        <f>IF('3b-d Exposures'!M29="",0,'3b-d Exposures'!M29)</f>
        <v/>
      </c>
      <c r="K26" s="3">
        <f>IF('3b-d Exposures'!O29="",0,'3b-d Exposures'!O29)</f>
        <v/>
      </c>
      <c r="L26" s="3">
        <f>IF('3b-d Exposures'!Q29="",0,'3b-d Exposures'!Q29)</f>
        <v/>
      </c>
      <c r="M26" s="3">
        <f>IF('3b-d Exposures'!S29="",0,'3b-d Exposures'!S29)</f>
        <v/>
      </c>
      <c r="N26" s="3">
        <f>IF('3b-d Exposures'!Z29="",0,'3b-d Exposures'!Z29)</f>
        <v/>
      </c>
      <c r="O26" s="3">
        <f>$D26</f>
        <v/>
      </c>
      <c r="P26" s="3">
        <f>E26*$D26</f>
        <v/>
      </c>
      <c r="Q26" s="3">
        <f>F26*$D26</f>
        <v/>
      </c>
      <c r="R26" s="3">
        <f>G26*$D26</f>
        <v/>
      </c>
      <c r="S26" s="3">
        <f>H26*$D26</f>
        <v/>
      </c>
      <c r="T26" s="3">
        <f>I26*$D26</f>
        <v/>
      </c>
      <c r="U26" s="3">
        <f>J26*$D26</f>
        <v/>
      </c>
      <c r="V26" s="3">
        <f>K26*$D26</f>
        <v/>
      </c>
      <c r="W26" s="3">
        <f>L26*$D26</f>
        <v/>
      </c>
      <c r="X26" s="3">
        <f>M26*$D26</f>
        <v/>
      </c>
      <c r="Y26" s="3">
        <f>N26*$D26</f>
        <v/>
      </c>
      <c r="Z26" s="3">
        <f>C26*$D26</f>
        <v/>
      </c>
      <c r="AA26" s="9">
        <f>$L978+$K978*E26+$J978*F26+$I978*G26+$H978*H26+$G978*I26+$F978*J26+$E978*K26+$D978*L26+$C978*M26+$B978*N26</f>
        <v/>
      </c>
      <c r="AB26" s="9">
        <f>C26-AA26</f>
        <v/>
      </c>
      <c r="AC26" s="4">
        <f>AB26^2</f>
        <v/>
      </c>
    </row>
    <row r="27">
      <c r="A27" t="inlineStr">
        <is>
          <t>BBG000BM7HL0</t>
        </is>
      </c>
      <c r="B27" t="inlineStr">
        <is>
          <t>adsk</t>
        </is>
      </c>
      <c r="C27" s="9" t="n">
        <v>0.01627269646906693</v>
      </c>
      <c r="D27" s="3">
        <f>EXP(0.25*'3b-d Exposures'!G30)</f>
        <v/>
      </c>
      <c r="E27" s="3">
        <f>IF('3b-d Exposures'!C30="",0,'3b-d Exposures'!C30)</f>
        <v/>
      </c>
      <c r="F27" s="3">
        <f>IF('3b-d Exposures'!E30="",0,'3b-d Exposures'!E30)</f>
        <v/>
      </c>
      <c r="G27" s="3">
        <f>IF('3b-d Exposures'!G30="",0,'3b-d Exposures'!G30)</f>
        <v/>
      </c>
      <c r="H27" s="3">
        <f>IF('3b-d Exposures'!I30="",0,'3b-d Exposures'!I30)</f>
        <v/>
      </c>
      <c r="I27" s="3">
        <f>IF('3b-d Exposures'!K30="",0,'3b-d Exposures'!K30)</f>
        <v/>
      </c>
      <c r="J27" s="3">
        <f>IF('3b-d Exposures'!M30="",0,'3b-d Exposures'!M30)</f>
        <v/>
      </c>
      <c r="K27" s="3">
        <f>IF('3b-d Exposures'!O30="",0,'3b-d Exposures'!O30)</f>
        <v/>
      </c>
      <c r="L27" s="3">
        <f>IF('3b-d Exposures'!Q30="",0,'3b-d Exposures'!Q30)</f>
        <v/>
      </c>
      <c r="M27" s="3">
        <f>IF('3b-d Exposures'!S30="",0,'3b-d Exposures'!S30)</f>
        <v/>
      </c>
      <c r="N27" s="3">
        <f>IF('3b-d Exposures'!Z30="",0,'3b-d Exposures'!Z30)</f>
        <v/>
      </c>
      <c r="O27" s="3">
        <f>$D27</f>
        <v/>
      </c>
      <c r="P27" s="3">
        <f>E27*$D27</f>
        <v/>
      </c>
      <c r="Q27" s="3">
        <f>F27*$D27</f>
        <v/>
      </c>
      <c r="R27" s="3">
        <f>G27*$D27</f>
        <v/>
      </c>
      <c r="S27" s="3">
        <f>H27*$D27</f>
        <v/>
      </c>
      <c r="T27" s="3">
        <f>I27*$D27</f>
        <v/>
      </c>
      <c r="U27" s="3">
        <f>J27*$D27</f>
        <v/>
      </c>
      <c r="V27" s="3">
        <f>K27*$D27</f>
        <v/>
      </c>
      <c r="W27" s="3">
        <f>L27*$D27</f>
        <v/>
      </c>
      <c r="X27" s="3">
        <f>M27*$D27</f>
        <v/>
      </c>
      <c r="Y27" s="3">
        <f>N27*$D27</f>
        <v/>
      </c>
      <c r="Z27" s="3">
        <f>C27*$D27</f>
        <v/>
      </c>
      <c r="AA27" s="9">
        <f>$L978+$K978*E27+$J978*F27+$I978*G27+$H978*H27+$G978*I27+$F978*J27+$E978*K27+$D978*L27+$C978*M27+$B978*N27</f>
        <v/>
      </c>
      <c r="AB27" s="9">
        <f>C27-AA27</f>
        <v/>
      </c>
      <c r="AC27" s="4">
        <f>AB27^2</f>
        <v/>
      </c>
    </row>
    <row r="28">
      <c r="A28" t="inlineStr">
        <is>
          <t>BBG000BP9WJ1</t>
        </is>
      </c>
      <c r="B28" t="inlineStr">
        <is>
          <t>adt</t>
        </is>
      </c>
      <c r="C28" s="9" t="n">
        <v>0.00131235566953336</v>
      </c>
      <c r="D28" s="3">
        <f>EXP(0.25*'3b-d Exposures'!G31)</f>
        <v/>
      </c>
      <c r="E28" s="3">
        <f>IF('3b-d Exposures'!C31="",0,'3b-d Exposures'!C31)</f>
        <v/>
      </c>
      <c r="F28" s="3">
        <f>IF('3b-d Exposures'!E31="",0,'3b-d Exposures'!E31)</f>
        <v/>
      </c>
      <c r="G28" s="3">
        <f>IF('3b-d Exposures'!G31="",0,'3b-d Exposures'!G31)</f>
        <v/>
      </c>
      <c r="H28" s="3">
        <f>IF('3b-d Exposures'!I31="",0,'3b-d Exposures'!I31)</f>
        <v/>
      </c>
      <c r="I28" s="3">
        <f>IF('3b-d Exposures'!K31="",0,'3b-d Exposures'!K31)</f>
        <v/>
      </c>
      <c r="J28" s="3">
        <f>IF('3b-d Exposures'!M31="",0,'3b-d Exposures'!M31)</f>
        <v/>
      </c>
      <c r="K28" s="3">
        <f>IF('3b-d Exposures'!O31="",0,'3b-d Exposures'!O31)</f>
        <v/>
      </c>
      <c r="L28" s="3">
        <f>IF('3b-d Exposures'!Q31="",0,'3b-d Exposures'!Q31)</f>
        <v/>
      </c>
      <c r="M28" s="3">
        <f>IF('3b-d Exposures'!S31="",0,'3b-d Exposures'!S31)</f>
        <v/>
      </c>
      <c r="N28" s="3">
        <f>IF('3b-d Exposures'!Z31="",0,'3b-d Exposures'!Z31)</f>
        <v/>
      </c>
      <c r="O28" s="3">
        <f>$D28</f>
        <v/>
      </c>
      <c r="P28" s="3">
        <f>E28*$D28</f>
        <v/>
      </c>
      <c r="Q28" s="3">
        <f>F28*$D28</f>
        <v/>
      </c>
      <c r="R28" s="3">
        <f>G28*$D28</f>
        <v/>
      </c>
      <c r="S28" s="3">
        <f>H28*$D28</f>
        <v/>
      </c>
      <c r="T28" s="3">
        <f>I28*$D28</f>
        <v/>
      </c>
      <c r="U28" s="3">
        <f>J28*$D28</f>
        <v/>
      </c>
      <c r="V28" s="3">
        <f>K28*$D28</f>
        <v/>
      </c>
      <c r="W28" s="3">
        <f>L28*$D28</f>
        <v/>
      </c>
      <c r="X28" s="3">
        <f>M28*$D28</f>
        <v/>
      </c>
      <c r="Y28" s="3">
        <f>N28*$D28</f>
        <v/>
      </c>
      <c r="Z28" s="3">
        <f>C28*$D28</f>
        <v/>
      </c>
      <c r="AA28" s="9">
        <f>$L978+$K978*E28+$J978*F28+$I978*G28+$H978*H28+$G978*I28+$F978*J28+$E978*K28+$D978*L28+$C978*M28+$B978*N28</f>
        <v/>
      </c>
      <c r="AB28" s="9">
        <f>C28-AA28</f>
        <v/>
      </c>
      <c r="AC28" s="4">
        <f>AB28^2</f>
        <v/>
      </c>
    </row>
    <row r="29">
      <c r="A29" t="inlineStr">
        <is>
          <t>BBG000B9X8C0</t>
        </is>
      </c>
      <c r="B29" t="inlineStr">
        <is>
          <t>aee</t>
        </is>
      </c>
      <c r="C29" s="9" t="n">
        <v>-0.0159975084224584</v>
      </c>
      <c r="D29" s="3">
        <f>EXP(0.25*'3b-d Exposures'!G32)</f>
        <v/>
      </c>
      <c r="E29" s="3">
        <f>IF('3b-d Exposures'!C32="",0,'3b-d Exposures'!C32)</f>
        <v/>
      </c>
      <c r="F29" s="3">
        <f>IF('3b-d Exposures'!E32="",0,'3b-d Exposures'!E32)</f>
        <v/>
      </c>
      <c r="G29" s="3">
        <f>IF('3b-d Exposures'!G32="",0,'3b-d Exposures'!G32)</f>
        <v/>
      </c>
      <c r="H29" s="3">
        <f>IF('3b-d Exposures'!I32="",0,'3b-d Exposures'!I32)</f>
        <v/>
      </c>
      <c r="I29" s="3">
        <f>IF('3b-d Exposures'!K32="",0,'3b-d Exposures'!K32)</f>
        <v/>
      </c>
      <c r="J29" s="3">
        <f>IF('3b-d Exposures'!M32="",0,'3b-d Exposures'!M32)</f>
        <v/>
      </c>
      <c r="K29" s="3">
        <f>IF('3b-d Exposures'!O32="",0,'3b-d Exposures'!O32)</f>
        <v/>
      </c>
      <c r="L29" s="3">
        <f>IF('3b-d Exposures'!Q32="",0,'3b-d Exposures'!Q32)</f>
        <v/>
      </c>
      <c r="M29" s="3">
        <f>IF('3b-d Exposures'!S32="",0,'3b-d Exposures'!S32)</f>
        <v/>
      </c>
      <c r="N29" s="3">
        <f>IF('3b-d Exposures'!Z32="",0,'3b-d Exposures'!Z32)</f>
        <v/>
      </c>
      <c r="O29" s="3">
        <f>$D29</f>
        <v/>
      </c>
      <c r="P29" s="3">
        <f>E29*$D29</f>
        <v/>
      </c>
      <c r="Q29" s="3">
        <f>F29*$D29</f>
        <v/>
      </c>
      <c r="R29" s="3">
        <f>G29*$D29</f>
        <v/>
      </c>
      <c r="S29" s="3">
        <f>H29*$D29</f>
        <v/>
      </c>
      <c r="T29" s="3">
        <f>I29*$D29</f>
        <v/>
      </c>
      <c r="U29" s="3">
        <f>J29*$D29</f>
        <v/>
      </c>
      <c r="V29" s="3">
        <f>K29*$D29</f>
        <v/>
      </c>
      <c r="W29" s="3">
        <f>L29*$D29</f>
        <v/>
      </c>
      <c r="X29" s="3">
        <f>M29*$D29</f>
        <v/>
      </c>
      <c r="Y29" s="3">
        <f>N29*$D29</f>
        <v/>
      </c>
      <c r="Z29" s="3">
        <f>C29*$D29</f>
        <v/>
      </c>
      <c r="AA29" s="9">
        <f>$L978+$K978*E29+$J978*F29+$I978*G29+$H978*H29+$G978*I29+$F978*J29+$E978*K29+$D978*L29+$C978*M29+$B978*N29</f>
        <v/>
      </c>
      <c r="AB29" s="9">
        <f>C29-AA29</f>
        <v/>
      </c>
      <c r="AC29" s="4">
        <f>AB29^2</f>
        <v/>
      </c>
    </row>
    <row r="30">
      <c r="A30" t="inlineStr">
        <is>
          <t>BBG000FKMP26</t>
        </is>
      </c>
      <c r="B30" t="inlineStr">
        <is>
          <t>aeis</t>
        </is>
      </c>
      <c r="C30" s="9" t="n">
        <v>0.03181497426101743</v>
      </c>
      <c r="D30" s="3">
        <f>EXP(0.25*'3b-d Exposures'!G33)</f>
        <v/>
      </c>
      <c r="E30" s="3">
        <f>IF('3b-d Exposures'!C33="",0,'3b-d Exposures'!C33)</f>
        <v/>
      </c>
      <c r="F30" s="3">
        <f>IF('3b-d Exposures'!E33="",0,'3b-d Exposures'!E33)</f>
        <v/>
      </c>
      <c r="G30" s="3">
        <f>IF('3b-d Exposures'!G33="",0,'3b-d Exposures'!G33)</f>
        <v/>
      </c>
      <c r="H30" s="3">
        <f>IF('3b-d Exposures'!I33="",0,'3b-d Exposures'!I33)</f>
        <v/>
      </c>
      <c r="I30" s="3">
        <f>IF('3b-d Exposures'!K33="",0,'3b-d Exposures'!K33)</f>
        <v/>
      </c>
      <c r="J30" s="3">
        <f>IF('3b-d Exposures'!M33="",0,'3b-d Exposures'!M33)</f>
        <v/>
      </c>
      <c r="K30" s="3">
        <f>IF('3b-d Exposures'!O33="",0,'3b-d Exposures'!O33)</f>
        <v/>
      </c>
      <c r="L30" s="3">
        <f>IF('3b-d Exposures'!Q33="",0,'3b-d Exposures'!Q33)</f>
        <v/>
      </c>
      <c r="M30" s="3">
        <f>IF('3b-d Exposures'!S33="",0,'3b-d Exposures'!S33)</f>
        <v/>
      </c>
      <c r="N30" s="3">
        <f>IF('3b-d Exposures'!Z33="",0,'3b-d Exposures'!Z33)</f>
        <v/>
      </c>
      <c r="O30" s="3">
        <f>$D30</f>
        <v/>
      </c>
      <c r="P30" s="3">
        <f>E30*$D30</f>
        <v/>
      </c>
      <c r="Q30" s="3">
        <f>F30*$D30</f>
        <v/>
      </c>
      <c r="R30" s="3">
        <f>G30*$D30</f>
        <v/>
      </c>
      <c r="S30" s="3">
        <f>H30*$D30</f>
        <v/>
      </c>
      <c r="T30" s="3">
        <f>I30*$D30</f>
        <v/>
      </c>
      <c r="U30" s="3">
        <f>J30*$D30</f>
        <v/>
      </c>
      <c r="V30" s="3">
        <f>K30*$D30</f>
        <v/>
      </c>
      <c r="W30" s="3">
        <f>L30*$D30</f>
        <v/>
      </c>
      <c r="X30" s="3">
        <f>M30*$D30</f>
        <v/>
      </c>
      <c r="Y30" s="3">
        <f>N30*$D30</f>
        <v/>
      </c>
      <c r="Z30" s="3">
        <f>C30*$D30</f>
        <v/>
      </c>
      <c r="AA30" s="9">
        <f>$L978+$K978*E30+$J978*F30+$I978*G30+$H978*H30+$G978*I30+$F978*J30+$E978*K30+$D978*L30+$C978*M30+$B978*N30</f>
        <v/>
      </c>
      <c r="AB30" s="9">
        <f>C30-AA30</f>
        <v/>
      </c>
      <c r="AC30" s="4">
        <f>AB30^2</f>
        <v/>
      </c>
    </row>
    <row r="31">
      <c r="A31" t="inlineStr">
        <is>
          <t>BBG000DLVDK3</t>
        </is>
      </c>
      <c r="B31" t="inlineStr">
        <is>
          <t>aem</t>
        </is>
      </c>
      <c r="C31" s="9" t="n">
        <v>-0.01836040192522759</v>
      </c>
      <c r="D31" s="3">
        <f>EXP(0.25*'3b-d Exposures'!G34)</f>
        <v/>
      </c>
      <c r="E31" s="3">
        <f>IF('3b-d Exposures'!C34="",0,'3b-d Exposures'!C34)</f>
        <v/>
      </c>
      <c r="F31" s="3">
        <f>IF('3b-d Exposures'!E34="",0,'3b-d Exposures'!E34)</f>
        <v/>
      </c>
      <c r="G31" s="3">
        <f>IF('3b-d Exposures'!G34="",0,'3b-d Exposures'!G34)</f>
        <v/>
      </c>
      <c r="H31" s="3">
        <f>IF('3b-d Exposures'!I34="",0,'3b-d Exposures'!I34)</f>
        <v/>
      </c>
      <c r="I31" s="3">
        <f>IF('3b-d Exposures'!K34="",0,'3b-d Exposures'!K34)</f>
        <v/>
      </c>
      <c r="J31" s="3">
        <f>IF('3b-d Exposures'!M34="",0,'3b-d Exposures'!M34)</f>
        <v/>
      </c>
      <c r="K31" s="3">
        <f>IF('3b-d Exposures'!O34="",0,'3b-d Exposures'!O34)</f>
        <v/>
      </c>
      <c r="L31" s="3">
        <f>IF('3b-d Exposures'!Q34="",0,'3b-d Exposures'!Q34)</f>
        <v/>
      </c>
      <c r="M31" s="3">
        <f>IF('3b-d Exposures'!S34="",0,'3b-d Exposures'!S34)</f>
        <v/>
      </c>
      <c r="N31" s="3">
        <f>IF('3b-d Exposures'!Z34="",0,'3b-d Exposures'!Z34)</f>
        <v/>
      </c>
      <c r="O31" s="3">
        <f>$D31</f>
        <v/>
      </c>
      <c r="P31" s="3">
        <f>E31*$D31</f>
        <v/>
      </c>
      <c r="Q31" s="3">
        <f>F31*$D31</f>
        <v/>
      </c>
      <c r="R31" s="3">
        <f>G31*$D31</f>
        <v/>
      </c>
      <c r="S31" s="3">
        <f>H31*$D31</f>
        <v/>
      </c>
      <c r="T31" s="3">
        <f>I31*$D31</f>
        <v/>
      </c>
      <c r="U31" s="3">
        <f>J31*$D31</f>
        <v/>
      </c>
      <c r="V31" s="3">
        <f>K31*$D31</f>
        <v/>
      </c>
      <c r="W31" s="3">
        <f>L31*$D31</f>
        <v/>
      </c>
      <c r="X31" s="3">
        <f>M31*$D31</f>
        <v/>
      </c>
      <c r="Y31" s="3">
        <f>N31*$D31</f>
        <v/>
      </c>
      <c r="Z31" s="3">
        <f>C31*$D31</f>
        <v/>
      </c>
      <c r="AA31" s="9">
        <f>$L978+$K978*E31+$J978*F31+$I978*G31+$H978*H31+$G978*I31+$F978*J31+$E978*K31+$D978*L31+$C978*M31+$B978*N31</f>
        <v/>
      </c>
      <c r="AB31" s="9">
        <f>C31-AA31</f>
        <v/>
      </c>
      <c r="AC31" s="4">
        <f>AB31^2</f>
        <v/>
      </c>
    </row>
    <row r="32">
      <c r="A32" t="inlineStr">
        <is>
          <t>BBG000BGXZB5</t>
        </is>
      </c>
      <c r="B32" t="inlineStr">
        <is>
          <t>aeo</t>
        </is>
      </c>
      <c r="C32" s="9" t="n">
        <v>0.03586286727823307</v>
      </c>
      <c r="D32" s="3">
        <f>EXP(0.25*'3b-d Exposures'!G35)</f>
        <v/>
      </c>
      <c r="E32" s="3">
        <f>IF('3b-d Exposures'!C35="",0,'3b-d Exposures'!C35)</f>
        <v/>
      </c>
      <c r="F32" s="3">
        <f>IF('3b-d Exposures'!E35="",0,'3b-d Exposures'!E35)</f>
        <v/>
      </c>
      <c r="G32" s="3">
        <f>IF('3b-d Exposures'!G35="",0,'3b-d Exposures'!G35)</f>
        <v/>
      </c>
      <c r="H32" s="3">
        <f>IF('3b-d Exposures'!I35="",0,'3b-d Exposures'!I35)</f>
        <v/>
      </c>
      <c r="I32" s="3">
        <f>IF('3b-d Exposures'!K35="",0,'3b-d Exposures'!K35)</f>
        <v/>
      </c>
      <c r="J32" s="3">
        <f>IF('3b-d Exposures'!M35="",0,'3b-d Exposures'!M35)</f>
        <v/>
      </c>
      <c r="K32" s="3">
        <f>IF('3b-d Exposures'!O35="",0,'3b-d Exposures'!O35)</f>
        <v/>
      </c>
      <c r="L32" s="3">
        <f>IF('3b-d Exposures'!Q35="",0,'3b-d Exposures'!Q35)</f>
        <v/>
      </c>
      <c r="M32" s="3">
        <f>IF('3b-d Exposures'!S35="",0,'3b-d Exposures'!S35)</f>
        <v/>
      </c>
      <c r="N32" s="3">
        <f>IF('3b-d Exposures'!Z35="",0,'3b-d Exposures'!Z35)</f>
        <v/>
      </c>
      <c r="O32" s="3">
        <f>$D32</f>
        <v/>
      </c>
      <c r="P32" s="3">
        <f>E32*$D32</f>
        <v/>
      </c>
      <c r="Q32" s="3">
        <f>F32*$D32</f>
        <v/>
      </c>
      <c r="R32" s="3">
        <f>G32*$D32</f>
        <v/>
      </c>
      <c r="S32" s="3">
        <f>H32*$D32</f>
        <v/>
      </c>
      <c r="T32" s="3">
        <f>I32*$D32</f>
        <v/>
      </c>
      <c r="U32" s="3">
        <f>J32*$D32</f>
        <v/>
      </c>
      <c r="V32" s="3">
        <f>K32*$D32</f>
        <v/>
      </c>
      <c r="W32" s="3">
        <f>L32*$D32</f>
        <v/>
      </c>
      <c r="X32" s="3">
        <f>M32*$D32</f>
        <v/>
      </c>
      <c r="Y32" s="3">
        <f>N32*$D32</f>
        <v/>
      </c>
      <c r="Z32" s="3">
        <f>C32*$D32</f>
        <v/>
      </c>
      <c r="AA32" s="9">
        <f>$L978+$K978*E32+$J978*F32+$I978*G32+$H978*H32+$G978*I32+$F978*J32+$E978*K32+$D978*L32+$C978*M32+$B978*N32</f>
        <v/>
      </c>
      <c r="AB32" s="9">
        <f>C32-AA32</f>
        <v/>
      </c>
      <c r="AC32" s="4">
        <f>AB32^2</f>
        <v/>
      </c>
    </row>
    <row r="33">
      <c r="A33" t="inlineStr">
        <is>
          <t>BBG000BB9KF2</t>
        </is>
      </c>
      <c r="B33" t="inlineStr">
        <is>
          <t>aep</t>
        </is>
      </c>
      <c r="C33" s="9" t="n">
        <v>-0.01642301916455025</v>
      </c>
      <c r="D33" s="3">
        <f>EXP(0.25*'3b-d Exposures'!G36)</f>
        <v/>
      </c>
      <c r="E33" s="3">
        <f>IF('3b-d Exposures'!C36="",0,'3b-d Exposures'!C36)</f>
        <v/>
      </c>
      <c r="F33" s="3">
        <f>IF('3b-d Exposures'!E36="",0,'3b-d Exposures'!E36)</f>
        <v/>
      </c>
      <c r="G33" s="3">
        <f>IF('3b-d Exposures'!G36="",0,'3b-d Exposures'!G36)</f>
        <v/>
      </c>
      <c r="H33" s="3">
        <f>IF('3b-d Exposures'!I36="",0,'3b-d Exposures'!I36)</f>
        <v/>
      </c>
      <c r="I33" s="3">
        <f>IF('3b-d Exposures'!K36="",0,'3b-d Exposures'!K36)</f>
        <v/>
      </c>
      <c r="J33" s="3">
        <f>IF('3b-d Exposures'!M36="",0,'3b-d Exposures'!M36)</f>
        <v/>
      </c>
      <c r="K33" s="3">
        <f>IF('3b-d Exposures'!O36="",0,'3b-d Exposures'!O36)</f>
        <v/>
      </c>
      <c r="L33" s="3">
        <f>IF('3b-d Exposures'!Q36="",0,'3b-d Exposures'!Q36)</f>
        <v/>
      </c>
      <c r="M33" s="3">
        <f>IF('3b-d Exposures'!S36="",0,'3b-d Exposures'!S36)</f>
        <v/>
      </c>
      <c r="N33" s="3">
        <f>IF('3b-d Exposures'!Z36="",0,'3b-d Exposures'!Z36)</f>
        <v/>
      </c>
      <c r="O33" s="3">
        <f>$D33</f>
        <v/>
      </c>
      <c r="P33" s="3">
        <f>E33*$D33</f>
        <v/>
      </c>
      <c r="Q33" s="3">
        <f>F33*$D33</f>
        <v/>
      </c>
      <c r="R33" s="3">
        <f>G33*$D33</f>
        <v/>
      </c>
      <c r="S33" s="3">
        <f>H33*$D33</f>
        <v/>
      </c>
      <c r="T33" s="3">
        <f>I33*$D33</f>
        <v/>
      </c>
      <c r="U33" s="3">
        <f>J33*$D33</f>
        <v/>
      </c>
      <c r="V33" s="3">
        <f>K33*$D33</f>
        <v/>
      </c>
      <c r="W33" s="3">
        <f>L33*$D33</f>
        <v/>
      </c>
      <c r="X33" s="3">
        <f>M33*$D33</f>
        <v/>
      </c>
      <c r="Y33" s="3">
        <f>N33*$D33</f>
        <v/>
      </c>
      <c r="Z33" s="3">
        <f>C33*$D33</f>
        <v/>
      </c>
      <c r="AA33" s="9">
        <f>$L978+$K978*E33+$J978*F33+$I978*G33+$H978*H33+$G978*I33+$F978*J33+$E978*K33+$D978*L33+$C978*M33+$B978*N33</f>
        <v/>
      </c>
      <c r="AB33" s="9">
        <f>C33-AA33</f>
        <v/>
      </c>
      <c r="AC33" s="4">
        <f>AB33^2</f>
        <v/>
      </c>
    </row>
    <row r="34">
      <c r="A34" t="inlineStr">
        <is>
          <t>BBG000C23KJ3</t>
        </is>
      </c>
      <c r="B34" t="inlineStr">
        <is>
          <t>aes</t>
        </is>
      </c>
      <c r="C34" s="9" t="n">
        <v>-0.00230057245952453</v>
      </c>
      <c r="D34" s="3">
        <f>EXP(0.25*'3b-d Exposures'!G37)</f>
        <v/>
      </c>
      <c r="E34" s="3">
        <f>IF('3b-d Exposures'!C37="",0,'3b-d Exposures'!C37)</f>
        <v/>
      </c>
      <c r="F34" s="3">
        <f>IF('3b-d Exposures'!E37="",0,'3b-d Exposures'!E37)</f>
        <v/>
      </c>
      <c r="G34" s="3">
        <f>IF('3b-d Exposures'!G37="",0,'3b-d Exposures'!G37)</f>
        <v/>
      </c>
      <c r="H34" s="3">
        <f>IF('3b-d Exposures'!I37="",0,'3b-d Exposures'!I37)</f>
        <v/>
      </c>
      <c r="I34" s="3">
        <f>IF('3b-d Exposures'!K37="",0,'3b-d Exposures'!K37)</f>
        <v/>
      </c>
      <c r="J34" s="3">
        <f>IF('3b-d Exposures'!M37="",0,'3b-d Exposures'!M37)</f>
        <v/>
      </c>
      <c r="K34" s="3">
        <f>IF('3b-d Exposures'!O37="",0,'3b-d Exposures'!O37)</f>
        <v/>
      </c>
      <c r="L34" s="3">
        <f>IF('3b-d Exposures'!Q37="",0,'3b-d Exposures'!Q37)</f>
        <v/>
      </c>
      <c r="M34" s="3">
        <f>IF('3b-d Exposures'!S37="",0,'3b-d Exposures'!S37)</f>
        <v/>
      </c>
      <c r="N34" s="3">
        <f>IF('3b-d Exposures'!Z37="",0,'3b-d Exposures'!Z37)</f>
        <v/>
      </c>
      <c r="O34" s="3">
        <f>$D34</f>
        <v/>
      </c>
      <c r="P34" s="3">
        <f>E34*$D34</f>
        <v/>
      </c>
      <c r="Q34" s="3">
        <f>F34*$D34</f>
        <v/>
      </c>
      <c r="R34" s="3">
        <f>G34*$D34</f>
        <v/>
      </c>
      <c r="S34" s="3">
        <f>H34*$D34</f>
        <v/>
      </c>
      <c r="T34" s="3">
        <f>I34*$D34</f>
        <v/>
      </c>
      <c r="U34" s="3">
        <f>J34*$D34</f>
        <v/>
      </c>
      <c r="V34" s="3">
        <f>K34*$D34</f>
        <v/>
      </c>
      <c r="W34" s="3">
        <f>L34*$D34</f>
        <v/>
      </c>
      <c r="X34" s="3">
        <f>M34*$D34</f>
        <v/>
      </c>
      <c r="Y34" s="3">
        <f>N34*$D34</f>
        <v/>
      </c>
      <c r="Z34" s="3">
        <f>C34*$D34</f>
        <v/>
      </c>
      <c r="AA34" s="9">
        <f>$L978+$K978*E34+$J978*F34+$I978*G34+$H978*H34+$G978*I34+$F978*J34+$E978*K34+$D978*L34+$C978*M34+$B978*N34</f>
        <v/>
      </c>
      <c r="AB34" s="9">
        <f>C34-AA34</f>
        <v/>
      </c>
      <c r="AC34" s="4">
        <f>AB34^2</f>
        <v/>
      </c>
    </row>
    <row r="35">
      <c r="A35" t="inlineStr">
        <is>
          <t>BBG000BBBNC6</t>
        </is>
      </c>
      <c r="B35" t="inlineStr">
        <is>
          <t>afl</t>
        </is>
      </c>
      <c r="C35" s="9" t="n">
        <v>-0.02280702409150925</v>
      </c>
      <c r="D35" s="3">
        <f>EXP(0.25*'3b-d Exposures'!G38)</f>
        <v/>
      </c>
      <c r="E35" s="3">
        <f>IF('3b-d Exposures'!C38="",0,'3b-d Exposures'!C38)</f>
        <v/>
      </c>
      <c r="F35" s="3">
        <f>IF('3b-d Exposures'!E38="",0,'3b-d Exposures'!E38)</f>
        <v/>
      </c>
      <c r="G35" s="3">
        <f>IF('3b-d Exposures'!G38="",0,'3b-d Exposures'!G38)</f>
        <v/>
      </c>
      <c r="H35" s="3">
        <f>IF('3b-d Exposures'!I38="",0,'3b-d Exposures'!I38)</f>
        <v/>
      </c>
      <c r="I35" s="3">
        <f>IF('3b-d Exposures'!K38="",0,'3b-d Exposures'!K38)</f>
        <v/>
      </c>
      <c r="J35" s="3">
        <f>IF('3b-d Exposures'!M38="",0,'3b-d Exposures'!M38)</f>
        <v/>
      </c>
      <c r="K35" s="3">
        <f>IF('3b-d Exposures'!O38="",0,'3b-d Exposures'!O38)</f>
        <v/>
      </c>
      <c r="L35" s="3">
        <f>IF('3b-d Exposures'!Q38="",0,'3b-d Exposures'!Q38)</f>
        <v/>
      </c>
      <c r="M35" s="3">
        <f>IF('3b-d Exposures'!S38="",0,'3b-d Exposures'!S38)</f>
        <v/>
      </c>
      <c r="N35" s="3">
        <f>IF('3b-d Exposures'!Z38="",0,'3b-d Exposures'!Z38)</f>
        <v/>
      </c>
      <c r="O35" s="3">
        <f>$D35</f>
        <v/>
      </c>
      <c r="P35" s="3">
        <f>E35*$D35</f>
        <v/>
      </c>
      <c r="Q35" s="3">
        <f>F35*$D35</f>
        <v/>
      </c>
      <c r="R35" s="3">
        <f>G35*$D35</f>
        <v/>
      </c>
      <c r="S35" s="3">
        <f>H35*$D35</f>
        <v/>
      </c>
      <c r="T35" s="3">
        <f>I35*$D35</f>
        <v/>
      </c>
      <c r="U35" s="3">
        <f>J35*$D35</f>
        <v/>
      </c>
      <c r="V35" s="3">
        <f>K35*$D35</f>
        <v/>
      </c>
      <c r="W35" s="3">
        <f>L35*$D35</f>
        <v/>
      </c>
      <c r="X35" s="3">
        <f>M35*$D35</f>
        <v/>
      </c>
      <c r="Y35" s="3">
        <f>N35*$D35</f>
        <v/>
      </c>
      <c r="Z35" s="3">
        <f>C35*$D35</f>
        <v/>
      </c>
      <c r="AA35" s="9">
        <f>$L978+$K978*E35+$J978*F35+$I978*G35+$H978*H35+$G978*I35+$F978*J35+$E978*K35+$D978*L35+$C978*M35+$B978*N35</f>
        <v/>
      </c>
      <c r="AB35" s="9">
        <f>C35-AA35</f>
        <v/>
      </c>
      <c r="AC35" s="4">
        <f>AB35^2</f>
        <v/>
      </c>
    </row>
    <row r="36">
      <c r="A36" t="inlineStr">
        <is>
          <t>BBG00Y7BP8Y1</t>
        </is>
      </c>
      <c r="B36" t="inlineStr">
        <is>
          <t>afrm</t>
        </is>
      </c>
      <c r="C36" s="9" t="n">
        <v>-0.02313959001786225</v>
      </c>
      <c r="D36" s="3">
        <f>EXP(0.25*'3b-d Exposures'!G39)</f>
        <v/>
      </c>
      <c r="E36" s="3">
        <f>IF('3b-d Exposures'!C39="",0,'3b-d Exposures'!C39)</f>
        <v/>
      </c>
      <c r="F36" s="3">
        <f>IF('3b-d Exposures'!E39="",0,'3b-d Exposures'!E39)</f>
        <v/>
      </c>
      <c r="G36" s="3">
        <f>IF('3b-d Exposures'!G39="",0,'3b-d Exposures'!G39)</f>
        <v/>
      </c>
      <c r="H36" s="3">
        <f>IF('3b-d Exposures'!I39="",0,'3b-d Exposures'!I39)</f>
        <v/>
      </c>
      <c r="I36" s="3">
        <f>IF('3b-d Exposures'!K39="",0,'3b-d Exposures'!K39)</f>
        <v/>
      </c>
      <c r="J36" s="3">
        <f>IF('3b-d Exposures'!M39="",0,'3b-d Exposures'!M39)</f>
        <v/>
      </c>
      <c r="K36" s="3">
        <f>IF('3b-d Exposures'!O39="",0,'3b-d Exposures'!O39)</f>
        <v/>
      </c>
      <c r="L36" s="3">
        <f>IF('3b-d Exposures'!Q39="",0,'3b-d Exposures'!Q39)</f>
        <v/>
      </c>
      <c r="M36" s="3">
        <f>IF('3b-d Exposures'!S39="",0,'3b-d Exposures'!S39)</f>
        <v/>
      </c>
      <c r="N36" s="3">
        <f>IF('3b-d Exposures'!Z39="",0,'3b-d Exposures'!Z39)</f>
        <v/>
      </c>
      <c r="O36" s="3">
        <f>$D36</f>
        <v/>
      </c>
      <c r="P36" s="3">
        <f>E36*$D36</f>
        <v/>
      </c>
      <c r="Q36" s="3">
        <f>F36*$D36</f>
        <v/>
      </c>
      <c r="R36" s="3">
        <f>G36*$D36</f>
        <v/>
      </c>
      <c r="S36" s="3">
        <f>H36*$D36</f>
        <v/>
      </c>
      <c r="T36" s="3">
        <f>I36*$D36</f>
        <v/>
      </c>
      <c r="U36" s="3">
        <f>J36*$D36</f>
        <v/>
      </c>
      <c r="V36" s="3">
        <f>K36*$D36</f>
        <v/>
      </c>
      <c r="W36" s="3">
        <f>L36*$D36</f>
        <v/>
      </c>
      <c r="X36" s="3">
        <f>M36*$D36</f>
        <v/>
      </c>
      <c r="Y36" s="3">
        <f>N36*$D36</f>
        <v/>
      </c>
      <c r="Z36" s="3">
        <f>C36*$D36</f>
        <v/>
      </c>
      <c r="AA36" s="9">
        <f>$L978+$K978*E36+$J978*F36+$I978*G36+$H978*H36+$G978*I36+$F978*J36+$E978*K36+$D978*L36+$C978*M36+$B978*N36</f>
        <v/>
      </c>
      <c r="AB36" s="9">
        <f>C36-AA36</f>
        <v/>
      </c>
      <c r="AC36" s="4">
        <f>AB36^2</f>
        <v/>
      </c>
    </row>
    <row r="37">
      <c r="A37" t="inlineStr">
        <is>
          <t>BBG000QY4ZD0</t>
        </is>
      </c>
      <c r="B37" t="inlineStr">
        <is>
          <t>agio</t>
        </is>
      </c>
      <c r="C37" s="9" t="n">
        <v>-0.008755690572616937</v>
      </c>
      <c r="D37" s="3">
        <f>EXP(0.25*'3b-d Exposures'!G40)</f>
        <v/>
      </c>
      <c r="E37" s="3">
        <f>IF('3b-d Exposures'!C40="",0,'3b-d Exposures'!C40)</f>
        <v/>
      </c>
      <c r="F37" s="3">
        <f>IF('3b-d Exposures'!E40="",0,'3b-d Exposures'!E40)</f>
        <v/>
      </c>
      <c r="G37" s="3">
        <f>IF('3b-d Exposures'!G40="",0,'3b-d Exposures'!G40)</f>
        <v/>
      </c>
      <c r="H37" s="3">
        <f>IF('3b-d Exposures'!I40="",0,'3b-d Exposures'!I40)</f>
        <v/>
      </c>
      <c r="I37" s="3">
        <f>IF('3b-d Exposures'!K40="",0,'3b-d Exposures'!K40)</f>
        <v/>
      </c>
      <c r="J37" s="3">
        <f>IF('3b-d Exposures'!M40="",0,'3b-d Exposures'!M40)</f>
        <v/>
      </c>
      <c r="K37" s="3">
        <f>IF('3b-d Exposures'!O40="",0,'3b-d Exposures'!O40)</f>
        <v/>
      </c>
      <c r="L37" s="3">
        <f>IF('3b-d Exposures'!Q40="",0,'3b-d Exposures'!Q40)</f>
        <v/>
      </c>
      <c r="M37" s="3">
        <f>IF('3b-d Exposures'!S40="",0,'3b-d Exposures'!S40)</f>
        <v/>
      </c>
      <c r="N37" s="3">
        <f>IF('3b-d Exposures'!Z40="",0,'3b-d Exposures'!Z40)</f>
        <v/>
      </c>
      <c r="O37" s="3">
        <f>$D37</f>
        <v/>
      </c>
      <c r="P37" s="3">
        <f>E37*$D37</f>
        <v/>
      </c>
      <c r="Q37" s="3">
        <f>F37*$D37</f>
        <v/>
      </c>
      <c r="R37" s="3">
        <f>G37*$D37</f>
        <v/>
      </c>
      <c r="S37" s="3">
        <f>H37*$D37</f>
        <v/>
      </c>
      <c r="T37" s="3">
        <f>I37*$D37</f>
        <v/>
      </c>
      <c r="U37" s="3">
        <f>J37*$D37</f>
        <v/>
      </c>
      <c r="V37" s="3">
        <f>K37*$D37</f>
        <v/>
      </c>
      <c r="W37" s="3">
        <f>L37*$D37</f>
        <v/>
      </c>
      <c r="X37" s="3">
        <f>M37*$D37</f>
        <v/>
      </c>
      <c r="Y37" s="3">
        <f>N37*$D37</f>
        <v/>
      </c>
      <c r="Z37" s="3">
        <f>C37*$D37</f>
        <v/>
      </c>
      <c r="AA37" s="9">
        <f>$L978+$K978*E37+$J978*F37+$I978*G37+$H978*H37+$G978*I37+$F978*J37+$E978*K37+$D978*L37+$C978*M37+$B978*N37</f>
        <v/>
      </c>
      <c r="AB37" s="9">
        <f>C37-AA37</f>
        <v/>
      </c>
      <c r="AC37" s="4">
        <f>AB37^2</f>
        <v/>
      </c>
    </row>
    <row r="38">
      <c r="A38" t="inlineStr">
        <is>
          <t>BBG000TJ8XZ7</t>
        </is>
      </c>
      <c r="B38" t="inlineStr">
        <is>
          <t>agnc</t>
        </is>
      </c>
      <c r="C38" s="9" t="n">
        <v>-0.006211045401388948</v>
      </c>
      <c r="D38" s="3">
        <f>EXP(0.25*'3b-d Exposures'!G41)</f>
        <v/>
      </c>
      <c r="E38" s="3">
        <f>IF('3b-d Exposures'!C41="",0,'3b-d Exposures'!C41)</f>
        <v/>
      </c>
      <c r="F38" s="3">
        <f>IF('3b-d Exposures'!E41="",0,'3b-d Exposures'!E41)</f>
        <v/>
      </c>
      <c r="G38" s="3">
        <f>IF('3b-d Exposures'!G41="",0,'3b-d Exposures'!G41)</f>
        <v/>
      </c>
      <c r="H38" s="3">
        <f>IF('3b-d Exposures'!I41="",0,'3b-d Exposures'!I41)</f>
        <v/>
      </c>
      <c r="I38" s="3">
        <f>IF('3b-d Exposures'!K41="",0,'3b-d Exposures'!K41)</f>
        <v/>
      </c>
      <c r="J38" s="3">
        <f>IF('3b-d Exposures'!M41="",0,'3b-d Exposures'!M41)</f>
        <v/>
      </c>
      <c r="K38" s="3">
        <f>IF('3b-d Exposures'!O41="",0,'3b-d Exposures'!O41)</f>
        <v/>
      </c>
      <c r="L38" s="3">
        <f>IF('3b-d Exposures'!Q41="",0,'3b-d Exposures'!Q41)</f>
        <v/>
      </c>
      <c r="M38" s="3">
        <f>IF('3b-d Exposures'!S41="",0,'3b-d Exposures'!S41)</f>
        <v/>
      </c>
      <c r="N38" s="3">
        <f>IF('3b-d Exposures'!Z41="",0,'3b-d Exposures'!Z41)</f>
        <v/>
      </c>
      <c r="O38" s="3">
        <f>$D38</f>
        <v/>
      </c>
      <c r="P38" s="3">
        <f>E38*$D38</f>
        <v/>
      </c>
      <c r="Q38" s="3">
        <f>F38*$D38</f>
        <v/>
      </c>
      <c r="R38" s="3">
        <f>G38*$D38</f>
        <v/>
      </c>
      <c r="S38" s="3">
        <f>H38*$D38</f>
        <v/>
      </c>
      <c r="T38" s="3">
        <f>I38*$D38</f>
        <v/>
      </c>
      <c r="U38" s="3">
        <f>J38*$D38</f>
        <v/>
      </c>
      <c r="V38" s="3">
        <f>K38*$D38</f>
        <v/>
      </c>
      <c r="W38" s="3">
        <f>L38*$D38</f>
        <v/>
      </c>
      <c r="X38" s="3">
        <f>M38*$D38</f>
        <v/>
      </c>
      <c r="Y38" s="3">
        <f>N38*$D38</f>
        <v/>
      </c>
      <c r="Z38" s="3">
        <f>C38*$D38</f>
        <v/>
      </c>
      <c r="AA38" s="9">
        <f>$L978+$K978*E38+$J978*F38+$I978*G38+$H978*H38+$G978*I38+$F978*J38+$E978*K38+$D978*L38+$C978*M38+$B978*N38</f>
        <v/>
      </c>
      <c r="AB38" s="9">
        <f>C38-AA38</f>
        <v/>
      </c>
      <c r="AC38" s="4">
        <f>AB38^2</f>
        <v/>
      </c>
    </row>
    <row r="39">
      <c r="A39" t="inlineStr">
        <is>
          <t>BBG000BR74W6</t>
        </is>
      </c>
      <c r="B39" t="inlineStr">
        <is>
          <t>agys</t>
        </is>
      </c>
      <c r="C39" s="9" t="n">
        <v>-0.01533877521804561</v>
      </c>
      <c r="D39" s="3">
        <f>EXP(0.25*'3b-d Exposures'!G42)</f>
        <v/>
      </c>
      <c r="E39" s="3">
        <f>IF('3b-d Exposures'!C42="",0,'3b-d Exposures'!C42)</f>
        <v/>
      </c>
      <c r="F39" s="3">
        <f>IF('3b-d Exposures'!E42="",0,'3b-d Exposures'!E42)</f>
        <v/>
      </c>
      <c r="G39" s="3">
        <f>IF('3b-d Exposures'!G42="",0,'3b-d Exposures'!G42)</f>
        <v/>
      </c>
      <c r="H39" s="3">
        <f>IF('3b-d Exposures'!I42="",0,'3b-d Exposures'!I42)</f>
        <v/>
      </c>
      <c r="I39" s="3">
        <f>IF('3b-d Exposures'!K42="",0,'3b-d Exposures'!K42)</f>
        <v/>
      </c>
      <c r="J39" s="3">
        <f>IF('3b-d Exposures'!M42="",0,'3b-d Exposures'!M42)</f>
        <v/>
      </c>
      <c r="K39" s="3">
        <f>IF('3b-d Exposures'!O42="",0,'3b-d Exposures'!O42)</f>
        <v/>
      </c>
      <c r="L39" s="3">
        <f>IF('3b-d Exposures'!Q42="",0,'3b-d Exposures'!Q42)</f>
        <v/>
      </c>
      <c r="M39" s="3">
        <f>IF('3b-d Exposures'!S42="",0,'3b-d Exposures'!S42)</f>
        <v/>
      </c>
      <c r="N39" s="3">
        <f>IF('3b-d Exposures'!Z42="",0,'3b-d Exposures'!Z42)</f>
        <v/>
      </c>
      <c r="O39" s="3">
        <f>$D39</f>
        <v/>
      </c>
      <c r="P39" s="3">
        <f>E39*$D39</f>
        <v/>
      </c>
      <c r="Q39" s="3">
        <f>F39*$D39</f>
        <v/>
      </c>
      <c r="R39" s="3">
        <f>G39*$D39</f>
        <v/>
      </c>
      <c r="S39" s="3">
        <f>H39*$D39</f>
        <v/>
      </c>
      <c r="T39" s="3">
        <f>I39*$D39</f>
        <v/>
      </c>
      <c r="U39" s="3">
        <f>J39*$D39</f>
        <v/>
      </c>
      <c r="V39" s="3">
        <f>K39*$D39</f>
        <v/>
      </c>
      <c r="W39" s="3">
        <f>L39*$D39</f>
        <v/>
      </c>
      <c r="X39" s="3">
        <f>M39*$D39</f>
        <v/>
      </c>
      <c r="Y39" s="3">
        <f>N39*$D39</f>
        <v/>
      </c>
      <c r="Z39" s="3">
        <f>C39*$D39</f>
        <v/>
      </c>
      <c r="AA39" s="9">
        <f>$L978+$K978*E39+$J978*F39+$I978*G39+$H978*H39+$G978*I39+$F978*J39+$E978*K39+$D978*L39+$C978*M39+$B978*N39</f>
        <v/>
      </c>
      <c r="AB39" s="9">
        <f>C39-AA39</f>
        <v/>
      </c>
      <c r="AC39" s="4">
        <f>AB39^2</f>
        <v/>
      </c>
    </row>
    <row r="40">
      <c r="A40" t="inlineStr">
        <is>
          <t>BBG000BBDZG3</t>
        </is>
      </c>
      <c r="B40" t="inlineStr">
        <is>
          <t>aig</t>
        </is>
      </c>
      <c r="C40" s="9" t="n">
        <v>-0.01131632385354553</v>
      </c>
      <c r="D40" s="3">
        <f>EXP(0.25*'3b-d Exposures'!G43)</f>
        <v/>
      </c>
      <c r="E40" s="3">
        <f>IF('3b-d Exposures'!C43="",0,'3b-d Exposures'!C43)</f>
        <v/>
      </c>
      <c r="F40" s="3">
        <f>IF('3b-d Exposures'!E43="",0,'3b-d Exposures'!E43)</f>
        <v/>
      </c>
      <c r="G40" s="3">
        <f>IF('3b-d Exposures'!G43="",0,'3b-d Exposures'!G43)</f>
        <v/>
      </c>
      <c r="H40" s="3">
        <f>IF('3b-d Exposures'!I43="",0,'3b-d Exposures'!I43)</f>
        <v/>
      </c>
      <c r="I40" s="3">
        <f>IF('3b-d Exposures'!K43="",0,'3b-d Exposures'!K43)</f>
        <v/>
      </c>
      <c r="J40" s="3">
        <f>IF('3b-d Exposures'!M43="",0,'3b-d Exposures'!M43)</f>
        <v/>
      </c>
      <c r="K40" s="3">
        <f>IF('3b-d Exposures'!O43="",0,'3b-d Exposures'!O43)</f>
        <v/>
      </c>
      <c r="L40" s="3">
        <f>IF('3b-d Exposures'!Q43="",0,'3b-d Exposures'!Q43)</f>
        <v/>
      </c>
      <c r="M40" s="3">
        <f>IF('3b-d Exposures'!S43="",0,'3b-d Exposures'!S43)</f>
        <v/>
      </c>
      <c r="N40" s="3">
        <f>IF('3b-d Exposures'!Z43="",0,'3b-d Exposures'!Z43)</f>
        <v/>
      </c>
      <c r="O40" s="3">
        <f>$D40</f>
        <v/>
      </c>
      <c r="P40" s="3">
        <f>E40*$D40</f>
        <v/>
      </c>
      <c r="Q40" s="3">
        <f>F40*$D40</f>
        <v/>
      </c>
      <c r="R40" s="3">
        <f>G40*$D40</f>
        <v/>
      </c>
      <c r="S40" s="3">
        <f>H40*$D40</f>
        <v/>
      </c>
      <c r="T40" s="3">
        <f>I40*$D40</f>
        <v/>
      </c>
      <c r="U40" s="3">
        <f>J40*$D40</f>
        <v/>
      </c>
      <c r="V40" s="3">
        <f>K40*$D40</f>
        <v/>
      </c>
      <c r="W40" s="3">
        <f>L40*$D40</f>
        <v/>
      </c>
      <c r="X40" s="3">
        <f>M40*$D40</f>
        <v/>
      </c>
      <c r="Y40" s="3">
        <f>N40*$D40</f>
        <v/>
      </c>
      <c r="Z40" s="3">
        <f>C40*$D40</f>
        <v/>
      </c>
      <c r="AA40" s="9">
        <f>$L978+$K978*E40+$J978*F40+$I978*G40+$H978*H40+$G978*I40+$F978*J40+$E978*K40+$D978*L40+$C978*M40+$B978*N40</f>
        <v/>
      </c>
      <c r="AB40" s="9">
        <f>C40-AA40</f>
        <v/>
      </c>
      <c r="AC40" s="4">
        <f>AB40^2</f>
        <v/>
      </c>
    </row>
    <row r="41">
      <c r="A41" t="inlineStr">
        <is>
          <t>BBG000BBGQF1</t>
        </is>
      </c>
      <c r="B41" t="inlineStr">
        <is>
          <t>air</t>
        </is>
      </c>
      <c r="C41" s="9" t="n">
        <v>0.0007192614236526396</v>
      </c>
      <c r="D41" s="3">
        <f>EXP(0.25*'3b-d Exposures'!G45)</f>
        <v/>
      </c>
      <c r="E41" s="3">
        <f>IF('3b-d Exposures'!C45="",0,'3b-d Exposures'!C45)</f>
        <v/>
      </c>
      <c r="F41" s="3">
        <f>IF('3b-d Exposures'!E45="",0,'3b-d Exposures'!E45)</f>
        <v/>
      </c>
      <c r="G41" s="3">
        <f>IF('3b-d Exposures'!G45="",0,'3b-d Exposures'!G45)</f>
        <v/>
      </c>
      <c r="H41" s="3">
        <f>IF('3b-d Exposures'!I45="",0,'3b-d Exposures'!I45)</f>
        <v/>
      </c>
      <c r="I41" s="3">
        <f>IF('3b-d Exposures'!K45="",0,'3b-d Exposures'!K45)</f>
        <v/>
      </c>
      <c r="J41" s="3">
        <f>IF('3b-d Exposures'!M45="",0,'3b-d Exposures'!M45)</f>
        <v/>
      </c>
      <c r="K41" s="3">
        <f>IF('3b-d Exposures'!O45="",0,'3b-d Exposures'!O45)</f>
        <v/>
      </c>
      <c r="L41" s="3">
        <f>IF('3b-d Exposures'!Q45="",0,'3b-d Exposures'!Q45)</f>
        <v/>
      </c>
      <c r="M41" s="3">
        <f>IF('3b-d Exposures'!S45="",0,'3b-d Exposures'!S45)</f>
        <v/>
      </c>
      <c r="N41" s="3">
        <f>IF('3b-d Exposures'!Z45="",0,'3b-d Exposures'!Z45)</f>
        <v/>
      </c>
      <c r="O41" s="3">
        <f>$D41</f>
        <v/>
      </c>
      <c r="P41" s="3">
        <f>E41*$D41</f>
        <v/>
      </c>
      <c r="Q41" s="3">
        <f>F41*$D41</f>
        <v/>
      </c>
      <c r="R41" s="3">
        <f>G41*$D41</f>
        <v/>
      </c>
      <c r="S41" s="3">
        <f>H41*$D41</f>
        <v/>
      </c>
      <c r="T41" s="3">
        <f>I41*$D41</f>
        <v/>
      </c>
      <c r="U41" s="3">
        <f>J41*$D41</f>
        <v/>
      </c>
      <c r="V41" s="3">
        <f>K41*$D41</f>
        <v/>
      </c>
      <c r="W41" s="3">
        <f>L41*$D41</f>
        <v/>
      </c>
      <c r="X41" s="3">
        <f>M41*$D41</f>
        <v/>
      </c>
      <c r="Y41" s="3">
        <f>N41*$D41</f>
        <v/>
      </c>
      <c r="Z41" s="3">
        <f>C41*$D41</f>
        <v/>
      </c>
      <c r="AA41" s="9">
        <f>$L978+$K978*E41+$J978*F41+$I978*G41+$H978*H41+$G978*I41+$F978*J41+$E978*K41+$D978*L41+$C978*M41+$B978*N41</f>
        <v/>
      </c>
      <c r="AB41" s="9">
        <f>C41-AA41</f>
        <v/>
      </c>
      <c r="AC41" s="4">
        <f>AB41^2</f>
        <v/>
      </c>
    </row>
    <row r="42">
      <c r="A42" t="inlineStr">
        <is>
          <t>BBG0026ZDGG4</t>
        </is>
      </c>
      <c r="B42" t="inlineStr">
        <is>
          <t>airg</t>
        </is>
      </c>
      <c r="C42" s="9" t="n">
        <v>0.01465615739776571</v>
      </c>
      <c r="D42" s="3">
        <f>EXP(0.25*'3b-d Exposures'!G46)</f>
        <v/>
      </c>
      <c r="E42" s="3">
        <f>IF('3b-d Exposures'!C46="",0,'3b-d Exposures'!C46)</f>
        <v/>
      </c>
      <c r="F42" s="3">
        <f>IF('3b-d Exposures'!E46="",0,'3b-d Exposures'!E46)</f>
        <v/>
      </c>
      <c r="G42" s="3">
        <f>IF('3b-d Exposures'!G46="",0,'3b-d Exposures'!G46)</f>
        <v/>
      </c>
      <c r="H42" s="3">
        <f>IF('3b-d Exposures'!I46="",0,'3b-d Exposures'!I46)</f>
        <v/>
      </c>
      <c r="I42" s="3">
        <f>IF('3b-d Exposures'!K46="",0,'3b-d Exposures'!K46)</f>
        <v/>
      </c>
      <c r="J42" s="3">
        <f>IF('3b-d Exposures'!M46="",0,'3b-d Exposures'!M46)</f>
        <v/>
      </c>
      <c r="K42" s="3">
        <f>IF('3b-d Exposures'!O46="",0,'3b-d Exposures'!O46)</f>
        <v/>
      </c>
      <c r="L42" s="3">
        <f>IF('3b-d Exposures'!Q46="",0,'3b-d Exposures'!Q46)</f>
        <v/>
      </c>
      <c r="M42" s="3">
        <f>IF('3b-d Exposures'!S46="",0,'3b-d Exposures'!S46)</f>
        <v/>
      </c>
      <c r="N42" s="3">
        <f>IF('3b-d Exposures'!Z46="",0,'3b-d Exposures'!Z46)</f>
        <v/>
      </c>
      <c r="O42" s="3">
        <f>$D42</f>
        <v/>
      </c>
      <c r="P42" s="3">
        <f>E42*$D42</f>
        <v/>
      </c>
      <c r="Q42" s="3">
        <f>F42*$D42</f>
        <v/>
      </c>
      <c r="R42" s="3">
        <f>G42*$D42</f>
        <v/>
      </c>
      <c r="S42" s="3">
        <f>H42*$D42</f>
        <v/>
      </c>
      <c r="T42" s="3">
        <f>I42*$D42</f>
        <v/>
      </c>
      <c r="U42" s="3">
        <f>J42*$D42</f>
        <v/>
      </c>
      <c r="V42" s="3">
        <f>K42*$D42</f>
        <v/>
      </c>
      <c r="W42" s="3">
        <f>L42*$D42</f>
        <v/>
      </c>
      <c r="X42" s="3">
        <f>M42*$D42</f>
        <v/>
      </c>
      <c r="Y42" s="3">
        <f>N42*$D42</f>
        <v/>
      </c>
      <c r="Z42" s="3">
        <f>C42*$D42</f>
        <v/>
      </c>
      <c r="AA42" s="9">
        <f>$L978+$K978*E42+$J978*F42+$I978*G42+$H978*H42+$G978*I42+$F978*J42+$E978*K42+$D978*L42+$C978*M42+$B978*N42</f>
        <v/>
      </c>
      <c r="AB42" s="9">
        <f>C42-AA42</f>
        <v/>
      </c>
      <c r="AC42" s="4">
        <f>AB42^2</f>
        <v/>
      </c>
    </row>
    <row r="43">
      <c r="A43" t="inlineStr">
        <is>
          <t>aiz</t>
        </is>
      </c>
      <c r="B43" t="inlineStr">
        <is>
          <t>aiz</t>
        </is>
      </c>
      <c r="C43" s="9" t="n">
        <v>-0.00603246252871048</v>
      </c>
      <c r="D43" s="3">
        <f>EXP(0.25*'3b-d Exposures'!G48)</f>
        <v/>
      </c>
      <c r="E43" s="3">
        <f>IF('3b-d Exposures'!C48="",0,'3b-d Exposures'!C48)</f>
        <v/>
      </c>
      <c r="F43" s="3">
        <f>IF('3b-d Exposures'!E48="",0,'3b-d Exposures'!E48)</f>
        <v/>
      </c>
      <c r="G43" s="3">
        <f>IF('3b-d Exposures'!G48="",0,'3b-d Exposures'!G48)</f>
        <v/>
      </c>
      <c r="H43" s="3">
        <f>IF('3b-d Exposures'!I48="",0,'3b-d Exposures'!I48)</f>
        <v/>
      </c>
      <c r="I43" s="3">
        <f>IF('3b-d Exposures'!K48="",0,'3b-d Exposures'!K48)</f>
        <v/>
      </c>
      <c r="J43" s="3">
        <f>IF('3b-d Exposures'!M48="",0,'3b-d Exposures'!M48)</f>
        <v/>
      </c>
      <c r="K43" s="3">
        <f>IF('3b-d Exposures'!O48="",0,'3b-d Exposures'!O48)</f>
        <v/>
      </c>
      <c r="L43" s="3">
        <f>IF('3b-d Exposures'!Q48="",0,'3b-d Exposures'!Q48)</f>
        <v/>
      </c>
      <c r="M43" s="3">
        <f>IF('3b-d Exposures'!S48="",0,'3b-d Exposures'!S48)</f>
        <v/>
      </c>
      <c r="N43" s="3">
        <f>IF('3b-d Exposures'!Z48="",0,'3b-d Exposures'!Z48)</f>
        <v/>
      </c>
      <c r="O43" s="3">
        <f>$D43</f>
        <v/>
      </c>
      <c r="P43" s="3">
        <f>E43*$D43</f>
        <v/>
      </c>
      <c r="Q43" s="3">
        <f>F43*$D43</f>
        <v/>
      </c>
      <c r="R43" s="3">
        <f>G43*$D43</f>
        <v/>
      </c>
      <c r="S43" s="3">
        <f>H43*$D43</f>
        <v/>
      </c>
      <c r="T43" s="3">
        <f>I43*$D43</f>
        <v/>
      </c>
      <c r="U43" s="3">
        <f>J43*$D43</f>
        <v/>
      </c>
      <c r="V43" s="3">
        <f>K43*$D43</f>
        <v/>
      </c>
      <c r="W43" s="3">
        <f>L43*$D43</f>
        <v/>
      </c>
      <c r="X43" s="3">
        <f>M43*$D43</f>
        <v/>
      </c>
      <c r="Y43" s="3">
        <f>N43*$D43</f>
        <v/>
      </c>
      <c r="Z43" s="3">
        <f>C43*$D43</f>
        <v/>
      </c>
      <c r="AA43" s="9">
        <f>$L978+$K978*E43+$J978*F43+$I978*G43+$H978*H43+$G978*I43+$F978*J43+$E978*K43+$D978*L43+$C978*M43+$B978*N43</f>
        <v/>
      </c>
      <c r="AB43" s="9">
        <f>C43-AA43</f>
        <v/>
      </c>
      <c r="AC43" s="4">
        <f>AB43^2</f>
        <v/>
      </c>
    </row>
    <row r="44">
      <c r="A44" t="inlineStr">
        <is>
          <t>BBG000BBHXQ3</t>
        </is>
      </c>
      <c r="B44" t="inlineStr">
        <is>
          <t>ajg</t>
        </is>
      </c>
      <c r="C44" s="9" t="n">
        <v>-0.01370748808595645</v>
      </c>
      <c r="D44" s="3">
        <f>EXP(0.25*'3b-d Exposures'!G49)</f>
        <v/>
      </c>
      <c r="E44" s="3">
        <f>IF('3b-d Exposures'!C49="",0,'3b-d Exposures'!C49)</f>
        <v/>
      </c>
      <c r="F44" s="3">
        <f>IF('3b-d Exposures'!E49="",0,'3b-d Exposures'!E49)</f>
        <v/>
      </c>
      <c r="G44" s="3">
        <f>IF('3b-d Exposures'!G49="",0,'3b-d Exposures'!G49)</f>
        <v/>
      </c>
      <c r="H44" s="3">
        <f>IF('3b-d Exposures'!I49="",0,'3b-d Exposures'!I49)</f>
        <v/>
      </c>
      <c r="I44" s="3">
        <f>IF('3b-d Exposures'!K49="",0,'3b-d Exposures'!K49)</f>
        <v/>
      </c>
      <c r="J44" s="3">
        <f>IF('3b-d Exposures'!M49="",0,'3b-d Exposures'!M49)</f>
        <v/>
      </c>
      <c r="K44" s="3">
        <f>IF('3b-d Exposures'!O49="",0,'3b-d Exposures'!O49)</f>
        <v/>
      </c>
      <c r="L44" s="3">
        <f>IF('3b-d Exposures'!Q49="",0,'3b-d Exposures'!Q49)</f>
        <v/>
      </c>
      <c r="M44" s="3">
        <f>IF('3b-d Exposures'!S49="",0,'3b-d Exposures'!S49)</f>
        <v/>
      </c>
      <c r="N44" s="3">
        <f>IF('3b-d Exposures'!Z49="",0,'3b-d Exposures'!Z49)</f>
        <v/>
      </c>
      <c r="O44" s="3">
        <f>$D44</f>
        <v/>
      </c>
      <c r="P44" s="3">
        <f>E44*$D44</f>
        <v/>
      </c>
      <c r="Q44" s="3">
        <f>F44*$D44</f>
        <v/>
      </c>
      <c r="R44" s="3">
        <f>G44*$D44</f>
        <v/>
      </c>
      <c r="S44" s="3">
        <f>H44*$D44</f>
        <v/>
      </c>
      <c r="T44" s="3">
        <f>I44*$D44</f>
        <v/>
      </c>
      <c r="U44" s="3">
        <f>J44*$D44</f>
        <v/>
      </c>
      <c r="V44" s="3">
        <f>K44*$D44</f>
        <v/>
      </c>
      <c r="W44" s="3">
        <f>L44*$D44</f>
        <v/>
      </c>
      <c r="X44" s="3">
        <f>M44*$D44</f>
        <v/>
      </c>
      <c r="Y44" s="3">
        <f>N44*$D44</f>
        <v/>
      </c>
      <c r="Z44" s="3">
        <f>C44*$D44</f>
        <v/>
      </c>
      <c r="AA44" s="9">
        <f>$L978+$K978*E44+$J978*F44+$I978*G44+$H978*H44+$G978*I44+$F978*J44+$E978*K44+$D978*L44+$C978*M44+$B978*N44</f>
        <v/>
      </c>
      <c r="AB44" s="9">
        <f>C44-AA44</f>
        <v/>
      </c>
      <c r="AC44" s="4">
        <f>AB44^2</f>
        <v/>
      </c>
    </row>
    <row r="45">
      <c r="A45" t="inlineStr">
        <is>
          <t>BBG000BJQWD2</t>
        </is>
      </c>
      <c r="B45" t="inlineStr">
        <is>
          <t>akam</t>
        </is>
      </c>
      <c r="C45" s="9" t="n">
        <v>0.04158693684018244</v>
      </c>
      <c r="D45" s="3">
        <f>EXP(0.25*'3b-d Exposures'!G50)</f>
        <v/>
      </c>
      <c r="E45" s="3">
        <f>IF('3b-d Exposures'!C50="",0,'3b-d Exposures'!C50)</f>
        <v/>
      </c>
      <c r="F45" s="3">
        <f>IF('3b-d Exposures'!E50="",0,'3b-d Exposures'!E50)</f>
        <v/>
      </c>
      <c r="G45" s="3">
        <f>IF('3b-d Exposures'!G50="",0,'3b-d Exposures'!G50)</f>
        <v/>
      </c>
      <c r="H45" s="3">
        <f>IF('3b-d Exposures'!I50="",0,'3b-d Exposures'!I50)</f>
        <v/>
      </c>
      <c r="I45" s="3">
        <f>IF('3b-d Exposures'!K50="",0,'3b-d Exposures'!K50)</f>
        <v/>
      </c>
      <c r="J45" s="3">
        <f>IF('3b-d Exposures'!M50="",0,'3b-d Exposures'!M50)</f>
        <v/>
      </c>
      <c r="K45" s="3">
        <f>IF('3b-d Exposures'!O50="",0,'3b-d Exposures'!O50)</f>
        <v/>
      </c>
      <c r="L45" s="3">
        <f>IF('3b-d Exposures'!Q50="",0,'3b-d Exposures'!Q50)</f>
        <v/>
      </c>
      <c r="M45" s="3">
        <f>IF('3b-d Exposures'!S50="",0,'3b-d Exposures'!S50)</f>
        <v/>
      </c>
      <c r="N45" s="3">
        <f>IF('3b-d Exposures'!Z50="",0,'3b-d Exposures'!Z50)</f>
        <v/>
      </c>
      <c r="O45" s="3">
        <f>$D45</f>
        <v/>
      </c>
      <c r="P45" s="3">
        <f>E45*$D45</f>
        <v/>
      </c>
      <c r="Q45" s="3">
        <f>F45*$D45</f>
        <v/>
      </c>
      <c r="R45" s="3">
        <f>G45*$D45</f>
        <v/>
      </c>
      <c r="S45" s="3">
        <f>H45*$D45</f>
        <v/>
      </c>
      <c r="T45" s="3">
        <f>I45*$D45</f>
        <v/>
      </c>
      <c r="U45" s="3">
        <f>J45*$D45</f>
        <v/>
      </c>
      <c r="V45" s="3">
        <f>K45*$D45</f>
        <v/>
      </c>
      <c r="W45" s="3">
        <f>L45*$D45</f>
        <v/>
      </c>
      <c r="X45" s="3">
        <f>M45*$D45</f>
        <v/>
      </c>
      <c r="Y45" s="3">
        <f>N45*$D45</f>
        <v/>
      </c>
      <c r="Z45" s="3">
        <f>C45*$D45</f>
        <v/>
      </c>
      <c r="AA45" s="9">
        <f>$L978+$K978*E45+$J978*F45+$I978*G45+$H978*H45+$G978*I45+$F978*J45+$E978*K45+$D978*L45+$C978*M45+$B978*N45</f>
        <v/>
      </c>
      <c r="AB45" s="9">
        <f>C45-AA45</f>
        <v/>
      </c>
      <c r="AC45" s="4">
        <f>AB45^2</f>
        <v/>
      </c>
    </row>
    <row r="46">
      <c r="A46" t="inlineStr">
        <is>
          <t>BBG00TDKHW99</t>
        </is>
      </c>
      <c r="B46" t="inlineStr">
        <is>
          <t>alab</t>
        </is>
      </c>
      <c r="C46" s="9" t="n">
        <v>0.001355926291994658</v>
      </c>
      <c r="D46" s="3">
        <f>EXP(0.25*'3b-d Exposures'!G52)</f>
        <v/>
      </c>
      <c r="E46" s="3">
        <f>IF('3b-d Exposures'!C52="",0,'3b-d Exposures'!C52)</f>
        <v/>
      </c>
      <c r="F46" s="3">
        <f>IF('3b-d Exposures'!E52="",0,'3b-d Exposures'!E52)</f>
        <v/>
      </c>
      <c r="G46" s="3">
        <f>IF('3b-d Exposures'!G52="",0,'3b-d Exposures'!G52)</f>
        <v/>
      </c>
      <c r="H46" s="3">
        <f>IF('3b-d Exposures'!I52="",0,'3b-d Exposures'!I52)</f>
        <v/>
      </c>
      <c r="I46" s="3">
        <f>IF('3b-d Exposures'!K52="",0,'3b-d Exposures'!K52)</f>
        <v/>
      </c>
      <c r="J46" s="3">
        <f>IF('3b-d Exposures'!M52="",0,'3b-d Exposures'!M52)</f>
        <v/>
      </c>
      <c r="K46" s="3">
        <f>IF('3b-d Exposures'!O52="",0,'3b-d Exposures'!O52)</f>
        <v/>
      </c>
      <c r="L46" s="3">
        <f>IF('3b-d Exposures'!Q52="",0,'3b-d Exposures'!Q52)</f>
        <v/>
      </c>
      <c r="M46" s="3">
        <f>IF('3b-d Exposures'!S52="",0,'3b-d Exposures'!S52)</f>
        <v/>
      </c>
      <c r="N46" s="3">
        <f>IF('3b-d Exposures'!Z52="",0,'3b-d Exposures'!Z52)</f>
        <v/>
      </c>
      <c r="O46" s="3">
        <f>$D46</f>
        <v/>
      </c>
      <c r="P46" s="3">
        <f>E46*$D46</f>
        <v/>
      </c>
      <c r="Q46" s="3">
        <f>F46*$D46</f>
        <v/>
      </c>
      <c r="R46" s="3">
        <f>G46*$D46</f>
        <v/>
      </c>
      <c r="S46" s="3">
        <f>H46*$D46</f>
        <v/>
      </c>
      <c r="T46" s="3">
        <f>I46*$D46</f>
        <v/>
      </c>
      <c r="U46" s="3">
        <f>J46*$D46</f>
        <v/>
      </c>
      <c r="V46" s="3">
        <f>K46*$D46</f>
        <v/>
      </c>
      <c r="W46" s="3">
        <f>L46*$D46</f>
        <v/>
      </c>
      <c r="X46" s="3">
        <f>M46*$D46</f>
        <v/>
      </c>
      <c r="Y46" s="3">
        <f>N46*$D46</f>
        <v/>
      </c>
      <c r="Z46" s="3">
        <f>C46*$D46</f>
        <v/>
      </c>
      <c r="AA46" s="9">
        <f>$L978+$K978*E46+$J978*F46+$I978*G46+$H978*H46+$G978*I46+$F978*J46+$E978*K46+$D978*L46+$C978*M46+$B978*N46</f>
        <v/>
      </c>
      <c r="AB46" s="9">
        <f>C46-AA46</f>
        <v/>
      </c>
      <c r="AC46" s="4">
        <f>AB46^2</f>
        <v/>
      </c>
    </row>
    <row r="47">
      <c r="A47" t="inlineStr">
        <is>
          <t>BBG000BJ26K7</t>
        </is>
      </c>
      <c r="B47" t="inlineStr">
        <is>
          <t>alb</t>
        </is>
      </c>
      <c r="C47" s="9" t="n">
        <v>0.0334263332428999</v>
      </c>
      <c r="D47" s="3">
        <f>EXP(0.25*'3b-d Exposures'!G53)</f>
        <v/>
      </c>
      <c r="E47" s="3">
        <f>IF('3b-d Exposures'!C53="",0,'3b-d Exposures'!C53)</f>
        <v/>
      </c>
      <c r="F47" s="3">
        <f>IF('3b-d Exposures'!E53="",0,'3b-d Exposures'!E53)</f>
        <v/>
      </c>
      <c r="G47" s="3">
        <f>IF('3b-d Exposures'!G53="",0,'3b-d Exposures'!G53)</f>
        <v/>
      </c>
      <c r="H47" s="3">
        <f>IF('3b-d Exposures'!I53="",0,'3b-d Exposures'!I53)</f>
        <v/>
      </c>
      <c r="I47" s="3">
        <f>IF('3b-d Exposures'!K53="",0,'3b-d Exposures'!K53)</f>
        <v/>
      </c>
      <c r="J47" s="3">
        <f>IF('3b-d Exposures'!M53="",0,'3b-d Exposures'!M53)</f>
        <v/>
      </c>
      <c r="K47" s="3">
        <f>IF('3b-d Exposures'!O53="",0,'3b-d Exposures'!O53)</f>
        <v/>
      </c>
      <c r="L47" s="3">
        <f>IF('3b-d Exposures'!Q53="",0,'3b-d Exposures'!Q53)</f>
        <v/>
      </c>
      <c r="M47" s="3">
        <f>IF('3b-d Exposures'!S53="",0,'3b-d Exposures'!S53)</f>
        <v/>
      </c>
      <c r="N47" s="3">
        <f>IF('3b-d Exposures'!Z53="",0,'3b-d Exposures'!Z53)</f>
        <v/>
      </c>
      <c r="O47" s="3">
        <f>$D47</f>
        <v/>
      </c>
      <c r="P47" s="3">
        <f>E47*$D47</f>
        <v/>
      </c>
      <c r="Q47" s="3">
        <f>F47*$D47</f>
        <v/>
      </c>
      <c r="R47" s="3">
        <f>G47*$D47</f>
        <v/>
      </c>
      <c r="S47" s="3">
        <f>H47*$D47</f>
        <v/>
      </c>
      <c r="T47" s="3">
        <f>I47*$D47</f>
        <v/>
      </c>
      <c r="U47" s="3">
        <f>J47*$D47</f>
        <v/>
      </c>
      <c r="V47" s="3">
        <f>K47*$D47</f>
        <v/>
      </c>
      <c r="W47" s="3">
        <f>L47*$D47</f>
        <v/>
      </c>
      <c r="X47" s="3">
        <f>M47*$D47</f>
        <v/>
      </c>
      <c r="Y47" s="3">
        <f>N47*$D47</f>
        <v/>
      </c>
      <c r="Z47" s="3">
        <f>C47*$D47</f>
        <v/>
      </c>
      <c r="AA47" s="9">
        <f>$L978+$K978*E47+$J978*F47+$I978*G47+$H978*H47+$G978*I47+$F978*J47+$E978*K47+$D978*L47+$C978*M47+$B978*N47</f>
        <v/>
      </c>
      <c r="AB47" s="9">
        <f>C47-AA47</f>
        <v/>
      </c>
      <c r="AC47" s="4">
        <f>AB47^2</f>
        <v/>
      </c>
    </row>
    <row r="48">
      <c r="A48" t="inlineStr">
        <is>
          <t>BBG000BRNLL2</t>
        </is>
      </c>
      <c r="B48" t="inlineStr">
        <is>
          <t>algn</t>
        </is>
      </c>
      <c r="C48" s="9" t="n">
        <v>0.005885617098601248</v>
      </c>
      <c r="D48" s="3">
        <f>EXP(0.25*'3b-d Exposures'!G54)</f>
        <v/>
      </c>
      <c r="E48" s="3">
        <f>IF('3b-d Exposures'!C54="",0,'3b-d Exposures'!C54)</f>
        <v/>
      </c>
      <c r="F48" s="3">
        <f>IF('3b-d Exposures'!E54="",0,'3b-d Exposures'!E54)</f>
        <v/>
      </c>
      <c r="G48" s="3">
        <f>IF('3b-d Exposures'!G54="",0,'3b-d Exposures'!G54)</f>
        <v/>
      </c>
      <c r="H48" s="3">
        <f>IF('3b-d Exposures'!I54="",0,'3b-d Exposures'!I54)</f>
        <v/>
      </c>
      <c r="I48" s="3">
        <f>IF('3b-d Exposures'!K54="",0,'3b-d Exposures'!K54)</f>
        <v/>
      </c>
      <c r="J48" s="3">
        <f>IF('3b-d Exposures'!M54="",0,'3b-d Exposures'!M54)</f>
        <v/>
      </c>
      <c r="K48" s="3">
        <f>IF('3b-d Exposures'!O54="",0,'3b-d Exposures'!O54)</f>
        <v/>
      </c>
      <c r="L48" s="3">
        <f>IF('3b-d Exposures'!Q54="",0,'3b-d Exposures'!Q54)</f>
        <v/>
      </c>
      <c r="M48" s="3">
        <f>IF('3b-d Exposures'!S54="",0,'3b-d Exposures'!S54)</f>
        <v/>
      </c>
      <c r="N48" s="3">
        <f>IF('3b-d Exposures'!Z54="",0,'3b-d Exposures'!Z54)</f>
        <v/>
      </c>
      <c r="O48" s="3">
        <f>$D48</f>
        <v/>
      </c>
      <c r="P48" s="3">
        <f>E48*$D48</f>
        <v/>
      </c>
      <c r="Q48" s="3">
        <f>F48*$D48</f>
        <v/>
      </c>
      <c r="R48" s="3">
        <f>G48*$D48</f>
        <v/>
      </c>
      <c r="S48" s="3">
        <f>H48*$D48</f>
        <v/>
      </c>
      <c r="T48" s="3">
        <f>I48*$D48</f>
        <v/>
      </c>
      <c r="U48" s="3">
        <f>J48*$D48</f>
        <v/>
      </c>
      <c r="V48" s="3">
        <f>K48*$D48</f>
        <v/>
      </c>
      <c r="W48" s="3">
        <f>L48*$D48</f>
        <v/>
      </c>
      <c r="X48" s="3">
        <f>M48*$D48</f>
        <v/>
      </c>
      <c r="Y48" s="3">
        <f>N48*$D48</f>
        <v/>
      </c>
      <c r="Z48" s="3">
        <f>C48*$D48</f>
        <v/>
      </c>
      <c r="AA48" s="9">
        <f>$L978+$K978*E48+$J978*F48+$I978*G48+$H978*H48+$G978*I48+$F978*J48+$E978*K48+$D978*L48+$C978*M48+$B978*N48</f>
        <v/>
      </c>
      <c r="AB48" s="9">
        <f>C48-AA48</f>
        <v/>
      </c>
      <c r="AC48" s="4">
        <f>AB48^2</f>
        <v/>
      </c>
    </row>
    <row r="49">
      <c r="A49" t="inlineStr">
        <is>
          <t>BBG00ZJ0DSR6</t>
        </is>
      </c>
      <c r="B49" t="inlineStr">
        <is>
          <t>alhc</t>
        </is>
      </c>
      <c r="C49" s="9" t="n">
        <v>0.01823953228966624</v>
      </c>
      <c r="D49" s="3">
        <f>EXP(0.25*'3b-d Exposures'!G55)</f>
        <v/>
      </c>
      <c r="E49" s="3">
        <f>IF('3b-d Exposures'!C55="",0,'3b-d Exposures'!C55)</f>
        <v/>
      </c>
      <c r="F49" s="3">
        <f>IF('3b-d Exposures'!E55="",0,'3b-d Exposures'!E55)</f>
        <v/>
      </c>
      <c r="G49" s="3">
        <f>IF('3b-d Exposures'!G55="",0,'3b-d Exposures'!G55)</f>
        <v/>
      </c>
      <c r="H49" s="3">
        <f>IF('3b-d Exposures'!I55="",0,'3b-d Exposures'!I55)</f>
        <v/>
      </c>
      <c r="I49" s="3">
        <f>IF('3b-d Exposures'!K55="",0,'3b-d Exposures'!K55)</f>
        <v/>
      </c>
      <c r="J49" s="3">
        <f>IF('3b-d Exposures'!M55="",0,'3b-d Exposures'!M55)</f>
        <v/>
      </c>
      <c r="K49" s="3">
        <f>IF('3b-d Exposures'!O55="",0,'3b-d Exposures'!O55)</f>
        <v/>
      </c>
      <c r="L49" s="3">
        <f>IF('3b-d Exposures'!Q55="",0,'3b-d Exposures'!Q55)</f>
        <v/>
      </c>
      <c r="M49" s="3">
        <f>IF('3b-d Exposures'!S55="",0,'3b-d Exposures'!S55)</f>
        <v/>
      </c>
      <c r="N49" s="3">
        <f>IF('3b-d Exposures'!Z55="",0,'3b-d Exposures'!Z55)</f>
        <v/>
      </c>
      <c r="O49" s="3">
        <f>$D49</f>
        <v/>
      </c>
      <c r="P49" s="3">
        <f>E49*$D49</f>
        <v/>
      </c>
      <c r="Q49" s="3">
        <f>F49*$D49</f>
        <v/>
      </c>
      <c r="R49" s="3">
        <f>G49*$D49</f>
        <v/>
      </c>
      <c r="S49" s="3">
        <f>H49*$D49</f>
        <v/>
      </c>
      <c r="T49" s="3">
        <f>I49*$D49</f>
        <v/>
      </c>
      <c r="U49" s="3">
        <f>J49*$D49</f>
        <v/>
      </c>
      <c r="V49" s="3">
        <f>K49*$D49</f>
        <v/>
      </c>
      <c r="W49" s="3">
        <f>L49*$D49</f>
        <v/>
      </c>
      <c r="X49" s="3">
        <f>M49*$D49</f>
        <v/>
      </c>
      <c r="Y49" s="3">
        <f>N49*$D49</f>
        <v/>
      </c>
      <c r="Z49" s="3">
        <f>C49*$D49</f>
        <v/>
      </c>
      <c r="AA49" s="9">
        <f>$L978+$K978*E49+$J978*F49+$I978*G49+$H978*H49+$G978*I49+$F978*J49+$E978*K49+$D978*L49+$C978*M49+$B978*N49</f>
        <v/>
      </c>
      <c r="AB49" s="9">
        <f>C49-AA49</f>
        <v/>
      </c>
      <c r="AC49" s="4">
        <f>AB49^2</f>
        <v/>
      </c>
    </row>
    <row r="50">
      <c r="A50" t="inlineStr">
        <is>
          <t>BBG00H00J2N1</t>
        </is>
      </c>
      <c r="B50" t="inlineStr">
        <is>
          <t>alit</t>
        </is>
      </c>
      <c r="C50" s="9" t="n">
        <v>0.006281368143510324</v>
      </c>
      <c r="D50" s="3">
        <f>EXP(0.25*'3b-d Exposures'!G56)</f>
        <v/>
      </c>
      <c r="E50" s="3">
        <f>IF('3b-d Exposures'!C56="",0,'3b-d Exposures'!C56)</f>
        <v/>
      </c>
      <c r="F50" s="3">
        <f>IF('3b-d Exposures'!E56="",0,'3b-d Exposures'!E56)</f>
        <v/>
      </c>
      <c r="G50" s="3">
        <f>IF('3b-d Exposures'!G56="",0,'3b-d Exposures'!G56)</f>
        <v/>
      </c>
      <c r="H50" s="3">
        <f>IF('3b-d Exposures'!I56="",0,'3b-d Exposures'!I56)</f>
        <v/>
      </c>
      <c r="I50" s="3">
        <f>IF('3b-d Exposures'!K56="",0,'3b-d Exposures'!K56)</f>
        <v/>
      </c>
      <c r="J50" s="3">
        <f>IF('3b-d Exposures'!M56="",0,'3b-d Exposures'!M56)</f>
        <v/>
      </c>
      <c r="K50" s="3">
        <f>IF('3b-d Exposures'!O56="",0,'3b-d Exposures'!O56)</f>
        <v/>
      </c>
      <c r="L50" s="3">
        <f>IF('3b-d Exposures'!Q56="",0,'3b-d Exposures'!Q56)</f>
        <v/>
      </c>
      <c r="M50" s="3">
        <f>IF('3b-d Exposures'!S56="",0,'3b-d Exposures'!S56)</f>
        <v/>
      </c>
      <c r="N50" s="3">
        <f>IF('3b-d Exposures'!Z56="",0,'3b-d Exposures'!Z56)</f>
        <v/>
      </c>
      <c r="O50" s="3">
        <f>$D50</f>
        <v/>
      </c>
      <c r="P50" s="3">
        <f>E50*$D50</f>
        <v/>
      </c>
      <c r="Q50" s="3">
        <f>F50*$D50</f>
        <v/>
      </c>
      <c r="R50" s="3">
        <f>G50*$D50</f>
        <v/>
      </c>
      <c r="S50" s="3">
        <f>H50*$D50</f>
        <v/>
      </c>
      <c r="T50" s="3">
        <f>I50*$D50</f>
        <v/>
      </c>
      <c r="U50" s="3">
        <f>J50*$D50</f>
        <v/>
      </c>
      <c r="V50" s="3">
        <f>K50*$D50</f>
        <v/>
      </c>
      <c r="W50" s="3">
        <f>L50*$D50</f>
        <v/>
      </c>
      <c r="X50" s="3">
        <f>M50*$D50</f>
        <v/>
      </c>
      <c r="Y50" s="3">
        <f>N50*$D50</f>
        <v/>
      </c>
      <c r="Z50" s="3">
        <f>C50*$D50</f>
        <v/>
      </c>
      <c r="AA50" s="9">
        <f>$L978+$K978*E50+$J978*F50+$I978*G50+$H978*H50+$G978*I50+$F978*J50+$E978*K50+$D978*L50+$C978*M50+$B978*N50</f>
        <v/>
      </c>
      <c r="AB50" s="9">
        <f>C50-AA50</f>
        <v/>
      </c>
      <c r="AC50" s="4">
        <f>AB50^2</f>
        <v/>
      </c>
    </row>
    <row r="51">
      <c r="A51" t="inlineStr">
        <is>
          <t>BBG000BBL0Y1</t>
        </is>
      </c>
      <c r="B51" t="inlineStr">
        <is>
          <t>alk</t>
        </is>
      </c>
      <c r="C51" s="9" t="n">
        <v>0.01064641424973667</v>
      </c>
      <c r="D51" s="3">
        <f>EXP(0.25*'3b-d Exposures'!G57)</f>
        <v/>
      </c>
      <c r="E51" s="3">
        <f>IF('3b-d Exposures'!C57="",0,'3b-d Exposures'!C57)</f>
        <v/>
      </c>
      <c r="F51" s="3">
        <f>IF('3b-d Exposures'!E57="",0,'3b-d Exposures'!E57)</f>
        <v/>
      </c>
      <c r="G51" s="3">
        <f>IF('3b-d Exposures'!G57="",0,'3b-d Exposures'!G57)</f>
        <v/>
      </c>
      <c r="H51" s="3">
        <f>IF('3b-d Exposures'!I57="",0,'3b-d Exposures'!I57)</f>
        <v/>
      </c>
      <c r="I51" s="3">
        <f>IF('3b-d Exposures'!K57="",0,'3b-d Exposures'!K57)</f>
        <v/>
      </c>
      <c r="J51" s="3">
        <f>IF('3b-d Exposures'!M57="",0,'3b-d Exposures'!M57)</f>
        <v/>
      </c>
      <c r="K51" s="3">
        <f>IF('3b-d Exposures'!O57="",0,'3b-d Exposures'!O57)</f>
        <v/>
      </c>
      <c r="L51" s="3">
        <f>IF('3b-d Exposures'!Q57="",0,'3b-d Exposures'!Q57)</f>
        <v/>
      </c>
      <c r="M51" s="3">
        <f>IF('3b-d Exposures'!S57="",0,'3b-d Exposures'!S57)</f>
        <v/>
      </c>
      <c r="N51" s="3">
        <f>IF('3b-d Exposures'!Z57="",0,'3b-d Exposures'!Z57)</f>
        <v/>
      </c>
      <c r="O51" s="3">
        <f>$D51</f>
        <v/>
      </c>
      <c r="P51" s="3">
        <f>E51*$D51</f>
        <v/>
      </c>
      <c r="Q51" s="3">
        <f>F51*$D51</f>
        <v/>
      </c>
      <c r="R51" s="3">
        <f>G51*$D51</f>
        <v/>
      </c>
      <c r="S51" s="3">
        <f>H51*$D51</f>
        <v/>
      </c>
      <c r="T51" s="3">
        <f>I51*$D51</f>
        <v/>
      </c>
      <c r="U51" s="3">
        <f>J51*$D51</f>
        <v/>
      </c>
      <c r="V51" s="3">
        <f>K51*$D51</f>
        <v/>
      </c>
      <c r="W51" s="3">
        <f>L51*$D51</f>
        <v/>
      </c>
      <c r="X51" s="3">
        <f>M51*$D51</f>
        <v/>
      </c>
      <c r="Y51" s="3">
        <f>N51*$D51</f>
        <v/>
      </c>
      <c r="Z51" s="3">
        <f>C51*$D51</f>
        <v/>
      </c>
      <c r="AA51" s="9">
        <f>$L978+$K978*E51+$J978*F51+$I978*G51+$H978*H51+$G978*I51+$F978*J51+$E978*K51+$D978*L51+$C978*M51+$B978*N51</f>
        <v/>
      </c>
      <c r="AB51" s="9">
        <f>C51-AA51</f>
        <v/>
      </c>
      <c r="AC51" s="4">
        <f>AB51^2</f>
        <v/>
      </c>
    </row>
    <row r="52">
      <c r="A52" t="inlineStr">
        <is>
          <t>BBG005HTCT54</t>
        </is>
      </c>
      <c r="B52" t="inlineStr">
        <is>
          <t>alkt</t>
        </is>
      </c>
      <c r="C52" s="9" t="n">
        <v>-0.03572332920710741</v>
      </c>
      <c r="D52" s="3">
        <f>EXP(0.25*'3b-d Exposures'!G58)</f>
        <v/>
      </c>
      <c r="E52" s="3">
        <f>IF('3b-d Exposures'!C58="",0,'3b-d Exposures'!C58)</f>
        <v/>
      </c>
      <c r="F52" s="3">
        <f>IF('3b-d Exposures'!E58="",0,'3b-d Exposures'!E58)</f>
        <v/>
      </c>
      <c r="G52" s="3">
        <f>IF('3b-d Exposures'!G58="",0,'3b-d Exposures'!G58)</f>
        <v/>
      </c>
      <c r="H52" s="3">
        <f>IF('3b-d Exposures'!I58="",0,'3b-d Exposures'!I58)</f>
        <v/>
      </c>
      <c r="I52" s="3">
        <f>IF('3b-d Exposures'!K58="",0,'3b-d Exposures'!K58)</f>
        <v/>
      </c>
      <c r="J52" s="3">
        <f>IF('3b-d Exposures'!M58="",0,'3b-d Exposures'!M58)</f>
        <v/>
      </c>
      <c r="K52" s="3">
        <f>IF('3b-d Exposures'!O58="",0,'3b-d Exposures'!O58)</f>
        <v/>
      </c>
      <c r="L52" s="3">
        <f>IF('3b-d Exposures'!Q58="",0,'3b-d Exposures'!Q58)</f>
        <v/>
      </c>
      <c r="M52" s="3">
        <f>IF('3b-d Exposures'!S58="",0,'3b-d Exposures'!S58)</f>
        <v/>
      </c>
      <c r="N52" s="3">
        <f>IF('3b-d Exposures'!Z58="",0,'3b-d Exposures'!Z58)</f>
        <v/>
      </c>
      <c r="O52" s="3">
        <f>$D52</f>
        <v/>
      </c>
      <c r="P52" s="3">
        <f>E52*$D52</f>
        <v/>
      </c>
      <c r="Q52" s="3">
        <f>F52*$D52</f>
        <v/>
      </c>
      <c r="R52" s="3">
        <f>G52*$D52</f>
        <v/>
      </c>
      <c r="S52" s="3">
        <f>H52*$D52</f>
        <v/>
      </c>
      <c r="T52" s="3">
        <f>I52*$D52</f>
        <v/>
      </c>
      <c r="U52" s="3">
        <f>J52*$D52</f>
        <v/>
      </c>
      <c r="V52" s="3">
        <f>K52*$D52</f>
        <v/>
      </c>
      <c r="W52" s="3">
        <f>L52*$D52</f>
        <v/>
      </c>
      <c r="X52" s="3">
        <f>M52*$D52</f>
        <v/>
      </c>
      <c r="Y52" s="3">
        <f>N52*$D52</f>
        <v/>
      </c>
      <c r="Z52" s="3">
        <f>C52*$D52</f>
        <v/>
      </c>
      <c r="AA52" s="9">
        <f>$L978+$K978*E52+$J978*F52+$I978*G52+$H978*H52+$G978*I52+$F978*J52+$E978*K52+$D978*L52+$C978*M52+$B978*N52</f>
        <v/>
      </c>
      <c r="AB52" s="9">
        <f>C52-AA52</f>
        <v/>
      </c>
      <c r="AC52" s="4">
        <f>AB52^2</f>
        <v/>
      </c>
    </row>
    <row r="53">
      <c r="A53" t="inlineStr">
        <is>
          <t>BBG000BVMGF2</t>
        </is>
      </c>
      <c r="B53" t="inlineStr">
        <is>
          <t>all</t>
        </is>
      </c>
      <c r="C53" s="9" t="n">
        <v>-0.01446564930337513</v>
      </c>
      <c r="D53" s="3">
        <f>EXP(0.25*'3b-d Exposures'!G59)</f>
        <v/>
      </c>
      <c r="E53" s="3">
        <f>IF('3b-d Exposures'!C59="",0,'3b-d Exposures'!C59)</f>
        <v/>
      </c>
      <c r="F53" s="3">
        <f>IF('3b-d Exposures'!E59="",0,'3b-d Exposures'!E59)</f>
        <v/>
      </c>
      <c r="G53" s="3">
        <f>IF('3b-d Exposures'!G59="",0,'3b-d Exposures'!G59)</f>
        <v/>
      </c>
      <c r="H53" s="3">
        <f>IF('3b-d Exposures'!I59="",0,'3b-d Exposures'!I59)</f>
        <v/>
      </c>
      <c r="I53" s="3">
        <f>IF('3b-d Exposures'!K59="",0,'3b-d Exposures'!K59)</f>
        <v/>
      </c>
      <c r="J53" s="3">
        <f>IF('3b-d Exposures'!M59="",0,'3b-d Exposures'!M59)</f>
        <v/>
      </c>
      <c r="K53" s="3">
        <f>IF('3b-d Exposures'!O59="",0,'3b-d Exposures'!O59)</f>
        <v/>
      </c>
      <c r="L53" s="3">
        <f>IF('3b-d Exposures'!Q59="",0,'3b-d Exposures'!Q59)</f>
        <v/>
      </c>
      <c r="M53" s="3">
        <f>IF('3b-d Exposures'!S59="",0,'3b-d Exposures'!S59)</f>
        <v/>
      </c>
      <c r="N53" s="3">
        <f>IF('3b-d Exposures'!Z59="",0,'3b-d Exposures'!Z59)</f>
        <v/>
      </c>
      <c r="O53" s="3">
        <f>$D53</f>
        <v/>
      </c>
      <c r="P53" s="3">
        <f>E53*$D53</f>
        <v/>
      </c>
      <c r="Q53" s="3">
        <f>F53*$D53</f>
        <v/>
      </c>
      <c r="R53" s="3">
        <f>G53*$D53</f>
        <v/>
      </c>
      <c r="S53" s="3">
        <f>H53*$D53</f>
        <v/>
      </c>
      <c r="T53" s="3">
        <f>I53*$D53</f>
        <v/>
      </c>
      <c r="U53" s="3">
        <f>J53*$D53</f>
        <v/>
      </c>
      <c r="V53" s="3">
        <f>K53*$D53</f>
        <v/>
      </c>
      <c r="W53" s="3">
        <f>L53*$D53</f>
        <v/>
      </c>
      <c r="X53" s="3">
        <f>M53*$D53</f>
        <v/>
      </c>
      <c r="Y53" s="3">
        <f>N53*$D53</f>
        <v/>
      </c>
      <c r="Z53" s="3">
        <f>C53*$D53</f>
        <v/>
      </c>
      <c r="AA53" s="9">
        <f>$L978+$K978*E53+$J978*F53+$I978*G53+$H978*H53+$G978*I53+$F978*J53+$E978*K53+$D978*L53+$C978*M53+$B978*N53</f>
        <v/>
      </c>
      <c r="AB53" s="9">
        <f>C53-AA53</f>
        <v/>
      </c>
      <c r="AC53" s="4">
        <f>AB53^2</f>
        <v/>
      </c>
    </row>
    <row r="54">
      <c r="A54" t="inlineStr">
        <is>
          <t>alle</t>
        </is>
      </c>
      <c r="B54" t="inlineStr">
        <is>
          <t>alle</t>
        </is>
      </c>
      <c r="C54" s="9" t="n">
        <v>-0.003124271803916279</v>
      </c>
      <c r="D54" s="3">
        <f>EXP(0.25*'3b-d Exposures'!G60)</f>
        <v/>
      </c>
      <c r="E54" s="3">
        <f>IF('3b-d Exposures'!C60="",0,'3b-d Exposures'!C60)</f>
        <v/>
      </c>
      <c r="F54" s="3">
        <f>IF('3b-d Exposures'!E60="",0,'3b-d Exposures'!E60)</f>
        <v/>
      </c>
      <c r="G54" s="3">
        <f>IF('3b-d Exposures'!G60="",0,'3b-d Exposures'!G60)</f>
        <v/>
      </c>
      <c r="H54" s="3">
        <f>IF('3b-d Exposures'!I60="",0,'3b-d Exposures'!I60)</f>
        <v/>
      </c>
      <c r="I54" s="3">
        <f>IF('3b-d Exposures'!K60="",0,'3b-d Exposures'!K60)</f>
        <v/>
      </c>
      <c r="J54" s="3">
        <f>IF('3b-d Exposures'!M60="",0,'3b-d Exposures'!M60)</f>
        <v/>
      </c>
      <c r="K54" s="3">
        <f>IF('3b-d Exposures'!O60="",0,'3b-d Exposures'!O60)</f>
        <v/>
      </c>
      <c r="L54" s="3">
        <f>IF('3b-d Exposures'!Q60="",0,'3b-d Exposures'!Q60)</f>
        <v/>
      </c>
      <c r="M54" s="3">
        <f>IF('3b-d Exposures'!S60="",0,'3b-d Exposures'!S60)</f>
        <v/>
      </c>
      <c r="N54" s="3">
        <f>IF('3b-d Exposures'!Z60="",0,'3b-d Exposures'!Z60)</f>
        <v/>
      </c>
      <c r="O54" s="3">
        <f>$D54</f>
        <v/>
      </c>
      <c r="P54" s="3">
        <f>E54*$D54</f>
        <v/>
      </c>
      <c r="Q54" s="3">
        <f>F54*$D54</f>
        <v/>
      </c>
      <c r="R54" s="3">
        <f>G54*$D54</f>
        <v/>
      </c>
      <c r="S54" s="3">
        <f>H54*$D54</f>
        <v/>
      </c>
      <c r="T54" s="3">
        <f>I54*$D54</f>
        <v/>
      </c>
      <c r="U54" s="3">
        <f>J54*$D54</f>
        <v/>
      </c>
      <c r="V54" s="3">
        <f>K54*$D54</f>
        <v/>
      </c>
      <c r="W54" s="3">
        <f>L54*$D54</f>
        <v/>
      </c>
      <c r="X54" s="3">
        <f>M54*$D54</f>
        <v/>
      </c>
      <c r="Y54" s="3">
        <f>N54*$D54</f>
        <v/>
      </c>
      <c r="Z54" s="3">
        <f>C54*$D54</f>
        <v/>
      </c>
      <c r="AA54" s="9">
        <f>$L978+$K978*E54+$J978*F54+$I978*G54+$H978*H54+$G978*I54+$F978*J54+$E978*K54+$D978*L54+$C978*M54+$B978*N54</f>
        <v/>
      </c>
      <c r="AB54" s="9">
        <f>C54-AA54</f>
        <v/>
      </c>
      <c r="AC54" s="4">
        <f>AB54^2</f>
        <v/>
      </c>
    </row>
    <row r="55">
      <c r="A55" t="inlineStr">
        <is>
          <t>BBG000BC2R71</t>
        </is>
      </c>
      <c r="B55" t="inlineStr">
        <is>
          <t>ally</t>
        </is>
      </c>
      <c r="C55" s="9" t="n">
        <v>-0.01950961034247001</v>
      </c>
      <c r="D55" s="3">
        <f>EXP(0.25*'3b-d Exposures'!G61)</f>
        <v/>
      </c>
      <c r="E55" s="3">
        <f>IF('3b-d Exposures'!C61="",0,'3b-d Exposures'!C61)</f>
        <v/>
      </c>
      <c r="F55" s="3">
        <f>IF('3b-d Exposures'!E61="",0,'3b-d Exposures'!E61)</f>
        <v/>
      </c>
      <c r="G55" s="3">
        <f>IF('3b-d Exposures'!G61="",0,'3b-d Exposures'!G61)</f>
        <v/>
      </c>
      <c r="H55" s="3">
        <f>IF('3b-d Exposures'!I61="",0,'3b-d Exposures'!I61)</f>
        <v/>
      </c>
      <c r="I55" s="3">
        <f>IF('3b-d Exposures'!K61="",0,'3b-d Exposures'!K61)</f>
        <v/>
      </c>
      <c r="J55" s="3">
        <f>IF('3b-d Exposures'!M61="",0,'3b-d Exposures'!M61)</f>
        <v/>
      </c>
      <c r="K55" s="3">
        <f>IF('3b-d Exposures'!O61="",0,'3b-d Exposures'!O61)</f>
        <v/>
      </c>
      <c r="L55" s="3">
        <f>IF('3b-d Exposures'!Q61="",0,'3b-d Exposures'!Q61)</f>
        <v/>
      </c>
      <c r="M55" s="3">
        <f>IF('3b-d Exposures'!S61="",0,'3b-d Exposures'!S61)</f>
        <v/>
      </c>
      <c r="N55" s="3">
        <f>IF('3b-d Exposures'!Z61="",0,'3b-d Exposures'!Z61)</f>
        <v/>
      </c>
      <c r="O55" s="3">
        <f>$D55</f>
        <v/>
      </c>
      <c r="P55" s="3">
        <f>E55*$D55</f>
        <v/>
      </c>
      <c r="Q55" s="3">
        <f>F55*$D55</f>
        <v/>
      </c>
      <c r="R55" s="3">
        <f>G55*$D55</f>
        <v/>
      </c>
      <c r="S55" s="3">
        <f>H55*$D55</f>
        <v/>
      </c>
      <c r="T55" s="3">
        <f>I55*$D55</f>
        <v/>
      </c>
      <c r="U55" s="3">
        <f>J55*$D55</f>
        <v/>
      </c>
      <c r="V55" s="3">
        <f>K55*$D55</f>
        <v/>
      </c>
      <c r="W55" s="3">
        <f>L55*$D55</f>
        <v/>
      </c>
      <c r="X55" s="3">
        <f>M55*$D55</f>
        <v/>
      </c>
      <c r="Y55" s="3">
        <f>N55*$D55</f>
        <v/>
      </c>
      <c r="Z55" s="3">
        <f>C55*$D55</f>
        <v/>
      </c>
      <c r="AA55" s="9">
        <f>$L978+$K978*E55+$J978*F55+$I978*G55+$H978*H55+$G978*I55+$F978*J55+$E978*K55+$D978*L55+$C978*M55+$B978*N55</f>
        <v/>
      </c>
      <c r="AB55" s="9">
        <f>C55-AA55</f>
        <v/>
      </c>
      <c r="AC55" s="4">
        <f>AB55^2</f>
        <v/>
      </c>
    </row>
    <row r="56">
      <c r="A56" t="inlineStr">
        <is>
          <t>BBG000BFGNJ5</t>
        </is>
      </c>
      <c r="B56" t="inlineStr">
        <is>
          <t>alny</t>
        </is>
      </c>
      <c r="C56" s="9" t="n">
        <v>-0.000237139193290159</v>
      </c>
      <c r="D56" s="3">
        <f>EXP(0.25*'3b-d Exposures'!G62)</f>
        <v/>
      </c>
      <c r="E56" s="3">
        <f>IF('3b-d Exposures'!C62="",0,'3b-d Exposures'!C62)</f>
        <v/>
      </c>
      <c r="F56" s="3">
        <f>IF('3b-d Exposures'!E62="",0,'3b-d Exposures'!E62)</f>
        <v/>
      </c>
      <c r="G56" s="3">
        <f>IF('3b-d Exposures'!G62="",0,'3b-d Exposures'!G62)</f>
        <v/>
      </c>
      <c r="H56" s="3">
        <f>IF('3b-d Exposures'!I62="",0,'3b-d Exposures'!I62)</f>
        <v/>
      </c>
      <c r="I56" s="3">
        <f>IF('3b-d Exposures'!K62="",0,'3b-d Exposures'!K62)</f>
        <v/>
      </c>
      <c r="J56" s="3">
        <f>IF('3b-d Exposures'!M62="",0,'3b-d Exposures'!M62)</f>
        <v/>
      </c>
      <c r="K56" s="3">
        <f>IF('3b-d Exposures'!O62="",0,'3b-d Exposures'!O62)</f>
        <v/>
      </c>
      <c r="L56" s="3">
        <f>IF('3b-d Exposures'!Q62="",0,'3b-d Exposures'!Q62)</f>
        <v/>
      </c>
      <c r="M56" s="3">
        <f>IF('3b-d Exposures'!S62="",0,'3b-d Exposures'!S62)</f>
        <v/>
      </c>
      <c r="N56" s="3">
        <f>IF('3b-d Exposures'!Z62="",0,'3b-d Exposures'!Z62)</f>
        <v/>
      </c>
      <c r="O56" s="3">
        <f>$D56</f>
        <v/>
      </c>
      <c r="P56" s="3">
        <f>E56*$D56</f>
        <v/>
      </c>
      <c r="Q56" s="3">
        <f>F56*$D56</f>
        <v/>
      </c>
      <c r="R56" s="3">
        <f>G56*$D56</f>
        <v/>
      </c>
      <c r="S56" s="3">
        <f>H56*$D56</f>
        <v/>
      </c>
      <c r="T56" s="3">
        <f>I56*$D56</f>
        <v/>
      </c>
      <c r="U56" s="3">
        <f>J56*$D56</f>
        <v/>
      </c>
      <c r="V56" s="3">
        <f>K56*$D56</f>
        <v/>
      </c>
      <c r="W56" s="3">
        <f>L56*$D56</f>
        <v/>
      </c>
      <c r="X56" s="3">
        <f>M56*$D56</f>
        <v/>
      </c>
      <c r="Y56" s="3">
        <f>N56*$D56</f>
        <v/>
      </c>
      <c r="Z56" s="3">
        <f>C56*$D56</f>
        <v/>
      </c>
      <c r="AA56" s="9">
        <f>$L978+$K978*E56+$J978*F56+$I978*G56+$H978*H56+$G978*I56+$F978*J56+$E978*K56+$D978*L56+$C978*M56+$B978*N56</f>
        <v/>
      </c>
      <c r="AB56" s="9">
        <f>C56-AA56</f>
        <v/>
      </c>
      <c r="AC56" s="4">
        <f>AB56^2</f>
        <v/>
      </c>
    </row>
    <row r="57">
      <c r="A57" t="inlineStr">
        <is>
          <t>BBG007GNPYY7</t>
        </is>
      </c>
      <c r="B57" t="inlineStr">
        <is>
          <t>alrm</t>
        </is>
      </c>
      <c r="C57" s="9" t="n">
        <v>-0.007368678723312039</v>
      </c>
      <c r="D57" s="3">
        <f>EXP(0.25*'3b-d Exposures'!G63)</f>
        <v/>
      </c>
      <c r="E57" s="3">
        <f>IF('3b-d Exposures'!C63="",0,'3b-d Exposures'!C63)</f>
        <v/>
      </c>
      <c r="F57" s="3">
        <f>IF('3b-d Exposures'!E63="",0,'3b-d Exposures'!E63)</f>
        <v/>
      </c>
      <c r="G57" s="3">
        <f>IF('3b-d Exposures'!G63="",0,'3b-d Exposures'!G63)</f>
        <v/>
      </c>
      <c r="H57" s="3">
        <f>IF('3b-d Exposures'!I63="",0,'3b-d Exposures'!I63)</f>
        <v/>
      </c>
      <c r="I57" s="3">
        <f>IF('3b-d Exposures'!K63="",0,'3b-d Exposures'!K63)</f>
        <v/>
      </c>
      <c r="J57" s="3">
        <f>IF('3b-d Exposures'!M63="",0,'3b-d Exposures'!M63)</f>
        <v/>
      </c>
      <c r="K57" s="3">
        <f>IF('3b-d Exposures'!O63="",0,'3b-d Exposures'!O63)</f>
        <v/>
      </c>
      <c r="L57" s="3">
        <f>IF('3b-d Exposures'!Q63="",0,'3b-d Exposures'!Q63)</f>
        <v/>
      </c>
      <c r="M57" s="3">
        <f>IF('3b-d Exposures'!S63="",0,'3b-d Exposures'!S63)</f>
        <v/>
      </c>
      <c r="N57" s="3">
        <f>IF('3b-d Exposures'!Z63="",0,'3b-d Exposures'!Z63)</f>
        <v/>
      </c>
      <c r="O57" s="3">
        <f>$D57</f>
        <v/>
      </c>
      <c r="P57" s="3">
        <f>E57*$D57</f>
        <v/>
      </c>
      <c r="Q57" s="3">
        <f>F57*$D57</f>
        <v/>
      </c>
      <c r="R57" s="3">
        <f>G57*$D57</f>
        <v/>
      </c>
      <c r="S57" s="3">
        <f>H57*$D57</f>
        <v/>
      </c>
      <c r="T57" s="3">
        <f>I57*$D57</f>
        <v/>
      </c>
      <c r="U57" s="3">
        <f>J57*$D57</f>
        <v/>
      </c>
      <c r="V57" s="3">
        <f>K57*$D57</f>
        <v/>
      </c>
      <c r="W57" s="3">
        <f>L57*$D57</f>
        <v/>
      </c>
      <c r="X57" s="3">
        <f>M57*$D57</f>
        <v/>
      </c>
      <c r="Y57" s="3">
        <f>N57*$D57</f>
        <v/>
      </c>
      <c r="Z57" s="3">
        <f>C57*$D57</f>
        <v/>
      </c>
      <c r="AA57" s="9">
        <f>$L978+$K978*E57+$J978*F57+$I978*G57+$H978*H57+$G978*I57+$F978*J57+$E978*K57+$D978*L57+$C978*M57+$B978*N57</f>
        <v/>
      </c>
      <c r="AB57" s="9">
        <f>C57-AA57</f>
        <v/>
      </c>
      <c r="AC57" s="4">
        <f>AB57^2</f>
        <v/>
      </c>
    </row>
    <row r="58">
      <c r="A58" t="inlineStr">
        <is>
          <t>BBG001KY3845</t>
        </is>
      </c>
      <c r="B58" t="inlineStr">
        <is>
          <t>alsn</t>
        </is>
      </c>
      <c r="C58" s="9" t="n">
        <v>-0.01476787517805744</v>
      </c>
      <c r="D58" s="3">
        <f>EXP(0.25*'3b-d Exposures'!G64)</f>
        <v/>
      </c>
      <c r="E58" s="3">
        <f>IF('3b-d Exposures'!C64="",0,'3b-d Exposures'!C64)</f>
        <v/>
      </c>
      <c r="F58" s="3">
        <f>IF('3b-d Exposures'!E64="",0,'3b-d Exposures'!E64)</f>
        <v/>
      </c>
      <c r="G58" s="3">
        <f>IF('3b-d Exposures'!G64="",0,'3b-d Exposures'!G64)</f>
        <v/>
      </c>
      <c r="H58" s="3">
        <f>IF('3b-d Exposures'!I64="",0,'3b-d Exposures'!I64)</f>
        <v/>
      </c>
      <c r="I58" s="3">
        <f>IF('3b-d Exposures'!K64="",0,'3b-d Exposures'!K64)</f>
        <v/>
      </c>
      <c r="J58" s="3">
        <f>IF('3b-d Exposures'!M64="",0,'3b-d Exposures'!M64)</f>
        <v/>
      </c>
      <c r="K58" s="3">
        <f>IF('3b-d Exposures'!O64="",0,'3b-d Exposures'!O64)</f>
        <v/>
      </c>
      <c r="L58" s="3">
        <f>IF('3b-d Exposures'!Q64="",0,'3b-d Exposures'!Q64)</f>
        <v/>
      </c>
      <c r="M58" s="3">
        <f>IF('3b-d Exposures'!S64="",0,'3b-d Exposures'!S64)</f>
        <v/>
      </c>
      <c r="N58" s="3">
        <f>IF('3b-d Exposures'!Z64="",0,'3b-d Exposures'!Z64)</f>
        <v/>
      </c>
      <c r="O58" s="3">
        <f>$D58</f>
        <v/>
      </c>
      <c r="P58" s="3">
        <f>E58*$D58</f>
        <v/>
      </c>
      <c r="Q58" s="3">
        <f>F58*$D58</f>
        <v/>
      </c>
      <c r="R58" s="3">
        <f>G58*$D58</f>
        <v/>
      </c>
      <c r="S58" s="3">
        <f>H58*$D58</f>
        <v/>
      </c>
      <c r="T58" s="3">
        <f>I58*$D58</f>
        <v/>
      </c>
      <c r="U58" s="3">
        <f>J58*$D58</f>
        <v/>
      </c>
      <c r="V58" s="3">
        <f>K58*$D58</f>
        <v/>
      </c>
      <c r="W58" s="3">
        <f>L58*$D58</f>
        <v/>
      </c>
      <c r="X58" s="3">
        <f>M58*$D58</f>
        <v/>
      </c>
      <c r="Y58" s="3">
        <f>N58*$D58</f>
        <v/>
      </c>
      <c r="Z58" s="3">
        <f>C58*$D58</f>
        <v/>
      </c>
      <c r="AA58" s="9">
        <f>$L978+$K978*E58+$J978*F58+$I978*G58+$H978*H58+$G978*I58+$F978*J58+$E978*K58+$D978*L58+$C978*M58+$B978*N58</f>
        <v/>
      </c>
      <c r="AB58" s="9">
        <f>C58-AA58</f>
        <v/>
      </c>
      <c r="AC58" s="4">
        <f>AB58^2</f>
        <v/>
      </c>
    </row>
    <row r="59">
      <c r="A59" t="inlineStr">
        <is>
          <t>BBG000BBPFB9</t>
        </is>
      </c>
      <c r="B59" t="inlineStr">
        <is>
          <t>amat</t>
        </is>
      </c>
      <c r="C59" s="9" t="n">
        <v>0.04899541825582432</v>
      </c>
      <c r="D59" s="3">
        <f>EXP(0.25*'3b-d Exposures'!G65)</f>
        <v/>
      </c>
      <c r="E59" s="3">
        <f>IF('3b-d Exposures'!C65="",0,'3b-d Exposures'!C65)</f>
        <v/>
      </c>
      <c r="F59" s="3">
        <f>IF('3b-d Exposures'!E65="",0,'3b-d Exposures'!E65)</f>
        <v/>
      </c>
      <c r="G59" s="3">
        <f>IF('3b-d Exposures'!G65="",0,'3b-d Exposures'!G65)</f>
        <v/>
      </c>
      <c r="H59" s="3">
        <f>IF('3b-d Exposures'!I65="",0,'3b-d Exposures'!I65)</f>
        <v/>
      </c>
      <c r="I59" s="3">
        <f>IF('3b-d Exposures'!K65="",0,'3b-d Exposures'!K65)</f>
        <v/>
      </c>
      <c r="J59" s="3">
        <f>IF('3b-d Exposures'!M65="",0,'3b-d Exposures'!M65)</f>
        <v/>
      </c>
      <c r="K59" s="3">
        <f>IF('3b-d Exposures'!O65="",0,'3b-d Exposures'!O65)</f>
        <v/>
      </c>
      <c r="L59" s="3">
        <f>IF('3b-d Exposures'!Q65="",0,'3b-d Exposures'!Q65)</f>
        <v/>
      </c>
      <c r="M59" s="3">
        <f>IF('3b-d Exposures'!S65="",0,'3b-d Exposures'!S65)</f>
        <v/>
      </c>
      <c r="N59" s="3">
        <f>IF('3b-d Exposures'!Z65="",0,'3b-d Exposures'!Z65)</f>
        <v/>
      </c>
      <c r="O59" s="3">
        <f>$D59</f>
        <v/>
      </c>
      <c r="P59" s="3">
        <f>E59*$D59</f>
        <v/>
      </c>
      <c r="Q59" s="3">
        <f>F59*$D59</f>
        <v/>
      </c>
      <c r="R59" s="3">
        <f>G59*$D59</f>
        <v/>
      </c>
      <c r="S59" s="3">
        <f>H59*$D59</f>
        <v/>
      </c>
      <c r="T59" s="3">
        <f>I59*$D59</f>
        <v/>
      </c>
      <c r="U59" s="3">
        <f>J59*$D59</f>
        <v/>
      </c>
      <c r="V59" s="3">
        <f>K59*$D59</f>
        <v/>
      </c>
      <c r="W59" s="3">
        <f>L59*$D59</f>
        <v/>
      </c>
      <c r="X59" s="3">
        <f>M59*$D59</f>
        <v/>
      </c>
      <c r="Y59" s="3">
        <f>N59*$D59</f>
        <v/>
      </c>
      <c r="Z59" s="3">
        <f>C59*$D59</f>
        <v/>
      </c>
      <c r="AA59" s="9">
        <f>$L978+$K978*E59+$J978*F59+$I978*G59+$H978*H59+$G978*I59+$F978*J59+$E978*K59+$D978*L59+$C978*M59+$B978*N59</f>
        <v/>
      </c>
      <c r="AB59" s="9">
        <f>C59-AA59</f>
        <v/>
      </c>
      <c r="AC59" s="4">
        <f>AB59^2</f>
        <v/>
      </c>
    </row>
    <row r="60">
      <c r="A60" t="inlineStr">
        <is>
          <t>amcr</t>
        </is>
      </c>
      <c r="B60" t="inlineStr">
        <is>
          <t>amcr</t>
        </is>
      </c>
      <c r="C60" s="9" t="n">
        <v>-0.006579056639361647</v>
      </c>
      <c r="D60" s="3">
        <f>EXP(0.25*'3b-d Exposures'!G66)</f>
        <v/>
      </c>
      <c r="E60" s="3">
        <f>IF('3b-d Exposures'!C66="",0,'3b-d Exposures'!C66)</f>
        <v/>
      </c>
      <c r="F60" s="3">
        <f>IF('3b-d Exposures'!E66="",0,'3b-d Exposures'!E66)</f>
        <v/>
      </c>
      <c r="G60" s="3">
        <f>IF('3b-d Exposures'!G66="",0,'3b-d Exposures'!G66)</f>
        <v/>
      </c>
      <c r="H60" s="3">
        <f>IF('3b-d Exposures'!I66="",0,'3b-d Exposures'!I66)</f>
        <v/>
      </c>
      <c r="I60" s="3">
        <f>IF('3b-d Exposures'!K66="",0,'3b-d Exposures'!K66)</f>
        <v/>
      </c>
      <c r="J60" s="3">
        <f>IF('3b-d Exposures'!M66="",0,'3b-d Exposures'!M66)</f>
        <v/>
      </c>
      <c r="K60" s="3">
        <f>IF('3b-d Exposures'!O66="",0,'3b-d Exposures'!O66)</f>
        <v/>
      </c>
      <c r="L60" s="3">
        <f>IF('3b-d Exposures'!Q66="",0,'3b-d Exposures'!Q66)</f>
        <v/>
      </c>
      <c r="M60" s="3">
        <f>IF('3b-d Exposures'!S66="",0,'3b-d Exposures'!S66)</f>
        <v/>
      </c>
      <c r="N60" s="3">
        <f>IF('3b-d Exposures'!Z66="",0,'3b-d Exposures'!Z66)</f>
        <v/>
      </c>
      <c r="O60" s="3">
        <f>$D60</f>
        <v/>
      </c>
      <c r="P60" s="3">
        <f>E60*$D60</f>
        <v/>
      </c>
      <c r="Q60" s="3">
        <f>F60*$D60</f>
        <v/>
      </c>
      <c r="R60" s="3">
        <f>G60*$D60</f>
        <v/>
      </c>
      <c r="S60" s="3">
        <f>H60*$D60</f>
        <v/>
      </c>
      <c r="T60" s="3">
        <f>I60*$D60</f>
        <v/>
      </c>
      <c r="U60" s="3">
        <f>J60*$D60</f>
        <v/>
      </c>
      <c r="V60" s="3">
        <f>K60*$D60</f>
        <v/>
      </c>
      <c r="W60" s="3">
        <f>L60*$D60</f>
        <v/>
      </c>
      <c r="X60" s="3">
        <f>M60*$D60</f>
        <v/>
      </c>
      <c r="Y60" s="3">
        <f>N60*$D60</f>
        <v/>
      </c>
      <c r="Z60" s="3">
        <f>C60*$D60</f>
        <v/>
      </c>
      <c r="AA60" s="9">
        <f>$L978+$K978*E60+$J978*F60+$I978*G60+$H978*H60+$G978*I60+$F978*J60+$E978*K60+$D978*L60+$C978*M60+$B978*N60</f>
        <v/>
      </c>
      <c r="AB60" s="9">
        <f>C60-AA60</f>
        <v/>
      </c>
      <c r="AC60" s="4">
        <f>AB60^2</f>
        <v/>
      </c>
    </row>
    <row r="61">
      <c r="A61" t="inlineStr">
        <is>
          <t>BBG000H01H92</t>
        </is>
      </c>
      <c r="B61" t="inlineStr">
        <is>
          <t>amcx</t>
        </is>
      </c>
      <c r="C61" s="9" t="n">
        <v>0.03078555833378727</v>
      </c>
      <c r="D61" s="3">
        <f>EXP(0.25*'3b-d Exposures'!G67)</f>
        <v/>
      </c>
      <c r="E61" s="3">
        <f>IF('3b-d Exposures'!C67="",0,'3b-d Exposures'!C67)</f>
        <v/>
      </c>
      <c r="F61" s="3">
        <f>IF('3b-d Exposures'!E67="",0,'3b-d Exposures'!E67)</f>
        <v/>
      </c>
      <c r="G61" s="3">
        <f>IF('3b-d Exposures'!G67="",0,'3b-d Exposures'!G67)</f>
        <v/>
      </c>
      <c r="H61" s="3">
        <f>IF('3b-d Exposures'!I67="",0,'3b-d Exposures'!I67)</f>
        <v/>
      </c>
      <c r="I61" s="3">
        <f>IF('3b-d Exposures'!K67="",0,'3b-d Exposures'!K67)</f>
        <v/>
      </c>
      <c r="J61" s="3">
        <f>IF('3b-d Exposures'!M67="",0,'3b-d Exposures'!M67)</f>
        <v/>
      </c>
      <c r="K61" s="3">
        <f>IF('3b-d Exposures'!O67="",0,'3b-d Exposures'!O67)</f>
        <v/>
      </c>
      <c r="L61" s="3">
        <f>IF('3b-d Exposures'!Q67="",0,'3b-d Exposures'!Q67)</f>
        <v/>
      </c>
      <c r="M61" s="3">
        <f>IF('3b-d Exposures'!S67="",0,'3b-d Exposures'!S67)</f>
        <v/>
      </c>
      <c r="N61" s="3">
        <f>IF('3b-d Exposures'!Z67="",0,'3b-d Exposures'!Z67)</f>
        <v/>
      </c>
      <c r="O61" s="3">
        <f>$D61</f>
        <v/>
      </c>
      <c r="P61" s="3">
        <f>E61*$D61</f>
        <v/>
      </c>
      <c r="Q61" s="3">
        <f>F61*$D61</f>
        <v/>
      </c>
      <c r="R61" s="3">
        <f>G61*$D61</f>
        <v/>
      </c>
      <c r="S61" s="3">
        <f>H61*$D61</f>
        <v/>
      </c>
      <c r="T61" s="3">
        <f>I61*$D61</f>
        <v/>
      </c>
      <c r="U61" s="3">
        <f>J61*$D61</f>
        <v/>
      </c>
      <c r="V61" s="3">
        <f>K61*$D61</f>
        <v/>
      </c>
      <c r="W61" s="3">
        <f>L61*$D61</f>
        <v/>
      </c>
      <c r="X61" s="3">
        <f>M61*$D61</f>
        <v/>
      </c>
      <c r="Y61" s="3">
        <f>N61*$D61</f>
        <v/>
      </c>
      <c r="Z61" s="3">
        <f>C61*$D61</f>
        <v/>
      </c>
      <c r="AA61" s="9">
        <f>$L978+$K978*E61+$J978*F61+$I978*G61+$H978*H61+$G978*I61+$F978*J61+$E978*K61+$D978*L61+$C978*M61+$B978*N61</f>
        <v/>
      </c>
      <c r="AB61" s="9">
        <f>C61-AA61</f>
        <v/>
      </c>
      <c r="AC61" s="4">
        <f>AB61^2</f>
        <v/>
      </c>
    </row>
    <row r="62">
      <c r="A62" t="inlineStr">
        <is>
          <t>BBG000BBQCY0</t>
        </is>
      </c>
      <c r="B62" t="inlineStr">
        <is>
          <t>amd</t>
        </is>
      </c>
      <c r="C62" s="9" t="n">
        <v>0.03557373628344029</v>
      </c>
      <c r="D62" s="3">
        <f>EXP(0.25*'3b-d Exposures'!G68)</f>
        <v/>
      </c>
      <c r="E62" s="3">
        <f>IF('3b-d Exposures'!C68="",0,'3b-d Exposures'!C68)</f>
        <v/>
      </c>
      <c r="F62" s="3">
        <f>IF('3b-d Exposures'!E68="",0,'3b-d Exposures'!E68)</f>
        <v/>
      </c>
      <c r="G62" s="3">
        <f>IF('3b-d Exposures'!G68="",0,'3b-d Exposures'!G68)</f>
        <v/>
      </c>
      <c r="H62" s="3">
        <f>IF('3b-d Exposures'!I68="",0,'3b-d Exposures'!I68)</f>
        <v/>
      </c>
      <c r="I62" s="3">
        <f>IF('3b-d Exposures'!K68="",0,'3b-d Exposures'!K68)</f>
        <v/>
      </c>
      <c r="J62" s="3">
        <f>IF('3b-d Exposures'!M68="",0,'3b-d Exposures'!M68)</f>
        <v/>
      </c>
      <c r="K62" s="3">
        <f>IF('3b-d Exposures'!O68="",0,'3b-d Exposures'!O68)</f>
        <v/>
      </c>
      <c r="L62" s="3">
        <f>IF('3b-d Exposures'!Q68="",0,'3b-d Exposures'!Q68)</f>
        <v/>
      </c>
      <c r="M62" s="3">
        <f>IF('3b-d Exposures'!S68="",0,'3b-d Exposures'!S68)</f>
        <v/>
      </c>
      <c r="N62" s="3">
        <f>IF('3b-d Exposures'!Z68="",0,'3b-d Exposures'!Z68)</f>
        <v/>
      </c>
      <c r="O62" s="3">
        <f>$D62</f>
        <v/>
      </c>
      <c r="P62" s="3">
        <f>E62*$D62</f>
        <v/>
      </c>
      <c r="Q62" s="3">
        <f>F62*$D62</f>
        <v/>
      </c>
      <c r="R62" s="3">
        <f>G62*$D62</f>
        <v/>
      </c>
      <c r="S62" s="3">
        <f>H62*$D62</f>
        <v/>
      </c>
      <c r="T62" s="3">
        <f>I62*$D62</f>
        <v/>
      </c>
      <c r="U62" s="3">
        <f>J62*$D62</f>
        <v/>
      </c>
      <c r="V62" s="3">
        <f>K62*$D62</f>
        <v/>
      </c>
      <c r="W62" s="3">
        <f>L62*$D62</f>
        <v/>
      </c>
      <c r="X62" s="3">
        <f>M62*$D62</f>
        <v/>
      </c>
      <c r="Y62" s="3">
        <f>N62*$D62</f>
        <v/>
      </c>
      <c r="Z62" s="3">
        <f>C62*$D62</f>
        <v/>
      </c>
      <c r="AA62" s="9">
        <f>$L978+$K978*E62+$J978*F62+$I978*G62+$H978*H62+$G978*I62+$F978*J62+$E978*K62+$D978*L62+$C978*M62+$B978*N62</f>
        <v/>
      </c>
      <c r="AB62" s="9">
        <f>C62-AA62</f>
        <v/>
      </c>
      <c r="AC62" s="4">
        <f>AB62^2</f>
        <v/>
      </c>
    </row>
    <row r="63">
      <c r="A63" t="inlineStr">
        <is>
          <t>BBG000B9XG87</t>
        </is>
      </c>
      <c r="B63" t="inlineStr">
        <is>
          <t>ame</t>
        </is>
      </c>
      <c r="C63" s="9" t="n">
        <v>0.006070591443322115</v>
      </c>
      <c r="D63" s="3">
        <f>EXP(0.25*'3b-d Exposures'!G69)</f>
        <v/>
      </c>
      <c r="E63" s="3">
        <f>IF('3b-d Exposures'!C69="",0,'3b-d Exposures'!C69)</f>
        <v/>
      </c>
      <c r="F63" s="3">
        <f>IF('3b-d Exposures'!E69="",0,'3b-d Exposures'!E69)</f>
        <v/>
      </c>
      <c r="G63" s="3">
        <f>IF('3b-d Exposures'!G69="",0,'3b-d Exposures'!G69)</f>
        <v/>
      </c>
      <c r="H63" s="3">
        <f>IF('3b-d Exposures'!I69="",0,'3b-d Exposures'!I69)</f>
        <v/>
      </c>
      <c r="I63" s="3">
        <f>IF('3b-d Exposures'!K69="",0,'3b-d Exposures'!K69)</f>
        <v/>
      </c>
      <c r="J63" s="3">
        <f>IF('3b-d Exposures'!M69="",0,'3b-d Exposures'!M69)</f>
        <v/>
      </c>
      <c r="K63" s="3">
        <f>IF('3b-d Exposures'!O69="",0,'3b-d Exposures'!O69)</f>
        <v/>
      </c>
      <c r="L63" s="3">
        <f>IF('3b-d Exposures'!Q69="",0,'3b-d Exposures'!Q69)</f>
        <v/>
      </c>
      <c r="M63" s="3">
        <f>IF('3b-d Exposures'!S69="",0,'3b-d Exposures'!S69)</f>
        <v/>
      </c>
      <c r="N63" s="3">
        <f>IF('3b-d Exposures'!Z69="",0,'3b-d Exposures'!Z69)</f>
        <v/>
      </c>
      <c r="O63" s="3">
        <f>$D63</f>
        <v/>
      </c>
      <c r="P63" s="3">
        <f>E63*$D63</f>
        <v/>
      </c>
      <c r="Q63" s="3">
        <f>F63*$D63</f>
        <v/>
      </c>
      <c r="R63" s="3">
        <f>G63*$D63</f>
        <v/>
      </c>
      <c r="S63" s="3">
        <f>H63*$D63</f>
        <v/>
      </c>
      <c r="T63" s="3">
        <f>I63*$D63</f>
        <v/>
      </c>
      <c r="U63" s="3">
        <f>J63*$D63</f>
        <v/>
      </c>
      <c r="V63" s="3">
        <f>K63*$D63</f>
        <v/>
      </c>
      <c r="W63" s="3">
        <f>L63*$D63</f>
        <v/>
      </c>
      <c r="X63" s="3">
        <f>M63*$D63</f>
        <v/>
      </c>
      <c r="Y63" s="3">
        <f>N63*$D63</f>
        <v/>
      </c>
      <c r="Z63" s="3">
        <f>C63*$D63</f>
        <v/>
      </c>
      <c r="AA63" s="9">
        <f>$L978+$K978*E63+$J978*F63+$I978*G63+$H978*H63+$G978*I63+$F978*J63+$E978*K63+$D978*L63+$C978*M63+$B978*N63</f>
        <v/>
      </c>
      <c r="AB63" s="9">
        <f>C63-AA63</f>
        <v/>
      </c>
      <c r="AC63" s="4">
        <f>AB63^2</f>
        <v/>
      </c>
    </row>
    <row r="64">
      <c r="A64" t="inlineStr">
        <is>
          <t>BBG000C060M4</t>
        </is>
      </c>
      <c r="B64" t="inlineStr">
        <is>
          <t>amg</t>
        </is>
      </c>
      <c r="C64" s="9" t="n">
        <v>-0.01135753437478382</v>
      </c>
      <c r="D64" s="3">
        <f>EXP(0.25*'3b-d Exposures'!G70)</f>
        <v/>
      </c>
      <c r="E64" s="3">
        <f>IF('3b-d Exposures'!C70="",0,'3b-d Exposures'!C70)</f>
        <v/>
      </c>
      <c r="F64" s="3">
        <f>IF('3b-d Exposures'!E70="",0,'3b-d Exposures'!E70)</f>
        <v/>
      </c>
      <c r="G64" s="3">
        <f>IF('3b-d Exposures'!G70="",0,'3b-d Exposures'!G70)</f>
        <v/>
      </c>
      <c r="H64" s="3">
        <f>IF('3b-d Exposures'!I70="",0,'3b-d Exposures'!I70)</f>
        <v/>
      </c>
      <c r="I64" s="3">
        <f>IF('3b-d Exposures'!K70="",0,'3b-d Exposures'!K70)</f>
        <v/>
      </c>
      <c r="J64" s="3">
        <f>IF('3b-d Exposures'!M70="",0,'3b-d Exposures'!M70)</f>
        <v/>
      </c>
      <c r="K64" s="3">
        <f>IF('3b-d Exposures'!O70="",0,'3b-d Exposures'!O70)</f>
        <v/>
      </c>
      <c r="L64" s="3">
        <f>IF('3b-d Exposures'!Q70="",0,'3b-d Exposures'!Q70)</f>
        <v/>
      </c>
      <c r="M64" s="3">
        <f>IF('3b-d Exposures'!S70="",0,'3b-d Exposures'!S70)</f>
        <v/>
      </c>
      <c r="N64" s="3">
        <f>IF('3b-d Exposures'!Z70="",0,'3b-d Exposures'!Z70)</f>
        <v/>
      </c>
      <c r="O64" s="3">
        <f>$D64</f>
        <v/>
      </c>
      <c r="P64" s="3">
        <f>E64*$D64</f>
        <v/>
      </c>
      <c r="Q64" s="3">
        <f>F64*$D64</f>
        <v/>
      </c>
      <c r="R64" s="3">
        <f>G64*$D64</f>
        <v/>
      </c>
      <c r="S64" s="3">
        <f>H64*$D64</f>
        <v/>
      </c>
      <c r="T64" s="3">
        <f>I64*$D64</f>
        <v/>
      </c>
      <c r="U64" s="3">
        <f>J64*$D64</f>
        <v/>
      </c>
      <c r="V64" s="3">
        <f>K64*$D64</f>
        <v/>
      </c>
      <c r="W64" s="3">
        <f>L64*$D64</f>
        <v/>
      </c>
      <c r="X64" s="3">
        <f>M64*$D64</f>
        <v/>
      </c>
      <c r="Y64" s="3">
        <f>N64*$D64</f>
        <v/>
      </c>
      <c r="Z64" s="3">
        <f>C64*$D64</f>
        <v/>
      </c>
      <c r="AA64" s="9">
        <f>$L978+$K978*E64+$J978*F64+$I978*G64+$H978*H64+$G978*I64+$F978*J64+$E978*K64+$D978*L64+$C978*M64+$B978*N64</f>
        <v/>
      </c>
      <c r="AB64" s="9">
        <f>C64-AA64</f>
        <v/>
      </c>
      <c r="AC64" s="4">
        <f>AB64^2</f>
        <v/>
      </c>
    </row>
    <row r="65">
      <c r="A65" t="inlineStr">
        <is>
          <t>BBG000BBS2Y0</t>
        </is>
      </c>
      <c r="B65" t="inlineStr">
        <is>
          <t>amgn</t>
        </is>
      </c>
      <c r="C65" s="9" t="n">
        <v>-0.0168628043539707</v>
      </c>
      <c r="D65" s="3">
        <f>EXP(0.25*'3b-d Exposures'!G71)</f>
        <v/>
      </c>
      <c r="E65" s="3">
        <f>IF('3b-d Exposures'!C71="",0,'3b-d Exposures'!C71)</f>
        <v/>
      </c>
      <c r="F65" s="3">
        <f>IF('3b-d Exposures'!E71="",0,'3b-d Exposures'!E71)</f>
        <v/>
      </c>
      <c r="G65" s="3">
        <f>IF('3b-d Exposures'!G71="",0,'3b-d Exposures'!G71)</f>
        <v/>
      </c>
      <c r="H65" s="3">
        <f>IF('3b-d Exposures'!I71="",0,'3b-d Exposures'!I71)</f>
        <v/>
      </c>
      <c r="I65" s="3">
        <f>IF('3b-d Exposures'!K71="",0,'3b-d Exposures'!K71)</f>
        <v/>
      </c>
      <c r="J65" s="3">
        <f>IF('3b-d Exposures'!M71="",0,'3b-d Exposures'!M71)</f>
        <v/>
      </c>
      <c r="K65" s="3">
        <f>IF('3b-d Exposures'!O71="",0,'3b-d Exposures'!O71)</f>
        <v/>
      </c>
      <c r="L65" s="3">
        <f>IF('3b-d Exposures'!Q71="",0,'3b-d Exposures'!Q71)</f>
        <v/>
      </c>
      <c r="M65" s="3">
        <f>IF('3b-d Exposures'!S71="",0,'3b-d Exposures'!S71)</f>
        <v/>
      </c>
      <c r="N65" s="3">
        <f>IF('3b-d Exposures'!Z71="",0,'3b-d Exposures'!Z71)</f>
        <v/>
      </c>
      <c r="O65" s="3">
        <f>$D65</f>
        <v/>
      </c>
      <c r="P65" s="3">
        <f>E65*$D65</f>
        <v/>
      </c>
      <c r="Q65" s="3">
        <f>F65*$D65</f>
        <v/>
      </c>
      <c r="R65" s="3">
        <f>G65*$D65</f>
        <v/>
      </c>
      <c r="S65" s="3">
        <f>H65*$D65</f>
        <v/>
      </c>
      <c r="T65" s="3">
        <f>I65*$D65</f>
        <v/>
      </c>
      <c r="U65" s="3">
        <f>J65*$D65</f>
        <v/>
      </c>
      <c r="V65" s="3">
        <f>K65*$D65</f>
        <v/>
      </c>
      <c r="W65" s="3">
        <f>L65*$D65</f>
        <v/>
      </c>
      <c r="X65" s="3">
        <f>M65*$D65</f>
        <v/>
      </c>
      <c r="Y65" s="3">
        <f>N65*$D65</f>
        <v/>
      </c>
      <c r="Z65" s="3">
        <f>C65*$D65</f>
        <v/>
      </c>
      <c r="AA65" s="9">
        <f>$L978+$K978*E65+$J978*F65+$I978*G65+$H978*H65+$G978*I65+$F978*J65+$E978*K65+$D978*L65+$C978*M65+$B978*N65</f>
        <v/>
      </c>
      <c r="AB65" s="9">
        <f>C65-AA65</f>
        <v/>
      </c>
      <c r="AC65" s="4">
        <f>AB65^2</f>
        <v/>
      </c>
    </row>
    <row r="66">
      <c r="A66" t="inlineStr">
        <is>
          <t>BBG000G3QLY3</t>
        </is>
      </c>
      <c r="B66" t="inlineStr">
        <is>
          <t>amp</t>
        </is>
      </c>
      <c r="C66" s="9" t="n">
        <v>-0.01498329672207255</v>
      </c>
      <c r="D66" s="3">
        <f>EXP(0.25*'3b-d Exposures'!G72)</f>
        <v/>
      </c>
      <c r="E66" s="3">
        <f>IF('3b-d Exposures'!C72="",0,'3b-d Exposures'!C72)</f>
        <v/>
      </c>
      <c r="F66" s="3">
        <f>IF('3b-d Exposures'!E72="",0,'3b-d Exposures'!E72)</f>
        <v/>
      </c>
      <c r="G66" s="3">
        <f>IF('3b-d Exposures'!G72="",0,'3b-d Exposures'!G72)</f>
        <v/>
      </c>
      <c r="H66" s="3">
        <f>IF('3b-d Exposures'!I72="",0,'3b-d Exposures'!I72)</f>
        <v/>
      </c>
      <c r="I66" s="3">
        <f>IF('3b-d Exposures'!K72="",0,'3b-d Exposures'!K72)</f>
        <v/>
      </c>
      <c r="J66" s="3">
        <f>IF('3b-d Exposures'!M72="",0,'3b-d Exposures'!M72)</f>
        <v/>
      </c>
      <c r="K66" s="3">
        <f>IF('3b-d Exposures'!O72="",0,'3b-d Exposures'!O72)</f>
        <v/>
      </c>
      <c r="L66" s="3">
        <f>IF('3b-d Exposures'!Q72="",0,'3b-d Exposures'!Q72)</f>
        <v/>
      </c>
      <c r="M66" s="3">
        <f>IF('3b-d Exposures'!S72="",0,'3b-d Exposures'!S72)</f>
        <v/>
      </c>
      <c r="N66" s="3">
        <f>IF('3b-d Exposures'!Z72="",0,'3b-d Exposures'!Z72)</f>
        <v/>
      </c>
      <c r="O66" s="3">
        <f>$D66</f>
        <v/>
      </c>
      <c r="P66" s="3">
        <f>E66*$D66</f>
        <v/>
      </c>
      <c r="Q66" s="3">
        <f>F66*$D66</f>
        <v/>
      </c>
      <c r="R66" s="3">
        <f>G66*$D66</f>
        <v/>
      </c>
      <c r="S66" s="3">
        <f>H66*$D66</f>
        <v/>
      </c>
      <c r="T66" s="3">
        <f>I66*$D66</f>
        <v/>
      </c>
      <c r="U66" s="3">
        <f>J66*$D66</f>
        <v/>
      </c>
      <c r="V66" s="3">
        <f>K66*$D66</f>
        <v/>
      </c>
      <c r="W66" s="3">
        <f>L66*$D66</f>
        <v/>
      </c>
      <c r="X66" s="3">
        <f>M66*$D66</f>
        <v/>
      </c>
      <c r="Y66" s="3">
        <f>N66*$D66</f>
        <v/>
      </c>
      <c r="Z66" s="3">
        <f>C66*$D66</f>
        <v/>
      </c>
      <c r="AA66" s="9">
        <f>$L978+$K978*E66+$J978*F66+$I978*G66+$H978*H66+$G978*I66+$F978*J66+$E978*K66+$D978*L66+$C978*M66+$B978*N66</f>
        <v/>
      </c>
      <c r="AB66" s="9">
        <f>C66-AA66</f>
        <v/>
      </c>
      <c r="AC66" s="4">
        <f>AB66^2</f>
        <v/>
      </c>
    </row>
    <row r="67">
      <c r="A67" t="inlineStr">
        <is>
          <t>BBG000B9XYV2</t>
        </is>
      </c>
      <c r="B67" t="inlineStr">
        <is>
          <t>amt</t>
        </is>
      </c>
      <c r="C67" s="9" t="n">
        <v>-0.007990466298038568</v>
      </c>
      <c r="D67" s="3">
        <f>EXP(0.25*'3b-d Exposures'!G73)</f>
        <v/>
      </c>
      <c r="E67" s="3">
        <f>IF('3b-d Exposures'!C73="",0,'3b-d Exposures'!C73)</f>
        <v/>
      </c>
      <c r="F67" s="3">
        <f>IF('3b-d Exposures'!E73="",0,'3b-d Exposures'!E73)</f>
        <v/>
      </c>
      <c r="G67" s="3">
        <f>IF('3b-d Exposures'!G73="",0,'3b-d Exposures'!G73)</f>
        <v/>
      </c>
      <c r="H67" s="3">
        <f>IF('3b-d Exposures'!I73="",0,'3b-d Exposures'!I73)</f>
        <v/>
      </c>
      <c r="I67" s="3">
        <f>IF('3b-d Exposures'!K73="",0,'3b-d Exposures'!K73)</f>
        <v/>
      </c>
      <c r="J67" s="3">
        <f>IF('3b-d Exposures'!M73="",0,'3b-d Exposures'!M73)</f>
        <v/>
      </c>
      <c r="K67" s="3">
        <f>IF('3b-d Exposures'!O73="",0,'3b-d Exposures'!O73)</f>
        <v/>
      </c>
      <c r="L67" s="3">
        <f>IF('3b-d Exposures'!Q73="",0,'3b-d Exposures'!Q73)</f>
        <v/>
      </c>
      <c r="M67" s="3">
        <f>IF('3b-d Exposures'!S73="",0,'3b-d Exposures'!S73)</f>
        <v/>
      </c>
      <c r="N67" s="3">
        <f>IF('3b-d Exposures'!Z73="",0,'3b-d Exposures'!Z73)</f>
        <v/>
      </c>
      <c r="O67" s="3">
        <f>$D67</f>
        <v/>
      </c>
      <c r="P67" s="3">
        <f>E67*$D67</f>
        <v/>
      </c>
      <c r="Q67" s="3">
        <f>F67*$D67</f>
        <v/>
      </c>
      <c r="R67" s="3">
        <f>G67*$D67</f>
        <v/>
      </c>
      <c r="S67" s="3">
        <f>H67*$D67</f>
        <v/>
      </c>
      <c r="T67" s="3">
        <f>I67*$D67</f>
        <v/>
      </c>
      <c r="U67" s="3">
        <f>J67*$D67</f>
        <v/>
      </c>
      <c r="V67" s="3">
        <f>K67*$D67</f>
        <v/>
      </c>
      <c r="W67" s="3">
        <f>L67*$D67</f>
        <v/>
      </c>
      <c r="X67" s="3">
        <f>M67*$D67</f>
        <v/>
      </c>
      <c r="Y67" s="3">
        <f>N67*$D67</f>
        <v/>
      </c>
      <c r="Z67" s="3">
        <f>C67*$D67</f>
        <v/>
      </c>
      <c r="AA67" s="9">
        <f>$L978+$K978*E67+$J978*F67+$I978*G67+$H978*H67+$G978*I67+$F978*J67+$E978*K67+$D978*L67+$C978*M67+$B978*N67</f>
        <v/>
      </c>
      <c r="AB67" s="9">
        <f>C67-AA67</f>
        <v/>
      </c>
      <c r="AC67" s="4">
        <f>AB67^2</f>
        <v/>
      </c>
    </row>
    <row r="68">
      <c r="A68" t="inlineStr">
        <is>
          <t>BBG000BVPV84</t>
        </is>
      </c>
      <c r="B68" t="inlineStr">
        <is>
          <t>amzn</t>
        </is>
      </c>
      <c r="C68" s="9" t="n">
        <v>0.01356490130596999</v>
      </c>
      <c r="D68" s="3">
        <f>EXP(0.25*'3b-d Exposures'!G75)</f>
        <v/>
      </c>
      <c r="E68" s="3">
        <f>IF('3b-d Exposures'!C75="",0,'3b-d Exposures'!C75)</f>
        <v/>
      </c>
      <c r="F68" s="3">
        <f>IF('3b-d Exposures'!E75="",0,'3b-d Exposures'!E75)</f>
        <v/>
      </c>
      <c r="G68" s="3">
        <f>IF('3b-d Exposures'!G75="",0,'3b-d Exposures'!G75)</f>
        <v/>
      </c>
      <c r="H68" s="3">
        <f>IF('3b-d Exposures'!I75="",0,'3b-d Exposures'!I75)</f>
        <v/>
      </c>
      <c r="I68" s="3">
        <f>IF('3b-d Exposures'!K75="",0,'3b-d Exposures'!K75)</f>
        <v/>
      </c>
      <c r="J68" s="3">
        <f>IF('3b-d Exposures'!M75="",0,'3b-d Exposures'!M75)</f>
        <v/>
      </c>
      <c r="K68" s="3">
        <f>IF('3b-d Exposures'!O75="",0,'3b-d Exposures'!O75)</f>
        <v/>
      </c>
      <c r="L68" s="3">
        <f>IF('3b-d Exposures'!Q75="",0,'3b-d Exposures'!Q75)</f>
        <v/>
      </c>
      <c r="M68" s="3">
        <f>IF('3b-d Exposures'!S75="",0,'3b-d Exposures'!S75)</f>
        <v/>
      </c>
      <c r="N68" s="3">
        <f>IF('3b-d Exposures'!Z75="",0,'3b-d Exposures'!Z75)</f>
        <v/>
      </c>
      <c r="O68" s="3">
        <f>$D68</f>
        <v/>
      </c>
      <c r="P68" s="3">
        <f>E68*$D68</f>
        <v/>
      </c>
      <c r="Q68" s="3">
        <f>F68*$D68</f>
        <v/>
      </c>
      <c r="R68" s="3">
        <f>G68*$D68</f>
        <v/>
      </c>
      <c r="S68" s="3">
        <f>H68*$D68</f>
        <v/>
      </c>
      <c r="T68" s="3">
        <f>I68*$D68</f>
        <v/>
      </c>
      <c r="U68" s="3">
        <f>J68*$D68</f>
        <v/>
      </c>
      <c r="V68" s="3">
        <f>K68*$D68</f>
        <v/>
      </c>
      <c r="W68" s="3">
        <f>L68*$D68</f>
        <v/>
      </c>
      <c r="X68" s="3">
        <f>M68*$D68</f>
        <v/>
      </c>
      <c r="Y68" s="3">
        <f>N68*$D68</f>
        <v/>
      </c>
      <c r="Z68" s="3">
        <f>C68*$D68</f>
        <v/>
      </c>
      <c r="AA68" s="9">
        <f>$L978+$K978*E68+$J978*F68+$I978*G68+$H978*H68+$G978*I68+$F978*J68+$E978*K68+$D978*L68+$C978*M68+$B978*N68</f>
        <v/>
      </c>
      <c r="AB68" s="9">
        <f>C68-AA68</f>
        <v/>
      </c>
      <c r="AC68" s="4">
        <f>AB68^2</f>
        <v/>
      </c>
    </row>
    <row r="69">
      <c r="A69" t="inlineStr">
        <is>
          <t>BBG000BBXLW4</t>
        </is>
      </c>
      <c r="B69" t="inlineStr">
        <is>
          <t>an</t>
        </is>
      </c>
      <c r="C69" s="9" t="n">
        <v>0.005757721408748973</v>
      </c>
      <c r="D69" s="3">
        <f>EXP(0.25*'3b-d Exposures'!G76)</f>
        <v/>
      </c>
      <c r="E69" s="3">
        <f>IF('3b-d Exposures'!C76="",0,'3b-d Exposures'!C76)</f>
        <v/>
      </c>
      <c r="F69" s="3">
        <f>IF('3b-d Exposures'!E76="",0,'3b-d Exposures'!E76)</f>
        <v/>
      </c>
      <c r="G69" s="3">
        <f>IF('3b-d Exposures'!G76="",0,'3b-d Exposures'!G76)</f>
        <v/>
      </c>
      <c r="H69" s="3">
        <f>IF('3b-d Exposures'!I76="",0,'3b-d Exposures'!I76)</f>
        <v/>
      </c>
      <c r="I69" s="3">
        <f>IF('3b-d Exposures'!K76="",0,'3b-d Exposures'!K76)</f>
        <v/>
      </c>
      <c r="J69" s="3">
        <f>IF('3b-d Exposures'!M76="",0,'3b-d Exposures'!M76)</f>
        <v/>
      </c>
      <c r="K69" s="3">
        <f>IF('3b-d Exposures'!O76="",0,'3b-d Exposures'!O76)</f>
        <v/>
      </c>
      <c r="L69" s="3">
        <f>IF('3b-d Exposures'!Q76="",0,'3b-d Exposures'!Q76)</f>
        <v/>
      </c>
      <c r="M69" s="3">
        <f>IF('3b-d Exposures'!S76="",0,'3b-d Exposures'!S76)</f>
        <v/>
      </c>
      <c r="N69" s="3">
        <f>IF('3b-d Exposures'!Z76="",0,'3b-d Exposures'!Z76)</f>
        <v/>
      </c>
      <c r="O69" s="3">
        <f>$D69</f>
        <v/>
      </c>
      <c r="P69" s="3">
        <f>E69*$D69</f>
        <v/>
      </c>
      <c r="Q69" s="3">
        <f>F69*$D69</f>
        <v/>
      </c>
      <c r="R69" s="3">
        <f>G69*$D69</f>
        <v/>
      </c>
      <c r="S69" s="3">
        <f>H69*$D69</f>
        <v/>
      </c>
      <c r="T69" s="3">
        <f>I69*$D69</f>
        <v/>
      </c>
      <c r="U69" s="3">
        <f>J69*$D69</f>
        <v/>
      </c>
      <c r="V69" s="3">
        <f>K69*$D69</f>
        <v/>
      </c>
      <c r="W69" s="3">
        <f>L69*$D69</f>
        <v/>
      </c>
      <c r="X69" s="3">
        <f>M69*$D69</f>
        <v/>
      </c>
      <c r="Y69" s="3">
        <f>N69*$D69</f>
        <v/>
      </c>
      <c r="Z69" s="3">
        <f>C69*$D69</f>
        <v/>
      </c>
      <c r="AA69" s="9">
        <f>$L978+$K978*E69+$J978*F69+$I978*G69+$H978*H69+$G978*I69+$F978*J69+$E978*K69+$D978*L69+$C978*M69+$B978*N69</f>
        <v/>
      </c>
      <c r="AB69" s="9">
        <f>C69-AA69</f>
        <v/>
      </c>
      <c r="AC69" s="4">
        <f>AB69^2</f>
        <v/>
      </c>
    </row>
    <row r="70">
      <c r="A70" t="inlineStr">
        <is>
          <t>BBG0026ZDHR0</t>
        </is>
      </c>
      <c r="B70" t="inlineStr">
        <is>
          <t>anab</t>
        </is>
      </c>
      <c r="C70" s="9" t="n">
        <v>-0.02323721549097268</v>
      </c>
      <c r="D70" s="3">
        <f>EXP(0.25*'3b-d Exposures'!G77)</f>
        <v/>
      </c>
      <c r="E70" s="3">
        <f>IF('3b-d Exposures'!C77="",0,'3b-d Exposures'!C77)</f>
        <v/>
      </c>
      <c r="F70" s="3">
        <f>IF('3b-d Exposures'!E77="",0,'3b-d Exposures'!E77)</f>
        <v/>
      </c>
      <c r="G70" s="3">
        <f>IF('3b-d Exposures'!G77="",0,'3b-d Exposures'!G77)</f>
        <v/>
      </c>
      <c r="H70" s="3">
        <f>IF('3b-d Exposures'!I77="",0,'3b-d Exposures'!I77)</f>
        <v/>
      </c>
      <c r="I70" s="3">
        <f>IF('3b-d Exposures'!K77="",0,'3b-d Exposures'!K77)</f>
        <v/>
      </c>
      <c r="J70" s="3">
        <f>IF('3b-d Exposures'!M77="",0,'3b-d Exposures'!M77)</f>
        <v/>
      </c>
      <c r="K70" s="3">
        <f>IF('3b-d Exposures'!O77="",0,'3b-d Exposures'!O77)</f>
        <v/>
      </c>
      <c r="L70" s="3">
        <f>IF('3b-d Exposures'!Q77="",0,'3b-d Exposures'!Q77)</f>
        <v/>
      </c>
      <c r="M70" s="3">
        <f>IF('3b-d Exposures'!S77="",0,'3b-d Exposures'!S77)</f>
        <v/>
      </c>
      <c r="N70" s="3">
        <f>IF('3b-d Exposures'!Z77="",0,'3b-d Exposures'!Z77)</f>
        <v/>
      </c>
      <c r="O70" s="3">
        <f>$D70</f>
        <v/>
      </c>
      <c r="P70" s="3">
        <f>E70*$D70</f>
        <v/>
      </c>
      <c r="Q70" s="3">
        <f>F70*$D70</f>
        <v/>
      </c>
      <c r="R70" s="3">
        <f>G70*$D70</f>
        <v/>
      </c>
      <c r="S70" s="3">
        <f>H70*$D70</f>
        <v/>
      </c>
      <c r="T70" s="3">
        <f>I70*$D70</f>
        <v/>
      </c>
      <c r="U70" s="3">
        <f>J70*$D70</f>
        <v/>
      </c>
      <c r="V70" s="3">
        <f>K70*$D70</f>
        <v/>
      </c>
      <c r="W70" s="3">
        <f>L70*$D70</f>
        <v/>
      </c>
      <c r="X70" s="3">
        <f>M70*$D70</f>
        <v/>
      </c>
      <c r="Y70" s="3">
        <f>N70*$D70</f>
        <v/>
      </c>
      <c r="Z70" s="3">
        <f>C70*$D70</f>
        <v/>
      </c>
      <c r="AA70" s="9">
        <f>$L978+$K978*E70+$J978*F70+$I978*G70+$H978*H70+$G978*I70+$F978*J70+$E978*K70+$D978*L70+$C978*M70+$B978*N70</f>
        <v/>
      </c>
      <c r="AB70" s="9">
        <f>C70-AA70</f>
        <v/>
      </c>
      <c r="AC70" s="4">
        <f>AB70^2</f>
        <v/>
      </c>
    </row>
    <row r="71">
      <c r="A71" t="inlineStr">
        <is>
          <t>anet</t>
        </is>
      </c>
      <c r="B71" t="inlineStr">
        <is>
          <t>anet</t>
        </is>
      </c>
      <c r="C71" s="9" t="n">
        <v>0.01054654453218595</v>
      </c>
      <c r="D71" s="3">
        <f>EXP(0.25*'3b-d Exposures'!G79)</f>
        <v/>
      </c>
      <c r="E71" s="3">
        <f>IF('3b-d Exposures'!C79="",0,'3b-d Exposures'!C79)</f>
        <v/>
      </c>
      <c r="F71" s="3">
        <f>IF('3b-d Exposures'!E79="",0,'3b-d Exposures'!E79)</f>
        <v/>
      </c>
      <c r="G71" s="3">
        <f>IF('3b-d Exposures'!G79="",0,'3b-d Exposures'!G79)</f>
        <v/>
      </c>
      <c r="H71" s="3">
        <f>IF('3b-d Exposures'!I79="",0,'3b-d Exposures'!I79)</f>
        <v/>
      </c>
      <c r="I71" s="3">
        <f>IF('3b-d Exposures'!K79="",0,'3b-d Exposures'!K79)</f>
        <v/>
      </c>
      <c r="J71" s="3">
        <f>IF('3b-d Exposures'!M79="",0,'3b-d Exposures'!M79)</f>
        <v/>
      </c>
      <c r="K71" s="3">
        <f>IF('3b-d Exposures'!O79="",0,'3b-d Exposures'!O79)</f>
        <v/>
      </c>
      <c r="L71" s="3">
        <f>IF('3b-d Exposures'!Q79="",0,'3b-d Exposures'!Q79)</f>
        <v/>
      </c>
      <c r="M71" s="3">
        <f>IF('3b-d Exposures'!S79="",0,'3b-d Exposures'!S79)</f>
        <v/>
      </c>
      <c r="N71" s="3">
        <f>IF('3b-d Exposures'!Z79="",0,'3b-d Exposures'!Z79)</f>
        <v/>
      </c>
      <c r="O71" s="3">
        <f>$D71</f>
        <v/>
      </c>
      <c r="P71" s="3">
        <f>E71*$D71</f>
        <v/>
      </c>
      <c r="Q71" s="3">
        <f>F71*$D71</f>
        <v/>
      </c>
      <c r="R71" s="3">
        <f>G71*$D71</f>
        <v/>
      </c>
      <c r="S71" s="3">
        <f>H71*$D71</f>
        <v/>
      </c>
      <c r="T71" s="3">
        <f>I71*$D71</f>
        <v/>
      </c>
      <c r="U71" s="3">
        <f>J71*$D71</f>
        <v/>
      </c>
      <c r="V71" s="3">
        <f>K71*$D71</f>
        <v/>
      </c>
      <c r="W71" s="3">
        <f>L71*$D71</f>
        <v/>
      </c>
      <c r="X71" s="3">
        <f>M71*$D71</f>
        <v/>
      </c>
      <c r="Y71" s="3">
        <f>N71*$D71</f>
        <v/>
      </c>
      <c r="Z71" s="3">
        <f>C71*$D71</f>
        <v/>
      </c>
      <c r="AA71" s="9">
        <f>$L978+$K978*E71+$J978*F71+$I978*G71+$H978*H71+$G978*I71+$F978*J71+$E978*K71+$D978*L71+$C978*M71+$B978*N71</f>
        <v/>
      </c>
      <c r="AB71" s="9">
        <f>C71-AA71</f>
        <v/>
      </c>
      <c r="AC71" s="4">
        <f>AB71^2</f>
        <v/>
      </c>
    </row>
    <row r="72">
      <c r="A72" t="inlineStr">
        <is>
          <t>BBG000H9G7X2</t>
        </is>
      </c>
      <c r="B72" t="inlineStr">
        <is>
          <t>anf</t>
        </is>
      </c>
      <c r="C72" s="9" t="n">
        <v>0.05090517063870204</v>
      </c>
      <c r="D72" s="3">
        <f>EXP(0.25*'3b-d Exposures'!G80)</f>
        <v/>
      </c>
      <c r="E72" s="3">
        <f>IF('3b-d Exposures'!C80="",0,'3b-d Exposures'!C80)</f>
        <v/>
      </c>
      <c r="F72" s="3">
        <f>IF('3b-d Exposures'!E80="",0,'3b-d Exposures'!E80)</f>
        <v/>
      </c>
      <c r="G72" s="3">
        <f>IF('3b-d Exposures'!G80="",0,'3b-d Exposures'!G80)</f>
        <v/>
      </c>
      <c r="H72" s="3">
        <f>IF('3b-d Exposures'!I80="",0,'3b-d Exposures'!I80)</f>
        <v/>
      </c>
      <c r="I72" s="3">
        <f>IF('3b-d Exposures'!K80="",0,'3b-d Exposures'!K80)</f>
        <v/>
      </c>
      <c r="J72" s="3">
        <f>IF('3b-d Exposures'!M80="",0,'3b-d Exposures'!M80)</f>
        <v/>
      </c>
      <c r="K72" s="3">
        <f>IF('3b-d Exposures'!O80="",0,'3b-d Exposures'!O80)</f>
        <v/>
      </c>
      <c r="L72" s="3">
        <f>IF('3b-d Exposures'!Q80="",0,'3b-d Exposures'!Q80)</f>
        <v/>
      </c>
      <c r="M72" s="3">
        <f>IF('3b-d Exposures'!S80="",0,'3b-d Exposures'!S80)</f>
        <v/>
      </c>
      <c r="N72" s="3">
        <f>IF('3b-d Exposures'!Z80="",0,'3b-d Exposures'!Z80)</f>
        <v/>
      </c>
      <c r="O72" s="3">
        <f>$D72</f>
        <v/>
      </c>
      <c r="P72" s="3">
        <f>E72*$D72</f>
        <v/>
      </c>
      <c r="Q72" s="3">
        <f>F72*$D72</f>
        <v/>
      </c>
      <c r="R72" s="3">
        <f>G72*$D72</f>
        <v/>
      </c>
      <c r="S72" s="3">
        <f>H72*$D72</f>
        <v/>
      </c>
      <c r="T72" s="3">
        <f>I72*$D72</f>
        <v/>
      </c>
      <c r="U72" s="3">
        <f>J72*$D72</f>
        <v/>
      </c>
      <c r="V72" s="3">
        <f>K72*$D72</f>
        <v/>
      </c>
      <c r="W72" s="3">
        <f>L72*$D72</f>
        <v/>
      </c>
      <c r="X72" s="3">
        <f>M72*$D72</f>
        <v/>
      </c>
      <c r="Y72" s="3">
        <f>N72*$D72</f>
        <v/>
      </c>
      <c r="Z72" s="3">
        <f>C72*$D72</f>
        <v/>
      </c>
      <c r="AA72" s="9">
        <f>$L978+$K978*E72+$J978*F72+$I978*G72+$H978*H72+$G978*I72+$F978*J72+$E978*K72+$D978*L72+$C978*M72+$B978*N72</f>
        <v/>
      </c>
      <c r="AB72" s="9">
        <f>C72-AA72</f>
        <v/>
      </c>
      <c r="AC72" s="4">
        <f>AB72^2</f>
        <v/>
      </c>
    </row>
    <row r="73">
      <c r="A73" t="inlineStr">
        <is>
          <t>aon</t>
        </is>
      </c>
      <c r="B73" t="inlineStr">
        <is>
          <t>aon</t>
        </is>
      </c>
      <c r="C73" s="9" t="n">
        <v>-0.009781817026819462</v>
      </c>
      <c r="D73" s="3">
        <f>EXP(0.25*'3b-d Exposures'!G81)</f>
        <v/>
      </c>
      <c r="E73" s="3">
        <f>IF('3b-d Exposures'!C81="",0,'3b-d Exposures'!C81)</f>
        <v/>
      </c>
      <c r="F73" s="3">
        <f>IF('3b-d Exposures'!E81="",0,'3b-d Exposures'!E81)</f>
        <v/>
      </c>
      <c r="G73" s="3">
        <f>IF('3b-d Exposures'!G81="",0,'3b-d Exposures'!G81)</f>
        <v/>
      </c>
      <c r="H73" s="3">
        <f>IF('3b-d Exposures'!I81="",0,'3b-d Exposures'!I81)</f>
        <v/>
      </c>
      <c r="I73" s="3">
        <f>IF('3b-d Exposures'!K81="",0,'3b-d Exposures'!K81)</f>
        <v/>
      </c>
      <c r="J73" s="3">
        <f>IF('3b-d Exposures'!M81="",0,'3b-d Exposures'!M81)</f>
        <v/>
      </c>
      <c r="K73" s="3">
        <f>IF('3b-d Exposures'!O81="",0,'3b-d Exposures'!O81)</f>
        <v/>
      </c>
      <c r="L73" s="3">
        <f>IF('3b-d Exposures'!Q81="",0,'3b-d Exposures'!Q81)</f>
        <v/>
      </c>
      <c r="M73" s="3">
        <f>IF('3b-d Exposures'!S81="",0,'3b-d Exposures'!S81)</f>
        <v/>
      </c>
      <c r="N73" s="3">
        <f>IF('3b-d Exposures'!Z81="",0,'3b-d Exposures'!Z81)</f>
        <v/>
      </c>
      <c r="O73" s="3">
        <f>$D73</f>
        <v/>
      </c>
      <c r="P73" s="3">
        <f>E73*$D73</f>
        <v/>
      </c>
      <c r="Q73" s="3">
        <f>F73*$D73</f>
        <v/>
      </c>
      <c r="R73" s="3">
        <f>G73*$D73</f>
        <v/>
      </c>
      <c r="S73" s="3">
        <f>H73*$D73</f>
        <v/>
      </c>
      <c r="T73" s="3">
        <f>I73*$D73</f>
        <v/>
      </c>
      <c r="U73" s="3">
        <f>J73*$D73</f>
        <v/>
      </c>
      <c r="V73" s="3">
        <f>K73*$D73</f>
        <v/>
      </c>
      <c r="W73" s="3">
        <f>L73*$D73</f>
        <v/>
      </c>
      <c r="X73" s="3">
        <f>M73*$D73</f>
        <v/>
      </c>
      <c r="Y73" s="3">
        <f>N73*$D73</f>
        <v/>
      </c>
      <c r="Z73" s="3">
        <f>C73*$D73</f>
        <v/>
      </c>
      <c r="AA73" s="9">
        <f>$L978+$K978*E73+$J978*F73+$I978*G73+$H978*H73+$G978*I73+$F978*J73+$E978*K73+$D978*L73+$C978*M73+$B978*N73</f>
        <v/>
      </c>
      <c r="AB73" s="9">
        <f>C73-AA73</f>
        <v/>
      </c>
      <c r="AC73" s="4">
        <f>AB73^2</f>
        <v/>
      </c>
    </row>
    <row r="74">
      <c r="A74" t="inlineStr">
        <is>
          <t>aos</t>
        </is>
      </c>
      <c r="B74" t="inlineStr">
        <is>
          <t>aos</t>
        </is>
      </c>
      <c r="C74" s="9" t="n">
        <v>0.00214805806908891</v>
      </c>
      <c r="D74" s="3">
        <f>EXP(0.25*'3b-d Exposures'!G82)</f>
        <v/>
      </c>
      <c r="E74" s="3">
        <f>IF('3b-d Exposures'!C82="",0,'3b-d Exposures'!C82)</f>
        <v/>
      </c>
      <c r="F74" s="3">
        <f>IF('3b-d Exposures'!E82="",0,'3b-d Exposures'!E82)</f>
        <v/>
      </c>
      <c r="G74" s="3">
        <f>IF('3b-d Exposures'!G82="",0,'3b-d Exposures'!G82)</f>
        <v/>
      </c>
      <c r="H74" s="3">
        <f>IF('3b-d Exposures'!I82="",0,'3b-d Exposures'!I82)</f>
        <v/>
      </c>
      <c r="I74" s="3">
        <f>IF('3b-d Exposures'!K82="",0,'3b-d Exposures'!K82)</f>
        <v/>
      </c>
      <c r="J74" s="3">
        <f>IF('3b-d Exposures'!M82="",0,'3b-d Exposures'!M82)</f>
        <v/>
      </c>
      <c r="K74" s="3">
        <f>IF('3b-d Exposures'!O82="",0,'3b-d Exposures'!O82)</f>
        <v/>
      </c>
      <c r="L74" s="3">
        <f>IF('3b-d Exposures'!Q82="",0,'3b-d Exposures'!Q82)</f>
        <v/>
      </c>
      <c r="M74" s="3">
        <f>IF('3b-d Exposures'!S82="",0,'3b-d Exposures'!S82)</f>
        <v/>
      </c>
      <c r="N74" s="3">
        <f>IF('3b-d Exposures'!Z82="",0,'3b-d Exposures'!Z82)</f>
        <v/>
      </c>
      <c r="O74" s="3">
        <f>$D74</f>
        <v/>
      </c>
      <c r="P74" s="3">
        <f>E74*$D74</f>
        <v/>
      </c>
      <c r="Q74" s="3">
        <f>F74*$D74</f>
        <v/>
      </c>
      <c r="R74" s="3">
        <f>G74*$D74</f>
        <v/>
      </c>
      <c r="S74" s="3">
        <f>H74*$D74</f>
        <v/>
      </c>
      <c r="T74" s="3">
        <f>I74*$D74</f>
        <v/>
      </c>
      <c r="U74" s="3">
        <f>J74*$D74</f>
        <v/>
      </c>
      <c r="V74" s="3">
        <f>K74*$D74</f>
        <v/>
      </c>
      <c r="W74" s="3">
        <f>L74*$D74</f>
        <v/>
      </c>
      <c r="X74" s="3">
        <f>M74*$D74</f>
        <v/>
      </c>
      <c r="Y74" s="3">
        <f>N74*$D74</f>
        <v/>
      </c>
      <c r="Z74" s="3">
        <f>C74*$D74</f>
        <v/>
      </c>
      <c r="AA74" s="9">
        <f>$L978+$K978*E74+$J978*F74+$I978*G74+$H978*H74+$G978*I74+$F978*J74+$E978*K74+$D978*L74+$C978*M74+$B978*N74</f>
        <v/>
      </c>
      <c r="AB74" s="9">
        <f>C74-AA74</f>
        <v/>
      </c>
      <c r="AC74" s="4">
        <f>AB74^2</f>
        <v/>
      </c>
    </row>
    <row r="75">
      <c r="A75" t="inlineStr">
        <is>
          <t>apa</t>
        </is>
      </c>
      <c r="B75" t="inlineStr">
        <is>
          <t>apa</t>
        </is>
      </c>
      <c r="C75" s="9" t="n">
        <v>-0.01368649928821553</v>
      </c>
      <c r="D75" s="3">
        <f>EXP(0.25*'3b-d Exposures'!G83)</f>
        <v/>
      </c>
      <c r="E75" s="3">
        <f>IF('3b-d Exposures'!C83="",0,'3b-d Exposures'!C83)</f>
        <v/>
      </c>
      <c r="F75" s="3">
        <f>IF('3b-d Exposures'!E83="",0,'3b-d Exposures'!E83)</f>
        <v/>
      </c>
      <c r="G75" s="3">
        <f>IF('3b-d Exposures'!G83="",0,'3b-d Exposures'!G83)</f>
        <v/>
      </c>
      <c r="H75" s="3">
        <f>IF('3b-d Exposures'!I83="",0,'3b-d Exposures'!I83)</f>
        <v/>
      </c>
      <c r="I75" s="3">
        <f>IF('3b-d Exposures'!K83="",0,'3b-d Exposures'!K83)</f>
        <v/>
      </c>
      <c r="J75" s="3">
        <f>IF('3b-d Exposures'!M83="",0,'3b-d Exposures'!M83)</f>
        <v/>
      </c>
      <c r="K75" s="3">
        <f>IF('3b-d Exposures'!O83="",0,'3b-d Exposures'!O83)</f>
        <v/>
      </c>
      <c r="L75" s="3">
        <f>IF('3b-d Exposures'!Q83="",0,'3b-d Exposures'!Q83)</f>
        <v/>
      </c>
      <c r="M75" s="3">
        <f>IF('3b-d Exposures'!S83="",0,'3b-d Exposures'!S83)</f>
        <v/>
      </c>
      <c r="N75" s="3">
        <f>IF('3b-d Exposures'!Z83="",0,'3b-d Exposures'!Z83)</f>
        <v/>
      </c>
      <c r="O75" s="3">
        <f>$D75</f>
        <v/>
      </c>
      <c r="P75" s="3">
        <f>E75*$D75</f>
        <v/>
      </c>
      <c r="Q75" s="3">
        <f>F75*$D75</f>
        <v/>
      </c>
      <c r="R75" s="3">
        <f>G75*$D75</f>
        <v/>
      </c>
      <c r="S75" s="3">
        <f>H75*$D75</f>
        <v/>
      </c>
      <c r="T75" s="3">
        <f>I75*$D75</f>
        <v/>
      </c>
      <c r="U75" s="3">
        <f>J75*$D75</f>
        <v/>
      </c>
      <c r="V75" s="3">
        <f>K75*$D75</f>
        <v/>
      </c>
      <c r="W75" s="3">
        <f>L75*$D75</f>
        <v/>
      </c>
      <c r="X75" s="3">
        <f>M75*$D75</f>
        <v/>
      </c>
      <c r="Y75" s="3">
        <f>N75*$D75</f>
        <v/>
      </c>
      <c r="Z75" s="3">
        <f>C75*$D75</f>
        <v/>
      </c>
      <c r="AA75" s="9">
        <f>$L978+$K978*E75+$J978*F75+$I978*G75+$H978*H75+$G978*I75+$F978*J75+$E978*K75+$D978*L75+$C978*M75+$B978*N75</f>
        <v/>
      </c>
      <c r="AB75" s="9">
        <f>C75-AA75</f>
        <v/>
      </c>
      <c r="AC75" s="4">
        <f>AB75^2</f>
        <v/>
      </c>
    </row>
    <row r="76">
      <c r="A76" t="inlineStr">
        <is>
          <t>BBG000BC4JJ4</t>
        </is>
      </c>
      <c r="B76" t="inlineStr">
        <is>
          <t>apd</t>
        </is>
      </c>
      <c r="C76" s="9" t="n">
        <v>0.00385848679231815</v>
      </c>
      <c r="D76" s="3">
        <f>EXP(0.25*'3b-d Exposures'!G84)</f>
        <v/>
      </c>
      <c r="E76" s="3">
        <f>IF('3b-d Exposures'!C84="",0,'3b-d Exposures'!C84)</f>
        <v/>
      </c>
      <c r="F76" s="3">
        <f>IF('3b-d Exposures'!E84="",0,'3b-d Exposures'!E84)</f>
        <v/>
      </c>
      <c r="G76" s="3">
        <f>IF('3b-d Exposures'!G84="",0,'3b-d Exposures'!G84)</f>
        <v/>
      </c>
      <c r="H76" s="3">
        <f>IF('3b-d Exposures'!I84="",0,'3b-d Exposures'!I84)</f>
        <v/>
      </c>
      <c r="I76" s="3">
        <f>IF('3b-d Exposures'!K84="",0,'3b-d Exposures'!K84)</f>
        <v/>
      </c>
      <c r="J76" s="3">
        <f>IF('3b-d Exposures'!M84="",0,'3b-d Exposures'!M84)</f>
        <v/>
      </c>
      <c r="K76" s="3">
        <f>IF('3b-d Exposures'!O84="",0,'3b-d Exposures'!O84)</f>
        <v/>
      </c>
      <c r="L76" s="3">
        <f>IF('3b-d Exposures'!Q84="",0,'3b-d Exposures'!Q84)</f>
        <v/>
      </c>
      <c r="M76" s="3">
        <f>IF('3b-d Exposures'!S84="",0,'3b-d Exposures'!S84)</f>
        <v/>
      </c>
      <c r="N76" s="3">
        <f>IF('3b-d Exposures'!Z84="",0,'3b-d Exposures'!Z84)</f>
        <v/>
      </c>
      <c r="O76" s="3">
        <f>$D76</f>
        <v/>
      </c>
      <c r="P76" s="3">
        <f>E76*$D76</f>
        <v/>
      </c>
      <c r="Q76" s="3">
        <f>F76*$D76</f>
        <v/>
      </c>
      <c r="R76" s="3">
        <f>G76*$D76</f>
        <v/>
      </c>
      <c r="S76" s="3">
        <f>H76*$D76</f>
        <v/>
      </c>
      <c r="T76" s="3">
        <f>I76*$D76</f>
        <v/>
      </c>
      <c r="U76" s="3">
        <f>J76*$D76</f>
        <v/>
      </c>
      <c r="V76" s="3">
        <f>K76*$D76</f>
        <v/>
      </c>
      <c r="W76" s="3">
        <f>L76*$D76</f>
        <v/>
      </c>
      <c r="X76" s="3">
        <f>M76*$D76</f>
        <v/>
      </c>
      <c r="Y76" s="3">
        <f>N76*$D76</f>
        <v/>
      </c>
      <c r="Z76" s="3">
        <f>C76*$D76</f>
        <v/>
      </c>
      <c r="AA76" s="9">
        <f>$L978+$K978*E76+$J978*F76+$I978*G76+$H978*H76+$G978*I76+$F978*J76+$E978*K76+$D978*L76+$C978*M76+$B978*N76</f>
        <v/>
      </c>
      <c r="AB76" s="9">
        <f>C76-AA76</f>
        <v/>
      </c>
      <c r="AC76" s="4">
        <f>AB76^2</f>
        <v/>
      </c>
    </row>
    <row r="77">
      <c r="A77" t="inlineStr">
        <is>
          <t>BBG00HXKRGY9</t>
        </is>
      </c>
      <c r="B77" t="inlineStr">
        <is>
          <t>apg</t>
        </is>
      </c>
      <c r="C77" s="9" t="n">
        <v>-0.003440951870974929</v>
      </c>
      <c r="D77" s="3">
        <f>EXP(0.25*'3b-d Exposures'!G85)</f>
        <v/>
      </c>
      <c r="E77" s="3">
        <f>IF('3b-d Exposures'!C85="",0,'3b-d Exposures'!C85)</f>
        <v/>
      </c>
      <c r="F77" s="3">
        <f>IF('3b-d Exposures'!E85="",0,'3b-d Exposures'!E85)</f>
        <v/>
      </c>
      <c r="G77" s="3">
        <f>IF('3b-d Exposures'!G85="",0,'3b-d Exposures'!G85)</f>
        <v/>
      </c>
      <c r="H77" s="3">
        <f>IF('3b-d Exposures'!I85="",0,'3b-d Exposures'!I85)</f>
        <v/>
      </c>
      <c r="I77" s="3">
        <f>IF('3b-d Exposures'!K85="",0,'3b-d Exposures'!K85)</f>
        <v/>
      </c>
      <c r="J77" s="3">
        <f>IF('3b-d Exposures'!M85="",0,'3b-d Exposures'!M85)</f>
        <v/>
      </c>
      <c r="K77" s="3">
        <f>IF('3b-d Exposures'!O85="",0,'3b-d Exposures'!O85)</f>
        <v/>
      </c>
      <c r="L77" s="3">
        <f>IF('3b-d Exposures'!Q85="",0,'3b-d Exposures'!Q85)</f>
        <v/>
      </c>
      <c r="M77" s="3">
        <f>IF('3b-d Exposures'!S85="",0,'3b-d Exposures'!S85)</f>
        <v/>
      </c>
      <c r="N77" s="3">
        <f>IF('3b-d Exposures'!Z85="",0,'3b-d Exposures'!Z85)</f>
        <v/>
      </c>
      <c r="O77" s="3">
        <f>$D77</f>
        <v/>
      </c>
      <c r="P77" s="3">
        <f>E77*$D77</f>
        <v/>
      </c>
      <c r="Q77" s="3">
        <f>F77*$D77</f>
        <v/>
      </c>
      <c r="R77" s="3">
        <f>G77*$D77</f>
        <v/>
      </c>
      <c r="S77" s="3">
        <f>H77*$D77</f>
        <v/>
      </c>
      <c r="T77" s="3">
        <f>I77*$D77</f>
        <v/>
      </c>
      <c r="U77" s="3">
        <f>J77*$D77</f>
        <v/>
      </c>
      <c r="V77" s="3">
        <f>K77*$D77</f>
        <v/>
      </c>
      <c r="W77" s="3">
        <f>L77*$D77</f>
        <v/>
      </c>
      <c r="X77" s="3">
        <f>M77*$D77</f>
        <v/>
      </c>
      <c r="Y77" s="3">
        <f>N77*$D77</f>
        <v/>
      </c>
      <c r="Z77" s="3">
        <f>C77*$D77</f>
        <v/>
      </c>
      <c r="AA77" s="9">
        <f>$L978+$K978*E77+$J978*F77+$I978*G77+$H978*H77+$G978*I77+$F978*J77+$E978*K77+$D978*L77+$C978*M77+$B978*N77</f>
        <v/>
      </c>
      <c r="AB77" s="9">
        <f>C77-AA77</f>
        <v/>
      </c>
      <c r="AC77" s="4">
        <f>AB77^2</f>
        <v/>
      </c>
    </row>
    <row r="78">
      <c r="A78" t="inlineStr">
        <is>
          <t>aph</t>
        </is>
      </c>
      <c r="B78" t="inlineStr">
        <is>
          <t>aph</t>
        </is>
      </c>
      <c r="C78" s="9" t="n">
        <v>0.005918901517168118</v>
      </c>
      <c r="D78" s="3">
        <f>EXP(0.25*'3b-d Exposures'!G86)</f>
        <v/>
      </c>
      <c r="E78" s="3">
        <f>IF('3b-d Exposures'!C86="",0,'3b-d Exposures'!C86)</f>
        <v/>
      </c>
      <c r="F78" s="3">
        <f>IF('3b-d Exposures'!E86="",0,'3b-d Exposures'!E86)</f>
        <v/>
      </c>
      <c r="G78" s="3">
        <f>IF('3b-d Exposures'!G86="",0,'3b-d Exposures'!G86)</f>
        <v/>
      </c>
      <c r="H78" s="3">
        <f>IF('3b-d Exposures'!I86="",0,'3b-d Exposures'!I86)</f>
        <v/>
      </c>
      <c r="I78" s="3">
        <f>IF('3b-d Exposures'!K86="",0,'3b-d Exposures'!K86)</f>
        <v/>
      </c>
      <c r="J78" s="3">
        <f>IF('3b-d Exposures'!M86="",0,'3b-d Exposures'!M86)</f>
        <v/>
      </c>
      <c r="K78" s="3">
        <f>IF('3b-d Exposures'!O86="",0,'3b-d Exposures'!O86)</f>
        <v/>
      </c>
      <c r="L78" s="3">
        <f>IF('3b-d Exposures'!Q86="",0,'3b-d Exposures'!Q86)</f>
        <v/>
      </c>
      <c r="M78" s="3">
        <f>IF('3b-d Exposures'!S86="",0,'3b-d Exposures'!S86)</f>
        <v/>
      </c>
      <c r="N78" s="3">
        <f>IF('3b-d Exposures'!Z86="",0,'3b-d Exposures'!Z86)</f>
        <v/>
      </c>
      <c r="O78" s="3">
        <f>$D78</f>
        <v/>
      </c>
      <c r="P78" s="3">
        <f>E78*$D78</f>
        <v/>
      </c>
      <c r="Q78" s="3">
        <f>F78*$D78</f>
        <v/>
      </c>
      <c r="R78" s="3">
        <f>G78*$D78</f>
        <v/>
      </c>
      <c r="S78" s="3">
        <f>H78*$D78</f>
        <v/>
      </c>
      <c r="T78" s="3">
        <f>I78*$D78</f>
        <v/>
      </c>
      <c r="U78" s="3">
        <f>J78*$D78</f>
        <v/>
      </c>
      <c r="V78" s="3">
        <f>K78*$D78</f>
        <v/>
      </c>
      <c r="W78" s="3">
        <f>L78*$D78</f>
        <v/>
      </c>
      <c r="X78" s="3">
        <f>M78*$D78</f>
        <v/>
      </c>
      <c r="Y78" s="3">
        <f>N78*$D78</f>
        <v/>
      </c>
      <c r="Z78" s="3">
        <f>C78*$D78</f>
        <v/>
      </c>
      <c r="AA78" s="9">
        <f>$L978+$K978*E78+$J978*F78+$I978*G78+$H978*H78+$G978*I78+$F978*J78+$E978*K78+$D978*L78+$C978*M78+$B978*N78</f>
        <v/>
      </c>
      <c r="AB78" s="9">
        <f>C78-AA78</f>
        <v/>
      </c>
      <c r="AC78" s="4">
        <f>AB78^2</f>
        <v/>
      </c>
    </row>
    <row r="79">
      <c r="A79" t="inlineStr">
        <is>
          <t>BBG000DSJYS8</t>
        </is>
      </c>
      <c r="B79" t="inlineStr">
        <is>
          <t>apld</t>
        </is>
      </c>
      <c r="C79" s="9" t="n">
        <v>-0.04752479978033386</v>
      </c>
      <c r="D79" s="3">
        <f>EXP(0.25*'3b-d Exposures'!G87)</f>
        <v/>
      </c>
      <c r="E79" s="3">
        <f>IF('3b-d Exposures'!C87="",0,'3b-d Exposures'!C87)</f>
        <v/>
      </c>
      <c r="F79" s="3">
        <f>IF('3b-d Exposures'!E87="",0,'3b-d Exposures'!E87)</f>
        <v/>
      </c>
      <c r="G79" s="3">
        <f>IF('3b-d Exposures'!G87="",0,'3b-d Exposures'!G87)</f>
        <v/>
      </c>
      <c r="H79" s="3">
        <f>IF('3b-d Exposures'!I87="",0,'3b-d Exposures'!I87)</f>
        <v/>
      </c>
      <c r="I79" s="3">
        <f>IF('3b-d Exposures'!K87="",0,'3b-d Exposures'!K87)</f>
        <v/>
      </c>
      <c r="J79" s="3">
        <f>IF('3b-d Exposures'!M87="",0,'3b-d Exposures'!M87)</f>
        <v/>
      </c>
      <c r="K79" s="3">
        <f>IF('3b-d Exposures'!O87="",0,'3b-d Exposures'!O87)</f>
        <v/>
      </c>
      <c r="L79" s="3">
        <f>IF('3b-d Exposures'!Q87="",0,'3b-d Exposures'!Q87)</f>
        <v/>
      </c>
      <c r="M79" s="3">
        <f>IF('3b-d Exposures'!S87="",0,'3b-d Exposures'!S87)</f>
        <v/>
      </c>
      <c r="N79" s="3">
        <f>IF('3b-d Exposures'!Z87="",0,'3b-d Exposures'!Z87)</f>
        <v/>
      </c>
      <c r="O79" s="3">
        <f>$D79</f>
        <v/>
      </c>
      <c r="P79" s="3">
        <f>E79*$D79</f>
        <v/>
      </c>
      <c r="Q79" s="3">
        <f>F79*$D79</f>
        <v/>
      </c>
      <c r="R79" s="3">
        <f>G79*$D79</f>
        <v/>
      </c>
      <c r="S79" s="3">
        <f>H79*$D79</f>
        <v/>
      </c>
      <c r="T79" s="3">
        <f>I79*$D79</f>
        <v/>
      </c>
      <c r="U79" s="3">
        <f>J79*$D79</f>
        <v/>
      </c>
      <c r="V79" s="3">
        <f>K79*$D79</f>
        <v/>
      </c>
      <c r="W79" s="3">
        <f>L79*$D79</f>
        <v/>
      </c>
      <c r="X79" s="3">
        <f>M79*$D79</f>
        <v/>
      </c>
      <c r="Y79" s="3">
        <f>N79*$D79</f>
        <v/>
      </c>
      <c r="Z79" s="3">
        <f>C79*$D79</f>
        <v/>
      </c>
      <c r="AA79" s="9">
        <f>$L978+$K978*E79+$J978*F79+$I978*G79+$H978*H79+$G978*I79+$F978*J79+$E978*K79+$D978*L79+$C978*M79+$B978*N79</f>
        <v/>
      </c>
      <c r="AB79" s="9">
        <f>C79-AA79</f>
        <v/>
      </c>
      <c r="AC79" s="4">
        <f>AB79^2</f>
        <v/>
      </c>
    </row>
    <row r="80">
      <c r="A80" t="inlineStr">
        <is>
          <t>BBG00ZNLTFK3</t>
        </is>
      </c>
      <c r="B80" t="inlineStr">
        <is>
          <t>apo</t>
        </is>
      </c>
      <c r="C80" s="9" t="n">
        <v>-0.01536887182147673</v>
      </c>
      <c r="D80" s="3">
        <f>EXP(0.25*'3b-d Exposures'!G88)</f>
        <v/>
      </c>
      <c r="E80" s="3">
        <f>IF('3b-d Exposures'!C88="",0,'3b-d Exposures'!C88)</f>
        <v/>
      </c>
      <c r="F80" s="3">
        <f>IF('3b-d Exposures'!E88="",0,'3b-d Exposures'!E88)</f>
        <v/>
      </c>
      <c r="G80" s="3">
        <f>IF('3b-d Exposures'!G88="",0,'3b-d Exposures'!G88)</f>
        <v/>
      </c>
      <c r="H80" s="3">
        <f>IF('3b-d Exposures'!I88="",0,'3b-d Exposures'!I88)</f>
        <v/>
      </c>
      <c r="I80" s="3">
        <f>IF('3b-d Exposures'!K88="",0,'3b-d Exposures'!K88)</f>
        <v/>
      </c>
      <c r="J80" s="3">
        <f>IF('3b-d Exposures'!M88="",0,'3b-d Exposures'!M88)</f>
        <v/>
      </c>
      <c r="K80" s="3">
        <f>IF('3b-d Exposures'!O88="",0,'3b-d Exposures'!O88)</f>
        <v/>
      </c>
      <c r="L80" s="3">
        <f>IF('3b-d Exposures'!Q88="",0,'3b-d Exposures'!Q88)</f>
        <v/>
      </c>
      <c r="M80" s="3">
        <f>IF('3b-d Exposures'!S88="",0,'3b-d Exposures'!S88)</f>
        <v/>
      </c>
      <c r="N80" s="3">
        <f>IF('3b-d Exposures'!Z88="",0,'3b-d Exposures'!Z88)</f>
        <v/>
      </c>
      <c r="O80" s="3">
        <f>$D80</f>
        <v/>
      </c>
      <c r="P80" s="3">
        <f>E80*$D80</f>
        <v/>
      </c>
      <c r="Q80" s="3">
        <f>F80*$D80</f>
        <v/>
      </c>
      <c r="R80" s="3">
        <f>G80*$D80</f>
        <v/>
      </c>
      <c r="S80" s="3">
        <f>H80*$D80</f>
        <v/>
      </c>
      <c r="T80" s="3">
        <f>I80*$D80</f>
        <v/>
      </c>
      <c r="U80" s="3">
        <f>J80*$D80</f>
        <v/>
      </c>
      <c r="V80" s="3">
        <f>K80*$D80</f>
        <v/>
      </c>
      <c r="W80" s="3">
        <f>L80*$D80</f>
        <v/>
      </c>
      <c r="X80" s="3">
        <f>M80*$D80</f>
        <v/>
      </c>
      <c r="Y80" s="3">
        <f>N80*$D80</f>
        <v/>
      </c>
      <c r="Z80" s="3">
        <f>C80*$D80</f>
        <v/>
      </c>
      <c r="AA80" s="9">
        <f>$L978+$K978*E80+$J978*F80+$I978*G80+$H978*H80+$G978*I80+$F978*J80+$E978*K80+$D978*L80+$C978*M80+$B978*N80</f>
        <v/>
      </c>
      <c r="AB80" s="9">
        <f>C80-AA80</f>
        <v/>
      </c>
      <c r="AC80" s="4">
        <f>AB80^2</f>
        <v/>
      </c>
    </row>
    <row r="81">
      <c r="A81" t="inlineStr">
        <is>
          <t>app</t>
        </is>
      </c>
      <c r="B81" t="inlineStr">
        <is>
          <t>app</t>
        </is>
      </c>
      <c r="C81" s="9" t="n">
        <v>0.0114031071652283</v>
      </c>
      <c r="D81" s="3">
        <f>EXP(0.25*'3b-d Exposures'!G89)</f>
        <v/>
      </c>
      <c r="E81" s="3">
        <f>IF('3b-d Exposures'!C89="",0,'3b-d Exposures'!C89)</f>
        <v/>
      </c>
      <c r="F81" s="3">
        <f>IF('3b-d Exposures'!E89="",0,'3b-d Exposures'!E89)</f>
        <v/>
      </c>
      <c r="G81" s="3">
        <f>IF('3b-d Exposures'!G89="",0,'3b-d Exposures'!G89)</f>
        <v/>
      </c>
      <c r="H81" s="3">
        <f>IF('3b-d Exposures'!I89="",0,'3b-d Exposures'!I89)</f>
        <v/>
      </c>
      <c r="I81" s="3">
        <f>IF('3b-d Exposures'!K89="",0,'3b-d Exposures'!K89)</f>
        <v/>
      </c>
      <c r="J81" s="3">
        <f>IF('3b-d Exposures'!M89="",0,'3b-d Exposures'!M89)</f>
        <v/>
      </c>
      <c r="K81" s="3">
        <f>IF('3b-d Exposures'!O89="",0,'3b-d Exposures'!O89)</f>
        <v/>
      </c>
      <c r="L81" s="3">
        <f>IF('3b-d Exposures'!Q89="",0,'3b-d Exposures'!Q89)</f>
        <v/>
      </c>
      <c r="M81" s="3">
        <f>IF('3b-d Exposures'!S89="",0,'3b-d Exposures'!S89)</f>
        <v/>
      </c>
      <c r="N81" s="3">
        <f>IF('3b-d Exposures'!Z89="",0,'3b-d Exposures'!Z89)</f>
        <v/>
      </c>
      <c r="O81" s="3">
        <f>$D81</f>
        <v/>
      </c>
      <c r="P81" s="3">
        <f>E81*$D81</f>
        <v/>
      </c>
      <c r="Q81" s="3">
        <f>F81*$D81</f>
        <v/>
      </c>
      <c r="R81" s="3">
        <f>G81*$D81</f>
        <v/>
      </c>
      <c r="S81" s="3">
        <f>H81*$D81</f>
        <v/>
      </c>
      <c r="T81" s="3">
        <f>I81*$D81</f>
        <v/>
      </c>
      <c r="U81" s="3">
        <f>J81*$D81</f>
        <v/>
      </c>
      <c r="V81" s="3">
        <f>K81*$D81</f>
        <v/>
      </c>
      <c r="W81" s="3">
        <f>L81*$D81</f>
        <v/>
      </c>
      <c r="X81" s="3">
        <f>M81*$D81</f>
        <v/>
      </c>
      <c r="Y81" s="3">
        <f>N81*$D81</f>
        <v/>
      </c>
      <c r="Z81" s="3">
        <f>C81*$D81</f>
        <v/>
      </c>
      <c r="AA81" s="9">
        <f>$L978+$K978*E81+$J978*F81+$I978*G81+$H978*H81+$G978*I81+$F978*J81+$E978*K81+$D978*L81+$C978*M81+$B978*N81</f>
        <v/>
      </c>
      <c r="AB81" s="9">
        <f>C81-AA81</f>
        <v/>
      </c>
      <c r="AC81" s="4">
        <f>AB81^2</f>
        <v/>
      </c>
    </row>
    <row r="82">
      <c r="A82" t="inlineStr">
        <is>
          <t>aptv</t>
        </is>
      </c>
      <c r="B82" t="inlineStr">
        <is>
          <t>aptv</t>
        </is>
      </c>
      <c r="C82" s="9" t="n">
        <v>0.009724489958546023</v>
      </c>
      <c r="D82" s="3">
        <f>EXP(0.25*'3b-d Exposures'!G90)</f>
        <v/>
      </c>
      <c r="E82" s="3">
        <f>IF('3b-d Exposures'!C90="",0,'3b-d Exposures'!C90)</f>
        <v/>
      </c>
      <c r="F82" s="3">
        <f>IF('3b-d Exposures'!E90="",0,'3b-d Exposures'!E90)</f>
        <v/>
      </c>
      <c r="G82" s="3">
        <f>IF('3b-d Exposures'!G90="",0,'3b-d Exposures'!G90)</f>
        <v/>
      </c>
      <c r="H82" s="3">
        <f>IF('3b-d Exposures'!I90="",0,'3b-d Exposures'!I90)</f>
        <v/>
      </c>
      <c r="I82" s="3">
        <f>IF('3b-d Exposures'!K90="",0,'3b-d Exposures'!K90)</f>
        <v/>
      </c>
      <c r="J82" s="3">
        <f>IF('3b-d Exposures'!M90="",0,'3b-d Exposures'!M90)</f>
        <v/>
      </c>
      <c r="K82" s="3">
        <f>IF('3b-d Exposures'!O90="",0,'3b-d Exposures'!O90)</f>
        <v/>
      </c>
      <c r="L82" s="3">
        <f>IF('3b-d Exposures'!Q90="",0,'3b-d Exposures'!Q90)</f>
        <v/>
      </c>
      <c r="M82" s="3">
        <f>IF('3b-d Exposures'!S90="",0,'3b-d Exposures'!S90)</f>
        <v/>
      </c>
      <c r="N82" s="3">
        <f>IF('3b-d Exposures'!Z90="",0,'3b-d Exposures'!Z90)</f>
        <v/>
      </c>
      <c r="O82" s="3">
        <f>$D82</f>
        <v/>
      </c>
      <c r="P82" s="3">
        <f>E82*$D82</f>
        <v/>
      </c>
      <c r="Q82" s="3">
        <f>F82*$D82</f>
        <v/>
      </c>
      <c r="R82" s="3">
        <f>G82*$D82</f>
        <v/>
      </c>
      <c r="S82" s="3">
        <f>H82*$D82</f>
        <v/>
      </c>
      <c r="T82" s="3">
        <f>I82*$D82</f>
        <v/>
      </c>
      <c r="U82" s="3">
        <f>J82*$D82</f>
        <v/>
      </c>
      <c r="V82" s="3">
        <f>K82*$D82</f>
        <v/>
      </c>
      <c r="W82" s="3">
        <f>L82*$D82</f>
        <v/>
      </c>
      <c r="X82" s="3">
        <f>M82*$D82</f>
        <v/>
      </c>
      <c r="Y82" s="3">
        <f>N82*$D82</f>
        <v/>
      </c>
      <c r="Z82" s="3">
        <f>C82*$D82</f>
        <v/>
      </c>
      <c r="AA82" s="9">
        <f>$L978+$K978*E82+$J978*F82+$I978*G82+$H978*H82+$G978*I82+$F978*J82+$E978*K82+$D978*L82+$C978*M82+$B978*N82</f>
        <v/>
      </c>
      <c r="AB82" s="9">
        <f>C82-AA82</f>
        <v/>
      </c>
      <c r="AC82" s="4">
        <f>AB82^2</f>
        <v/>
      </c>
    </row>
    <row r="83">
      <c r="A83" t="inlineStr">
        <is>
          <t>BBG000PD6X77</t>
        </is>
      </c>
      <c r="B83" t="inlineStr">
        <is>
          <t>arcc</t>
        </is>
      </c>
      <c r="C83" s="9" t="n">
        <v>-0.00225735643358449</v>
      </c>
      <c r="D83" s="3">
        <f>EXP(0.25*'3b-d Exposures'!G91)</f>
        <v/>
      </c>
      <c r="E83" s="3">
        <f>IF('3b-d Exposures'!C91="",0,'3b-d Exposures'!C91)</f>
        <v/>
      </c>
      <c r="F83" s="3">
        <f>IF('3b-d Exposures'!E91="",0,'3b-d Exposures'!E91)</f>
        <v/>
      </c>
      <c r="G83" s="3">
        <f>IF('3b-d Exposures'!G91="",0,'3b-d Exposures'!G91)</f>
        <v/>
      </c>
      <c r="H83" s="3">
        <f>IF('3b-d Exposures'!I91="",0,'3b-d Exposures'!I91)</f>
        <v/>
      </c>
      <c r="I83" s="3">
        <f>IF('3b-d Exposures'!K91="",0,'3b-d Exposures'!K91)</f>
        <v/>
      </c>
      <c r="J83" s="3">
        <f>IF('3b-d Exposures'!M91="",0,'3b-d Exposures'!M91)</f>
        <v/>
      </c>
      <c r="K83" s="3">
        <f>IF('3b-d Exposures'!O91="",0,'3b-d Exposures'!O91)</f>
        <v/>
      </c>
      <c r="L83" s="3">
        <f>IF('3b-d Exposures'!Q91="",0,'3b-d Exposures'!Q91)</f>
        <v/>
      </c>
      <c r="M83" s="3">
        <f>IF('3b-d Exposures'!S91="",0,'3b-d Exposures'!S91)</f>
        <v/>
      </c>
      <c r="N83" s="3">
        <f>IF('3b-d Exposures'!Z91="",0,'3b-d Exposures'!Z91)</f>
        <v/>
      </c>
      <c r="O83" s="3">
        <f>$D83</f>
        <v/>
      </c>
      <c r="P83" s="3">
        <f>E83*$D83</f>
        <v/>
      </c>
      <c r="Q83" s="3">
        <f>F83*$D83</f>
        <v/>
      </c>
      <c r="R83" s="3">
        <f>G83*$D83</f>
        <v/>
      </c>
      <c r="S83" s="3">
        <f>H83*$D83</f>
        <v/>
      </c>
      <c r="T83" s="3">
        <f>I83*$D83</f>
        <v/>
      </c>
      <c r="U83" s="3">
        <f>J83*$D83</f>
        <v/>
      </c>
      <c r="V83" s="3">
        <f>K83*$D83</f>
        <v/>
      </c>
      <c r="W83" s="3">
        <f>L83*$D83</f>
        <v/>
      </c>
      <c r="X83" s="3">
        <f>M83*$D83</f>
        <v/>
      </c>
      <c r="Y83" s="3">
        <f>N83*$D83</f>
        <v/>
      </c>
      <c r="Z83" s="3">
        <f>C83*$D83</f>
        <v/>
      </c>
      <c r="AA83" s="9">
        <f>$L978+$K978*E83+$J978*F83+$I978*G83+$H978*H83+$G978*I83+$F978*J83+$E978*K83+$D978*L83+$C978*M83+$B978*N83</f>
        <v/>
      </c>
      <c r="AB83" s="9">
        <f>C83-AA83</f>
        <v/>
      </c>
      <c r="AC83" s="4">
        <f>AB83^2</f>
        <v/>
      </c>
    </row>
    <row r="84">
      <c r="A84" t="inlineStr">
        <is>
          <t>BBG000BC33T9</t>
        </is>
      </c>
      <c r="B84" t="inlineStr">
        <is>
          <t>are</t>
        </is>
      </c>
      <c r="C84" s="9" t="n">
        <v>-0.00480809423980022</v>
      </c>
      <c r="D84" s="3">
        <f>EXP(0.25*'3b-d Exposures'!G93)</f>
        <v/>
      </c>
      <c r="E84" s="3">
        <f>IF('3b-d Exposures'!C93="",0,'3b-d Exposures'!C93)</f>
        <v/>
      </c>
      <c r="F84" s="3">
        <f>IF('3b-d Exposures'!E93="",0,'3b-d Exposures'!E93)</f>
        <v/>
      </c>
      <c r="G84" s="3">
        <f>IF('3b-d Exposures'!G93="",0,'3b-d Exposures'!G93)</f>
        <v/>
      </c>
      <c r="H84" s="3">
        <f>IF('3b-d Exposures'!I93="",0,'3b-d Exposures'!I93)</f>
        <v/>
      </c>
      <c r="I84" s="3">
        <f>IF('3b-d Exposures'!K93="",0,'3b-d Exposures'!K93)</f>
        <v/>
      </c>
      <c r="J84" s="3">
        <f>IF('3b-d Exposures'!M93="",0,'3b-d Exposures'!M93)</f>
        <v/>
      </c>
      <c r="K84" s="3">
        <f>IF('3b-d Exposures'!O93="",0,'3b-d Exposures'!O93)</f>
        <v/>
      </c>
      <c r="L84" s="3">
        <f>IF('3b-d Exposures'!Q93="",0,'3b-d Exposures'!Q93)</f>
        <v/>
      </c>
      <c r="M84" s="3">
        <f>IF('3b-d Exposures'!S93="",0,'3b-d Exposures'!S93)</f>
        <v/>
      </c>
      <c r="N84" s="3">
        <f>IF('3b-d Exposures'!Z93="",0,'3b-d Exposures'!Z93)</f>
        <v/>
      </c>
      <c r="O84" s="3">
        <f>$D84</f>
        <v/>
      </c>
      <c r="P84" s="3">
        <f>E84*$D84</f>
        <v/>
      </c>
      <c r="Q84" s="3">
        <f>F84*$D84</f>
        <v/>
      </c>
      <c r="R84" s="3">
        <f>G84*$D84</f>
        <v/>
      </c>
      <c r="S84" s="3">
        <f>H84*$D84</f>
        <v/>
      </c>
      <c r="T84" s="3">
        <f>I84*$D84</f>
        <v/>
      </c>
      <c r="U84" s="3">
        <f>J84*$D84</f>
        <v/>
      </c>
      <c r="V84" s="3">
        <f>K84*$D84</f>
        <v/>
      </c>
      <c r="W84" s="3">
        <f>L84*$D84</f>
        <v/>
      </c>
      <c r="X84" s="3">
        <f>M84*$D84</f>
        <v/>
      </c>
      <c r="Y84" s="3">
        <f>N84*$D84</f>
        <v/>
      </c>
      <c r="Z84" s="3">
        <f>C84*$D84</f>
        <v/>
      </c>
      <c r="AA84" s="9">
        <f>$L978+$K978*E84+$J978*F84+$I978*G84+$H978*H84+$G978*I84+$F978*J84+$E978*K84+$D978*L84+$C978*M84+$B978*N84</f>
        <v/>
      </c>
      <c r="AB84" s="9">
        <f>C84-AA84</f>
        <v/>
      </c>
      <c r="AC84" s="4">
        <f>AB84^2</f>
        <v/>
      </c>
    </row>
    <row r="85">
      <c r="A85" t="inlineStr">
        <is>
          <t>BBG0068KVV91</t>
        </is>
      </c>
      <c r="B85" t="inlineStr">
        <is>
          <t>ares</t>
        </is>
      </c>
      <c r="C85" s="9" t="n">
        <v>-0.01573018900089862</v>
      </c>
      <c r="D85" s="3">
        <f>EXP(0.25*'3b-d Exposures'!G94)</f>
        <v/>
      </c>
      <c r="E85" s="3">
        <f>IF('3b-d Exposures'!C94="",0,'3b-d Exposures'!C94)</f>
        <v/>
      </c>
      <c r="F85" s="3">
        <f>IF('3b-d Exposures'!E94="",0,'3b-d Exposures'!E94)</f>
        <v/>
      </c>
      <c r="G85" s="3">
        <f>IF('3b-d Exposures'!G94="",0,'3b-d Exposures'!G94)</f>
        <v/>
      </c>
      <c r="H85" s="3">
        <f>IF('3b-d Exposures'!I94="",0,'3b-d Exposures'!I94)</f>
        <v/>
      </c>
      <c r="I85" s="3">
        <f>IF('3b-d Exposures'!K94="",0,'3b-d Exposures'!K94)</f>
        <v/>
      </c>
      <c r="J85" s="3">
        <f>IF('3b-d Exposures'!M94="",0,'3b-d Exposures'!M94)</f>
        <v/>
      </c>
      <c r="K85" s="3">
        <f>IF('3b-d Exposures'!O94="",0,'3b-d Exposures'!O94)</f>
        <v/>
      </c>
      <c r="L85" s="3">
        <f>IF('3b-d Exposures'!Q94="",0,'3b-d Exposures'!Q94)</f>
        <v/>
      </c>
      <c r="M85" s="3">
        <f>IF('3b-d Exposures'!S94="",0,'3b-d Exposures'!S94)</f>
        <v/>
      </c>
      <c r="N85" s="3">
        <f>IF('3b-d Exposures'!Z94="",0,'3b-d Exposures'!Z94)</f>
        <v/>
      </c>
      <c r="O85" s="3">
        <f>$D85</f>
        <v/>
      </c>
      <c r="P85" s="3">
        <f>E85*$D85</f>
        <v/>
      </c>
      <c r="Q85" s="3">
        <f>F85*$D85</f>
        <v/>
      </c>
      <c r="R85" s="3">
        <f>G85*$D85</f>
        <v/>
      </c>
      <c r="S85" s="3">
        <f>H85*$D85</f>
        <v/>
      </c>
      <c r="T85" s="3">
        <f>I85*$D85</f>
        <v/>
      </c>
      <c r="U85" s="3">
        <f>J85*$D85</f>
        <v/>
      </c>
      <c r="V85" s="3">
        <f>K85*$D85</f>
        <v/>
      </c>
      <c r="W85" s="3">
        <f>L85*$D85</f>
        <v/>
      </c>
      <c r="X85" s="3">
        <f>M85*$D85</f>
        <v/>
      </c>
      <c r="Y85" s="3">
        <f>N85*$D85</f>
        <v/>
      </c>
      <c r="Z85" s="3">
        <f>C85*$D85</f>
        <v/>
      </c>
      <c r="AA85" s="9">
        <f>$L978+$K978*E85+$J978*F85+$I978*G85+$H978*H85+$G978*I85+$F978*J85+$E978*K85+$D978*L85+$C978*M85+$B978*N85</f>
        <v/>
      </c>
      <c r="AB85" s="9">
        <f>C85-AA85</f>
        <v/>
      </c>
      <c r="AC85" s="4">
        <f>AB85^2</f>
        <v/>
      </c>
    </row>
    <row r="86">
      <c r="A86" t="inlineStr">
        <is>
          <t>BBG01J1GXZF0</t>
        </is>
      </c>
      <c r="B86" t="inlineStr">
        <is>
          <t>arm</t>
        </is>
      </c>
      <c r="C86" s="9" t="n">
        <v>0.04505177864494359</v>
      </c>
      <c r="D86" s="3">
        <f>EXP(0.25*'3b-d Exposures'!G96)</f>
        <v/>
      </c>
      <c r="E86" s="3">
        <f>IF('3b-d Exposures'!C96="",0,'3b-d Exposures'!C96)</f>
        <v/>
      </c>
      <c r="F86" s="3">
        <f>IF('3b-d Exposures'!E96="",0,'3b-d Exposures'!E96)</f>
        <v/>
      </c>
      <c r="G86" s="3">
        <f>IF('3b-d Exposures'!G96="",0,'3b-d Exposures'!G96)</f>
        <v/>
      </c>
      <c r="H86" s="3">
        <f>IF('3b-d Exposures'!I96="",0,'3b-d Exposures'!I96)</f>
        <v/>
      </c>
      <c r="I86" s="3">
        <f>IF('3b-d Exposures'!K96="",0,'3b-d Exposures'!K96)</f>
        <v/>
      </c>
      <c r="J86" s="3">
        <f>IF('3b-d Exposures'!M96="",0,'3b-d Exposures'!M96)</f>
        <v/>
      </c>
      <c r="K86" s="3">
        <f>IF('3b-d Exposures'!O96="",0,'3b-d Exposures'!O96)</f>
        <v/>
      </c>
      <c r="L86" s="3">
        <f>IF('3b-d Exposures'!Q96="",0,'3b-d Exposures'!Q96)</f>
        <v/>
      </c>
      <c r="M86" s="3">
        <f>IF('3b-d Exposures'!S96="",0,'3b-d Exposures'!S96)</f>
        <v/>
      </c>
      <c r="N86" s="3">
        <f>IF('3b-d Exposures'!Z96="",0,'3b-d Exposures'!Z96)</f>
        <v/>
      </c>
      <c r="O86" s="3">
        <f>$D86</f>
        <v/>
      </c>
      <c r="P86" s="3">
        <f>E86*$D86</f>
        <v/>
      </c>
      <c r="Q86" s="3">
        <f>F86*$D86</f>
        <v/>
      </c>
      <c r="R86" s="3">
        <f>G86*$D86</f>
        <v/>
      </c>
      <c r="S86" s="3">
        <f>H86*$D86</f>
        <v/>
      </c>
      <c r="T86" s="3">
        <f>I86*$D86</f>
        <v/>
      </c>
      <c r="U86" s="3">
        <f>J86*$D86</f>
        <v/>
      </c>
      <c r="V86" s="3">
        <f>K86*$D86</f>
        <v/>
      </c>
      <c r="W86" s="3">
        <f>L86*$D86</f>
        <v/>
      </c>
      <c r="X86" s="3">
        <f>M86*$D86</f>
        <v/>
      </c>
      <c r="Y86" s="3">
        <f>N86*$D86</f>
        <v/>
      </c>
      <c r="Z86" s="3">
        <f>C86*$D86</f>
        <v/>
      </c>
      <c r="AA86" s="9">
        <f>$L978+$K978*E86+$J978*F86+$I978*G86+$H978*H86+$G978*I86+$F978*J86+$E978*K86+$D978*L86+$C978*M86+$B978*N86</f>
        <v/>
      </c>
      <c r="AB86" s="9">
        <f>C86-AA86</f>
        <v/>
      </c>
      <c r="AC86" s="4">
        <f>AB86^2</f>
        <v/>
      </c>
    </row>
    <row r="87">
      <c r="A87" t="inlineStr">
        <is>
          <t>BBG001KY4N87</t>
        </is>
      </c>
      <c r="B87" t="inlineStr">
        <is>
          <t>armk</t>
        </is>
      </c>
      <c r="C87" s="9" t="n">
        <v>-0.006529418702247658</v>
      </c>
      <c r="D87" s="3">
        <f>EXP(0.25*'3b-d Exposures'!G97)</f>
        <v/>
      </c>
      <c r="E87" s="3">
        <f>IF('3b-d Exposures'!C97="",0,'3b-d Exposures'!C97)</f>
        <v/>
      </c>
      <c r="F87" s="3">
        <f>IF('3b-d Exposures'!E97="",0,'3b-d Exposures'!E97)</f>
        <v/>
      </c>
      <c r="G87" s="3">
        <f>IF('3b-d Exposures'!G97="",0,'3b-d Exposures'!G97)</f>
        <v/>
      </c>
      <c r="H87" s="3">
        <f>IF('3b-d Exposures'!I97="",0,'3b-d Exposures'!I97)</f>
        <v/>
      </c>
      <c r="I87" s="3">
        <f>IF('3b-d Exposures'!K97="",0,'3b-d Exposures'!K97)</f>
        <v/>
      </c>
      <c r="J87" s="3">
        <f>IF('3b-d Exposures'!M97="",0,'3b-d Exposures'!M97)</f>
        <v/>
      </c>
      <c r="K87" s="3">
        <f>IF('3b-d Exposures'!O97="",0,'3b-d Exposures'!O97)</f>
        <v/>
      </c>
      <c r="L87" s="3">
        <f>IF('3b-d Exposures'!Q97="",0,'3b-d Exposures'!Q97)</f>
        <v/>
      </c>
      <c r="M87" s="3">
        <f>IF('3b-d Exposures'!S97="",0,'3b-d Exposures'!S97)</f>
        <v/>
      </c>
      <c r="N87" s="3">
        <f>IF('3b-d Exposures'!Z97="",0,'3b-d Exposures'!Z97)</f>
        <v/>
      </c>
      <c r="O87" s="3">
        <f>$D87</f>
        <v/>
      </c>
      <c r="P87" s="3">
        <f>E87*$D87</f>
        <v/>
      </c>
      <c r="Q87" s="3">
        <f>F87*$D87</f>
        <v/>
      </c>
      <c r="R87" s="3">
        <f>G87*$D87</f>
        <v/>
      </c>
      <c r="S87" s="3">
        <f>H87*$D87</f>
        <v/>
      </c>
      <c r="T87" s="3">
        <f>I87*$D87</f>
        <v/>
      </c>
      <c r="U87" s="3">
        <f>J87*$D87</f>
        <v/>
      </c>
      <c r="V87" s="3">
        <f>K87*$D87</f>
        <v/>
      </c>
      <c r="W87" s="3">
        <f>L87*$D87</f>
        <v/>
      </c>
      <c r="X87" s="3">
        <f>M87*$D87</f>
        <v/>
      </c>
      <c r="Y87" s="3">
        <f>N87*$D87</f>
        <v/>
      </c>
      <c r="Z87" s="3">
        <f>C87*$D87</f>
        <v/>
      </c>
      <c r="AA87" s="9">
        <f>$L978+$K978*E87+$J978*F87+$I978*G87+$H978*H87+$G978*I87+$F978*J87+$E978*K87+$D978*L87+$C978*M87+$B978*N87</f>
        <v/>
      </c>
      <c r="AB87" s="9">
        <f>C87-AA87</f>
        <v/>
      </c>
      <c r="AC87" s="4">
        <f>AB87^2</f>
        <v/>
      </c>
    </row>
    <row r="88">
      <c r="A88" t="inlineStr">
        <is>
          <t>BBG001V4SF46</t>
        </is>
      </c>
      <c r="B88" t="inlineStr">
        <is>
          <t>arry</t>
        </is>
      </c>
      <c r="C88" s="9" t="n">
        <v>-0.004470970139760944</v>
      </c>
      <c r="D88" s="3">
        <f>EXP(0.25*'3b-d Exposures'!G98)</f>
        <v/>
      </c>
      <c r="E88" s="3">
        <f>IF('3b-d Exposures'!C98="",0,'3b-d Exposures'!C98)</f>
        <v/>
      </c>
      <c r="F88" s="3">
        <f>IF('3b-d Exposures'!E98="",0,'3b-d Exposures'!E98)</f>
        <v/>
      </c>
      <c r="G88" s="3">
        <f>IF('3b-d Exposures'!G98="",0,'3b-d Exposures'!G98)</f>
        <v/>
      </c>
      <c r="H88" s="3">
        <f>IF('3b-d Exposures'!I98="",0,'3b-d Exposures'!I98)</f>
        <v/>
      </c>
      <c r="I88" s="3">
        <f>IF('3b-d Exposures'!K98="",0,'3b-d Exposures'!K98)</f>
        <v/>
      </c>
      <c r="J88" s="3">
        <f>IF('3b-d Exposures'!M98="",0,'3b-d Exposures'!M98)</f>
        <v/>
      </c>
      <c r="K88" s="3">
        <f>IF('3b-d Exposures'!O98="",0,'3b-d Exposures'!O98)</f>
        <v/>
      </c>
      <c r="L88" s="3">
        <f>IF('3b-d Exposures'!Q98="",0,'3b-d Exposures'!Q98)</f>
        <v/>
      </c>
      <c r="M88" s="3">
        <f>IF('3b-d Exposures'!S98="",0,'3b-d Exposures'!S98)</f>
        <v/>
      </c>
      <c r="N88" s="3">
        <f>IF('3b-d Exposures'!Z98="",0,'3b-d Exposures'!Z98)</f>
        <v/>
      </c>
      <c r="O88" s="3">
        <f>$D88</f>
        <v/>
      </c>
      <c r="P88" s="3">
        <f>E88*$D88</f>
        <v/>
      </c>
      <c r="Q88" s="3">
        <f>F88*$D88</f>
        <v/>
      </c>
      <c r="R88" s="3">
        <f>G88*$D88</f>
        <v/>
      </c>
      <c r="S88" s="3">
        <f>H88*$D88</f>
        <v/>
      </c>
      <c r="T88" s="3">
        <f>I88*$D88</f>
        <v/>
      </c>
      <c r="U88" s="3">
        <f>J88*$D88</f>
        <v/>
      </c>
      <c r="V88" s="3">
        <f>K88*$D88</f>
        <v/>
      </c>
      <c r="W88" s="3">
        <f>L88*$D88</f>
        <v/>
      </c>
      <c r="X88" s="3">
        <f>M88*$D88</f>
        <v/>
      </c>
      <c r="Y88" s="3">
        <f>N88*$D88</f>
        <v/>
      </c>
      <c r="Z88" s="3">
        <f>C88*$D88</f>
        <v/>
      </c>
      <c r="AA88" s="9">
        <f>$L978+$K978*E88+$J978*F88+$I978*G88+$H978*H88+$G978*I88+$F978*J88+$E978*K88+$D978*L88+$C978*M88+$B978*N88</f>
        <v/>
      </c>
      <c r="AB88" s="9">
        <f>C88-AA88</f>
        <v/>
      </c>
      <c r="AC88" s="4">
        <f>AB88^2</f>
        <v/>
      </c>
    </row>
    <row r="89">
      <c r="A89" t="inlineStr">
        <is>
          <t>BBG000BCFQC3</t>
        </is>
      </c>
      <c r="B89" t="inlineStr">
        <is>
          <t>asb</t>
        </is>
      </c>
      <c r="C89" s="9" t="n">
        <v>-0.004913192199747729</v>
      </c>
      <c r="D89" s="3">
        <f>EXP(0.25*'3b-d Exposures'!G99)</f>
        <v/>
      </c>
      <c r="E89" s="3">
        <f>IF('3b-d Exposures'!C99="",0,'3b-d Exposures'!C99)</f>
        <v/>
      </c>
      <c r="F89" s="3">
        <f>IF('3b-d Exposures'!E99="",0,'3b-d Exposures'!E99)</f>
        <v/>
      </c>
      <c r="G89" s="3">
        <f>IF('3b-d Exposures'!G99="",0,'3b-d Exposures'!G99)</f>
        <v/>
      </c>
      <c r="H89" s="3">
        <f>IF('3b-d Exposures'!I99="",0,'3b-d Exposures'!I99)</f>
        <v/>
      </c>
      <c r="I89" s="3">
        <f>IF('3b-d Exposures'!K99="",0,'3b-d Exposures'!K99)</f>
        <v/>
      </c>
      <c r="J89" s="3">
        <f>IF('3b-d Exposures'!M99="",0,'3b-d Exposures'!M99)</f>
        <v/>
      </c>
      <c r="K89" s="3">
        <f>IF('3b-d Exposures'!O99="",0,'3b-d Exposures'!O99)</f>
        <v/>
      </c>
      <c r="L89" s="3">
        <f>IF('3b-d Exposures'!Q99="",0,'3b-d Exposures'!Q99)</f>
        <v/>
      </c>
      <c r="M89" s="3">
        <f>IF('3b-d Exposures'!S99="",0,'3b-d Exposures'!S99)</f>
        <v/>
      </c>
      <c r="N89" s="3">
        <f>IF('3b-d Exposures'!Z99="",0,'3b-d Exposures'!Z99)</f>
        <v/>
      </c>
      <c r="O89" s="3">
        <f>$D89</f>
        <v/>
      </c>
      <c r="P89" s="3">
        <f>E89*$D89</f>
        <v/>
      </c>
      <c r="Q89" s="3">
        <f>F89*$D89</f>
        <v/>
      </c>
      <c r="R89" s="3">
        <f>G89*$D89</f>
        <v/>
      </c>
      <c r="S89" s="3">
        <f>H89*$D89</f>
        <v/>
      </c>
      <c r="T89" s="3">
        <f>I89*$D89</f>
        <v/>
      </c>
      <c r="U89" s="3">
        <f>J89*$D89</f>
        <v/>
      </c>
      <c r="V89" s="3">
        <f>K89*$D89</f>
        <v/>
      </c>
      <c r="W89" s="3">
        <f>L89*$D89</f>
        <v/>
      </c>
      <c r="X89" s="3">
        <f>M89*$D89</f>
        <v/>
      </c>
      <c r="Y89" s="3">
        <f>N89*$D89</f>
        <v/>
      </c>
      <c r="Z89" s="3">
        <f>C89*$D89</f>
        <v/>
      </c>
      <c r="AA89" s="9">
        <f>$L978+$K978*E89+$J978*F89+$I978*G89+$H978*H89+$G978*I89+$F978*J89+$E978*K89+$D978*L89+$C978*M89+$B978*N89</f>
        <v/>
      </c>
      <c r="AB89" s="9">
        <f>C89-AA89</f>
        <v/>
      </c>
      <c r="AC89" s="4">
        <f>AB89^2</f>
        <v/>
      </c>
    </row>
    <row r="90">
      <c r="A90" t="inlineStr">
        <is>
          <t>BBG00D0Y81M1</t>
        </is>
      </c>
      <c r="B90" t="inlineStr">
        <is>
          <t>ash</t>
        </is>
      </c>
      <c r="C90" s="9" t="n">
        <v>0.02728674924620522</v>
      </c>
      <c r="D90" s="3">
        <f>EXP(0.25*'3b-d Exposures'!G100)</f>
        <v/>
      </c>
      <c r="E90" s="3">
        <f>IF('3b-d Exposures'!C100="",0,'3b-d Exposures'!C100)</f>
        <v/>
      </c>
      <c r="F90" s="3">
        <f>IF('3b-d Exposures'!E100="",0,'3b-d Exposures'!E100)</f>
        <v/>
      </c>
      <c r="G90" s="3">
        <f>IF('3b-d Exposures'!G100="",0,'3b-d Exposures'!G100)</f>
        <v/>
      </c>
      <c r="H90" s="3">
        <f>IF('3b-d Exposures'!I100="",0,'3b-d Exposures'!I100)</f>
        <v/>
      </c>
      <c r="I90" s="3">
        <f>IF('3b-d Exposures'!K100="",0,'3b-d Exposures'!K100)</f>
        <v/>
      </c>
      <c r="J90" s="3">
        <f>IF('3b-d Exposures'!M100="",0,'3b-d Exposures'!M100)</f>
        <v/>
      </c>
      <c r="K90" s="3">
        <f>IF('3b-d Exposures'!O100="",0,'3b-d Exposures'!O100)</f>
        <v/>
      </c>
      <c r="L90" s="3">
        <f>IF('3b-d Exposures'!Q100="",0,'3b-d Exposures'!Q100)</f>
        <v/>
      </c>
      <c r="M90" s="3">
        <f>IF('3b-d Exposures'!S100="",0,'3b-d Exposures'!S100)</f>
        <v/>
      </c>
      <c r="N90" s="3">
        <f>IF('3b-d Exposures'!Z100="",0,'3b-d Exposures'!Z100)</f>
        <v/>
      </c>
      <c r="O90" s="3">
        <f>$D90</f>
        <v/>
      </c>
      <c r="P90" s="3">
        <f>E90*$D90</f>
        <v/>
      </c>
      <c r="Q90" s="3">
        <f>F90*$D90</f>
        <v/>
      </c>
      <c r="R90" s="3">
        <f>G90*$D90</f>
        <v/>
      </c>
      <c r="S90" s="3">
        <f>H90*$D90</f>
        <v/>
      </c>
      <c r="T90" s="3">
        <f>I90*$D90</f>
        <v/>
      </c>
      <c r="U90" s="3">
        <f>J90*$D90</f>
        <v/>
      </c>
      <c r="V90" s="3">
        <f>K90*$D90</f>
        <v/>
      </c>
      <c r="W90" s="3">
        <f>L90*$D90</f>
        <v/>
      </c>
      <c r="X90" s="3">
        <f>M90*$D90</f>
        <v/>
      </c>
      <c r="Y90" s="3">
        <f>N90*$D90</f>
        <v/>
      </c>
      <c r="Z90" s="3">
        <f>C90*$D90</f>
        <v/>
      </c>
      <c r="AA90" s="9">
        <f>$L978+$K978*E90+$J978*F90+$I978*G90+$H978*H90+$G978*I90+$F978*J90+$E978*K90+$D978*L90+$C978*M90+$B978*N90</f>
        <v/>
      </c>
      <c r="AB90" s="9">
        <f>C90-AA90</f>
        <v/>
      </c>
      <c r="AC90" s="4">
        <f>AB90^2</f>
        <v/>
      </c>
    </row>
    <row r="91">
      <c r="A91" t="inlineStr">
        <is>
          <t>BBG00X7L1C14</t>
        </is>
      </c>
      <c r="B91" t="inlineStr">
        <is>
          <t>aso</t>
        </is>
      </c>
      <c r="C91" s="9" t="n">
        <v>0.02659905338468627</v>
      </c>
      <c r="D91" s="3">
        <f>EXP(0.25*'3b-d Exposures'!G101)</f>
        <v/>
      </c>
      <c r="E91" s="3">
        <f>IF('3b-d Exposures'!C101="",0,'3b-d Exposures'!C101)</f>
        <v/>
      </c>
      <c r="F91" s="3">
        <f>IF('3b-d Exposures'!E101="",0,'3b-d Exposures'!E101)</f>
        <v/>
      </c>
      <c r="G91" s="3">
        <f>IF('3b-d Exposures'!G101="",0,'3b-d Exposures'!G101)</f>
        <v/>
      </c>
      <c r="H91" s="3">
        <f>IF('3b-d Exposures'!I101="",0,'3b-d Exposures'!I101)</f>
        <v/>
      </c>
      <c r="I91" s="3">
        <f>IF('3b-d Exposures'!K101="",0,'3b-d Exposures'!K101)</f>
        <v/>
      </c>
      <c r="J91" s="3">
        <f>IF('3b-d Exposures'!M101="",0,'3b-d Exposures'!M101)</f>
        <v/>
      </c>
      <c r="K91" s="3">
        <f>IF('3b-d Exposures'!O101="",0,'3b-d Exposures'!O101)</f>
        <v/>
      </c>
      <c r="L91" s="3">
        <f>IF('3b-d Exposures'!Q101="",0,'3b-d Exposures'!Q101)</f>
        <v/>
      </c>
      <c r="M91" s="3">
        <f>IF('3b-d Exposures'!S101="",0,'3b-d Exposures'!S101)</f>
        <v/>
      </c>
      <c r="N91" s="3">
        <f>IF('3b-d Exposures'!Z101="",0,'3b-d Exposures'!Z101)</f>
        <v/>
      </c>
      <c r="O91" s="3">
        <f>$D91</f>
        <v/>
      </c>
      <c r="P91" s="3">
        <f>E91*$D91</f>
        <v/>
      </c>
      <c r="Q91" s="3">
        <f>F91*$D91</f>
        <v/>
      </c>
      <c r="R91" s="3">
        <f>G91*$D91</f>
        <v/>
      </c>
      <c r="S91" s="3">
        <f>H91*$D91</f>
        <v/>
      </c>
      <c r="T91" s="3">
        <f>I91*$D91</f>
        <v/>
      </c>
      <c r="U91" s="3">
        <f>J91*$D91</f>
        <v/>
      </c>
      <c r="V91" s="3">
        <f>K91*$D91</f>
        <v/>
      </c>
      <c r="W91" s="3">
        <f>L91*$D91</f>
        <v/>
      </c>
      <c r="X91" s="3">
        <f>M91*$D91</f>
        <v/>
      </c>
      <c r="Y91" s="3">
        <f>N91*$D91</f>
        <v/>
      </c>
      <c r="Z91" s="3">
        <f>C91*$D91</f>
        <v/>
      </c>
      <c r="AA91" s="9">
        <f>$L978+$K978*E91+$J978*F91+$I978*G91+$H978*H91+$G978*I91+$F978*J91+$E978*K91+$D978*L91+$C978*M91+$B978*N91</f>
        <v/>
      </c>
      <c r="AB91" s="9">
        <f>C91-AA91</f>
        <v/>
      </c>
      <c r="AC91" s="4">
        <f>AB91^2</f>
        <v/>
      </c>
    </row>
    <row r="92">
      <c r="A92" t="inlineStr">
        <is>
          <t>BBG005JYTDQ5</t>
        </is>
      </c>
      <c r="B92" t="inlineStr">
        <is>
          <t>athm</t>
        </is>
      </c>
      <c r="C92" s="9" t="n">
        <v>0.02762637480103325</v>
      </c>
      <c r="D92" s="3">
        <f>EXP(0.25*'3b-d Exposures'!G103)</f>
        <v/>
      </c>
      <c r="E92" s="3">
        <f>IF('3b-d Exposures'!C103="",0,'3b-d Exposures'!C103)</f>
        <v/>
      </c>
      <c r="F92" s="3">
        <f>IF('3b-d Exposures'!E103="",0,'3b-d Exposures'!E103)</f>
        <v/>
      </c>
      <c r="G92" s="3">
        <f>IF('3b-d Exposures'!G103="",0,'3b-d Exposures'!G103)</f>
        <v/>
      </c>
      <c r="H92" s="3">
        <f>IF('3b-d Exposures'!I103="",0,'3b-d Exposures'!I103)</f>
        <v/>
      </c>
      <c r="I92" s="3">
        <f>IF('3b-d Exposures'!K103="",0,'3b-d Exposures'!K103)</f>
        <v/>
      </c>
      <c r="J92" s="3">
        <f>IF('3b-d Exposures'!M103="",0,'3b-d Exposures'!M103)</f>
        <v/>
      </c>
      <c r="K92" s="3">
        <f>IF('3b-d Exposures'!O103="",0,'3b-d Exposures'!O103)</f>
        <v/>
      </c>
      <c r="L92" s="3">
        <f>IF('3b-d Exposures'!Q103="",0,'3b-d Exposures'!Q103)</f>
        <v/>
      </c>
      <c r="M92" s="3">
        <f>IF('3b-d Exposures'!S103="",0,'3b-d Exposures'!S103)</f>
        <v/>
      </c>
      <c r="N92" s="3">
        <f>IF('3b-d Exposures'!Z103="",0,'3b-d Exposures'!Z103)</f>
        <v/>
      </c>
      <c r="O92" s="3">
        <f>$D92</f>
        <v/>
      </c>
      <c r="P92" s="3">
        <f>E92*$D92</f>
        <v/>
      </c>
      <c r="Q92" s="3">
        <f>F92*$D92</f>
        <v/>
      </c>
      <c r="R92" s="3">
        <f>G92*$D92</f>
        <v/>
      </c>
      <c r="S92" s="3">
        <f>H92*$D92</f>
        <v/>
      </c>
      <c r="T92" s="3">
        <f>I92*$D92</f>
        <v/>
      </c>
      <c r="U92" s="3">
        <f>J92*$D92</f>
        <v/>
      </c>
      <c r="V92" s="3">
        <f>K92*$D92</f>
        <v/>
      </c>
      <c r="W92" s="3">
        <f>L92*$D92</f>
        <v/>
      </c>
      <c r="X92" s="3">
        <f>M92*$D92</f>
        <v/>
      </c>
      <c r="Y92" s="3">
        <f>N92*$D92</f>
        <v/>
      </c>
      <c r="Z92" s="3">
        <f>C92*$D92</f>
        <v/>
      </c>
      <c r="AA92" s="9">
        <f>$L978+$K978*E92+$J978*F92+$I978*G92+$H978*H92+$G978*I92+$F978*J92+$E978*K92+$D978*L92+$C978*M92+$B978*N92</f>
        <v/>
      </c>
      <c r="AB92" s="9">
        <f>C92-AA92</f>
        <v/>
      </c>
      <c r="AC92" s="4">
        <f>AB92^2</f>
        <v/>
      </c>
    </row>
    <row r="93">
      <c r="A93" t="inlineStr">
        <is>
          <t>BBG000LC1FS4</t>
        </is>
      </c>
      <c r="B93" t="inlineStr">
        <is>
          <t>ati</t>
        </is>
      </c>
      <c r="C93" s="9" t="n">
        <v>-0.007811158722096034</v>
      </c>
      <c r="D93" s="3">
        <f>EXP(0.25*'3b-d Exposures'!G104)</f>
        <v/>
      </c>
      <c r="E93" s="3">
        <f>IF('3b-d Exposures'!C104="",0,'3b-d Exposures'!C104)</f>
        <v/>
      </c>
      <c r="F93" s="3">
        <f>IF('3b-d Exposures'!E104="",0,'3b-d Exposures'!E104)</f>
        <v/>
      </c>
      <c r="G93" s="3">
        <f>IF('3b-d Exposures'!G104="",0,'3b-d Exposures'!G104)</f>
        <v/>
      </c>
      <c r="H93" s="3">
        <f>IF('3b-d Exposures'!I104="",0,'3b-d Exposures'!I104)</f>
        <v/>
      </c>
      <c r="I93" s="3">
        <f>IF('3b-d Exposures'!K104="",0,'3b-d Exposures'!K104)</f>
        <v/>
      </c>
      <c r="J93" s="3">
        <f>IF('3b-d Exposures'!M104="",0,'3b-d Exposures'!M104)</f>
        <v/>
      </c>
      <c r="K93" s="3">
        <f>IF('3b-d Exposures'!O104="",0,'3b-d Exposures'!O104)</f>
        <v/>
      </c>
      <c r="L93" s="3">
        <f>IF('3b-d Exposures'!Q104="",0,'3b-d Exposures'!Q104)</f>
        <v/>
      </c>
      <c r="M93" s="3">
        <f>IF('3b-d Exposures'!S104="",0,'3b-d Exposures'!S104)</f>
        <v/>
      </c>
      <c r="N93" s="3">
        <f>IF('3b-d Exposures'!Z104="",0,'3b-d Exposures'!Z104)</f>
        <v/>
      </c>
      <c r="O93" s="3">
        <f>$D93</f>
        <v/>
      </c>
      <c r="P93" s="3">
        <f>E93*$D93</f>
        <v/>
      </c>
      <c r="Q93" s="3">
        <f>F93*$D93</f>
        <v/>
      </c>
      <c r="R93" s="3">
        <f>G93*$D93</f>
        <v/>
      </c>
      <c r="S93" s="3">
        <f>H93*$D93</f>
        <v/>
      </c>
      <c r="T93" s="3">
        <f>I93*$D93</f>
        <v/>
      </c>
      <c r="U93" s="3">
        <f>J93*$D93</f>
        <v/>
      </c>
      <c r="V93" s="3">
        <f>K93*$D93</f>
        <v/>
      </c>
      <c r="W93" s="3">
        <f>L93*$D93</f>
        <v/>
      </c>
      <c r="X93" s="3">
        <f>M93*$D93</f>
        <v/>
      </c>
      <c r="Y93" s="3">
        <f>N93*$D93</f>
        <v/>
      </c>
      <c r="Z93" s="3">
        <f>C93*$D93</f>
        <v/>
      </c>
      <c r="AA93" s="9">
        <f>$L978+$K978*E93+$J978*F93+$I978*G93+$H978*H93+$G978*I93+$F978*J93+$E978*K93+$D978*L93+$C978*M93+$B978*N93</f>
        <v/>
      </c>
      <c r="AB93" s="9">
        <f>C93-AA93</f>
        <v/>
      </c>
      <c r="AC93" s="4">
        <f>AB93^2</f>
        <v/>
      </c>
    </row>
    <row r="94">
      <c r="A94" t="inlineStr">
        <is>
          <t>BBG000BRNGM2</t>
        </is>
      </c>
      <c r="B94" t="inlineStr">
        <is>
          <t>ato</t>
        </is>
      </c>
      <c r="C94" s="9" t="n">
        <v>-0.01823952934444462</v>
      </c>
      <c r="D94" s="3">
        <f>EXP(0.25*'3b-d Exposures'!G105)</f>
        <v/>
      </c>
      <c r="E94" s="3">
        <f>IF('3b-d Exposures'!C105="",0,'3b-d Exposures'!C105)</f>
        <v/>
      </c>
      <c r="F94" s="3">
        <f>IF('3b-d Exposures'!E105="",0,'3b-d Exposures'!E105)</f>
        <v/>
      </c>
      <c r="G94" s="3">
        <f>IF('3b-d Exposures'!G105="",0,'3b-d Exposures'!G105)</f>
        <v/>
      </c>
      <c r="H94" s="3">
        <f>IF('3b-d Exposures'!I105="",0,'3b-d Exposures'!I105)</f>
        <v/>
      </c>
      <c r="I94" s="3">
        <f>IF('3b-d Exposures'!K105="",0,'3b-d Exposures'!K105)</f>
        <v/>
      </c>
      <c r="J94" s="3">
        <f>IF('3b-d Exposures'!M105="",0,'3b-d Exposures'!M105)</f>
        <v/>
      </c>
      <c r="K94" s="3">
        <f>IF('3b-d Exposures'!O105="",0,'3b-d Exposures'!O105)</f>
        <v/>
      </c>
      <c r="L94" s="3">
        <f>IF('3b-d Exposures'!Q105="",0,'3b-d Exposures'!Q105)</f>
        <v/>
      </c>
      <c r="M94" s="3">
        <f>IF('3b-d Exposures'!S105="",0,'3b-d Exposures'!S105)</f>
        <v/>
      </c>
      <c r="N94" s="3">
        <f>IF('3b-d Exposures'!Z105="",0,'3b-d Exposures'!Z105)</f>
        <v/>
      </c>
      <c r="O94" s="3">
        <f>$D94</f>
        <v/>
      </c>
      <c r="P94" s="3">
        <f>E94*$D94</f>
        <v/>
      </c>
      <c r="Q94" s="3">
        <f>F94*$D94</f>
        <v/>
      </c>
      <c r="R94" s="3">
        <f>G94*$D94</f>
        <v/>
      </c>
      <c r="S94" s="3">
        <f>H94*$D94</f>
        <v/>
      </c>
      <c r="T94" s="3">
        <f>I94*$D94</f>
        <v/>
      </c>
      <c r="U94" s="3">
        <f>J94*$D94</f>
        <v/>
      </c>
      <c r="V94" s="3">
        <f>K94*$D94</f>
        <v/>
      </c>
      <c r="W94" s="3">
        <f>L94*$D94</f>
        <v/>
      </c>
      <c r="X94" s="3">
        <f>M94*$D94</f>
        <v/>
      </c>
      <c r="Y94" s="3">
        <f>N94*$D94</f>
        <v/>
      </c>
      <c r="Z94" s="3">
        <f>C94*$D94</f>
        <v/>
      </c>
      <c r="AA94" s="9">
        <f>$L978+$K978*E94+$J978*F94+$I978*G94+$H978*H94+$G978*I94+$F978*J94+$E978*K94+$D978*L94+$C978*M94+$B978*N94</f>
        <v/>
      </c>
      <c r="AB94" s="9">
        <f>C94-AA94</f>
        <v/>
      </c>
      <c r="AC94" s="4">
        <f>AB94^2</f>
        <v/>
      </c>
    </row>
    <row r="95">
      <c r="A95" t="inlineStr">
        <is>
          <t>BBG000BGX2S0</t>
        </is>
      </c>
      <c r="B95" t="inlineStr">
        <is>
          <t>atr</t>
        </is>
      </c>
      <c r="C95" s="9" t="n">
        <v>-0.001156358459240114</v>
      </c>
      <c r="D95" s="3">
        <f>EXP(0.25*'3b-d Exposures'!G106)</f>
        <v/>
      </c>
      <c r="E95" s="3">
        <f>IF('3b-d Exposures'!C106="",0,'3b-d Exposures'!C106)</f>
        <v/>
      </c>
      <c r="F95" s="3">
        <f>IF('3b-d Exposures'!E106="",0,'3b-d Exposures'!E106)</f>
        <v/>
      </c>
      <c r="G95" s="3">
        <f>IF('3b-d Exposures'!G106="",0,'3b-d Exposures'!G106)</f>
        <v/>
      </c>
      <c r="H95" s="3">
        <f>IF('3b-d Exposures'!I106="",0,'3b-d Exposures'!I106)</f>
        <v/>
      </c>
      <c r="I95" s="3">
        <f>IF('3b-d Exposures'!K106="",0,'3b-d Exposures'!K106)</f>
        <v/>
      </c>
      <c r="J95" s="3">
        <f>IF('3b-d Exposures'!M106="",0,'3b-d Exposures'!M106)</f>
        <v/>
      </c>
      <c r="K95" s="3">
        <f>IF('3b-d Exposures'!O106="",0,'3b-d Exposures'!O106)</f>
        <v/>
      </c>
      <c r="L95" s="3">
        <f>IF('3b-d Exposures'!Q106="",0,'3b-d Exposures'!Q106)</f>
        <v/>
      </c>
      <c r="M95" s="3">
        <f>IF('3b-d Exposures'!S106="",0,'3b-d Exposures'!S106)</f>
        <v/>
      </c>
      <c r="N95" s="3">
        <f>IF('3b-d Exposures'!Z106="",0,'3b-d Exposures'!Z106)</f>
        <v/>
      </c>
      <c r="O95" s="3">
        <f>$D95</f>
        <v/>
      </c>
      <c r="P95" s="3">
        <f>E95*$D95</f>
        <v/>
      </c>
      <c r="Q95" s="3">
        <f>F95*$D95</f>
        <v/>
      </c>
      <c r="R95" s="3">
        <f>G95*$D95</f>
        <v/>
      </c>
      <c r="S95" s="3">
        <f>H95*$D95</f>
        <v/>
      </c>
      <c r="T95" s="3">
        <f>I95*$D95</f>
        <v/>
      </c>
      <c r="U95" s="3">
        <f>J95*$D95</f>
        <v/>
      </c>
      <c r="V95" s="3">
        <f>K95*$D95</f>
        <v/>
      </c>
      <c r="W95" s="3">
        <f>L95*$D95</f>
        <v/>
      </c>
      <c r="X95" s="3">
        <f>M95*$D95</f>
        <v/>
      </c>
      <c r="Y95" s="3">
        <f>N95*$D95</f>
        <v/>
      </c>
      <c r="Z95" s="3">
        <f>C95*$D95</f>
        <v/>
      </c>
      <c r="AA95" s="9">
        <f>$L978+$K978*E95+$J978*F95+$I978*G95+$H978*H95+$G978*I95+$F978*J95+$E978*K95+$D978*L95+$C978*M95+$B978*N95</f>
        <v/>
      </c>
      <c r="AB95" s="9">
        <f>C95-AA95</f>
        <v/>
      </c>
      <c r="AC95" s="4">
        <f>AB95^2</f>
        <v/>
      </c>
    </row>
    <row r="96">
      <c r="A96" t="inlineStr">
        <is>
          <t>BBG000BCLBY5</t>
        </is>
      </c>
      <c r="B96" t="inlineStr">
        <is>
          <t>atro</t>
        </is>
      </c>
      <c r="C96" s="9" t="n">
        <v>0.02600619728882481</v>
      </c>
      <c r="D96" s="3">
        <f>EXP(0.25*'3b-d Exposures'!G107)</f>
        <v/>
      </c>
      <c r="E96" s="3">
        <f>IF('3b-d Exposures'!C107="",0,'3b-d Exposures'!C107)</f>
        <v/>
      </c>
      <c r="F96" s="3">
        <f>IF('3b-d Exposures'!E107="",0,'3b-d Exposures'!E107)</f>
        <v/>
      </c>
      <c r="G96" s="3">
        <f>IF('3b-d Exposures'!G107="",0,'3b-d Exposures'!G107)</f>
        <v/>
      </c>
      <c r="H96" s="3">
        <f>IF('3b-d Exposures'!I107="",0,'3b-d Exposures'!I107)</f>
        <v/>
      </c>
      <c r="I96" s="3">
        <f>IF('3b-d Exposures'!K107="",0,'3b-d Exposures'!K107)</f>
        <v/>
      </c>
      <c r="J96" s="3">
        <f>IF('3b-d Exposures'!M107="",0,'3b-d Exposures'!M107)</f>
        <v/>
      </c>
      <c r="K96" s="3">
        <f>IF('3b-d Exposures'!O107="",0,'3b-d Exposures'!O107)</f>
        <v/>
      </c>
      <c r="L96" s="3">
        <f>IF('3b-d Exposures'!Q107="",0,'3b-d Exposures'!Q107)</f>
        <v/>
      </c>
      <c r="M96" s="3">
        <f>IF('3b-d Exposures'!S107="",0,'3b-d Exposures'!S107)</f>
        <v/>
      </c>
      <c r="N96" s="3">
        <f>IF('3b-d Exposures'!Z107="",0,'3b-d Exposures'!Z107)</f>
        <v/>
      </c>
      <c r="O96" s="3">
        <f>$D96</f>
        <v/>
      </c>
      <c r="P96" s="3">
        <f>E96*$D96</f>
        <v/>
      </c>
      <c r="Q96" s="3">
        <f>F96*$D96</f>
        <v/>
      </c>
      <c r="R96" s="3">
        <f>G96*$D96</f>
        <v/>
      </c>
      <c r="S96" s="3">
        <f>H96*$D96</f>
        <v/>
      </c>
      <c r="T96" s="3">
        <f>I96*$D96</f>
        <v/>
      </c>
      <c r="U96" s="3">
        <f>J96*$D96</f>
        <v/>
      </c>
      <c r="V96" s="3">
        <f>K96*$D96</f>
        <v/>
      </c>
      <c r="W96" s="3">
        <f>L96*$D96</f>
        <v/>
      </c>
      <c r="X96" s="3">
        <f>M96*$D96</f>
        <v/>
      </c>
      <c r="Y96" s="3">
        <f>N96*$D96</f>
        <v/>
      </c>
      <c r="Z96" s="3">
        <f>C96*$D96</f>
        <v/>
      </c>
      <c r="AA96" s="9">
        <f>$L978+$K978*E96+$J978*F96+$I978*G96+$H978*H96+$G978*I96+$F978*J96+$E978*K96+$D978*L96+$C978*M96+$B978*N96</f>
        <v/>
      </c>
      <c r="AB96" s="9">
        <f>C96-AA96</f>
        <v/>
      </c>
      <c r="AC96" s="4">
        <f>AB96^2</f>
        <v/>
      </c>
    </row>
    <row r="97">
      <c r="A97" t="inlineStr">
        <is>
          <t>BBG000BKS4S3</t>
        </is>
      </c>
      <c r="B97" t="inlineStr">
        <is>
          <t>aub</t>
        </is>
      </c>
      <c r="C97" s="9" t="n">
        <v>0.01484791306448185</v>
      </c>
      <c r="D97" s="3">
        <f>EXP(0.25*'3b-d Exposures'!G108)</f>
        <v/>
      </c>
      <c r="E97" s="3">
        <f>IF('3b-d Exposures'!C108="",0,'3b-d Exposures'!C108)</f>
        <v/>
      </c>
      <c r="F97" s="3">
        <f>IF('3b-d Exposures'!E108="",0,'3b-d Exposures'!E108)</f>
        <v/>
      </c>
      <c r="G97" s="3">
        <f>IF('3b-d Exposures'!G108="",0,'3b-d Exposures'!G108)</f>
        <v/>
      </c>
      <c r="H97" s="3">
        <f>IF('3b-d Exposures'!I108="",0,'3b-d Exposures'!I108)</f>
        <v/>
      </c>
      <c r="I97" s="3">
        <f>IF('3b-d Exposures'!K108="",0,'3b-d Exposures'!K108)</f>
        <v/>
      </c>
      <c r="J97" s="3">
        <f>IF('3b-d Exposures'!M108="",0,'3b-d Exposures'!M108)</f>
        <v/>
      </c>
      <c r="K97" s="3">
        <f>IF('3b-d Exposures'!O108="",0,'3b-d Exposures'!O108)</f>
        <v/>
      </c>
      <c r="L97" s="3">
        <f>IF('3b-d Exposures'!Q108="",0,'3b-d Exposures'!Q108)</f>
        <v/>
      </c>
      <c r="M97" s="3">
        <f>IF('3b-d Exposures'!S108="",0,'3b-d Exposures'!S108)</f>
        <v/>
      </c>
      <c r="N97" s="3">
        <f>IF('3b-d Exposures'!Z108="",0,'3b-d Exposures'!Z108)</f>
        <v/>
      </c>
      <c r="O97" s="3">
        <f>$D97</f>
        <v/>
      </c>
      <c r="P97" s="3">
        <f>E97*$D97</f>
        <v/>
      </c>
      <c r="Q97" s="3">
        <f>F97*$D97</f>
        <v/>
      </c>
      <c r="R97" s="3">
        <f>G97*$D97</f>
        <v/>
      </c>
      <c r="S97" s="3">
        <f>H97*$D97</f>
        <v/>
      </c>
      <c r="T97" s="3">
        <f>I97*$D97</f>
        <v/>
      </c>
      <c r="U97" s="3">
        <f>J97*$D97</f>
        <v/>
      </c>
      <c r="V97" s="3">
        <f>K97*$D97</f>
        <v/>
      </c>
      <c r="W97" s="3">
        <f>L97*$D97</f>
        <v/>
      </c>
      <c r="X97" s="3">
        <f>M97*$D97</f>
        <v/>
      </c>
      <c r="Y97" s="3">
        <f>N97*$D97</f>
        <v/>
      </c>
      <c r="Z97" s="3">
        <f>C97*$D97</f>
        <v/>
      </c>
      <c r="AA97" s="9">
        <f>$L978+$K978*E97+$J978*F97+$I978*G97+$H978*H97+$G978*I97+$F978*J97+$E978*K97+$D978*L97+$C978*M97+$B978*N97</f>
        <v/>
      </c>
      <c r="AB97" s="9">
        <f>C97-AA97</f>
        <v/>
      </c>
      <c r="AC97" s="4">
        <f>AB97^2</f>
        <v/>
      </c>
    </row>
    <row r="98">
      <c r="A98" t="inlineStr">
        <is>
          <t>BBG00Z92Y6X1</t>
        </is>
      </c>
      <c r="B98" t="inlineStr">
        <is>
          <t>aur</t>
        </is>
      </c>
      <c r="C98" s="9" t="n">
        <v>-0.06336937568895418</v>
      </c>
      <c r="D98" s="3">
        <f>EXP(0.25*'3b-d Exposures'!G109)</f>
        <v/>
      </c>
      <c r="E98" s="3">
        <f>IF('3b-d Exposures'!C109="",0,'3b-d Exposures'!C109)</f>
        <v/>
      </c>
      <c r="F98" s="3">
        <f>IF('3b-d Exposures'!E109="",0,'3b-d Exposures'!E109)</f>
        <v/>
      </c>
      <c r="G98" s="3">
        <f>IF('3b-d Exposures'!G109="",0,'3b-d Exposures'!G109)</f>
        <v/>
      </c>
      <c r="H98" s="3">
        <f>IF('3b-d Exposures'!I109="",0,'3b-d Exposures'!I109)</f>
        <v/>
      </c>
      <c r="I98" s="3">
        <f>IF('3b-d Exposures'!K109="",0,'3b-d Exposures'!K109)</f>
        <v/>
      </c>
      <c r="J98" s="3">
        <f>IF('3b-d Exposures'!M109="",0,'3b-d Exposures'!M109)</f>
        <v/>
      </c>
      <c r="K98" s="3">
        <f>IF('3b-d Exposures'!O109="",0,'3b-d Exposures'!O109)</f>
        <v/>
      </c>
      <c r="L98" s="3">
        <f>IF('3b-d Exposures'!Q109="",0,'3b-d Exposures'!Q109)</f>
        <v/>
      </c>
      <c r="M98" s="3">
        <f>IF('3b-d Exposures'!S109="",0,'3b-d Exposures'!S109)</f>
        <v/>
      </c>
      <c r="N98" s="3">
        <f>IF('3b-d Exposures'!Z109="",0,'3b-d Exposures'!Z109)</f>
        <v/>
      </c>
      <c r="O98" s="3">
        <f>$D98</f>
        <v/>
      </c>
      <c r="P98" s="3">
        <f>E98*$D98</f>
        <v/>
      </c>
      <c r="Q98" s="3">
        <f>F98*$D98</f>
        <v/>
      </c>
      <c r="R98" s="3">
        <f>G98*$D98</f>
        <v/>
      </c>
      <c r="S98" s="3">
        <f>H98*$D98</f>
        <v/>
      </c>
      <c r="T98" s="3">
        <f>I98*$D98</f>
        <v/>
      </c>
      <c r="U98" s="3">
        <f>J98*$D98</f>
        <v/>
      </c>
      <c r="V98" s="3">
        <f>K98*$D98</f>
        <v/>
      </c>
      <c r="W98" s="3">
        <f>L98*$D98</f>
        <v/>
      </c>
      <c r="X98" s="3">
        <f>M98*$D98</f>
        <v/>
      </c>
      <c r="Y98" s="3">
        <f>N98*$D98</f>
        <v/>
      </c>
      <c r="Z98" s="3">
        <f>C98*$D98</f>
        <v/>
      </c>
      <c r="AA98" s="9">
        <f>$L978+$K978*E98+$J978*F98+$I978*G98+$H978*H98+$G978*I98+$F978*J98+$E978*K98+$D978*L98+$C978*M98+$B978*N98</f>
        <v/>
      </c>
      <c r="AB98" s="9">
        <f>C98-AA98</f>
        <v/>
      </c>
      <c r="AC98" s="4">
        <f>AB98^2</f>
        <v/>
      </c>
    </row>
    <row r="99">
      <c r="A99" t="inlineStr">
        <is>
          <t>BBG000BLPBL5</t>
        </is>
      </c>
      <c r="B99" t="inlineStr">
        <is>
          <t>avb</t>
        </is>
      </c>
      <c r="C99" s="9" t="n">
        <v>-0.01933276798727612</v>
      </c>
      <c r="D99" s="3">
        <f>EXP(0.25*'3b-d Exposures'!G110)</f>
        <v/>
      </c>
      <c r="E99" s="3">
        <f>IF('3b-d Exposures'!C110="",0,'3b-d Exposures'!C110)</f>
        <v/>
      </c>
      <c r="F99" s="3">
        <f>IF('3b-d Exposures'!E110="",0,'3b-d Exposures'!E110)</f>
        <v/>
      </c>
      <c r="G99" s="3">
        <f>IF('3b-d Exposures'!G110="",0,'3b-d Exposures'!G110)</f>
        <v/>
      </c>
      <c r="H99" s="3">
        <f>IF('3b-d Exposures'!I110="",0,'3b-d Exposures'!I110)</f>
        <v/>
      </c>
      <c r="I99" s="3">
        <f>IF('3b-d Exposures'!K110="",0,'3b-d Exposures'!K110)</f>
        <v/>
      </c>
      <c r="J99" s="3">
        <f>IF('3b-d Exposures'!M110="",0,'3b-d Exposures'!M110)</f>
        <v/>
      </c>
      <c r="K99" s="3">
        <f>IF('3b-d Exposures'!O110="",0,'3b-d Exposures'!O110)</f>
        <v/>
      </c>
      <c r="L99" s="3">
        <f>IF('3b-d Exposures'!Q110="",0,'3b-d Exposures'!Q110)</f>
        <v/>
      </c>
      <c r="M99" s="3">
        <f>IF('3b-d Exposures'!S110="",0,'3b-d Exposures'!S110)</f>
        <v/>
      </c>
      <c r="N99" s="3">
        <f>IF('3b-d Exposures'!Z110="",0,'3b-d Exposures'!Z110)</f>
        <v/>
      </c>
      <c r="O99" s="3">
        <f>$D99</f>
        <v/>
      </c>
      <c r="P99" s="3">
        <f>E99*$D99</f>
        <v/>
      </c>
      <c r="Q99" s="3">
        <f>F99*$D99</f>
        <v/>
      </c>
      <c r="R99" s="3">
        <f>G99*$D99</f>
        <v/>
      </c>
      <c r="S99" s="3">
        <f>H99*$D99</f>
        <v/>
      </c>
      <c r="T99" s="3">
        <f>I99*$D99</f>
        <v/>
      </c>
      <c r="U99" s="3">
        <f>J99*$D99</f>
        <v/>
      </c>
      <c r="V99" s="3">
        <f>K99*$D99</f>
        <v/>
      </c>
      <c r="W99" s="3">
        <f>L99*$D99</f>
        <v/>
      </c>
      <c r="X99" s="3">
        <f>M99*$D99</f>
        <v/>
      </c>
      <c r="Y99" s="3">
        <f>N99*$D99</f>
        <v/>
      </c>
      <c r="Z99" s="3">
        <f>C99*$D99</f>
        <v/>
      </c>
      <c r="AA99" s="9">
        <f>$L978+$K978*E99+$J978*F99+$I978*G99+$H978*H99+$G978*I99+$F978*J99+$E978*K99+$D978*L99+$C978*M99+$B978*N99</f>
        <v/>
      </c>
      <c r="AB99" s="9">
        <f>C99-AA99</f>
        <v/>
      </c>
      <c r="AC99" s="4">
        <f>AB99^2</f>
        <v/>
      </c>
    </row>
    <row r="100">
      <c r="A100" t="inlineStr">
        <is>
          <t>BBG00KHY5S69</t>
        </is>
      </c>
      <c r="B100" t="inlineStr">
        <is>
          <t>avgo</t>
        </is>
      </c>
      <c r="C100" s="9" t="n">
        <v>0.02733218655010727</v>
      </c>
      <c r="D100" s="3">
        <f>EXP(0.25*'3b-d Exposures'!G111)</f>
        <v/>
      </c>
      <c r="E100" s="3">
        <f>IF('3b-d Exposures'!C111="",0,'3b-d Exposures'!C111)</f>
        <v/>
      </c>
      <c r="F100" s="3">
        <f>IF('3b-d Exposures'!E111="",0,'3b-d Exposures'!E111)</f>
        <v/>
      </c>
      <c r="G100" s="3">
        <f>IF('3b-d Exposures'!G111="",0,'3b-d Exposures'!G111)</f>
        <v/>
      </c>
      <c r="H100" s="3">
        <f>IF('3b-d Exposures'!I111="",0,'3b-d Exposures'!I111)</f>
        <v/>
      </c>
      <c r="I100" s="3">
        <f>IF('3b-d Exposures'!K111="",0,'3b-d Exposures'!K111)</f>
        <v/>
      </c>
      <c r="J100" s="3">
        <f>IF('3b-d Exposures'!M111="",0,'3b-d Exposures'!M111)</f>
        <v/>
      </c>
      <c r="K100" s="3">
        <f>IF('3b-d Exposures'!O111="",0,'3b-d Exposures'!O111)</f>
        <v/>
      </c>
      <c r="L100" s="3">
        <f>IF('3b-d Exposures'!Q111="",0,'3b-d Exposures'!Q111)</f>
        <v/>
      </c>
      <c r="M100" s="3">
        <f>IF('3b-d Exposures'!S111="",0,'3b-d Exposures'!S111)</f>
        <v/>
      </c>
      <c r="N100" s="3">
        <f>IF('3b-d Exposures'!Z111="",0,'3b-d Exposures'!Z111)</f>
        <v/>
      </c>
      <c r="O100" s="3">
        <f>$D100</f>
        <v/>
      </c>
      <c r="P100" s="3">
        <f>E100*$D100</f>
        <v/>
      </c>
      <c r="Q100" s="3">
        <f>F100*$D100</f>
        <v/>
      </c>
      <c r="R100" s="3">
        <f>G100*$D100</f>
        <v/>
      </c>
      <c r="S100" s="3">
        <f>H100*$D100</f>
        <v/>
      </c>
      <c r="T100" s="3">
        <f>I100*$D100</f>
        <v/>
      </c>
      <c r="U100" s="3">
        <f>J100*$D100</f>
        <v/>
      </c>
      <c r="V100" s="3">
        <f>K100*$D100</f>
        <v/>
      </c>
      <c r="W100" s="3">
        <f>L100*$D100</f>
        <v/>
      </c>
      <c r="X100" s="3">
        <f>M100*$D100</f>
        <v/>
      </c>
      <c r="Y100" s="3">
        <f>N100*$D100</f>
        <v/>
      </c>
      <c r="Z100" s="3">
        <f>C100*$D100</f>
        <v/>
      </c>
      <c r="AA100" s="9">
        <f>$L978+$K978*E100+$J978*F100+$I978*G100+$H978*H100+$G978*I100+$F978*J100+$E978*K100+$D978*L100+$C978*M100+$B978*N100</f>
        <v/>
      </c>
      <c r="AB100" s="9">
        <f>C100-AA100</f>
        <v/>
      </c>
      <c r="AC100" s="4">
        <f>AB100^2</f>
        <v/>
      </c>
    </row>
    <row r="101">
      <c r="A101" t="inlineStr">
        <is>
          <t>BBG00G2HHYD7</t>
        </is>
      </c>
      <c r="B101" t="inlineStr">
        <is>
          <t>avtr</t>
        </is>
      </c>
      <c r="C101" s="9" t="n">
        <v>0.001899378753168257</v>
      </c>
      <c r="D101" s="3">
        <f>EXP(0.25*'3b-d Exposures'!G112)</f>
        <v/>
      </c>
      <c r="E101" s="3">
        <f>IF('3b-d Exposures'!C112="",0,'3b-d Exposures'!C112)</f>
        <v/>
      </c>
      <c r="F101" s="3">
        <f>IF('3b-d Exposures'!E112="",0,'3b-d Exposures'!E112)</f>
        <v/>
      </c>
      <c r="G101" s="3">
        <f>IF('3b-d Exposures'!G112="",0,'3b-d Exposures'!G112)</f>
        <v/>
      </c>
      <c r="H101" s="3">
        <f>IF('3b-d Exposures'!I112="",0,'3b-d Exposures'!I112)</f>
        <v/>
      </c>
      <c r="I101" s="3">
        <f>IF('3b-d Exposures'!K112="",0,'3b-d Exposures'!K112)</f>
        <v/>
      </c>
      <c r="J101" s="3">
        <f>IF('3b-d Exposures'!M112="",0,'3b-d Exposures'!M112)</f>
        <v/>
      </c>
      <c r="K101" s="3">
        <f>IF('3b-d Exposures'!O112="",0,'3b-d Exposures'!O112)</f>
        <v/>
      </c>
      <c r="L101" s="3">
        <f>IF('3b-d Exposures'!Q112="",0,'3b-d Exposures'!Q112)</f>
        <v/>
      </c>
      <c r="M101" s="3">
        <f>IF('3b-d Exposures'!S112="",0,'3b-d Exposures'!S112)</f>
        <v/>
      </c>
      <c r="N101" s="3">
        <f>IF('3b-d Exposures'!Z112="",0,'3b-d Exposures'!Z112)</f>
        <v/>
      </c>
      <c r="O101" s="3">
        <f>$D101</f>
        <v/>
      </c>
      <c r="P101" s="3">
        <f>E101*$D101</f>
        <v/>
      </c>
      <c r="Q101" s="3">
        <f>F101*$D101</f>
        <v/>
      </c>
      <c r="R101" s="3">
        <f>G101*$D101</f>
        <v/>
      </c>
      <c r="S101" s="3">
        <f>H101*$D101</f>
        <v/>
      </c>
      <c r="T101" s="3">
        <f>I101*$D101</f>
        <v/>
      </c>
      <c r="U101" s="3">
        <f>J101*$D101</f>
        <v/>
      </c>
      <c r="V101" s="3">
        <f>K101*$D101</f>
        <v/>
      </c>
      <c r="W101" s="3">
        <f>L101*$D101</f>
        <v/>
      </c>
      <c r="X101" s="3">
        <f>M101*$D101</f>
        <v/>
      </c>
      <c r="Y101" s="3">
        <f>N101*$D101</f>
        <v/>
      </c>
      <c r="Z101" s="3">
        <f>C101*$D101</f>
        <v/>
      </c>
      <c r="AA101" s="9">
        <f>$L978+$K978*E101+$J978*F101+$I978*G101+$H978*H101+$G978*I101+$F978*J101+$E978*K101+$D978*L101+$C978*M101+$B978*N101</f>
        <v/>
      </c>
      <c r="AB101" s="9">
        <f>C101-AA101</f>
        <v/>
      </c>
      <c r="AC101" s="4">
        <f>AB101^2</f>
        <v/>
      </c>
    </row>
    <row r="102">
      <c r="A102" t="inlineStr">
        <is>
          <t>BBG000BCQ4P6</t>
        </is>
      </c>
      <c r="B102" t="inlineStr">
        <is>
          <t>avy</t>
        </is>
      </c>
      <c r="C102" s="9" t="n">
        <v>0.0009226174325269731</v>
      </c>
      <c r="D102" s="3">
        <f>EXP(0.25*'3b-d Exposures'!G113)</f>
        <v/>
      </c>
      <c r="E102" s="3">
        <f>IF('3b-d Exposures'!C113="",0,'3b-d Exposures'!C113)</f>
        <v/>
      </c>
      <c r="F102" s="3">
        <f>IF('3b-d Exposures'!E113="",0,'3b-d Exposures'!E113)</f>
        <v/>
      </c>
      <c r="G102" s="3">
        <f>IF('3b-d Exposures'!G113="",0,'3b-d Exposures'!G113)</f>
        <v/>
      </c>
      <c r="H102" s="3">
        <f>IF('3b-d Exposures'!I113="",0,'3b-d Exposures'!I113)</f>
        <v/>
      </c>
      <c r="I102" s="3">
        <f>IF('3b-d Exposures'!K113="",0,'3b-d Exposures'!K113)</f>
        <v/>
      </c>
      <c r="J102" s="3">
        <f>IF('3b-d Exposures'!M113="",0,'3b-d Exposures'!M113)</f>
        <v/>
      </c>
      <c r="K102" s="3">
        <f>IF('3b-d Exposures'!O113="",0,'3b-d Exposures'!O113)</f>
        <v/>
      </c>
      <c r="L102" s="3">
        <f>IF('3b-d Exposures'!Q113="",0,'3b-d Exposures'!Q113)</f>
        <v/>
      </c>
      <c r="M102" s="3">
        <f>IF('3b-d Exposures'!S113="",0,'3b-d Exposures'!S113)</f>
        <v/>
      </c>
      <c r="N102" s="3">
        <f>IF('3b-d Exposures'!Z113="",0,'3b-d Exposures'!Z113)</f>
        <v/>
      </c>
      <c r="O102" s="3">
        <f>$D102</f>
        <v/>
      </c>
      <c r="P102" s="3">
        <f>E102*$D102</f>
        <v/>
      </c>
      <c r="Q102" s="3">
        <f>F102*$D102</f>
        <v/>
      </c>
      <c r="R102" s="3">
        <f>G102*$D102</f>
        <v/>
      </c>
      <c r="S102" s="3">
        <f>H102*$D102</f>
        <v/>
      </c>
      <c r="T102" s="3">
        <f>I102*$D102</f>
        <v/>
      </c>
      <c r="U102" s="3">
        <f>J102*$D102</f>
        <v/>
      </c>
      <c r="V102" s="3">
        <f>K102*$D102</f>
        <v/>
      </c>
      <c r="W102" s="3">
        <f>L102*$D102</f>
        <v/>
      </c>
      <c r="X102" s="3">
        <f>M102*$D102</f>
        <v/>
      </c>
      <c r="Y102" s="3">
        <f>N102*$D102</f>
        <v/>
      </c>
      <c r="Z102" s="3">
        <f>C102*$D102</f>
        <v/>
      </c>
      <c r="AA102" s="9">
        <f>$L978+$K978*E102+$J978*F102+$I978*G102+$H978*H102+$G978*I102+$F978*J102+$E978*K102+$D978*L102+$C978*M102+$B978*N102</f>
        <v/>
      </c>
      <c r="AB102" s="9">
        <f>C102-AA102</f>
        <v/>
      </c>
      <c r="AC102" s="4">
        <f>AB102^2</f>
        <v/>
      </c>
    </row>
    <row r="103">
      <c r="A103" t="inlineStr">
        <is>
          <t>BBG000TRJ294</t>
        </is>
      </c>
      <c r="B103" t="inlineStr">
        <is>
          <t>awk</t>
        </is>
      </c>
      <c r="C103" s="9" t="n">
        <v>-0.009785270221587483</v>
      </c>
      <c r="D103" s="3">
        <f>EXP(0.25*'3b-d Exposures'!G114)</f>
        <v/>
      </c>
      <c r="E103" s="3">
        <f>IF('3b-d Exposures'!C114="",0,'3b-d Exposures'!C114)</f>
        <v/>
      </c>
      <c r="F103" s="3">
        <f>IF('3b-d Exposures'!E114="",0,'3b-d Exposures'!E114)</f>
        <v/>
      </c>
      <c r="G103" s="3">
        <f>IF('3b-d Exposures'!G114="",0,'3b-d Exposures'!G114)</f>
        <v/>
      </c>
      <c r="H103" s="3">
        <f>IF('3b-d Exposures'!I114="",0,'3b-d Exposures'!I114)</f>
        <v/>
      </c>
      <c r="I103" s="3">
        <f>IF('3b-d Exposures'!K114="",0,'3b-d Exposures'!K114)</f>
        <v/>
      </c>
      <c r="J103" s="3">
        <f>IF('3b-d Exposures'!M114="",0,'3b-d Exposures'!M114)</f>
        <v/>
      </c>
      <c r="K103" s="3">
        <f>IF('3b-d Exposures'!O114="",0,'3b-d Exposures'!O114)</f>
        <v/>
      </c>
      <c r="L103" s="3">
        <f>IF('3b-d Exposures'!Q114="",0,'3b-d Exposures'!Q114)</f>
        <v/>
      </c>
      <c r="M103" s="3">
        <f>IF('3b-d Exposures'!S114="",0,'3b-d Exposures'!S114)</f>
        <v/>
      </c>
      <c r="N103" s="3">
        <f>IF('3b-d Exposures'!Z114="",0,'3b-d Exposures'!Z114)</f>
        <v/>
      </c>
      <c r="O103" s="3">
        <f>$D103</f>
        <v/>
      </c>
      <c r="P103" s="3">
        <f>E103*$D103</f>
        <v/>
      </c>
      <c r="Q103" s="3">
        <f>F103*$D103</f>
        <v/>
      </c>
      <c r="R103" s="3">
        <f>G103*$D103</f>
        <v/>
      </c>
      <c r="S103" s="3">
        <f>H103*$D103</f>
        <v/>
      </c>
      <c r="T103" s="3">
        <f>I103*$D103</f>
        <v/>
      </c>
      <c r="U103" s="3">
        <f>J103*$D103</f>
        <v/>
      </c>
      <c r="V103" s="3">
        <f>K103*$D103</f>
        <v/>
      </c>
      <c r="W103" s="3">
        <f>L103*$D103</f>
        <v/>
      </c>
      <c r="X103" s="3">
        <f>M103*$D103</f>
        <v/>
      </c>
      <c r="Y103" s="3">
        <f>N103*$D103</f>
        <v/>
      </c>
      <c r="Z103" s="3">
        <f>C103*$D103</f>
        <v/>
      </c>
      <c r="AA103" s="9">
        <f>$L978+$K978*E103+$J978*F103+$I978*G103+$H978*H103+$G978*I103+$F978*J103+$E978*K103+$D978*L103+$C978*M103+$B978*N103</f>
        <v/>
      </c>
      <c r="AB103" s="9">
        <f>C103-AA103</f>
        <v/>
      </c>
      <c r="AC103" s="4">
        <f>AB103^2</f>
        <v/>
      </c>
    </row>
    <row r="104">
      <c r="A104" t="inlineStr">
        <is>
          <t>axon</t>
        </is>
      </c>
      <c r="B104" t="inlineStr">
        <is>
          <t>axon</t>
        </is>
      </c>
      <c r="C104" s="9" t="n">
        <v>-0.01633796056206005</v>
      </c>
      <c r="D104" s="3">
        <f>EXP(0.25*'3b-d Exposures'!G116)</f>
        <v/>
      </c>
      <c r="E104" s="3">
        <f>IF('3b-d Exposures'!C116="",0,'3b-d Exposures'!C116)</f>
        <v/>
      </c>
      <c r="F104" s="3">
        <f>IF('3b-d Exposures'!E116="",0,'3b-d Exposures'!E116)</f>
        <v/>
      </c>
      <c r="G104" s="3">
        <f>IF('3b-d Exposures'!G116="",0,'3b-d Exposures'!G116)</f>
        <v/>
      </c>
      <c r="H104" s="3">
        <f>IF('3b-d Exposures'!I116="",0,'3b-d Exposures'!I116)</f>
        <v/>
      </c>
      <c r="I104" s="3">
        <f>IF('3b-d Exposures'!K116="",0,'3b-d Exposures'!K116)</f>
        <v/>
      </c>
      <c r="J104" s="3">
        <f>IF('3b-d Exposures'!M116="",0,'3b-d Exposures'!M116)</f>
        <v/>
      </c>
      <c r="K104" s="3">
        <f>IF('3b-d Exposures'!O116="",0,'3b-d Exposures'!O116)</f>
        <v/>
      </c>
      <c r="L104" s="3">
        <f>IF('3b-d Exposures'!Q116="",0,'3b-d Exposures'!Q116)</f>
        <v/>
      </c>
      <c r="M104" s="3">
        <f>IF('3b-d Exposures'!S116="",0,'3b-d Exposures'!S116)</f>
        <v/>
      </c>
      <c r="N104" s="3">
        <f>IF('3b-d Exposures'!Z116="",0,'3b-d Exposures'!Z116)</f>
        <v/>
      </c>
      <c r="O104" s="3">
        <f>$D104</f>
        <v/>
      </c>
      <c r="P104" s="3">
        <f>E104*$D104</f>
        <v/>
      </c>
      <c r="Q104" s="3">
        <f>F104*$D104</f>
        <v/>
      </c>
      <c r="R104" s="3">
        <f>G104*$D104</f>
        <v/>
      </c>
      <c r="S104" s="3">
        <f>H104*$D104</f>
        <v/>
      </c>
      <c r="T104" s="3">
        <f>I104*$D104</f>
        <v/>
      </c>
      <c r="U104" s="3">
        <f>J104*$D104</f>
        <v/>
      </c>
      <c r="V104" s="3">
        <f>K104*$D104</f>
        <v/>
      </c>
      <c r="W104" s="3">
        <f>L104*$D104</f>
        <v/>
      </c>
      <c r="X104" s="3">
        <f>M104*$D104</f>
        <v/>
      </c>
      <c r="Y104" s="3">
        <f>N104*$D104</f>
        <v/>
      </c>
      <c r="Z104" s="3">
        <f>C104*$D104</f>
        <v/>
      </c>
      <c r="AA104" s="9">
        <f>$L978+$K978*E104+$J978*F104+$I978*G104+$H978*H104+$G978*I104+$F978*J104+$E978*K104+$D978*L104+$C978*M104+$B978*N104</f>
        <v/>
      </c>
      <c r="AB104" s="9">
        <f>C104-AA104</f>
        <v/>
      </c>
      <c r="AC104" s="4">
        <f>AB104^2</f>
        <v/>
      </c>
    </row>
    <row r="105">
      <c r="A105" t="inlineStr">
        <is>
          <t>BBG000BCQZS4</t>
        </is>
      </c>
      <c r="B105" t="inlineStr">
        <is>
          <t>axp</t>
        </is>
      </c>
      <c r="C105" s="9" t="n">
        <v>-0.00794267496084744</v>
      </c>
      <c r="D105" s="3">
        <f>EXP(0.25*'3b-d Exposures'!G117)</f>
        <v/>
      </c>
      <c r="E105" s="3">
        <f>IF('3b-d Exposures'!C117="",0,'3b-d Exposures'!C117)</f>
        <v/>
      </c>
      <c r="F105" s="3">
        <f>IF('3b-d Exposures'!E117="",0,'3b-d Exposures'!E117)</f>
        <v/>
      </c>
      <c r="G105" s="3">
        <f>IF('3b-d Exposures'!G117="",0,'3b-d Exposures'!G117)</f>
        <v/>
      </c>
      <c r="H105" s="3">
        <f>IF('3b-d Exposures'!I117="",0,'3b-d Exposures'!I117)</f>
        <v/>
      </c>
      <c r="I105" s="3">
        <f>IF('3b-d Exposures'!K117="",0,'3b-d Exposures'!K117)</f>
        <v/>
      </c>
      <c r="J105" s="3">
        <f>IF('3b-d Exposures'!M117="",0,'3b-d Exposures'!M117)</f>
        <v/>
      </c>
      <c r="K105" s="3">
        <f>IF('3b-d Exposures'!O117="",0,'3b-d Exposures'!O117)</f>
        <v/>
      </c>
      <c r="L105" s="3">
        <f>IF('3b-d Exposures'!Q117="",0,'3b-d Exposures'!Q117)</f>
        <v/>
      </c>
      <c r="M105" s="3">
        <f>IF('3b-d Exposures'!S117="",0,'3b-d Exposures'!S117)</f>
        <v/>
      </c>
      <c r="N105" s="3">
        <f>IF('3b-d Exposures'!Z117="",0,'3b-d Exposures'!Z117)</f>
        <v/>
      </c>
      <c r="O105" s="3">
        <f>$D105</f>
        <v/>
      </c>
      <c r="P105" s="3">
        <f>E105*$D105</f>
        <v/>
      </c>
      <c r="Q105" s="3">
        <f>F105*$D105</f>
        <v/>
      </c>
      <c r="R105" s="3">
        <f>G105*$D105</f>
        <v/>
      </c>
      <c r="S105" s="3">
        <f>H105*$D105</f>
        <v/>
      </c>
      <c r="T105" s="3">
        <f>I105*$D105</f>
        <v/>
      </c>
      <c r="U105" s="3">
        <f>J105*$D105</f>
        <v/>
      </c>
      <c r="V105" s="3">
        <f>K105*$D105</f>
        <v/>
      </c>
      <c r="W105" s="3">
        <f>L105*$D105</f>
        <v/>
      </c>
      <c r="X105" s="3">
        <f>M105*$D105</f>
        <v/>
      </c>
      <c r="Y105" s="3">
        <f>N105*$D105</f>
        <v/>
      </c>
      <c r="Z105" s="3">
        <f>C105*$D105</f>
        <v/>
      </c>
      <c r="AA105" s="9">
        <f>$L978+$K978*E105+$J978*F105+$I978*G105+$H978*H105+$G978*I105+$F978*J105+$E978*K105+$D978*L105+$C978*M105+$B978*N105</f>
        <v/>
      </c>
      <c r="AB105" s="9">
        <f>C105-AA105</f>
        <v/>
      </c>
      <c r="AC105" s="4">
        <f>AB105^2</f>
        <v/>
      </c>
    </row>
    <row r="106">
      <c r="A106" t="inlineStr">
        <is>
          <t>BBG000BJ5HK0</t>
        </is>
      </c>
      <c r="B106" t="inlineStr">
        <is>
          <t>ayi</t>
        </is>
      </c>
      <c r="C106" s="9" t="n">
        <v>0.004303367545563708</v>
      </c>
      <c r="D106" s="3">
        <f>EXP(0.25*'3b-d Exposures'!G118)</f>
        <v/>
      </c>
      <c r="E106" s="3">
        <f>IF('3b-d Exposures'!C118="",0,'3b-d Exposures'!C118)</f>
        <v/>
      </c>
      <c r="F106" s="3">
        <f>IF('3b-d Exposures'!E118="",0,'3b-d Exposures'!E118)</f>
        <v/>
      </c>
      <c r="G106" s="3">
        <f>IF('3b-d Exposures'!G118="",0,'3b-d Exposures'!G118)</f>
        <v/>
      </c>
      <c r="H106" s="3">
        <f>IF('3b-d Exposures'!I118="",0,'3b-d Exposures'!I118)</f>
        <v/>
      </c>
      <c r="I106" s="3">
        <f>IF('3b-d Exposures'!K118="",0,'3b-d Exposures'!K118)</f>
        <v/>
      </c>
      <c r="J106" s="3">
        <f>IF('3b-d Exposures'!M118="",0,'3b-d Exposures'!M118)</f>
        <v/>
      </c>
      <c r="K106" s="3">
        <f>IF('3b-d Exposures'!O118="",0,'3b-d Exposures'!O118)</f>
        <v/>
      </c>
      <c r="L106" s="3">
        <f>IF('3b-d Exposures'!Q118="",0,'3b-d Exposures'!Q118)</f>
        <v/>
      </c>
      <c r="M106" s="3">
        <f>IF('3b-d Exposures'!S118="",0,'3b-d Exposures'!S118)</f>
        <v/>
      </c>
      <c r="N106" s="3">
        <f>IF('3b-d Exposures'!Z118="",0,'3b-d Exposures'!Z118)</f>
        <v/>
      </c>
      <c r="O106" s="3">
        <f>$D106</f>
        <v/>
      </c>
      <c r="P106" s="3">
        <f>E106*$D106</f>
        <v/>
      </c>
      <c r="Q106" s="3">
        <f>F106*$D106</f>
        <v/>
      </c>
      <c r="R106" s="3">
        <f>G106*$D106</f>
        <v/>
      </c>
      <c r="S106" s="3">
        <f>H106*$D106</f>
        <v/>
      </c>
      <c r="T106" s="3">
        <f>I106*$D106</f>
        <v/>
      </c>
      <c r="U106" s="3">
        <f>J106*$D106</f>
        <v/>
      </c>
      <c r="V106" s="3">
        <f>K106*$D106</f>
        <v/>
      </c>
      <c r="W106" s="3">
        <f>L106*$D106</f>
        <v/>
      </c>
      <c r="X106" s="3">
        <f>M106*$D106</f>
        <v/>
      </c>
      <c r="Y106" s="3">
        <f>N106*$D106</f>
        <v/>
      </c>
      <c r="Z106" s="3">
        <f>C106*$D106</f>
        <v/>
      </c>
      <c r="AA106" s="9">
        <f>$L978+$K978*E106+$J978*F106+$I978*G106+$H978*H106+$G978*I106+$F978*J106+$E978*K106+$D978*L106+$C978*M106+$B978*N106</f>
        <v/>
      </c>
      <c r="AB106" s="9">
        <f>C106-AA106</f>
        <v/>
      </c>
      <c r="AC106" s="4">
        <f>AB106^2</f>
        <v/>
      </c>
    </row>
    <row r="107">
      <c r="A107" t="inlineStr">
        <is>
          <t>BBG000C7LMS8</t>
        </is>
      </c>
      <c r="B107" t="inlineStr">
        <is>
          <t>azo</t>
        </is>
      </c>
      <c r="C107" s="9" t="n">
        <v>0.003148715695575177</v>
      </c>
      <c r="D107" s="3">
        <f>EXP(0.25*'3b-d Exposures'!G119)</f>
        <v/>
      </c>
      <c r="E107" s="3">
        <f>IF('3b-d Exposures'!C119="",0,'3b-d Exposures'!C119)</f>
        <v/>
      </c>
      <c r="F107" s="3">
        <f>IF('3b-d Exposures'!E119="",0,'3b-d Exposures'!E119)</f>
        <v/>
      </c>
      <c r="G107" s="3">
        <f>IF('3b-d Exposures'!G119="",0,'3b-d Exposures'!G119)</f>
        <v/>
      </c>
      <c r="H107" s="3">
        <f>IF('3b-d Exposures'!I119="",0,'3b-d Exposures'!I119)</f>
        <v/>
      </c>
      <c r="I107" s="3">
        <f>IF('3b-d Exposures'!K119="",0,'3b-d Exposures'!K119)</f>
        <v/>
      </c>
      <c r="J107" s="3">
        <f>IF('3b-d Exposures'!M119="",0,'3b-d Exposures'!M119)</f>
        <v/>
      </c>
      <c r="K107" s="3">
        <f>IF('3b-d Exposures'!O119="",0,'3b-d Exposures'!O119)</f>
        <v/>
      </c>
      <c r="L107" s="3">
        <f>IF('3b-d Exposures'!Q119="",0,'3b-d Exposures'!Q119)</f>
        <v/>
      </c>
      <c r="M107" s="3">
        <f>IF('3b-d Exposures'!S119="",0,'3b-d Exposures'!S119)</f>
        <v/>
      </c>
      <c r="N107" s="3">
        <f>IF('3b-d Exposures'!Z119="",0,'3b-d Exposures'!Z119)</f>
        <v/>
      </c>
      <c r="O107" s="3">
        <f>$D107</f>
        <v/>
      </c>
      <c r="P107" s="3">
        <f>E107*$D107</f>
        <v/>
      </c>
      <c r="Q107" s="3">
        <f>F107*$D107</f>
        <v/>
      </c>
      <c r="R107" s="3">
        <f>G107*$D107</f>
        <v/>
      </c>
      <c r="S107" s="3">
        <f>H107*$D107</f>
        <v/>
      </c>
      <c r="T107" s="3">
        <f>I107*$D107</f>
        <v/>
      </c>
      <c r="U107" s="3">
        <f>J107*$D107</f>
        <v/>
      </c>
      <c r="V107" s="3">
        <f>K107*$D107</f>
        <v/>
      </c>
      <c r="W107" s="3">
        <f>L107*$D107</f>
        <v/>
      </c>
      <c r="X107" s="3">
        <f>M107*$D107</f>
        <v/>
      </c>
      <c r="Y107" s="3">
        <f>N107*$D107</f>
        <v/>
      </c>
      <c r="Z107" s="3">
        <f>C107*$D107</f>
        <v/>
      </c>
      <c r="AA107" s="9">
        <f>$L978+$K978*E107+$J978*F107+$I978*G107+$H978*H107+$G978*I107+$F978*J107+$E978*K107+$D978*L107+$C978*M107+$B978*N107</f>
        <v/>
      </c>
      <c r="AB107" s="9">
        <f>C107-AA107</f>
        <v/>
      </c>
      <c r="AC107" s="4">
        <f>AB107^2</f>
        <v/>
      </c>
    </row>
    <row r="108">
      <c r="A108" t="inlineStr">
        <is>
          <t>BBG000BCSST7</t>
        </is>
      </c>
      <c r="B108" t="inlineStr">
        <is>
          <t>ba</t>
        </is>
      </c>
      <c r="C108" s="9" t="n">
        <v>0.007076626527596774</v>
      </c>
      <c r="D108" s="3">
        <f>EXP(0.25*'3b-d Exposures'!G120)</f>
        <v/>
      </c>
      <c r="E108" s="3">
        <f>IF('3b-d Exposures'!C120="",0,'3b-d Exposures'!C120)</f>
        <v/>
      </c>
      <c r="F108" s="3">
        <f>IF('3b-d Exposures'!E120="",0,'3b-d Exposures'!E120)</f>
        <v/>
      </c>
      <c r="G108" s="3">
        <f>IF('3b-d Exposures'!G120="",0,'3b-d Exposures'!G120)</f>
        <v/>
      </c>
      <c r="H108" s="3">
        <f>IF('3b-d Exposures'!I120="",0,'3b-d Exposures'!I120)</f>
        <v/>
      </c>
      <c r="I108" s="3">
        <f>IF('3b-d Exposures'!K120="",0,'3b-d Exposures'!K120)</f>
        <v/>
      </c>
      <c r="J108" s="3">
        <f>IF('3b-d Exposures'!M120="",0,'3b-d Exposures'!M120)</f>
        <v/>
      </c>
      <c r="K108" s="3">
        <f>IF('3b-d Exposures'!O120="",0,'3b-d Exposures'!O120)</f>
        <v/>
      </c>
      <c r="L108" s="3">
        <f>IF('3b-d Exposures'!Q120="",0,'3b-d Exposures'!Q120)</f>
        <v/>
      </c>
      <c r="M108" s="3">
        <f>IF('3b-d Exposures'!S120="",0,'3b-d Exposures'!S120)</f>
        <v/>
      </c>
      <c r="N108" s="3">
        <f>IF('3b-d Exposures'!Z120="",0,'3b-d Exposures'!Z120)</f>
        <v/>
      </c>
      <c r="O108" s="3">
        <f>$D108</f>
        <v/>
      </c>
      <c r="P108" s="3">
        <f>E108*$D108</f>
        <v/>
      </c>
      <c r="Q108" s="3">
        <f>F108*$D108</f>
        <v/>
      </c>
      <c r="R108" s="3">
        <f>G108*$D108</f>
        <v/>
      </c>
      <c r="S108" s="3">
        <f>H108*$D108</f>
        <v/>
      </c>
      <c r="T108" s="3">
        <f>I108*$D108</f>
        <v/>
      </c>
      <c r="U108" s="3">
        <f>J108*$D108</f>
        <v/>
      </c>
      <c r="V108" s="3">
        <f>K108*$D108</f>
        <v/>
      </c>
      <c r="W108" s="3">
        <f>L108*$D108</f>
        <v/>
      </c>
      <c r="X108" s="3">
        <f>M108*$D108</f>
        <v/>
      </c>
      <c r="Y108" s="3">
        <f>N108*$D108</f>
        <v/>
      </c>
      <c r="Z108" s="3">
        <f>C108*$D108</f>
        <v/>
      </c>
      <c r="AA108" s="9">
        <f>$L978+$K978*E108+$J978*F108+$I978*G108+$H978*H108+$G978*I108+$F978*J108+$E978*K108+$D978*L108+$C978*M108+$B978*N108</f>
        <v/>
      </c>
      <c r="AB108" s="9">
        <f>C108-AA108</f>
        <v/>
      </c>
      <c r="AC108" s="4">
        <f>AB108^2</f>
        <v/>
      </c>
    </row>
    <row r="109">
      <c r="A109" s="5" t="inlineStr">
        <is>
          <t>BBG006G2JVL2</t>
        </is>
      </c>
      <c r="B109" s="5" t="inlineStr">
        <is>
          <t>baba</t>
        </is>
      </c>
      <c r="C109" s="10" t="n">
        <v>-0.01625279966132986</v>
      </c>
      <c r="D109" s="6">
        <f>EXP(0.25*'3b-d Exposures'!G121)</f>
        <v/>
      </c>
      <c r="E109" s="6">
        <f>IF('3b-d Exposures'!C121="",0,'3b-d Exposures'!C121)</f>
        <v/>
      </c>
      <c r="F109" s="6">
        <f>IF('3b-d Exposures'!E121="",0,'3b-d Exposures'!E121)</f>
        <v/>
      </c>
      <c r="G109" s="6">
        <f>IF('3b-d Exposures'!G121="",0,'3b-d Exposures'!G121)</f>
        <v/>
      </c>
      <c r="H109" s="6">
        <f>IF('3b-d Exposures'!I121="",0,'3b-d Exposures'!I121)</f>
        <v/>
      </c>
      <c r="I109" s="6">
        <f>IF('3b-d Exposures'!K121="",0,'3b-d Exposures'!K121)</f>
        <v/>
      </c>
      <c r="J109" s="6">
        <f>IF('3b-d Exposures'!M121="",0,'3b-d Exposures'!M121)</f>
        <v/>
      </c>
      <c r="K109" s="6">
        <f>IF('3b-d Exposures'!O121="",0,'3b-d Exposures'!O121)</f>
        <v/>
      </c>
      <c r="L109" s="6">
        <f>IF('3b-d Exposures'!Q121="",0,'3b-d Exposures'!Q121)</f>
        <v/>
      </c>
      <c r="M109" s="6">
        <f>IF('3b-d Exposures'!S121="",0,'3b-d Exposures'!S121)</f>
        <v/>
      </c>
      <c r="N109" s="6">
        <f>IF('3b-d Exposures'!Z121="",0,'3b-d Exposures'!Z121)</f>
        <v/>
      </c>
      <c r="O109" s="6">
        <f>$D109</f>
        <v/>
      </c>
      <c r="P109" s="6">
        <f>E109*$D109</f>
        <v/>
      </c>
      <c r="Q109" s="6">
        <f>F109*$D109</f>
        <v/>
      </c>
      <c r="R109" s="6">
        <f>G109*$D109</f>
        <v/>
      </c>
      <c r="S109" s="6">
        <f>H109*$D109</f>
        <v/>
      </c>
      <c r="T109" s="6">
        <f>I109*$D109</f>
        <v/>
      </c>
      <c r="U109" s="6">
        <f>J109*$D109</f>
        <v/>
      </c>
      <c r="V109" s="6">
        <f>K109*$D109</f>
        <v/>
      </c>
      <c r="W109" s="6">
        <f>L109*$D109</f>
        <v/>
      </c>
      <c r="X109" s="6">
        <f>M109*$D109</f>
        <v/>
      </c>
      <c r="Y109" s="6">
        <f>N109*$D109</f>
        <v/>
      </c>
      <c r="Z109" s="6">
        <f>C109*$D109</f>
        <v/>
      </c>
      <c r="AA109" s="10">
        <f>$L978+$K978*E109+$J978*F109+$I978*G109+$H978*H109+$G978*I109+$F978*J109+$E978*K109+$D978*L109+$C978*M109+$B978*N109</f>
        <v/>
      </c>
      <c r="AB109" s="10">
        <f>C109-AA109</f>
        <v/>
      </c>
      <c r="AC109" s="7">
        <f>AB109^2</f>
        <v/>
      </c>
    </row>
    <row r="110">
      <c r="A110" t="inlineStr">
        <is>
          <t>BBG000BCTLF6</t>
        </is>
      </c>
      <c r="B110" t="inlineStr">
        <is>
          <t>bac</t>
        </is>
      </c>
      <c r="C110" s="9" t="n">
        <v>-0.009892583097138474</v>
      </c>
      <c r="D110" s="3">
        <f>EXP(0.25*'3b-d Exposures'!G122)</f>
        <v/>
      </c>
      <c r="E110" s="3">
        <f>IF('3b-d Exposures'!C122="",0,'3b-d Exposures'!C122)</f>
        <v/>
      </c>
      <c r="F110" s="3">
        <f>IF('3b-d Exposures'!E122="",0,'3b-d Exposures'!E122)</f>
        <v/>
      </c>
      <c r="G110" s="3">
        <f>IF('3b-d Exposures'!G122="",0,'3b-d Exposures'!G122)</f>
        <v/>
      </c>
      <c r="H110" s="3">
        <f>IF('3b-d Exposures'!I122="",0,'3b-d Exposures'!I122)</f>
        <v/>
      </c>
      <c r="I110" s="3">
        <f>IF('3b-d Exposures'!K122="",0,'3b-d Exposures'!K122)</f>
        <v/>
      </c>
      <c r="J110" s="3">
        <f>IF('3b-d Exposures'!M122="",0,'3b-d Exposures'!M122)</f>
        <v/>
      </c>
      <c r="K110" s="3">
        <f>IF('3b-d Exposures'!O122="",0,'3b-d Exposures'!O122)</f>
        <v/>
      </c>
      <c r="L110" s="3">
        <f>IF('3b-d Exposures'!Q122="",0,'3b-d Exposures'!Q122)</f>
        <v/>
      </c>
      <c r="M110" s="3">
        <f>IF('3b-d Exposures'!S122="",0,'3b-d Exposures'!S122)</f>
        <v/>
      </c>
      <c r="N110" s="3">
        <f>IF('3b-d Exposures'!Z122="",0,'3b-d Exposures'!Z122)</f>
        <v/>
      </c>
      <c r="O110" s="3">
        <f>$D110</f>
        <v/>
      </c>
      <c r="P110" s="3">
        <f>E110*$D110</f>
        <v/>
      </c>
      <c r="Q110" s="3">
        <f>F110*$D110</f>
        <v/>
      </c>
      <c r="R110" s="3">
        <f>G110*$D110</f>
        <v/>
      </c>
      <c r="S110" s="3">
        <f>H110*$D110</f>
        <v/>
      </c>
      <c r="T110" s="3">
        <f>I110*$D110</f>
        <v/>
      </c>
      <c r="U110" s="3">
        <f>J110*$D110</f>
        <v/>
      </c>
      <c r="V110" s="3">
        <f>K110*$D110</f>
        <v/>
      </c>
      <c r="W110" s="3">
        <f>L110*$D110</f>
        <v/>
      </c>
      <c r="X110" s="3">
        <f>M110*$D110</f>
        <v/>
      </c>
      <c r="Y110" s="3">
        <f>N110*$D110</f>
        <v/>
      </c>
      <c r="Z110" s="3">
        <f>C110*$D110</f>
        <v/>
      </c>
      <c r="AA110" s="9">
        <f>$L978+$K978*E110+$J978*F110+$I978*G110+$H978*H110+$G978*I110+$F978*J110+$E978*K110+$D978*L110+$C978*M110+$B978*N110</f>
        <v/>
      </c>
      <c r="AB110" s="9">
        <f>C110-AA110</f>
        <v/>
      </c>
      <c r="AC110" s="4">
        <f>AB110^2</f>
        <v/>
      </c>
    </row>
    <row r="111">
      <c r="A111" t="inlineStr">
        <is>
          <t>BBG000R2YFG7</t>
        </is>
      </c>
      <c r="B111" t="inlineStr">
        <is>
          <t>bah</t>
        </is>
      </c>
      <c r="C111" s="9" t="n">
        <v>0.003644270953516493</v>
      </c>
      <c r="D111" s="3">
        <f>EXP(0.25*'3b-d Exposures'!G123)</f>
        <v/>
      </c>
      <c r="E111" s="3">
        <f>IF('3b-d Exposures'!C123="",0,'3b-d Exposures'!C123)</f>
        <v/>
      </c>
      <c r="F111" s="3">
        <f>IF('3b-d Exposures'!E123="",0,'3b-d Exposures'!E123)</f>
        <v/>
      </c>
      <c r="G111" s="3">
        <f>IF('3b-d Exposures'!G123="",0,'3b-d Exposures'!G123)</f>
        <v/>
      </c>
      <c r="H111" s="3">
        <f>IF('3b-d Exposures'!I123="",0,'3b-d Exposures'!I123)</f>
        <v/>
      </c>
      <c r="I111" s="3">
        <f>IF('3b-d Exposures'!K123="",0,'3b-d Exposures'!K123)</f>
        <v/>
      </c>
      <c r="J111" s="3">
        <f>IF('3b-d Exposures'!M123="",0,'3b-d Exposures'!M123)</f>
        <v/>
      </c>
      <c r="K111" s="3">
        <f>IF('3b-d Exposures'!O123="",0,'3b-d Exposures'!O123)</f>
        <v/>
      </c>
      <c r="L111" s="3">
        <f>IF('3b-d Exposures'!Q123="",0,'3b-d Exposures'!Q123)</f>
        <v/>
      </c>
      <c r="M111" s="3">
        <f>IF('3b-d Exposures'!S123="",0,'3b-d Exposures'!S123)</f>
        <v/>
      </c>
      <c r="N111" s="3">
        <f>IF('3b-d Exposures'!Z123="",0,'3b-d Exposures'!Z123)</f>
        <v/>
      </c>
      <c r="O111" s="3">
        <f>$D111</f>
        <v/>
      </c>
      <c r="P111" s="3">
        <f>E111*$D111</f>
        <v/>
      </c>
      <c r="Q111" s="3">
        <f>F111*$D111</f>
        <v/>
      </c>
      <c r="R111" s="3">
        <f>G111*$D111</f>
        <v/>
      </c>
      <c r="S111" s="3">
        <f>H111*$D111</f>
        <v/>
      </c>
      <c r="T111" s="3">
        <f>I111*$D111</f>
        <v/>
      </c>
      <c r="U111" s="3">
        <f>J111*$D111</f>
        <v/>
      </c>
      <c r="V111" s="3">
        <f>K111*$D111</f>
        <v/>
      </c>
      <c r="W111" s="3">
        <f>L111*$D111</f>
        <v/>
      </c>
      <c r="X111" s="3">
        <f>M111*$D111</f>
        <v/>
      </c>
      <c r="Y111" s="3">
        <f>N111*$D111</f>
        <v/>
      </c>
      <c r="Z111" s="3">
        <f>C111*$D111</f>
        <v/>
      </c>
      <c r="AA111" s="9">
        <f>$L978+$K978*E111+$J978*F111+$I978*G111+$H978*H111+$G978*I111+$F978*J111+$E978*K111+$D978*L111+$C978*M111+$B978*N111</f>
        <v/>
      </c>
      <c r="AB111" s="9">
        <f>C111-AA111</f>
        <v/>
      </c>
      <c r="AC111" s="4">
        <f>AB111^2</f>
        <v/>
      </c>
    </row>
    <row r="112">
      <c r="A112" t="inlineStr">
        <is>
          <t>BBG000BDDNH5</t>
        </is>
      </c>
      <c r="B112" t="inlineStr">
        <is>
          <t>ball</t>
        </is>
      </c>
      <c r="C112" s="9" t="n">
        <v>0.01404139534816395</v>
      </c>
      <c r="D112" s="3">
        <f>EXP(0.25*'3b-d Exposures'!G124)</f>
        <v/>
      </c>
      <c r="E112" s="3">
        <f>IF('3b-d Exposures'!C124="",0,'3b-d Exposures'!C124)</f>
        <v/>
      </c>
      <c r="F112" s="3">
        <f>IF('3b-d Exposures'!E124="",0,'3b-d Exposures'!E124)</f>
        <v/>
      </c>
      <c r="G112" s="3">
        <f>IF('3b-d Exposures'!G124="",0,'3b-d Exposures'!G124)</f>
        <v/>
      </c>
      <c r="H112" s="3">
        <f>IF('3b-d Exposures'!I124="",0,'3b-d Exposures'!I124)</f>
        <v/>
      </c>
      <c r="I112" s="3">
        <f>IF('3b-d Exposures'!K124="",0,'3b-d Exposures'!K124)</f>
        <v/>
      </c>
      <c r="J112" s="3">
        <f>IF('3b-d Exposures'!M124="",0,'3b-d Exposures'!M124)</f>
        <v/>
      </c>
      <c r="K112" s="3">
        <f>IF('3b-d Exposures'!O124="",0,'3b-d Exposures'!O124)</f>
        <v/>
      </c>
      <c r="L112" s="3">
        <f>IF('3b-d Exposures'!Q124="",0,'3b-d Exposures'!Q124)</f>
        <v/>
      </c>
      <c r="M112" s="3">
        <f>IF('3b-d Exposures'!S124="",0,'3b-d Exposures'!S124)</f>
        <v/>
      </c>
      <c r="N112" s="3">
        <f>IF('3b-d Exposures'!Z124="",0,'3b-d Exposures'!Z124)</f>
        <v/>
      </c>
      <c r="O112" s="3">
        <f>$D112</f>
        <v/>
      </c>
      <c r="P112" s="3">
        <f>E112*$D112</f>
        <v/>
      </c>
      <c r="Q112" s="3">
        <f>F112*$D112</f>
        <v/>
      </c>
      <c r="R112" s="3">
        <f>G112*$D112</f>
        <v/>
      </c>
      <c r="S112" s="3">
        <f>H112*$D112</f>
        <v/>
      </c>
      <c r="T112" s="3">
        <f>I112*$D112</f>
        <v/>
      </c>
      <c r="U112" s="3">
        <f>J112*$D112</f>
        <v/>
      </c>
      <c r="V112" s="3">
        <f>K112*$D112</f>
        <v/>
      </c>
      <c r="W112" s="3">
        <f>L112*$D112</f>
        <v/>
      </c>
      <c r="X112" s="3">
        <f>M112*$D112</f>
        <v/>
      </c>
      <c r="Y112" s="3">
        <f>N112*$D112</f>
        <v/>
      </c>
      <c r="Z112" s="3">
        <f>C112*$D112</f>
        <v/>
      </c>
      <c r="AA112" s="9">
        <f>$L978+$K978*E112+$J978*F112+$I978*G112+$H978*H112+$G978*I112+$F978*J112+$E978*K112+$D978*L112+$C978*M112+$B978*N112</f>
        <v/>
      </c>
      <c r="AB112" s="9">
        <f>C112-AA112</f>
        <v/>
      </c>
      <c r="AC112" s="4">
        <f>AB112^2</f>
        <v/>
      </c>
    </row>
    <row r="113">
      <c r="A113" t="inlineStr">
        <is>
          <t>BBG000BCVJ77</t>
        </is>
      </c>
      <c r="B113" t="inlineStr">
        <is>
          <t>bax</t>
        </is>
      </c>
      <c r="C113" s="9" t="n">
        <v>-0.004746464831102415</v>
      </c>
      <c r="D113" s="3">
        <f>EXP(0.25*'3b-d Exposures'!G127)</f>
        <v/>
      </c>
      <c r="E113" s="3">
        <f>IF('3b-d Exposures'!C127="",0,'3b-d Exposures'!C127)</f>
        <v/>
      </c>
      <c r="F113" s="3">
        <f>IF('3b-d Exposures'!E127="",0,'3b-d Exposures'!E127)</f>
        <v/>
      </c>
      <c r="G113" s="3">
        <f>IF('3b-d Exposures'!G127="",0,'3b-d Exposures'!G127)</f>
        <v/>
      </c>
      <c r="H113" s="3">
        <f>IF('3b-d Exposures'!I127="",0,'3b-d Exposures'!I127)</f>
        <v/>
      </c>
      <c r="I113" s="3">
        <f>IF('3b-d Exposures'!K127="",0,'3b-d Exposures'!K127)</f>
        <v/>
      </c>
      <c r="J113" s="3">
        <f>IF('3b-d Exposures'!M127="",0,'3b-d Exposures'!M127)</f>
        <v/>
      </c>
      <c r="K113" s="3">
        <f>IF('3b-d Exposures'!O127="",0,'3b-d Exposures'!O127)</f>
        <v/>
      </c>
      <c r="L113" s="3">
        <f>IF('3b-d Exposures'!Q127="",0,'3b-d Exposures'!Q127)</f>
        <v/>
      </c>
      <c r="M113" s="3">
        <f>IF('3b-d Exposures'!S127="",0,'3b-d Exposures'!S127)</f>
        <v/>
      </c>
      <c r="N113" s="3">
        <f>IF('3b-d Exposures'!Z127="",0,'3b-d Exposures'!Z127)</f>
        <v/>
      </c>
      <c r="O113" s="3">
        <f>$D113</f>
        <v/>
      </c>
      <c r="P113" s="3">
        <f>E113*$D113</f>
        <v/>
      </c>
      <c r="Q113" s="3">
        <f>F113*$D113</f>
        <v/>
      </c>
      <c r="R113" s="3">
        <f>G113*$D113</f>
        <v/>
      </c>
      <c r="S113" s="3">
        <f>H113*$D113</f>
        <v/>
      </c>
      <c r="T113" s="3">
        <f>I113*$D113</f>
        <v/>
      </c>
      <c r="U113" s="3">
        <f>J113*$D113</f>
        <v/>
      </c>
      <c r="V113" s="3">
        <f>K113*$D113</f>
        <v/>
      </c>
      <c r="W113" s="3">
        <f>L113*$D113</f>
        <v/>
      </c>
      <c r="X113" s="3">
        <f>M113*$D113</f>
        <v/>
      </c>
      <c r="Y113" s="3">
        <f>N113*$D113</f>
        <v/>
      </c>
      <c r="Z113" s="3">
        <f>C113*$D113</f>
        <v/>
      </c>
      <c r="AA113" s="9">
        <f>$L978+$K978*E113+$J978*F113+$I978*G113+$H978*H113+$G978*I113+$F978*J113+$E978*K113+$D978*L113+$C978*M113+$B978*N113</f>
        <v/>
      </c>
      <c r="AB113" s="9">
        <f>C113-AA113</f>
        <v/>
      </c>
      <c r="AC113" s="4">
        <f>AB113^2</f>
        <v/>
      </c>
    </row>
    <row r="114">
      <c r="A114" t="inlineStr">
        <is>
          <t>BBG000BF7BV7</t>
        </is>
      </c>
      <c r="B114" t="inlineStr">
        <is>
          <t>bbby</t>
        </is>
      </c>
      <c r="C114" s="9" t="n">
        <v>0.01271858890162636</v>
      </c>
      <c r="D114" s="3">
        <f>EXP(0.25*'3b-d Exposures'!G128)</f>
        <v/>
      </c>
      <c r="E114" s="3">
        <f>IF('3b-d Exposures'!C128="",0,'3b-d Exposures'!C128)</f>
        <v/>
      </c>
      <c r="F114" s="3">
        <f>IF('3b-d Exposures'!E128="",0,'3b-d Exposures'!E128)</f>
        <v/>
      </c>
      <c r="G114" s="3">
        <f>IF('3b-d Exposures'!G128="",0,'3b-d Exposures'!G128)</f>
        <v/>
      </c>
      <c r="H114" s="3">
        <f>IF('3b-d Exposures'!I128="",0,'3b-d Exposures'!I128)</f>
        <v/>
      </c>
      <c r="I114" s="3">
        <f>IF('3b-d Exposures'!K128="",0,'3b-d Exposures'!K128)</f>
        <v/>
      </c>
      <c r="J114" s="3">
        <f>IF('3b-d Exposures'!M128="",0,'3b-d Exposures'!M128)</f>
        <v/>
      </c>
      <c r="K114" s="3">
        <f>IF('3b-d Exposures'!O128="",0,'3b-d Exposures'!O128)</f>
        <v/>
      </c>
      <c r="L114" s="3">
        <f>IF('3b-d Exposures'!Q128="",0,'3b-d Exposures'!Q128)</f>
        <v/>
      </c>
      <c r="M114" s="3">
        <f>IF('3b-d Exposures'!S128="",0,'3b-d Exposures'!S128)</f>
        <v/>
      </c>
      <c r="N114" s="3">
        <f>IF('3b-d Exposures'!Z128="",0,'3b-d Exposures'!Z128)</f>
        <v/>
      </c>
      <c r="O114" s="3">
        <f>$D114</f>
        <v/>
      </c>
      <c r="P114" s="3">
        <f>E114*$D114</f>
        <v/>
      </c>
      <c r="Q114" s="3">
        <f>F114*$D114</f>
        <v/>
      </c>
      <c r="R114" s="3">
        <f>G114*$D114</f>
        <v/>
      </c>
      <c r="S114" s="3">
        <f>H114*$D114</f>
        <v/>
      </c>
      <c r="T114" s="3">
        <f>I114*$D114</f>
        <v/>
      </c>
      <c r="U114" s="3">
        <f>J114*$D114</f>
        <v/>
      </c>
      <c r="V114" s="3">
        <f>K114*$D114</f>
        <v/>
      </c>
      <c r="W114" s="3">
        <f>L114*$D114</f>
        <v/>
      </c>
      <c r="X114" s="3">
        <f>M114*$D114</f>
        <v/>
      </c>
      <c r="Y114" s="3">
        <f>N114*$D114</f>
        <v/>
      </c>
      <c r="Z114" s="3">
        <f>C114*$D114</f>
        <v/>
      </c>
      <c r="AA114" s="9">
        <f>$L978+$K978*E114+$J978*F114+$I978*G114+$H978*H114+$G978*I114+$F978*J114+$E978*K114+$D978*L114+$C978*M114+$B978*N114</f>
        <v/>
      </c>
      <c r="AB114" s="9">
        <f>C114-AA114</f>
        <v/>
      </c>
      <c r="AC114" s="4">
        <f>AB114^2</f>
        <v/>
      </c>
    </row>
    <row r="115">
      <c r="A115" t="inlineStr">
        <is>
          <t>BBG000BCWCG1</t>
        </is>
      </c>
      <c r="B115" t="inlineStr">
        <is>
          <t>bby</t>
        </is>
      </c>
      <c r="C115" s="9" t="n">
        <v>0.01033339199683225</v>
      </c>
      <c r="D115" s="3">
        <f>EXP(0.25*'3b-d Exposures'!G130)</f>
        <v/>
      </c>
      <c r="E115" s="3">
        <f>IF('3b-d Exposures'!C130="",0,'3b-d Exposures'!C130)</f>
        <v/>
      </c>
      <c r="F115" s="3">
        <f>IF('3b-d Exposures'!E130="",0,'3b-d Exposures'!E130)</f>
        <v/>
      </c>
      <c r="G115" s="3">
        <f>IF('3b-d Exposures'!G130="",0,'3b-d Exposures'!G130)</f>
        <v/>
      </c>
      <c r="H115" s="3">
        <f>IF('3b-d Exposures'!I130="",0,'3b-d Exposures'!I130)</f>
        <v/>
      </c>
      <c r="I115" s="3">
        <f>IF('3b-d Exposures'!K130="",0,'3b-d Exposures'!K130)</f>
        <v/>
      </c>
      <c r="J115" s="3">
        <f>IF('3b-d Exposures'!M130="",0,'3b-d Exposures'!M130)</f>
        <v/>
      </c>
      <c r="K115" s="3">
        <f>IF('3b-d Exposures'!O130="",0,'3b-d Exposures'!O130)</f>
        <v/>
      </c>
      <c r="L115" s="3">
        <f>IF('3b-d Exposures'!Q130="",0,'3b-d Exposures'!Q130)</f>
        <v/>
      </c>
      <c r="M115" s="3">
        <f>IF('3b-d Exposures'!S130="",0,'3b-d Exposures'!S130)</f>
        <v/>
      </c>
      <c r="N115" s="3">
        <f>IF('3b-d Exposures'!Z130="",0,'3b-d Exposures'!Z130)</f>
        <v/>
      </c>
      <c r="O115" s="3">
        <f>$D115</f>
        <v/>
      </c>
      <c r="P115" s="3">
        <f>E115*$D115</f>
        <v/>
      </c>
      <c r="Q115" s="3">
        <f>F115*$D115</f>
        <v/>
      </c>
      <c r="R115" s="3">
        <f>G115*$D115</f>
        <v/>
      </c>
      <c r="S115" s="3">
        <f>H115*$D115</f>
        <v/>
      </c>
      <c r="T115" s="3">
        <f>I115*$D115</f>
        <v/>
      </c>
      <c r="U115" s="3">
        <f>J115*$D115</f>
        <v/>
      </c>
      <c r="V115" s="3">
        <f>K115*$D115</f>
        <v/>
      </c>
      <c r="W115" s="3">
        <f>L115*$D115</f>
        <v/>
      </c>
      <c r="X115" s="3">
        <f>M115*$D115</f>
        <v/>
      </c>
      <c r="Y115" s="3">
        <f>N115*$D115</f>
        <v/>
      </c>
      <c r="Z115" s="3">
        <f>C115*$D115</f>
        <v/>
      </c>
      <c r="AA115" s="9">
        <f>$L978+$K978*E115+$J978*F115+$I978*G115+$H978*H115+$G978*I115+$F978*J115+$E978*K115+$D978*L115+$C978*M115+$B978*N115</f>
        <v/>
      </c>
      <c r="AB115" s="9">
        <f>C115-AA115</f>
        <v/>
      </c>
      <c r="AC115" s="4">
        <f>AB115^2</f>
        <v/>
      </c>
    </row>
    <row r="116">
      <c r="A116" t="inlineStr">
        <is>
          <t>BBG000BLYWX6</t>
        </is>
      </c>
      <c r="B116" t="inlineStr">
        <is>
          <t>bcrx</t>
        </is>
      </c>
      <c r="C116" s="9" t="n">
        <v>-0.01599998474121089</v>
      </c>
      <c r="D116" s="3">
        <f>EXP(0.25*'3b-d Exposures'!G132)</f>
        <v/>
      </c>
      <c r="E116" s="3">
        <f>IF('3b-d Exposures'!C132="",0,'3b-d Exposures'!C132)</f>
        <v/>
      </c>
      <c r="F116" s="3">
        <f>IF('3b-d Exposures'!E132="",0,'3b-d Exposures'!E132)</f>
        <v/>
      </c>
      <c r="G116" s="3">
        <f>IF('3b-d Exposures'!G132="",0,'3b-d Exposures'!G132)</f>
        <v/>
      </c>
      <c r="H116" s="3">
        <f>IF('3b-d Exposures'!I132="",0,'3b-d Exposures'!I132)</f>
        <v/>
      </c>
      <c r="I116" s="3">
        <f>IF('3b-d Exposures'!K132="",0,'3b-d Exposures'!K132)</f>
        <v/>
      </c>
      <c r="J116" s="3">
        <f>IF('3b-d Exposures'!M132="",0,'3b-d Exposures'!M132)</f>
        <v/>
      </c>
      <c r="K116" s="3">
        <f>IF('3b-d Exposures'!O132="",0,'3b-d Exposures'!O132)</f>
        <v/>
      </c>
      <c r="L116" s="3">
        <f>IF('3b-d Exposures'!Q132="",0,'3b-d Exposures'!Q132)</f>
        <v/>
      </c>
      <c r="M116" s="3">
        <f>IF('3b-d Exposures'!S132="",0,'3b-d Exposures'!S132)</f>
        <v/>
      </c>
      <c r="N116" s="3">
        <f>IF('3b-d Exposures'!Z132="",0,'3b-d Exposures'!Z132)</f>
        <v/>
      </c>
      <c r="O116" s="3">
        <f>$D116</f>
        <v/>
      </c>
      <c r="P116" s="3">
        <f>E116*$D116</f>
        <v/>
      </c>
      <c r="Q116" s="3">
        <f>F116*$D116</f>
        <v/>
      </c>
      <c r="R116" s="3">
        <f>G116*$D116</f>
        <v/>
      </c>
      <c r="S116" s="3">
        <f>H116*$D116</f>
        <v/>
      </c>
      <c r="T116" s="3">
        <f>I116*$D116</f>
        <v/>
      </c>
      <c r="U116" s="3">
        <f>J116*$D116</f>
        <v/>
      </c>
      <c r="V116" s="3">
        <f>K116*$D116</f>
        <v/>
      </c>
      <c r="W116" s="3">
        <f>L116*$D116</f>
        <v/>
      </c>
      <c r="X116" s="3">
        <f>M116*$D116</f>
        <v/>
      </c>
      <c r="Y116" s="3">
        <f>N116*$D116</f>
        <v/>
      </c>
      <c r="Z116" s="3">
        <f>C116*$D116</f>
        <v/>
      </c>
      <c r="AA116" s="9">
        <f>$L978+$K978*E116+$J978*F116+$I978*G116+$H978*H116+$G978*I116+$F978*J116+$E978*K116+$D978*L116+$C978*M116+$B978*N116</f>
        <v/>
      </c>
      <c r="AB116" s="9">
        <f>C116-AA116</f>
        <v/>
      </c>
      <c r="AC116" s="4">
        <f>AB116^2</f>
        <v/>
      </c>
    </row>
    <row r="117">
      <c r="A117" t="inlineStr">
        <is>
          <t>BBG000Q4XNV1</t>
        </is>
      </c>
      <c r="B117" t="inlineStr">
        <is>
          <t>bdc</t>
        </is>
      </c>
      <c r="C117" s="9" t="n">
        <v>0.01233650837850231</v>
      </c>
      <c r="D117" s="3">
        <f>EXP(0.25*'3b-d Exposures'!G133)</f>
        <v/>
      </c>
      <c r="E117" s="3">
        <f>IF('3b-d Exposures'!C133="",0,'3b-d Exposures'!C133)</f>
        <v/>
      </c>
      <c r="F117" s="3">
        <f>IF('3b-d Exposures'!E133="",0,'3b-d Exposures'!E133)</f>
        <v/>
      </c>
      <c r="G117" s="3">
        <f>IF('3b-d Exposures'!G133="",0,'3b-d Exposures'!G133)</f>
        <v/>
      </c>
      <c r="H117" s="3">
        <f>IF('3b-d Exposures'!I133="",0,'3b-d Exposures'!I133)</f>
        <v/>
      </c>
      <c r="I117" s="3">
        <f>IF('3b-d Exposures'!K133="",0,'3b-d Exposures'!K133)</f>
        <v/>
      </c>
      <c r="J117" s="3">
        <f>IF('3b-d Exposures'!M133="",0,'3b-d Exposures'!M133)</f>
        <v/>
      </c>
      <c r="K117" s="3">
        <f>IF('3b-d Exposures'!O133="",0,'3b-d Exposures'!O133)</f>
        <v/>
      </c>
      <c r="L117" s="3">
        <f>IF('3b-d Exposures'!Q133="",0,'3b-d Exposures'!Q133)</f>
        <v/>
      </c>
      <c r="M117" s="3">
        <f>IF('3b-d Exposures'!S133="",0,'3b-d Exposures'!S133)</f>
        <v/>
      </c>
      <c r="N117" s="3">
        <f>IF('3b-d Exposures'!Z133="",0,'3b-d Exposures'!Z133)</f>
        <v/>
      </c>
      <c r="O117" s="3">
        <f>$D117</f>
        <v/>
      </c>
      <c r="P117" s="3">
        <f>E117*$D117</f>
        <v/>
      </c>
      <c r="Q117" s="3">
        <f>F117*$D117</f>
        <v/>
      </c>
      <c r="R117" s="3">
        <f>G117*$D117</f>
        <v/>
      </c>
      <c r="S117" s="3">
        <f>H117*$D117</f>
        <v/>
      </c>
      <c r="T117" s="3">
        <f>I117*$D117</f>
        <v/>
      </c>
      <c r="U117" s="3">
        <f>J117*$D117</f>
        <v/>
      </c>
      <c r="V117" s="3">
        <f>K117*$D117</f>
        <v/>
      </c>
      <c r="W117" s="3">
        <f>L117*$D117</f>
        <v/>
      </c>
      <c r="X117" s="3">
        <f>M117*$D117</f>
        <v/>
      </c>
      <c r="Y117" s="3">
        <f>N117*$D117</f>
        <v/>
      </c>
      <c r="Z117" s="3">
        <f>C117*$D117</f>
        <v/>
      </c>
      <c r="AA117" s="9">
        <f>$L978+$K978*E117+$J978*F117+$I978*G117+$H978*H117+$G978*I117+$F978*J117+$E978*K117+$D978*L117+$C978*M117+$B978*N117</f>
        <v/>
      </c>
      <c r="AB117" s="9">
        <f>C117-AA117</f>
        <v/>
      </c>
      <c r="AC117" s="4">
        <f>AB117^2</f>
        <v/>
      </c>
    </row>
    <row r="118">
      <c r="A118" t="inlineStr">
        <is>
          <t>BBG000BCZYD3</t>
        </is>
      </c>
      <c r="B118" t="inlineStr">
        <is>
          <t>bdx</t>
        </is>
      </c>
      <c r="C118" s="9" t="n">
        <v>0.00414601718736729</v>
      </c>
      <c r="D118" s="3">
        <f>EXP(0.25*'3b-d Exposures'!G134)</f>
        <v/>
      </c>
      <c r="E118" s="3">
        <f>IF('3b-d Exposures'!C134="",0,'3b-d Exposures'!C134)</f>
        <v/>
      </c>
      <c r="F118" s="3">
        <f>IF('3b-d Exposures'!E134="",0,'3b-d Exposures'!E134)</f>
        <v/>
      </c>
      <c r="G118" s="3">
        <f>IF('3b-d Exposures'!G134="",0,'3b-d Exposures'!G134)</f>
        <v/>
      </c>
      <c r="H118" s="3">
        <f>IF('3b-d Exposures'!I134="",0,'3b-d Exposures'!I134)</f>
        <v/>
      </c>
      <c r="I118" s="3">
        <f>IF('3b-d Exposures'!K134="",0,'3b-d Exposures'!K134)</f>
        <v/>
      </c>
      <c r="J118" s="3">
        <f>IF('3b-d Exposures'!M134="",0,'3b-d Exposures'!M134)</f>
        <v/>
      </c>
      <c r="K118" s="3">
        <f>IF('3b-d Exposures'!O134="",0,'3b-d Exposures'!O134)</f>
        <v/>
      </c>
      <c r="L118" s="3">
        <f>IF('3b-d Exposures'!Q134="",0,'3b-d Exposures'!Q134)</f>
        <v/>
      </c>
      <c r="M118" s="3">
        <f>IF('3b-d Exposures'!S134="",0,'3b-d Exposures'!S134)</f>
        <v/>
      </c>
      <c r="N118" s="3">
        <f>IF('3b-d Exposures'!Z134="",0,'3b-d Exposures'!Z134)</f>
        <v/>
      </c>
      <c r="O118" s="3">
        <f>$D118</f>
        <v/>
      </c>
      <c r="P118" s="3">
        <f>E118*$D118</f>
        <v/>
      </c>
      <c r="Q118" s="3">
        <f>F118*$D118</f>
        <v/>
      </c>
      <c r="R118" s="3">
        <f>G118*$D118</f>
        <v/>
      </c>
      <c r="S118" s="3">
        <f>H118*$D118</f>
        <v/>
      </c>
      <c r="T118" s="3">
        <f>I118*$D118</f>
        <v/>
      </c>
      <c r="U118" s="3">
        <f>J118*$D118</f>
        <v/>
      </c>
      <c r="V118" s="3">
        <f>K118*$D118</f>
        <v/>
      </c>
      <c r="W118" s="3">
        <f>L118*$D118</f>
        <v/>
      </c>
      <c r="X118" s="3">
        <f>M118*$D118</f>
        <v/>
      </c>
      <c r="Y118" s="3">
        <f>N118*$D118</f>
        <v/>
      </c>
      <c r="Z118" s="3">
        <f>C118*$D118</f>
        <v/>
      </c>
      <c r="AA118" s="9">
        <f>$L978+$K978*E118+$J978*F118+$I978*G118+$H978*H118+$G978*I118+$F978*J118+$E978*K118+$D978*L118+$C978*M118+$B978*N118</f>
        <v/>
      </c>
      <c r="AB118" s="9">
        <f>C118-AA118</f>
        <v/>
      </c>
      <c r="AC118" s="4">
        <f>AB118^2</f>
        <v/>
      </c>
    </row>
    <row r="119">
      <c r="A119" t="inlineStr">
        <is>
          <t>BBG000BD0TF8</t>
        </is>
      </c>
      <c r="B119" t="inlineStr">
        <is>
          <t>ben</t>
        </is>
      </c>
      <c r="C119" s="9" t="n">
        <v>-0.007469395546602975</v>
      </c>
      <c r="D119" s="3">
        <f>EXP(0.25*'3b-d Exposures'!G135)</f>
        <v/>
      </c>
      <c r="E119" s="3">
        <f>IF('3b-d Exposures'!C135="",0,'3b-d Exposures'!C135)</f>
        <v/>
      </c>
      <c r="F119" s="3">
        <f>IF('3b-d Exposures'!E135="",0,'3b-d Exposures'!E135)</f>
        <v/>
      </c>
      <c r="G119" s="3">
        <f>IF('3b-d Exposures'!G135="",0,'3b-d Exposures'!G135)</f>
        <v/>
      </c>
      <c r="H119" s="3">
        <f>IF('3b-d Exposures'!I135="",0,'3b-d Exposures'!I135)</f>
        <v/>
      </c>
      <c r="I119" s="3">
        <f>IF('3b-d Exposures'!K135="",0,'3b-d Exposures'!K135)</f>
        <v/>
      </c>
      <c r="J119" s="3">
        <f>IF('3b-d Exposures'!M135="",0,'3b-d Exposures'!M135)</f>
        <v/>
      </c>
      <c r="K119" s="3">
        <f>IF('3b-d Exposures'!O135="",0,'3b-d Exposures'!O135)</f>
        <v/>
      </c>
      <c r="L119" s="3">
        <f>IF('3b-d Exposures'!Q135="",0,'3b-d Exposures'!Q135)</f>
        <v/>
      </c>
      <c r="M119" s="3">
        <f>IF('3b-d Exposures'!S135="",0,'3b-d Exposures'!S135)</f>
        <v/>
      </c>
      <c r="N119" s="3">
        <f>IF('3b-d Exposures'!Z135="",0,'3b-d Exposures'!Z135)</f>
        <v/>
      </c>
      <c r="O119" s="3">
        <f>$D119</f>
        <v/>
      </c>
      <c r="P119" s="3">
        <f>E119*$D119</f>
        <v/>
      </c>
      <c r="Q119" s="3">
        <f>F119*$D119</f>
        <v/>
      </c>
      <c r="R119" s="3">
        <f>G119*$D119</f>
        <v/>
      </c>
      <c r="S119" s="3">
        <f>H119*$D119</f>
        <v/>
      </c>
      <c r="T119" s="3">
        <f>I119*$D119</f>
        <v/>
      </c>
      <c r="U119" s="3">
        <f>J119*$D119</f>
        <v/>
      </c>
      <c r="V119" s="3">
        <f>K119*$D119</f>
        <v/>
      </c>
      <c r="W119" s="3">
        <f>L119*$D119</f>
        <v/>
      </c>
      <c r="X119" s="3">
        <f>M119*$D119</f>
        <v/>
      </c>
      <c r="Y119" s="3">
        <f>N119*$D119</f>
        <v/>
      </c>
      <c r="Z119" s="3">
        <f>C119*$D119</f>
        <v/>
      </c>
      <c r="AA119" s="9">
        <f>$L978+$K978*E119+$J978*F119+$I978*G119+$H978*H119+$G978*I119+$F978*J119+$E978*K119+$D978*L119+$C978*M119+$B978*N119</f>
        <v/>
      </c>
      <c r="AB119" s="9">
        <f>C119-AA119</f>
        <v/>
      </c>
      <c r="AC119" s="4">
        <f>AB119^2</f>
        <v/>
      </c>
    </row>
    <row r="120">
      <c r="A120" t="inlineStr">
        <is>
          <t>bf-b</t>
        </is>
      </c>
      <c r="B120" t="inlineStr">
        <is>
          <t>bf-b</t>
        </is>
      </c>
      <c r="C120" s="9" t="n">
        <v>0.002376459610462067</v>
      </c>
      <c r="D120" s="3">
        <f>EXP(0.25*'3b-d Exposures'!G137)</f>
        <v/>
      </c>
      <c r="E120" s="3">
        <f>IF('3b-d Exposures'!C137="",0,'3b-d Exposures'!C137)</f>
        <v/>
      </c>
      <c r="F120" s="3">
        <f>IF('3b-d Exposures'!E137="",0,'3b-d Exposures'!E137)</f>
        <v/>
      </c>
      <c r="G120" s="3">
        <f>IF('3b-d Exposures'!G137="",0,'3b-d Exposures'!G137)</f>
        <v/>
      </c>
      <c r="H120" s="3">
        <f>IF('3b-d Exposures'!I137="",0,'3b-d Exposures'!I137)</f>
        <v/>
      </c>
      <c r="I120" s="3">
        <f>IF('3b-d Exposures'!K137="",0,'3b-d Exposures'!K137)</f>
        <v/>
      </c>
      <c r="J120" s="3">
        <f>IF('3b-d Exposures'!M137="",0,'3b-d Exposures'!M137)</f>
        <v/>
      </c>
      <c r="K120" s="3">
        <f>IF('3b-d Exposures'!O137="",0,'3b-d Exposures'!O137)</f>
        <v/>
      </c>
      <c r="L120" s="3">
        <f>IF('3b-d Exposures'!Q137="",0,'3b-d Exposures'!Q137)</f>
        <v/>
      </c>
      <c r="M120" s="3">
        <f>IF('3b-d Exposures'!S137="",0,'3b-d Exposures'!S137)</f>
        <v/>
      </c>
      <c r="N120" s="3">
        <f>IF('3b-d Exposures'!Z137="",0,'3b-d Exposures'!Z137)</f>
        <v/>
      </c>
      <c r="O120" s="3">
        <f>$D120</f>
        <v/>
      </c>
      <c r="P120" s="3">
        <f>E120*$D120</f>
        <v/>
      </c>
      <c r="Q120" s="3">
        <f>F120*$D120</f>
        <v/>
      </c>
      <c r="R120" s="3">
        <f>G120*$D120</f>
        <v/>
      </c>
      <c r="S120" s="3">
        <f>H120*$D120</f>
        <v/>
      </c>
      <c r="T120" s="3">
        <f>I120*$D120</f>
        <v/>
      </c>
      <c r="U120" s="3">
        <f>J120*$D120</f>
        <v/>
      </c>
      <c r="V120" s="3">
        <f>K120*$D120</f>
        <v/>
      </c>
      <c r="W120" s="3">
        <f>L120*$D120</f>
        <v/>
      </c>
      <c r="X120" s="3">
        <f>M120*$D120</f>
        <v/>
      </c>
      <c r="Y120" s="3">
        <f>N120*$D120</f>
        <v/>
      </c>
      <c r="Z120" s="3">
        <f>C120*$D120</f>
        <v/>
      </c>
      <c r="AA120" s="9">
        <f>$L978+$K978*E120+$J978*F120+$I978*G120+$H978*H120+$G978*I120+$F978*J120+$E978*K120+$D978*L120+$C978*M120+$B978*N120</f>
        <v/>
      </c>
      <c r="AB120" s="9">
        <f>C120-AA120</f>
        <v/>
      </c>
      <c r="AC120" s="4">
        <f>AB120^2</f>
        <v/>
      </c>
    </row>
    <row r="121">
      <c r="A121" t="inlineStr">
        <is>
          <t>BBG003LFWP05</t>
        </is>
      </c>
      <c r="B121" t="inlineStr">
        <is>
          <t>bfam</t>
        </is>
      </c>
      <c r="C121" s="9" t="n">
        <v>-0.001729628582485154</v>
      </c>
      <c r="D121" s="3">
        <f>EXP(0.25*'3b-d Exposures'!G138)</f>
        <v/>
      </c>
      <c r="E121" s="3">
        <f>IF('3b-d Exposures'!C138="",0,'3b-d Exposures'!C138)</f>
        <v/>
      </c>
      <c r="F121" s="3">
        <f>IF('3b-d Exposures'!E138="",0,'3b-d Exposures'!E138)</f>
        <v/>
      </c>
      <c r="G121" s="3">
        <f>IF('3b-d Exposures'!G138="",0,'3b-d Exposures'!G138)</f>
        <v/>
      </c>
      <c r="H121" s="3">
        <f>IF('3b-d Exposures'!I138="",0,'3b-d Exposures'!I138)</f>
        <v/>
      </c>
      <c r="I121" s="3">
        <f>IF('3b-d Exposures'!K138="",0,'3b-d Exposures'!K138)</f>
        <v/>
      </c>
      <c r="J121" s="3">
        <f>IF('3b-d Exposures'!M138="",0,'3b-d Exposures'!M138)</f>
        <v/>
      </c>
      <c r="K121" s="3">
        <f>IF('3b-d Exposures'!O138="",0,'3b-d Exposures'!O138)</f>
        <v/>
      </c>
      <c r="L121" s="3">
        <f>IF('3b-d Exposures'!Q138="",0,'3b-d Exposures'!Q138)</f>
        <v/>
      </c>
      <c r="M121" s="3">
        <f>IF('3b-d Exposures'!S138="",0,'3b-d Exposures'!S138)</f>
        <v/>
      </c>
      <c r="N121" s="3">
        <f>IF('3b-d Exposures'!Z138="",0,'3b-d Exposures'!Z138)</f>
        <v/>
      </c>
      <c r="O121" s="3">
        <f>$D121</f>
        <v/>
      </c>
      <c r="P121" s="3">
        <f>E121*$D121</f>
        <v/>
      </c>
      <c r="Q121" s="3">
        <f>F121*$D121</f>
        <v/>
      </c>
      <c r="R121" s="3">
        <f>G121*$D121</f>
        <v/>
      </c>
      <c r="S121" s="3">
        <f>H121*$D121</f>
        <v/>
      </c>
      <c r="T121" s="3">
        <f>I121*$D121</f>
        <v/>
      </c>
      <c r="U121" s="3">
        <f>J121*$D121</f>
        <v/>
      </c>
      <c r="V121" s="3">
        <f>K121*$D121</f>
        <v/>
      </c>
      <c r="W121" s="3">
        <f>L121*$D121</f>
        <v/>
      </c>
      <c r="X121" s="3">
        <f>M121*$D121</f>
        <v/>
      </c>
      <c r="Y121" s="3">
        <f>N121*$D121</f>
        <v/>
      </c>
      <c r="Z121" s="3">
        <f>C121*$D121</f>
        <v/>
      </c>
      <c r="AA121" s="9">
        <f>$L978+$K978*E121+$J978*F121+$I978*G121+$H978*H121+$G978*I121+$F978*J121+$E978*K121+$D978*L121+$C978*M121+$B978*N121</f>
        <v/>
      </c>
      <c r="AB121" s="9">
        <f>C121-AA121</f>
        <v/>
      </c>
      <c r="AC121" s="4">
        <f>AB121^2</f>
        <v/>
      </c>
    </row>
    <row r="122">
      <c r="A122" t="inlineStr">
        <is>
          <t>BBG000BFNR17</t>
        </is>
      </c>
      <c r="B122" t="inlineStr">
        <is>
          <t>bfh</t>
        </is>
      </c>
      <c r="C122" s="9" t="n">
        <v>0.02702693938811396</v>
      </c>
      <c r="D122" s="3">
        <f>EXP(0.25*'3b-d Exposures'!G139)</f>
        <v/>
      </c>
      <c r="E122" s="3">
        <f>IF('3b-d Exposures'!C139="",0,'3b-d Exposures'!C139)</f>
        <v/>
      </c>
      <c r="F122" s="3">
        <f>IF('3b-d Exposures'!E139="",0,'3b-d Exposures'!E139)</f>
        <v/>
      </c>
      <c r="G122" s="3">
        <f>IF('3b-d Exposures'!G139="",0,'3b-d Exposures'!G139)</f>
        <v/>
      </c>
      <c r="H122" s="3">
        <f>IF('3b-d Exposures'!I139="",0,'3b-d Exposures'!I139)</f>
        <v/>
      </c>
      <c r="I122" s="3">
        <f>IF('3b-d Exposures'!K139="",0,'3b-d Exposures'!K139)</f>
        <v/>
      </c>
      <c r="J122" s="3">
        <f>IF('3b-d Exposures'!M139="",0,'3b-d Exposures'!M139)</f>
        <v/>
      </c>
      <c r="K122" s="3">
        <f>IF('3b-d Exposures'!O139="",0,'3b-d Exposures'!O139)</f>
        <v/>
      </c>
      <c r="L122" s="3">
        <f>IF('3b-d Exposures'!Q139="",0,'3b-d Exposures'!Q139)</f>
        <v/>
      </c>
      <c r="M122" s="3">
        <f>IF('3b-d Exposures'!S139="",0,'3b-d Exposures'!S139)</f>
        <v/>
      </c>
      <c r="N122" s="3">
        <f>IF('3b-d Exposures'!Z139="",0,'3b-d Exposures'!Z139)</f>
        <v/>
      </c>
      <c r="O122" s="3">
        <f>$D122</f>
        <v/>
      </c>
      <c r="P122" s="3">
        <f>E122*$D122</f>
        <v/>
      </c>
      <c r="Q122" s="3">
        <f>F122*$D122</f>
        <v/>
      </c>
      <c r="R122" s="3">
        <f>G122*$D122</f>
        <v/>
      </c>
      <c r="S122" s="3">
        <f>H122*$D122</f>
        <v/>
      </c>
      <c r="T122" s="3">
        <f>I122*$D122</f>
        <v/>
      </c>
      <c r="U122" s="3">
        <f>J122*$D122</f>
        <v/>
      </c>
      <c r="V122" s="3">
        <f>K122*$D122</f>
        <v/>
      </c>
      <c r="W122" s="3">
        <f>L122*$D122</f>
        <v/>
      </c>
      <c r="X122" s="3">
        <f>M122*$D122</f>
        <v/>
      </c>
      <c r="Y122" s="3">
        <f>N122*$D122</f>
        <v/>
      </c>
      <c r="Z122" s="3">
        <f>C122*$D122</f>
        <v/>
      </c>
      <c r="AA122" s="9">
        <f>$L978+$K978*E122+$J978*F122+$I978*G122+$H978*H122+$G978*I122+$F978*J122+$E978*K122+$D978*L122+$C978*M122+$B978*N122</f>
        <v/>
      </c>
      <c r="AB122" s="9">
        <f>C122-AA122</f>
        <v/>
      </c>
      <c r="AC122" s="4">
        <f>AB122^2</f>
        <v/>
      </c>
    </row>
    <row r="123">
      <c r="A123" t="inlineStr">
        <is>
          <t>bg</t>
        </is>
      </c>
      <c r="B123" t="inlineStr">
        <is>
          <t>bg</t>
        </is>
      </c>
      <c r="C123" s="9" t="n">
        <v>-0.00724316026133065</v>
      </c>
      <c r="D123" s="3">
        <f>EXP(0.25*'3b-d Exposures'!G140)</f>
        <v/>
      </c>
      <c r="E123" s="3">
        <f>IF('3b-d Exposures'!C140="",0,'3b-d Exposures'!C140)</f>
        <v/>
      </c>
      <c r="F123" s="3">
        <f>IF('3b-d Exposures'!E140="",0,'3b-d Exposures'!E140)</f>
        <v/>
      </c>
      <c r="G123" s="3">
        <f>IF('3b-d Exposures'!G140="",0,'3b-d Exposures'!G140)</f>
        <v/>
      </c>
      <c r="H123" s="3">
        <f>IF('3b-d Exposures'!I140="",0,'3b-d Exposures'!I140)</f>
        <v/>
      </c>
      <c r="I123" s="3">
        <f>IF('3b-d Exposures'!K140="",0,'3b-d Exposures'!K140)</f>
        <v/>
      </c>
      <c r="J123" s="3">
        <f>IF('3b-d Exposures'!M140="",0,'3b-d Exposures'!M140)</f>
        <v/>
      </c>
      <c r="K123" s="3">
        <f>IF('3b-d Exposures'!O140="",0,'3b-d Exposures'!O140)</f>
        <v/>
      </c>
      <c r="L123" s="3">
        <f>IF('3b-d Exposures'!Q140="",0,'3b-d Exposures'!Q140)</f>
        <v/>
      </c>
      <c r="M123" s="3">
        <f>IF('3b-d Exposures'!S140="",0,'3b-d Exposures'!S140)</f>
        <v/>
      </c>
      <c r="N123" s="3">
        <f>IF('3b-d Exposures'!Z140="",0,'3b-d Exposures'!Z140)</f>
        <v/>
      </c>
      <c r="O123" s="3">
        <f>$D123</f>
        <v/>
      </c>
      <c r="P123" s="3">
        <f>E123*$D123</f>
        <v/>
      </c>
      <c r="Q123" s="3">
        <f>F123*$D123</f>
        <v/>
      </c>
      <c r="R123" s="3">
        <f>G123*$D123</f>
        <v/>
      </c>
      <c r="S123" s="3">
        <f>H123*$D123</f>
        <v/>
      </c>
      <c r="T123" s="3">
        <f>I123*$D123</f>
        <v/>
      </c>
      <c r="U123" s="3">
        <f>J123*$D123</f>
        <v/>
      </c>
      <c r="V123" s="3">
        <f>K123*$D123</f>
        <v/>
      </c>
      <c r="W123" s="3">
        <f>L123*$D123</f>
        <v/>
      </c>
      <c r="X123" s="3">
        <f>M123*$D123</f>
        <v/>
      </c>
      <c r="Y123" s="3">
        <f>N123*$D123</f>
        <v/>
      </c>
      <c r="Z123" s="3">
        <f>C123*$D123</f>
        <v/>
      </c>
      <c r="AA123" s="9">
        <f>$L978+$K978*E123+$J978*F123+$I978*G123+$H978*H123+$G978*I123+$F978*J123+$E978*K123+$D978*L123+$C978*M123+$B978*N123</f>
        <v/>
      </c>
      <c r="AB123" s="9">
        <f>C123-AA123</f>
        <v/>
      </c>
      <c r="AC123" s="4">
        <f>AB123^2</f>
        <v/>
      </c>
    </row>
    <row r="124">
      <c r="A124" t="inlineStr">
        <is>
          <t>BBG00DYPZ4T0</t>
        </is>
      </c>
      <c r="B124" t="inlineStr">
        <is>
          <t>bhf</t>
        </is>
      </c>
      <c r="C124" s="9" t="n">
        <v>0.002104469282345756</v>
      </c>
      <c r="D124" s="3">
        <f>EXP(0.25*'3b-d Exposures'!G142)</f>
        <v/>
      </c>
      <c r="E124" s="3">
        <f>IF('3b-d Exposures'!C142="",0,'3b-d Exposures'!C142)</f>
        <v/>
      </c>
      <c r="F124" s="3">
        <f>IF('3b-d Exposures'!E142="",0,'3b-d Exposures'!E142)</f>
        <v/>
      </c>
      <c r="G124" s="3">
        <f>IF('3b-d Exposures'!G142="",0,'3b-d Exposures'!G142)</f>
        <v/>
      </c>
      <c r="H124" s="3">
        <f>IF('3b-d Exposures'!I142="",0,'3b-d Exposures'!I142)</f>
        <v/>
      </c>
      <c r="I124" s="3">
        <f>IF('3b-d Exposures'!K142="",0,'3b-d Exposures'!K142)</f>
        <v/>
      </c>
      <c r="J124" s="3">
        <f>IF('3b-d Exposures'!M142="",0,'3b-d Exposures'!M142)</f>
        <v/>
      </c>
      <c r="K124" s="3">
        <f>IF('3b-d Exposures'!O142="",0,'3b-d Exposures'!O142)</f>
        <v/>
      </c>
      <c r="L124" s="3">
        <f>IF('3b-d Exposures'!Q142="",0,'3b-d Exposures'!Q142)</f>
        <v/>
      </c>
      <c r="M124" s="3">
        <f>IF('3b-d Exposures'!S142="",0,'3b-d Exposures'!S142)</f>
        <v/>
      </c>
      <c r="N124" s="3">
        <f>IF('3b-d Exposures'!Z142="",0,'3b-d Exposures'!Z142)</f>
        <v/>
      </c>
      <c r="O124" s="3">
        <f>$D124</f>
        <v/>
      </c>
      <c r="P124" s="3">
        <f>E124*$D124</f>
        <v/>
      </c>
      <c r="Q124" s="3">
        <f>F124*$D124</f>
        <v/>
      </c>
      <c r="R124" s="3">
        <f>G124*$D124</f>
        <v/>
      </c>
      <c r="S124" s="3">
        <f>H124*$D124</f>
        <v/>
      </c>
      <c r="T124" s="3">
        <f>I124*$D124</f>
        <v/>
      </c>
      <c r="U124" s="3">
        <f>J124*$D124</f>
        <v/>
      </c>
      <c r="V124" s="3">
        <f>K124*$D124</f>
        <v/>
      </c>
      <c r="W124" s="3">
        <f>L124*$D124</f>
        <v/>
      </c>
      <c r="X124" s="3">
        <f>M124*$D124</f>
        <v/>
      </c>
      <c r="Y124" s="3">
        <f>N124*$D124</f>
        <v/>
      </c>
      <c r="Z124" s="3">
        <f>C124*$D124</f>
        <v/>
      </c>
      <c r="AA124" s="9">
        <f>$L978+$K978*E124+$J978*F124+$I978*G124+$H978*H124+$G978*I124+$F978*J124+$E978*K124+$D978*L124+$C978*M124+$B978*N124</f>
        <v/>
      </c>
      <c r="AB124" s="9">
        <f>C124-AA124</f>
        <v/>
      </c>
      <c r="AC124" s="4">
        <f>AB124^2</f>
        <v/>
      </c>
    </row>
    <row r="125">
      <c r="A125" t="inlineStr">
        <is>
          <t>BBG000C17X76</t>
        </is>
      </c>
      <c r="B125" t="inlineStr">
        <is>
          <t>biib</t>
        </is>
      </c>
      <c r="C125" s="9" t="n">
        <v>0.02241169604242321</v>
      </c>
      <c r="D125" s="3">
        <f>EXP(0.25*'3b-d Exposures'!G144)</f>
        <v/>
      </c>
      <c r="E125" s="3">
        <f>IF('3b-d Exposures'!C144="",0,'3b-d Exposures'!C144)</f>
        <v/>
      </c>
      <c r="F125" s="3">
        <f>IF('3b-d Exposures'!E144="",0,'3b-d Exposures'!E144)</f>
        <v/>
      </c>
      <c r="G125" s="3">
        <f>IF('3b-d Exposures'!G144="",0,'3b-d Exposures'!G144)</f>
        <v/>
      </c>
      <c r="H125" s="3">
        <f>IF('3b-d Exposures'!I144="",0,'3b-d Exposures'!I144)</f>
        <v/>
      </c>
      <c r="I125" s="3">
        <f>IF('3b-d Exposures'!K144="",0,'3b-d Exposures'!K144)</f>
        <v/>
      </c>
      <c r="J125" s="3">
        <f>IF('3b-d Exposures'!M144="",0,'3b-d Exposures'!M144)</f>
        <v/>
      </c>
      <c r="K125" s="3">
        <f>IF('3b-d Exposures'!O144="",0,'3b-d Exposures'!O144)</f>
        <v/>
      </c>
      <c r="L125" s="3">
        <f>IF('3b-d Exposures'!Q144="",0,'3b-d Exposures'!Q144)</f>
        <v/>
      </c>
      <c r="M125" s="3">
        <f>IF('3b-d Exposures'!S144="",0,'3b-d Exposures'!S144)</f>
        <v/>
      </c>
      <c r="N125" s="3">
        <f>IF('3b-d Exposures'!Z144="",0,'3b-d Exposures'!Z144)</f>
        <v/>
      </c>
      <c r="O125" s="3">
        <f>$D125</f>
        <v/>
      </c>
      <c r="P125" s="3">
        <f>E125*$D125</f>
        <v/>
      </c>
      <c r="Q125" s="3">
        <f>F125*$D125</f>
        <v/>
      </c>
      <c r="R125" s="3">
        <f>G125*$D125</f>
        <v/>
      </c>
      <c r="S125" s="3">
        <f>H125*$D125</f>
        <v/>
      </c>
      <c r="T125" s="3">
        <f>I125*$D125</f>
        <v/>
      </c>
      <c r="U125" s="3">
        <f>J125*$D125</f>
        <v/>
      </c>
      <c r="V125" s="3">
        <f>K125*$D125</f>
        <v/>
      </c>
      <c r="W125" s="3">
        <f>L125*$D125</f>
        <v/>
      </c>
      <c r="X125" s="3">
        <f>M125*$D125</f>
        <v/>
      </c>
      <c r="Y125" s="3">
        <f>N125*$D125</f>
        <v/>
      </c>
      <c r="Z125" s="3">
        <f>C125*$D125</f>
        <v/>
      </c>
      <c r="AA125" s="9">
        <f>$L978+$K978*E125+$J978*F125+$I978*G125+$H978*H125+$G978*I125+$F978*J125+$E978*K125+$D978*L125+$C978*M125+$B978*N125</f>
        <v/>
      </c>
      <c r="AB125" s="9">
        <f>C125-AA125</f>
        <v/>
      </c>
      <c r="AC125" s="4">
        <f>AB125^2</f>
        <v/>
      </c>
    </row>
    <row r="126">
      <c r="A126" t="inlineStr">
        <is>
          <t>BBG00QVJV6V4</t>
        </is>
      </c>
      <c r="B126" t="inlineStr">
        <is>
          <t>bill</t>
        </is>
      </c>
      <c r="C126" s="9" t="n">
        <v>-0.007758862427016733</v>
      </c>
      <c r="D126" s="3">
        <f>EXP(0.25*'3b-d Exposures'!G146)</f>
        <v/>
      </c>
      <c r="E126" s="3">
        <f>IF('3b-d Exposures'!C146="",0,'3b-d Exposures'!C146)</f>
        <v/>
      </c>
      <c r="F126" s="3">
        <f>IF('3b-d Exposures'!E146="",0,'3b-d Exposures'!E146)</f>
        <v/>
      </c>
      <c r="G126" s="3">
        <f>IF('3b-d Exposures'!G146="",0,'3b-d Exposures'!G146)</f>
        <v/>
      </c>
      <c r="H126" s="3">
        <f>IF('3b-d Exposures'!I146="",0,'3b-d Exposures'!I146)</f>
        <v/>
      </c>
      <c r="I126" s="3">
        <f>IF('3b-d Exposures'!K146="",0,'3b-d Exposures'!K146)</f>
        <v/>
      </c>
      <c r="J126" s="3">
        <f>IF('3b-d Exposures'!M146="",0,'3b-d Exposures'!M146)</f>
        <v/>
      </c>
      <c r="K126" s="3">
        <f>IF('3b-d Exposures'!O146="",0,'3b-d Exposures'!O146)</f>
        <v/>
      </c>
      <c r="L126" s="3">
        <f>IF('3b-d Exposures'!Q146="",0,'3b-d Exposures'!Q146)</f>
        <v/>
      </c>
      <c r="M126" s="3">
        <f>IF('3b-d Exposures'!S146="",0,'3b-d Exposures'!S146)</f>
        <v/>
      </c>
      <c r="N126" s="3">
        <f>IF('3b-d Exposures'!Z146="",0,'3b-d Exposures'!Z146)</f>
        <v/>
      </c>
      <c r="O126" s="3">
        <f>$D126</f>
        <v/>
      </c>
      <c r="P126" s="3">
        <f>E126*$D126</f>
        <v/>
      </c>
      <c r="Q126" s="3">
        <f>F126*$D126</f>
        <v/>
      </c>
      <c r="R126" s="3">
        <f>G126*$D126</f>
        <v/>
      </c>
      <c r="S126" s="3">
        <f>H126*$D126</f>
        <v/>
      </c>
      <c r="T126" s="3">
        <f>I126*$D126</f>
        <v/>
      </c>
      <c r="U126" s="3">
        <f>J126*$D126</f>
        <v/>
      </c>
      <c r="V126" s="3">
        <f>K126*$D126</f>
        <v/>
      </c>
      <c r="W126" s="3">
        <f>L126*$D126</f>
        <v/>
      </c>
      <c r="X126" s="3">
        <f>M126*$D126</f>
        <v/>
      </c>
      <c r="Y126" s="3">
        <f>N126*$D126</f>
        <v/>
      </c>
      <c r="Z126" s="3">
        <f>C126*$D126</f>
        <v/>
      </c>
      <c r="AA126" s="9">
        <f>$L978+$K978*E126+$J978*F126+$I978*G126+$H978*H126+$G978*I126+$F978*J126+$E978*K126+$D978*L126+$C978*M126+$B978*N126</f>
        <v/>
      </c>
      <c r="AB126" s="9">
        <f>C126-AA126</f>
        <v/>
      </c>
      <c r="AC126" s="4">
        <f>AB126^2</f>
        <v/>
      </c>
    </row>
    <row r="127">
      <c r="A127" t="inlineStr">
        <is>
          <t>BBG000DY28W5</t>
        </is>
      </c>
      <c r="B127" t="inlineStr">
        <is>
          <t>bio</t>
        </is>
      </c>
      <c r="C127" s="9" t="n">
        <v>-0.00516844263922156</v>
      </c>
      <c r="D127" s="3">
        <f>EXP(0.25*'3b-d Exposures'!G147)</f>
        <v/>
      </c>
      <c r="E127" s="3">
        <f>IF('3b-d Exposures'!C147="",0,'3b-d Exposures'!C147)</f>
        <v/>
      </c>
      <c r="F127" s="3">
        <f>IF('3b-d Exposures'!E147="",0,'3b-d Exposures'!E147)</f>
        <v/>
      </c>
      <c r="G127" s="3">
        <f>IF('3b-d Exposures'!G147="",0,'3b-d Exposures'!G147)</f>
        <v/>
      </c>
      <c r="H127" s="3">
        <f>IF('3b-d Exposures'!I147="",0,'3b-d Exposures'!I147)</f>
        <v/>
      </c>
      <c r="I127" s="3">
        <f>IF('3b-d Exposures'!K147="",0,'3b-d Exposures'!K147)</f>
        <v/>
      </c>
      <c r="J127" s="3">
        <f>IF('3b-d Exposures'!M147="",0,'3b-d Exposures'!M147)</f>
        <v/>
      </c>
      <c r="K127" s="3">
        <f>IF('3b-d Exposures'!O147="",0,'3b-d Exposures'!O147)</f>
        <v/>
      </c>
      <c r="L127" s="3">
        <f>IF('3b-d Exposures'!Q147="",0,'3b-d Exposures'!Q147)</f>
        <v/>
      </c>
      <c r="M127" s="3">
        <f>IF('3b-d Exposures'!S147="",0,'3b-d Exposures'!S147)</f>
        <v/>
      </c>
      <c r="N127" s="3">
        <f>IF('3b-d Exposures'!Z147="",0,'3b-d Exposures'!Z147)</f>
        <v/>
      </c>
      <c r="O127" s="3">
        <f>$D127</f>
        <v/>
      </c>
      <c r="P127" s="3">
        <f>E127*$D127</f>
        <v/>
      </c>
      <c r="Q127" s="3">
        <f>F127*$D127</f>
        <v/>
      </c>
      <c r="R127" s="3">
        <f>G127*$D127</f>
        <v/>
      </c>
      <c r="S127" s="3">
        <f>H127*$D127</f>
        <v/>
      </c>
      <c r="T127" s="3">
        <f>I127*$D127</f>
        <v/>
      </c>
      <c r="U127" s="3">
        <f>J127*$D127</f>
        <v/>
      </c>
      <c r="V127" s="3">
        <f>K127*$D127</f>
        <v/>
      </c>
      <c r="W127" s="3">
        <f>L127*$D127</f>
        <v/>
      </c>
      <c r="X127" s="3">
        <f>M127*$D127</f>
        <v/>
      </c>
      <c r="Y127" s="3">
        <f>N127*$D127</f>
        <v/>
      </c>
      <c r="Z127" s="3">
        <f>C127*$D127</f>
        <v/>
      </c>
      <c r="AA127" s="9">
        <f>$L978+$K978*E127+$J978*F127+$I978*G127+$H978*H127+$G978*I127+$F978*J127+$E978*K127+$D978*L127+$C978*M127+$B978*N127</f>
        <v/>
      </c>
      <c r="AB127" s="9">
        <f>C127-AA127</f>
        <v/>
      </c>
      <c r="AC127" s="4">
        <f>AB127^2</f>
        <v/>
      </c>
    </row>
    <row r="128">
      <c r="A128" t="inlineStr">
        <is>
          <t>BBG00FQ8T4G3</t>
        </is>
      </c>
      <c r="B128" t="inlineStr">
        <is>
          <t>bj</t>
        </is>
      </c>
      <c r="C128" s="9" t="n">
        <v>-0.01131883626939578</v>
      </c>
      <c r="D128" s="3">
        <f>EXP(0.25*'3b-d Exposures'!G149)</f>
        <v/>
      </c>
      <c r="E128" s="3">
        <f>IF('3b-d Exposures'!C149="",0,'3b-d Exposures'!C149)</f>
        <v/>
      </c>
      <c r="F128" s="3">
        <f>IF('3b-d Exposures'!E149="",0,'3b-d Exposures'!E149)</f>
        <v/>
      </c>
      <c r="G128" s="3">
        <f>IF('3b-d Exposures'!G149="",0,'3b-d Exposures'!G149)</f>
        <v/>
      </c>
      <c r="H128" s="3">
        <f>IF('3b-d Exposures'!I149="",0,'3b-d Exposures'!I149)</f>
        <v/>
      </c>
      <c r="I128" s="3">
        <f>IF('3b-d Exposures'!K149="",0,'3b-d Exposures'!K149)</f>
        <v/>
      </c>
      <c r="J128" s="3">
        <f>IF('3b-d Exposures'!M149="",0,'3b-d Exposures'!M149)</f>
        <v/>
      </c>
      <c r="K128" s="3">
        <f>IF('3b-d Exposures'!O149="",0,'3b-d Exposures'!O149)</f>
        <v/>
      </c>
      <c r="L128" s="3">
        <f>IF('3b-d Exposures'!Q149="",0,'3b-d Exposures'!Q149)</f>
        <v/>
      </c>
      <c r="M128" s="3">
        <f>IF('3b-d Exposures'!S149="",0,'3b-d Exposures'!S149)</f>
        <v/>
      </c>
      <c r="N128" s="3">
        <f>IF('3b-d Exposures'!Z149="",0,'3b-d Exposures'!Z149)</f>
        <v/>
      </c>
      <c r="O128" s="3">
        <f>$D128</f>
        <v/>
      </c>
      <c r="P128" s="3">
        <f>E128*$D128</f>
        <v/>
      </c>
      <c r="Q128" s="3">
        <f>F128*$D128</f>
        <v/>
      </c>
      <c r="R128" s="3">
        <f>G128*$D128</f>
        <v/>
      </c>
      <c r="S128" s="3">
        <f>H128*$D128</f>
        <v/>
      </c>
      <c r="T128" s="3">
        <f>I128*$D128</f>
        <v/>
      </c>
      <c r="U128" s="3">
        <f>J128*$D128</f>
        <v/>
      </c>
      <c r="V128" s="3">
        <f>K128*$D128</f>
        <v/>
      </c>
      <c r="W128" s="3">
        <f>L128*$D128</f>
        <v/>
      </c>
      <c r="X128" s="3">
        <f>M128*$D128</f>
        <v/>
      </c>
      <c r="Y128" s="3">
        <f>N128*$D128</f>
        <v/>
      </c>
      <c r="Z128" s="3">
        <f>C128*$D128</f>
        <v/>
      </c>
      <c r="AA128" s="9">
        <f>$L978+$K978*E128+$J978*F128+$I978*G128+$H978*H128+$G978*I128+$F978*J128+$E978*K128+$D978*L128+$C978*M128+$B978*N128</f>
        <v/>
      </c>
      <c r="AB128" s="9">
        <f>C128-AA128</f>
        <v/>
      </c>
      <c r="AC128" s="4">
        <f>AB128^2</f>
        <v/>
      </c>
    </row>
    <row r="129">
      <c r="A129" t="inlineStr">
        <is>
          <t>BBG000J4L211</t>
        </is>
      </c>
      <c r="B129" t="inlineStr">
        <is>
          <t>bkd</t>
        </is>
      </c>
      <c r="C129" s="9" t="n">
        <v>-0.01760561754485435</v>
      </c>
      <c r="D129" s="3">
        <f>EXP(0.25*'3b-d Exposures'!G150)</f>
        <v/>
      </c>
      <c r="E129" s="3">
        <f>IF('3b-d Exposures'!C150="",0,'3b-d Exposures'!C150)</f>
        <v/>
      </c>
      <c r="F129" s="3">
        <f>IF('3b-d Exposures'!E150="",0,'3b-d Exposures'!E150)</f>
        <v/>
      </c>
      <c r="G129" s="3">
        <f>IF('3b-d Exposures'!G150="",0,'3b-d Exposures'!G150)</f>
        <v/>
      </c>
      <c r="H129" s="3">
        <f>IF('3b-d Exposures'!I150="",0,'3b-d Exposures'!I150)</f>
        <v/>
      </c>
      <c r="I129" s="3">
        <f>IF('3b-d Exposures'!K150="",0,'3b-d Exposures'!K150)</f>
        <v/>
      </c>
      <c r="J129" s="3">
        <f>IF('3b-d Exposures'!M150="",0,'3b-d Exposures'!M150)</f>
        <v/>
      </c>
      <c r="K129" s="3">
        <f>IF('3b-d Exposures'!O150="",0,'3b-d Exposures'!O150)</f>
        <v/>
      </c>
      <c r="L129" s="3">
        <f>IF('3b-d Exposures'!Q150="",0,'3b-d Exposures'!Q150)</f>
        <v/>
      </c>
      <c r="M129" s="3">
        <f>IF('3b-d Exposures'!S150="",0,'3b-d Exposures'!S150)</f>
        <v/>
      </c>
      <c r="N129" s="3">
        <f>IF('3b-d Exposures'!Z150="",0,'3b-d Exposures'!Z150)</f>
        <v/>
      </c>
      <c r="O129" s="3">
        <f>$D129</f>
        <v/>
      </c>
      <c r="P129" s="3">
        <f>E129*$D129</f>
        <v/>
      </c>
      <c r="Q129" s="3">
        <f>F129*$D129</f>
        <v/>
      </c>
      <c r="R129" s="3">
        <f>G129*$D129</f>
        <v/>
      </c>
      <c r="S129" s="3">
        <f>H129*$D129</f>
        <v/>
      </c>
      <c r="T129" s="3">
        <f>I129*$D129</f>
        <v/>
      </c>
      <c r="U129" s="3">
        <f>J129*$D129</f>
        <v/>
      </c>
      <c r="V129" s="3">
        <f>K129*$D129</f>
        <v/>
      </c>
      <c r="W129" s="3">
        <f>L129*$D129</f>
        <v/>
      </c>
      <c r="X129" s="3">
        <f>M129*$D129</f>
        <v/>
      </c>
      <c r="Y129" s="3">
        <f>N129*$D129</f>
        <v/>
      </c>
      <c r="Z129" s="3">
        <f>C129*$D129</f>
        <v/>
      </c>
      <c r="AA129" s="9">
        <f>$L978+$K978*E129+$J978*F129+$I978*G129+$H978*H129+$G978*I129+$F978*J129+$E978*K129+$D978*L129+$C978*M129+$B978*N129</f>
        <v/>
      </c>
      <c r="AB129" s="9">
        <f>C129-AA129</f>
        <v/>
      </c>
      <c r="AC129" s="4">
        <f>AB129^2</f>
        <v/>
      </c>
    </row>
    <row r="130">
      <c r="A130" t="inlineStr">
        <is>
          <t>BBG000BLBVN4</t>
        </is>
      </c>
      <c r="B130" t="inlineStr">
        <is>
          <t>bkng</t>
        </is>
      </c>
      <c r="C130" s="9" t="n">
        <v>0.004286967154393251</v>
      </c>
      <c r="D130" s="3">
        <f>EXP(0.25*'3b-d Exposures'!G151)</f>
        <v/>
      </c>
      <c r="E130" s="3">
        <f>IF('3b-d Exposures'!C151="",0,'3b-d Exposures'!C151)</f>
        <v/>
      </c>
      <c r="F130" s="3">
        <f>IF('3b-d Exposures'!E151="",0,'3b-d Exposures'!E151)</f>
        <v/>
      </c>
      <c r="G130" s="3">
        <f>IF('3b-d Exposures'!G151="",0,'3b-d Exposures'!G151)</f>
        <v/>
      </c>
      <c r="H130" s="3">
        <f>IF('3b-d Exposures'!I151="",0,'3b-d Exposures'!I151)</f>
        <v/>
      </c>
      <c r="I130" s="3">
        <f>IF('3b-d Exposures'!K151="",0,'3b-d Exposures'!K151)</f>
        <v/>
      </c>
      <c r="J130" s="3">
        <f>IF('3b-d Exposures'!M151="",0,'3b-d Exposures'!M151)</f>
        <v/>
      </c>
      <c r="K130" s="3">
        <f>IF('3b-d Exposures'!O151="",0,'3b-d Exposures'!O151)</f>
        <v/>
      </c>
      <c r="L130" s="3">
        <f>IF('3b-d Exposures'!Q151="",0,'3b-d Exposures'!Q151)</f>
        <v/>
      </c>
      <c r="M130" s="3">
        <f>IF('3b-d Exposures'!S151="",0,'3b-d Exposures'!S151)</f>
        <v/>
      </c>
      <c r="N130" s="3">
        <f>IF('3b-d Exposures'!Z151="",0,'3b-d Exposures'!Z151)</f>
        <v/>
      </c>
      <c r="O130" s="3">
        <f>$D130</f>
        <v/>
      </c>
      <c r="P130" s="3">
        <f>E130*$D130</f>
        <v/>
      </c>
      <c r="Q130" s="3">
        <f>F130*$D130</f>
        <v/>
      </c>
      <c r="R130" s="3">
        <f>G130*$D130</f>
        <v/>
      </c>
      <c r="S130" s="3">
        <f>H130*$D130</f>
        <v/>
      </c>
      <c r="T130" s="3">
        <f>I130*$D130</f>
        <v/>
      </c>
      <c r="U130" s="3">
        <f>J130*$D130</f>
        <v/>
      </c>
      <c r="V130" s="3">
        <f>K130*$D130</f>
        <v/>
      </c>
      <c r="W130" s="3">
        <f>L130*$D130</f>
        <v/>
      </c>
      <c r="X130" s="3">
        <f>M130*$D130</f>
        <v/>
      </c>
      <c r="Y130" s="3">
        <f>N130*$D130</f>
        <v/>
      </c>
      <c r="Z130" s="3">
        <f>C130*$D130</f>
        <v/>
      </c>
      <c r="AA130" s="9">
        <f>$L978+$K978*E130+$J978*F130+$I978*G130+$H978*H130+$G978*I130+$F978*J130+$E978*K130+$D978*L130+$C978*M130+$B978*N130</f>
        <v/>
      </c>
      <c r="AB130" s="9">
        <f>C130-AA130</f>
        <v/>
      </c>
      <c r="AC130" s="4">
        <f>AB130^2</f>
        <v/>
      </c>
    </row>
    <row r="131">
      <c r="A131" t="inlineStr">
        <is>
          <t>bkr</t>
        </is>
      </c>
      <c r="B131" t="inlineStr">
        <is>
          <t>bkr</t>
        </is>
      </c>
      <c r="C131" s="9" t="n">
        <v>-0.005915763977999089</v>
      </c>
      <c r="D131" s="3">
        <f>EXP(0.25*'3b-d Exposures'!G152)</f>
        <v/>
      </c>
      <c r="E131" s="3">
        <f>IF('3b-d Exposures'!C152="",0,'3b-d Exposures'!C152)</f>
        <v/>
      </c>
      <c r="F131" s="3">
        <f>IF('3b-d Exposures'!E152="",0,'3b-d Exposures'!E152)</f>
        <v/>
      </c>
      <c r="G131" s="3">
        <f>IF('3b-d Exposures'!G152="",0,'3b-d Exposures'!G152)</f>
        <v/>
      </c>
      <c r="H131" s="3">
        <f>IF('3b-d Exposures'!I152="",0,'3b-d Exposures'!I152)</f>
        <v/>
      </c>
      <c r="I131" s="3">
        <f>IF('3b-d Exposures'!K152="",0,'3b-d Exposures'!K152)</f>
        <v/>
      </c>
      <c r="J131" s="3">
        <f>IF('3b-d Exposures'!M152="",0,'3b-d Exposures'!M152)</f>
        <v/>
      </c>
      <c r="K131" s="3">
        <f>IF('3b-d Exposures'!O152="",0,'3b-d Exposures'!O152)</f>
        <v/>
      </c>
      <c r="L131" s="3">
        <f>IF('3b-d Exposures'!Q152="",0,'3b-d Exposures'!Q152)</f>
        <v/>
      </c>
      <c r="M131" s="3">
        <f>IF('3b-d Exposures'!S152="",0,'3b-d Exposures'!S152)</f>
        <v/>
      </c>
      <c r="N131" s="3">
        <f>IF('3b-d Exposures'!Z152="",0,'3b-d Exposures'!Z152)</f>
        <v/>
      </c>
      <c r="O131" s="3">
        <f>$D131</f>
        <v/>
      </c>
      <c r="P131" s="3">
        <f>E131*$D131</f>
        <v/>
      </c>
      <c r="Q131" s="3">
        <f>F131*$D131</f>
        <v/>
      </c>
      <c r="R131" s="3">
        <f>G131*$D131</f>
        <v/>
      </c>
      <c r="S131" s="3">
        <f>H131*$D131</f>
        <v/>
      </c>
      <c r="T131" s="3">
        <f>I131*$D131</f>
        <v/>
      </c>
      <c r="U131" s="3">
        <f>J131*$D131</f>
        <v/>
      </c>
      <c r="V131" s="3">
        <f>K131*$D131</f>
        <v/>
      </c>
      <c r="W131" s="3">
        <f>L131*$D131</f>
        <v/>
      </c>
      <c r="X131" s="3">
        <f>M131*$D131</f>
        <v/>
      </c>
      <c r="Y131" s="3">
        <f>N131*$D131</f>
        <v/>
      </c>
      <c r="Z131" s="3">
        <f>C131*$D131</f>
        <v/>
      </c>
      <c r="AA131" s="9">
        <f>$L978+$K978*E131+$J978*F131+$I978*G131+$H978*H131+$G978*I131+$F978*J131+$E978*K131+$D978*L131+$C978*M131+$B978*N131</f>
        <v/>
      </c>
      <c r="AB131" s="9">
        <f>C131-AA131</f>
        <v/>
      </c>
      <c r="AC131" s="4">
        <f>AB131^2</f>
        <v/>
      </c>
    </row>
    <row r="132">
      <c r="A132" t="inlineStr">
        <is>
          <t>BBG000PQPCM6</t>
        </is>
      </c>
      <c r="B132" t="inlineStr">
        <is>
          <t>bku</t>
        </is>
      </c>
      <c r="C132" s="9" t="n">
        <v>-0.01259788987674793</v>
      </c>
      <c r="D132" s="3">
        <f>EXP(0.25*'3b-d Exposures'!G153)</f>
        <v/>
      </c>
      <c r="E132" s="3">
        <f>IF('3b-d Exposures'!C153="",0,'3b-d Exposures'!C153)</f>
        <v/>
      </c>
      <c r="F132" s="3">
        <f>IF('3b-d Exposures'!E153="",0,'3b-d Exposures'!E153)</f>
        <v/>
      </c>
      <c r="G132" s="3">
        <f>IF('3b-d Exposures'!G153="",0,'3b-d Exposures'!G153)</f>
        <v/>
      </c>
      <c r="H132" s="3">
        <f>IF('3b-d Exposures'!I153="",0,'3b-d Exposures'!I153)</f>
        <v/>
      </c>
      <c r="I132" s="3">
        <f>IF('3b-d Exposures'!K153="",0,'3b-d Exposures'!K153)</f>
        <v/>
      </c>
      <c r="J132" s="3">
        <f>IF('3b-d Exposures'!M153="",0,'3b-d Exposures'!M153)</f>
        <v/>
      </c>
      <c r="K132" s="3">
        <f>IF('3b-d Exposures'!O153="",0,'3b-d Exposures'!O153)</f>
        <v/>
      </c>
      <c r="L132" s="3">
        <f>IF('3b-d Exposures'!Q153="",0,'3b-d Exposures'!Q153)</f>
        <v/>
      </c>
      <c r="M132" s="3">
        <f>IF('3b-d Exposures'!S153="",0,'3b-d Exposures'!S153)</f>
        <v/>
      </c>
      <c r="N132" s="3">
        <f>IF('3b-d Exposures'!Z153="",0,'3b-d Exposures'!Z153)</f>
        <v/>
      </c>
      <c r="O132" s="3">
        <f>$D132</f>
        <v/>
      </c>
      <c r="P132" s="3">
        <f>E132*$D132</f>
        <v/>
      </c>
      <c r="Q132" s="3">
        <f>F132*$D132</f>
        <v/>
      </c>
      <c r="R132" s="3">
        <f>G132*$D132</f>
        <v/>
      </c>
      <c r="S132" s="3">
        <f>H132*$D132</f>
        <v/>
      </c>
      <c r="T132" s="3">
        <f>I132*$D132</f>
        <v/>
      </c>
      <c r="U132" s="3">
        <f>J132*$D132</f>
        <v/>
      </c>
      <c r="V132" s="3">
        <f>K132*$D132</f>
        <v/>
      </c>
      <c r="W132" s="3">
        <f>L132*$D132</f>
        <v/>
      </c>
      <c r="X132" s="3">
        <f>M132*$D132</f>
        <v/>
      </c>
      <c r="Y132" s="3">
        <f>N132*$D132</f>
        <v/>
      </c>
      <c r="Z132" s="3">
        <f>C132*$D132</f>
        <v/>
      </c>
      <c r="AA132" s="9">
        <f>$L978+$K978*E132+$J978*F132+$I978*G132+$H978*H132+$G978*I132+$F978*J132+$E978*K132+$D978*L132+$C978*M132+$B978*N132</f>
        <v/>
      </c>
      <c r="AB132" s="9">
        <f>C132-AA132</f>
        <v/>
      </c>
      <c r="AC132" s="4">
        <f>AB132^2</f>
        <v/>
      </c>
    </row>
    <row r="133">
      <c r="A133" t="inlineStr">
        <is>
          <t>BBG0029KJVB0</t>
        </is>
      </c>
      <c r="B133" t="inlineStr">
        <is>
          <t>bl</t>
        </is>
      </c>
      <c r="C133" s="9" t="n">
        <v>0.005805525239412024</v>
      </c>
      <c r="D133" s="3">
        <f>EXP(0.25*'3b-d Exposures'!G154)</f>
        <v/>
      </c>
      <c r="E133" s="3">
        <f>IF('3b-d Exposures'!C154="",0,'3b-d Exposures'!C154)</f>
        <v/>
      </c>
      <c r="F133" s="3">
        <f>IF('3b-d Exposures'!E154="",0,'3b-d Exposures'!E154)</f>
        <v/>
      </c>
      <c r="G133" s="3">
        <f>IF('3b-d Exposures'!G154="",0,'3b-d Exposures'!G154)</f>
        <v/>
      </c>
      <c r="H133" s="3">
        <f>IF('3b-d Exposures'!I154="",0,'3b-d Exposures'!I154)</f>
        <v/>
      </c>
      <c r="I133" s="3">
        <f>IF('3b-d Exposures'!K154="",0,'3b-d Exposures'!K154)</f>
        <v/>
      </c>
      <c r="J133" s="3">
        <f>IF('3b-d Exposures'!M154="",0,'3b-d Exposures'!M154)</f>
        <v/>
      </c>
      <c r="K133" s="3">
        <f>IF('3b-d Exposures'!O154="",0,'3b-d Exposures'!O154)</f>
        <v/>
      </c>
      <c r="L133" s="3">
        <f>IF('3b-d Exposures'!Q154="",0,'3b-d Exposures'!Q154)</f>
        <v/>
      </c>
      <c r="M133" s="3">
        <f>IF('3b-d Exposures'!S154="",0,'3b-d Exposures'!S154)</f>
        <v/>
      </c>
      <c r="N133" s="3">
        <f>IF('3b-d Exposures'!Z154="",0,'3b-d Exposures'!Z154)</f>
        <v/>
      </c>
      <c r="O133" s="3">
        <f>$D133</f>
        <v/>
      </c>
      <c r="P133" s="3">
        <f>E133*$D133</f>
        <v/>
      </c>
      <c r="Q133" s="3">
        <f>F133*$D133</f>
        <v/>
      </c>
      <c r="R133" s="3">
        <f>G133*$D133</f>
        <v/>
      </c>
      <c r="S133" s="3">
        <f>H133*$D133</f>
        <v/>
      </c>
      <c r="T133" s="3">
        <f>I133*$D133</f>
        <v/>
      </c>
      <c r="U133" s="3">
        <f>J133*$D133</f>
        <v/>
      </c>
      <c r="V133" s="3">
        <f>K133*$D133</f>
        <v/>
      </c>
      <c r="W133" s="3">
        <f>L133*$D133</f>
        <v/>
      </c>
      <c r="X133" s="3">
        <f>M133*$D133</f>
        <v/>
      </c>
      <c r="Y133" s="3">
        <f>N133*$D133</f>
        <v/>
      </c>
      <c r="Z133" s="3">
        <f>C133*$D133</f>
        <v/>
      </c>
      <c r="AA133" s="9">
        <f>$L978+$K978*E133+$J978*F133+$I978*G133+$H978*H133+$G978*I133+$F978*J133+$E978*K133+$D978*L133+$C978*M133+$B978*N133</f>
        <v/>
      </c>
      <c r="AB133" s="9">
        <f>C133-AA133</f>
        <v/>
      </c>
      <c r="AC133" s="4">
        <f>AB133^2</f>
        <v/>
      </c>
    </row>
    <row r="134">
      <c r="A134" t="inlineStr">
        <is>
          <t>BBG000BKD3K9</t>
        </is>
      </c>
      <c r="B134" t="inlineStr">
        <is>
          <t>bldr</t>
        </is>
      </c>
      <c r="C134" s="9" t="n">
        <v>-0.00884857556541474</v>
      </c>
      <c r="D134" s="3">
        <f>EXP(0.25*'3b-d Exposures'!G155)</f>
        <v/>
      </c>
      <c r="E134" s="3">
        <f>IF('3b-d Exposures'!C155="",0,'3b-d Exposures'!C155)</f>
        <v/>
      </c>
      <c r="F134" s="3">
        <f>IF('3b-d Exposures'!E155="",0,'3b-d Exposures'!E155)</f>
        <v/>
      </c>
      <c r="G134" s="3">
        <f>IF('3b-d Exposures'!G155="",0,'3b-d Exposures'!G155)</f>
        <v/>
      </c>
      <c r="H134" s="3">
        <f>IF('3b-d Exposures'!I155="",0,'3b-d Exposures'!I155)</f>
        <v/>
      </c>
      <c r="I134" s="3">
        <f>IF('3b-d Exposures'!K155="",0,'3b-d Exposures'!K155)</f>
        <v/>
      </c>
      <c r="J134" s="3">
        <f>IF('3b-d Exposures'!M155="",0,'3b-d Exposures'!M155)</f>
        <v/>
      </c>
      <c r="K134" s="3">
        <f>IF('3b-d Exposures'!O155="",0,'3b-d Exposures'!O155)</f>
        <v/>
      </c>
      <c r="L134" s="3">
        <f>IF('3b-d Exposures'!Q155="",0,'3b-d Exposures'!Q155)</f>
        <v/>
      </c>
      <c r="M134" s="3">
        <f>IF('3b-d Exposures'!S155="",0,'3b-d Exposures'!S155)</f>
        <v/>
      </c>
      <c r="N134" s="3">
        <f>IF('3b-d Exposures'!Z155="",0,'3b-d Exposures'!Z155)</f>
        <v/>
      </c>
      <c r="O134" s="3">
        <f>$D134</f>
        <v/>
      </c>
      <c r="P134" s="3">
        <f>E134*$D134</f>
        <v/>
      </c>
      <c r="Q134" s="3">
        <f>F134*$D134</f>
        <v/>
      </c>
      <c r="R134" s="3">
        <f>G134*$D134</f>
        <v/>
      </c>
      <c r="S134" s="3">
        <f>H134*$D134</f>
        <v/>
      </c>
      <c r="T134" s="3">
        <f>I134*$D134</f>
        <v/>
      </c>
      <c r="U134" s="3">
        <f>J134*$D134</f>
        <v/>
      </c>
      <c r="V134" s="3">
        <f>K134*$D134</f>
        <v/>
      </c>
      <c r="W134" s="3">
        <f>L134*$D134</f>
        <v/>
      </c>
      <c r="X134" s="3">
        <f>M134*$D134</f>
        <v/>
      </c>
      <c r="Y134" s="3">
        <f>N134*$D134</f>
        <v/>
      </c>
      <c r="Z134" s="3">
        <f>C134*$D134</f>
        <v/>
      </c>
      <c r="AA134" s="9">
        <f>$L978+$K978*E134+$J978*F134+$I978*G134+$H978*H134+$G978*I134+$F978*J134+$E978*K134+$D978*L134+$C978*M134+$B978*N134</f>
        <v/>
      </c>
      <c r="AB134" s="9">
        <f>C134-AA134</f>
        <v/>
      </c>
      <c r="AC134" s="4">
        <f>AB134^2</f>
        <v/>
      </c>
    </row>
    <row r="135">
      <c r="A135" t="inlineStr">
        <is>
          <t>blk</t>
        </is>
      </c>
      <c r="B135" t="inlineStr">
        <is>
          <t>blk</t>
        </is>
      </c>
      <c r="C135" s="9" t="n">
        <v>-0.002630130956992272</v>
      </c>
      <c r="D135" s="3">
        <f>EXP(0.25*'3b-d Exposures'!G156)</f>
        <v/>
      </c>
      <c r="E135" s="3">
        <f>IF('3b-d Exposures'!C156="",0,'3b-d Exposures'!C156)</f>
        <v/>
      </c>
      <c r="F135" s="3">
        <f>IF('3b-d Exposures'!E156="",0,'3b-d Exposures'!E156)</f>
        <v/>
      </c>
      <c r="G135" s="3">
        <f>IF('3b-d Exposures'!G156="",0,'3b-d Exposures'!G156)</f>
        <v/>
      </c>
      <c r="H135" s="3">
        <f>IF('3b-d Exposures'!I156="",0,'3b-d Exposures'!I156)</f>
        <v/>
      </c>
      <c r="I135" s="3">
        <f>IF('3b-d Exposures'!K156="",0,'3b-d Exposures'!K156)</f>
        <v/>
      </c>
      <c r="J135" s="3">
        <f>IF('3b-d Exposures'!M156="",0,'3b-d Exposures'!M156)</f>
        <v/>
      </c>
      <c r="K135" s="3">
        <f>IF('3b-d Exposures'!O156="",0,'3b-d Exposures'!O156)</f>
        <v/>
      </c>
      <c r="L135" s="3">
        <f>IF('3b-d Exposures'!Q156="",0,'3b-d Exposures'!Q156)</f>
        <v/>
      </c>
      <c r="M135" s="3">
        <f>IF('3b-d Exposures'!S156="",0,'3b-d Exposures'!S156)</f>
        <v/>
      </c>
      <c r="N135" s="3">
        <f>IF('3b-d Exposures'!Z156="",0,'3b-d Exposures'!Z156)</f>
        <v/>
      </c>
      <c r="O135" s="3">
        <f>$D135</f>
        <v/>
      </c>
      <c r="P135" s="3">
        <f>E135*$D135</f>
        <v/>
      </c>
      <c r="Q135" s="3">
        <f>F135*$D135</f>
        <v/>
      </c>
      <c r="R135" s="3">
        <f>G135*$D135</f>
        <v/>
      </c>
      <c r="S135" s="3">
        <f>H135*$D135</f>
        <v/>
      </c>
      <c r="T135" s="3">
        <f>I135*$D135</f>
        <v/>
      </c>
      <c r="U135" s="3">
        <f>J135*$D135</f>
        <v/>
      </c>
      <c r="V135" s="3">
        <f>K135*$D135</f>
        <v/>
      </c>
      <c r="W135" s="3">
        <f>L135*$D135</f>
        <v/>
      </c>
      <c r="X135" s="3">
        <f>M135*$D135</f>
        <v/>
      </c>
      <c r="Y135" s="3">
        <f>N135*$D135</f>
        <v/>
      </c>
      <c r="Z135" s="3">
        <f>C135*$D135</f>
        <v/>
      </c>
      <c r="AA135" s="9">
        <f>$L978+$K978*E135+$J978*F135+$I978*G135+$H978*H135+$G978*I135+$F978*J135+$E978*K135+$D978*L135+$C978*M135+$B978*N135</f>
        <v/>
      </c>
      <c r="AB135" s="9">
        <f>C135-AA135</f>
        <v/>
      </c>
      <c r="AC135" s="4">
        <f>AB135^2</f>
        <v/>
      </c>
    </row>
    <row r="136">
      <c r="A136" t="inlineStr">
        <is>
          <t>BBG000CZWZ05</t>
        </is>
      </c>
      <c r="B136" t="inlineStr">
        <is>
          <t>bmrn</t>
        </is>
      </c>
      <c r="C136" s="9" t="n">
        <v>-0.01499315284070457</v>
      </c>
      <c r="D136" s="3">
        <f>EXP(0.25*'3b-d Exposures'!G159)</f>
        <v/>
      </c>
      <c r="E136" s="3">
        <f>IF('3b-d Exposures'!C159="",0,'3b-d Exposures'!C159)</f>
        <v/>
      </c>
      <c r="F136" s="3">
        <f>IF('3b-d Exposures'!E159="",0,'3b-d Exposures'!E159)</f>
        <v/>
      </c>
      <c r="G136" s="3">
        <f>IF('3b-d Exposures'!G159="",0,'3b-d Exposures'!G159)</f>
        <v/>
      </c>
      <c r="H136" s="3">
        <f>IF('3b-d Exposures'!I159="",0,'3b-d Exposures'!I159)</f>
        <v/>
      </c>
      <c r="I136" s="3">
        <f>IF('3b-d Exposures'!K159="",0,'3b-d Exposures'!K159)</f>
        <v/>
      </c>
      <c r="J136" s="3">
        <f>IF('3b-d Exposures'!M159="",0,'3b-d Exposures'!M159)</f>
        <v/>
      </c>
      <c r="K136" s="3">
        <f>IF('3b-d Exposures'!O159="",0,'3b-d Exposures'!O159)</f>
        <v/>
      </c>
      <c r="L136" s="3">
        <f>IF('3b-d Exposures'!Q159="",0,'3b-d Exposures'!Q159)</f>
        <v/>
      </c>
      <c r="M136" s="3">
        <f>IF('3b-d Exposures'!S159="",0,'3b-d Exposures'!S159)</f>
        <v/>
      </c>
      <c r="N136" s="3">
        <f>IF('3b-d Exposures'!Z159="",0,'3b-d Exposures'!Z159)</f>
        <v/>
      </c>
      <c r="O136" s="3">
        <f>$D136</f>
        <v/>
      </c>
      <c r="P136" s="3">
        <f>E136*$D136</f>
        <v/>
      </c>
      <c r="Q136" s="3">
        <f>F136*$D136</f>
        <v/>
      </c>
      <c r="R136" s="3">
        <f>G136*$D136</f>
        <v/>
      </c>
      <c r="S136" s="3">
        <f>H136*$D136</f>
        <v/>
      </c>
      <c r="T136" s="3">
        <f>I136*$D136</f>
        <v/>
      </c>
      <c r="U136" s="3">
        <f>J136*$D136</f>
        <v/>
      </c>
      <c r="V136" s="3">
        <f>K136*$D136</f>
        <v/>
      </c>
      <c r="W136" s="3">
        <f>L136*$D136</f>
        <v/>
      </c>
      <c r="X136" s="3">
        <f>M136*$D136</f>
        <v/>
      </c>
      <c r="Y136" s="3">
        <f>N136*$D136</f>
        <v/>
      </c>
      <c r="Z136" s="3">
        <f>C136*$D136</f>
        <v/>
      </c>
      <c r="AA136" s="9">
        <f>$L978+$K978*E136+$J978*F136+$I978*G136+$H978*H136+$G978*I136+$F978*J136+$E978*K136+$D978*L136+$C978*M136+$B978*N136</f>
        <v/>
      </c>
      <c r="AB136" s="9">
        <f>C136-AA136</f>
        <v/>
      </c>
      <c r="AC136" s="4">
        <f>AB136^2</f>
        <v/>
      </c>
    </row>
    <row r="137">
      <c r="A137" t="inlineStr">
        <is>
          <t>BBG000DQLV23</t>
        </is>
      </c>
      <c r="B137" t="inlineStr">
        <is>
          <t>bmy</t>
        </is>
      </c>
      <c r="C137" s="9" t="n">
        <v>0.01215803286108397</v>
      </c>
      <c r="D137" s="3">
        <f>EXP(0.25*'3b-d Exposures'!G160)</f>
        <v/>
      </c>
      <c r="E137" s="3">
        <f>IF('3b-d Exposures'!C160="",0,'3b-d Exposures'!C160)</f>
        <v/>
      </c>
      <c r="F137" s="3">
        <f>IF('3b-d Exposures'!E160="",0,'3b-d Exposures'!E160)</f>
        <v/>
      </c>
      <c r="G137" s="3">
        <f>IF('3b-d Exposures'!G160="",0,'3b-d Exposures'!G160)</f>
        <v/>
      </c>
      <c r="H137" s="3">
        <f>IF('3b-d Exposures'!I160="",0,'3b-d Exposures'!I160)</f>
        <v/>
      </c>
      <c r="I137" s="3">
        <f>IF('3b-d Exposures'!K160="",0,'3b-d Exposures'!K160)</f>
        <v/>
      </c>
      <c r="J137" s="3">
        <f>IF('3b-d Exposures'!M160="",0,'3b-d Exposures'!M160)</f>
        <v/>
      </c>
      <c r="K137" s="3">
        <f>IF('3b-d Exposures'!O160="",0,'3b-d Exposures'!O160)</f>
        <v/>
      </c>
      <c r="L137" s="3">
        <f>IF('3b-d Exposures'!Q160="",0,'3b-d Exposures'!Q160)</f>
        <v/>
      </c>
      <c r="M137" s="3">
        <f>IF('3b-d Exposures'!S160="",0,'3b-d Exposures'!S160)</f>
        <v/>
      </c>
      <c r="N137" s="3">
        <f>IF('3b-d Exposures'!Z160="",0,'3b-d Exposures'!Z160)</f>
        <v/>
      </c>
      <c r="O137" s="3">
        <f>$D137</f>
        <v/>
      </c>
      <c r="P137" s="3">
        <f>E137*$D137</f>
        <v/>
      </c>
      <c r="Q137" s="3">
        <f>F137*$D137</f>
        <v/>
      </c>
      <c r="R137" s="3">
        <f>G137*$D137</f>
        <v/>
      </c>
      <c r="S137" s="3">
        <f>H137*$D137</f>
        <v/>
      </c>
      <c r="T137" s="3">
        <f>I137*$D137</f>
        <v/>
      </c>
      <c r="U137" s="3">
        <f>J137*$D137</f>
        <v/>
      </c>
      <c r="V137" s="3">
        <f>K137*$D137</f>
        <v/>
      </c>
      <c r="W137" s="3">
        <f>L137*$D137</f>
        <v/>
      </c>
      <c r="X137" s="3">
        <f>M137*$D137</f>
        <v/>
      </c>
      <c r="Y137" s="3">
        <f>N137*$D137</f>
        <v/>
      </c>
      <c r="Z137" s="3">
        <f>C137*$D137</f>
        <v/>
      </c>
      <c r="AA137" s="9">
        <f>$L978+$K978*E137+$J978*F137+$I978*G137+$H978*H137+$G978*I137+$F978*J137+$E978*K137+$D978*L137+$C978*M137+$B978*N137</f>
        <v/>
      </c>
      <c r="AB137" s="9">
        <f>C137-AA137</f>
        <v/>
      </c>
      <c r="AC137" s="4">
        <f>AB137^2</f>
        <v/>
      </c>
    </row>
    <row r="138">
      <c r="A138" t="inlineStr">
        <is>
          <t>BBG000BD8PN9</t>
        </is>
      </c>
      <c r="B138" t="inlineStr">
        <is>
          <t>bny</t>
        </is>
      </c>
      <c r="C138" s="9" t="n">
        <v>-0.009283106607513636</v>
      </c>
      <c r="D138" s="3">
        <f>EXP(0.25*'3b-d Exposures'!G161)</f>
        <v/>
      </c>
      <c r="E138" s="3">
        <f>IF('3b-d Exposures'!C161="",0,'3b-d Exposures'!C161)</f>
        <v/>
      </c>
      <c r="F138" s="3">
        <f>IF('3b-d Exposures'!E161="",0,'3b-d Exposures'!E161)</f>
        <v/>
      </c>
      <c r="G138" s="3">
        <f>IF('3b-d Exposures'!G161="",0,'3b-d Exposures'!G161)</f>
        <v/>
      </c>
      <c r="H138" s="3">
        <f>IF('3b-d Exposures'!I161="",0,'3b-d Exposures'!I161)</f>
        <v/>
      </c>
      <c r="I138" s="3">
        <f>IF('3b-d Exposures'!K161="",0,'3b-d Exposures'!K161)</f>
        <v/>
      </c>
      <c r="J138" s="3">
        <f>IF('3b-d Exposures'!M161="",0,'3b-d Exposures'!M161)</f>
        <v/>
      </c>
      <c r="K138" s="3">
        <f>IF('3b-d Exposures'!O161="",0,'3b-d Exposures'!O161)</f>
        <v/>
      </c>
      <c r="L138" s="3">
        <f>IF('3b-d Exposures'!Q161="",0,'3b-d Exposures'!Q161)</f>
        <v/>
      </c>
      <c r="M138" s="3">
        <f>IF('3b-d Exposures'!S161="",0,'3b-d Exposures'!S161)</f>
        <v/>
      </c>
      <c r="N138" s="3">
        <f>IF('3b-d Exposures'!Z161="",0,'3b-d Exposures'!Z161)</f>
        <v/>
      </c>
      <c r="O138" s="3">
        <f>$D138</f>
        <v/>
      </c>
      <c r="P138" s="3">
        <f>E138*$D138</f>
        <v/>
      </c>
      <c r="Q138" s="3">
        <f>F138*$D138</f>
        <v/>
      </c>
      <c r="R138" s="3">
        <f>G138*$D138</f>
        <v/>
      </c>
      <c r="S138" s="3">
        <f>H138*$D138</f>
        <v/>
      </c>
      <c r="T138" s="3">
        <f>I138*$D138</f>
        <v/>
      </c>
      <c r="U138" s="3">
        <f>J138*$D138</f>
        <v/>
      </c>
      <c r="V138" s="3">
        <f>K138*$D138</f>
        <v/>
      </c>
      <c r="W138" s="3">
        <f>L138*$D138</f>
        <v/>
      </c>
      <c r="X138" s="3">
        <f>M138*$D138</f>
        <v/>
      </c>
      <c r="Y138" s="3">
        <f>N138*$D138</f>
        <v/>
      </c>
      <c r="Z138" s="3">
        <f>C138*$D138</f>
        <v/>
      </c>
      <c r="AA138" s="9">
        <f>$L978+$K978*E138+$J978*F138+$I978*G138+$H978*H138+$G978*I138+$F978*J138+$E978*K138+$D978*L138+$C978*M138+$B978*N138</f>
        <v/>
      </c>
      <c r="AB138" s="9">
        <f>C138-AA138</f>
        <v/>
      </c>
      <c r="AC138" s="4">
        <f>AB138^2</f>
        <v/>
      </c>
    </row>
    <row r="139">
      <c r="A139" t="inlineStr">
        <is>
          <t>BBG00Q4W34T4</t>
        </is>
      </c>
      <c r="B139" t="inlineStr">
        <is>
          <t>bold</t>
        </is>
      </c>
      <c r="C139" s="9" t="n">
        <v>0.007326000288198298</v>
      </c>
      <c r="D139" s="3">
        <f>EXP(0.25*'3b-d Exposures'!G163)</f>
        <v/>
      </c>
      <c r="E139" s="3">
        <f>IF('3b-d Exposures'!C163="",0,'3b-d Exposures'!C163)</f>
        <v/>
      </c>
      <c r="F139" s="3">
        <f>IF('3b-d Exposures'!E163="",0,'3b-d Exposures'!E163)</f>
        <v/>
      </c>
      <c r="G139" s="3">
        <f>IF('3b-d Exposures'!G163="",0,'3b-d Exposures'!G163)</f>
        <v/>
      </c>
      <c r="H139" s="3">
        <f>IF('3b-d Exposures'!I163="",0,'3b-d Exposures'!I163)</f>
        <v/>
      </c>
      <c r="I139" s="3">
        <f>IF('3b-d Exposures'!K163="",0,'3b-d Exposures'!K163)</f>
        <v/>
      </c>
      <c r="J139" s="3">
        <f>IF('3b-d Exposures'!M163="",0,'3b-d Exposures'!M163)</f>
        <v/>
      </c>
      <c r="K139" s="3">
        <f>IF('3b-d Exposures'!O163="",0,'3b-d Exposures'!O163)</f>
        <v/>
      </c>
      <c r="L139" s="3">
        <f>IF('3b-d Exposures'!Q163="",0,'3b-d Exposures'!Q163)</f>
        <v/>
      </c>
      <c r="M139" s="3">
        <f>IF('3b-d Exposures'!S163="",0,'3b-d Exposures'!S163)</f>
        <v/>
      </c>
      <c r="N139" s="3">
        <f>IF('3b-d Exposures'!Z163="",0,'3b-d Exposures'!Z163)</f>
        <v/>
      </c>
      <c r="O139" s="3">
        <f>$D139</f>
        <v/>
      </c>
      <c r="P139" s="3">
        <f>E139*$D139</f>
        <v/>
      </c>
      <c r="Q139" s="3">
        <f>F139*$D139</f>
        <v/>
      </c>
      <c r="R139" s="3">
        <f>G139*$D139</f>
        <v/>
      </c>
      <c r="S139" s="3">
        <f>H139*$D139</f>
        <v/>
      </c>
      <c r="T139" s="3">
        <f>I139*$D139</f>
        <v/>
      </c>
      <c r="U139" s="3">
        <f>J139*$D139</f>
        <v/>
      </c>
      <c r="V139" s="3">
        <f>K139*$D139</f>
        <v/>
      </c>
      <c r="W139" s="3">
        <f>L139*$D139</f>
        <v/>
      </c>
      <c r="X139" s="3">
        <f>M139*$D139</f>
        <v/>
      </c>
      <c r="Y139" s="3">
        <f>N139*$D139</f>
        <v/>
      </c>
      <c r="Z139" s="3">
        <f>C139*$D139</f>
        <v/>
      </c>
      <c r="AA139" s="9">
        <f>$L978+$K978*E139+$J978*F139+$I978*G139+$H978*H139+$G978*I139+$F978*J139+$E978*K139+$D978*L139+$C978*M139+$B978*N139</f>
        <v/>
      </c>
      <c r="AB139" s="9">
        <f>C139-AA139</f>
        <v/>
      </c>
      <c r="AC139" s="4">
        <f>AB139^2</f>
        <v/>
      </c>
    </row>
    <row r="140">
      <c r="A140" t="inlineStr">
        <is>
          <t>BBG01MF58GZ0</t>
        </is>
      </c>
      <c r="B140" t="inlineStr">
        <is>
          <t>bow</t>
        </is>
      </c>
      <c r="C140" s="9" t="n">
        <v>-0.01167210378378825</v>
      </c>
      <c r="D140" s="3">
        <f>EXP(0.25*'3b-d Exposures'!G164)</f>
        <v/>
      </c>
      <c r="E140" s="3">
        <f>IF('3b-d Exposures'!C164="",0,'3b-d Exposures'!C164)</f>
        <v/>
      </c>
      <c r="F140" s="3">
        <f>IF('3b-d Exposures'!E164="",0,'3b-d Exposures'!E164)</f>
        <v/>
      </c>
      <c r="G140" s="3">
        <f>IF('3b-d Exposures'!G164="",0,'3b-d Exposures'!G164)</f>
        <v/>
      </c>
      <c r="H140" s="3">
        <f>IF('3b-d Exposures'!I164="",0,'3b-d Exposures'!I164)</f>
        <v/>
      </c>
      <c r="I140" s="3">
        <f>IF('3b-d Exposures'!K164="",0,'3b-d Exposures'!K164)</f>
        <v/>
      </c>
      <c r="J140" s="3">
        <f>IF('3b-d Exposures'!M164="",0,'3b-d Exposures'!M164)</f>
        <v/>
      </c>
      <c r="K140" s="3">
        <f>IF('3b-d Exposures'!O164="",0,'3b-d Exposures'!O164)</f>
        <v/>
      </c>
      <c r="L140" s="3">
        <f>IF('3b-d Exposures'!Q164="",0,'3b-d Exposures'!Q164)</f>
        <v/>
      </c>
      <c r="M140" s="3">
        <f>IF('3b-d Exposures'!S164="",0,'3b-d Exposures'!S164)</f>
        <v/>
      </c>
      <c r="N140" s="3">
        <f>IF('3b-d Exposures'!Z164="",0,'3b-d Exposures'!Z164)</f>
        <v/>
      </c>
      <c r="O140" s="3">
        <f>$D140</f>
        <v/>
      </c>
      <c r="P140" s="3">
        <f>E140*$D140</f>
        <v/>
      </c>
      <c r="Q140" s="3">
        <f>F140*$D140</f>
        <v/>
      </c>
      <c r="R140" s="3">
        <f>G140*$D140</f>
        <v/>
      </c>
      <c r="S140" s="3">
        <f>H140*$D140</f>
        <v/>
      </c>
      <c r="T140" s="3">
        <f>I140*$D140</f>
        <v/>
      </c>
      <c r="U140" s="3">
        <f>J140*$D140</f>
        <v/>
      </c>
      <c r="V140" s="3">
        <f>K140*$D140</f>
        <v/>
      </c>
      <c r="W140" s="3">
        <f>L140*$D140</f>
        <v/>
      </c>
      <c r="X140" s="3">
        <f>M140*$D140</f>
        <v/>
      </c>
      <c r="Y140" s="3">
        <f>N140*$D140</f>
        <v/>
      </c>
      <c r="Z140" s="3">
        <f>C140*$D140</f>
        <v/>
      </c>
      <c r="AA140" s="9">
        <f>$L978+$K978*E140+$J978*F140+$I978*G140+$H978*H140+$G978*I140+$F978*J140+$E978*K140+$D978*L140+$C978*M140+$B978*N140</f>
        <v/>
      </c>
      <c r="AB140" s="9">
        <f>C140-AA140</f>
        <v/>
      </c>
      <c r="AC140" s="4">
        <f>AB140^2</f>
        <v/>
      </c>
    </row>
    <row r="141">
      <c r="A141" t="inlineStr">
        <is>
          <t>BBG000PMSK08</t>
        </is>
      </c>
      <c r="B141" t="inlineStr">
        <is>
          <t>box</t>
        </is>
      </c>
      <c r="C141" s="9" t="n">
        <v>0.0005699759953463612</v>
      </c>
      <c r="D141" s="3">
        <f>EXP(0.25*'3b-d Exposures'!G165)</f>
        <v/>
      </c>
      <c r="E141" s="3">
        <f>IF('3b-d Exposures'!C165="",0,'3b-d Exposures'!C165)</f>
        <v/>
      </c>
      <c r="F141" s="3">
        <f>IF('3b-d Exposures'!E165="",0,'3b-d Exposures'!E165)</f>
        <v/>
      </c>
      <c r="G141" s="3">
        <f>IF('3b-d Exposures'!G165="",0,'3b-d Exposures'!G165)</f>
        <v/>
      </c>
      <c r="H141" s="3">
        <f>IF('3b-d Exposures'!I165="",0,'3b-d Exposures'!I165)</f>
        <v/>
      </c>
      <c r="I141" s="3">
        <f>IF('3b-d Exposures'!K165="",0,'3b-d Exposures'!K165)</f>
        <v/>
      </c>
      <c r="J141" s="3">
        <f>IF('3b-d Exposures'!M165="",0,'3b-d Exposures'!M165)</f>
        <v/>
      </c>
      <c r="K141" s="3">
        <f>IF('3b-d Exposures'!O165="",0,'3b-d Exposures'!O165)</f>
        <v/>
      </c>
      <c r="L141" s="3">
        <f>IF('3b-d Exposures'!Q165="",0,'3b-d Exposures'!Q165)</f>
        <v/>
      </c>
      <c r="M141" s="3">
        <f>IF('3b-d Exposures'!S165="",0,'3b-d Exposures'!S165)</f>
        <v/>
      </c>
      <c r="N141" s="3">
        <f>IF('3b-d Exposures'!Z165="",0,'3b-d Exposures'!Z165)</f>
        <v/>
      </c>
      <c r="O141" s="3">
        <f>$D141</f>
        <v/>
      </c>
      <c r="P141" s="3">
        <f>E141*$D141</f>
        <v/>
      </c>
      <c r="Q141" s="3">
        <f>F141*$D141</f>
        <v/>
      </c>
      <c r="R141" s="3">
        <f>G141*$D141</f>
        <v/>
      </c>
      <c r="S141" s="3">
        <f>H141*$D141</f>
        <v/>
      </c>
      <c r="T141" s="3">
        <f>I141*$D141</f>
        <v/>
      </c>
      <c r="U141" s="3">
        <f>J141*$D141</f>
        <v/>
      </c>
      <c r="V141" s="3">
        <f>K141*$D141</f>
        <v/>
      </c>
      <c r="W141" s="3">
        <f>L141*$D141</f>
        <v/>
      </c>
      <c r="X141" s="3">
        <f>M141*$D141</f>
        <v/>
      </c>
      <c r="Y141" s="3">
        <f>N141*$D141</f>
        <v/>
      </c>
      <c r="Z141" s="3">
        <f>C141*$D141</f>
        <v/>
      </c>
      <c r="AA141" s="9">
        <f>$L978+$K978*E141+$J978*F141+$I978*G141+$H978*H141+$G978*I141+$F978*J141+$E978*K141+$D978*L141+$C978*M141+$B978*N141</f>
        <v/>
      </c>
      <c r="AB141" s="9">
        <f>C141-AA141</f>
        <v/>
      </c>
      <c r="AC141" s="4">
        <f>AB141^2</f>
        <v/>
      </c>
    </row>
    <row r="142">
      <c r="A142" t="inlineStr">
        <is>
          <t>BBG000BDNB35</t>
        </is>
      </c>
      <c r="B142" t="inlineStr">
        <is>
          <t>bpop</t>
        </is>
      </c>
      <c r="C142" s="9" t="n">
        <v>-0.007950903538047283</v>
      </c>
      <c r="D142" s="3">
        <f>EXP(0.25*'3b-d Exposures'!G167)</f>
        <v/>
      </c>
      <c r="E142" s="3">
        <f>IF('3b-d Exposures'!C167="",0,'3b-d Exposures'!C167)</f>
        <v/>
      </c>
      <c r="F142" s="3">
        <f>IF('3b-d Exposures'!E167="",0,'3b-d Exposures'!E167)</f>
        <v/>
      </c>
      <c r="G142" s="3">
        <f>IF('3b-d Exposures'!G167="",0,'3b-d Exposures'!G167)</f>
        <v/>
      </c>
      <c r="H142" s="3">
        <f>IF('3b-d Exposures'!I167="",0,'3b-d Exposures'!I167)</f>
        <v/>
      </c>
      <c r="I142" s="3">
        <f>IF('3b-d Exposures'!K167="",0,'3b-d Exposures'!K167)</f>
        <v/>
      </c>
      <c r="J142" s="3">
        <f>IF('3b-d Exposures'!M167="",0,'3b-d Exposures'!M167)</f>
        <v/>
      </c>
      <c r="K142" s="3">
        <f>IF('3b-d Exposures'!O167="",0,'3b-d Exposures'!O167)</f>
        <v/>
      </c>
      <c r="L142" s="3">
        <f>IF('3b-d Exposures'!Q167="",0,'3b-d Exposures'!Q167)</f>
        <v/>
      </c>
      <c r="M142" s="3">
        <f>IF('3b-d Exposures'!S167="",0,'3b-d Exposures'!S167)</f>
        <v/>
      </c>
      <c r="N142" s="3">
        <f>IF('3b-d Exposures'!Z167="",0,'3b-d Exposures'!Z167)</f>
        <v/>
      </c>
      <c r="O142" s="3">
        <f>$D142</f>
        <v/>
      </c>
      <c r="P142" s="3">
        <f>E142*$D142</f>
        <v/>
      </c>
      <c r="Q142" s="3">
        <f>F142*$D142</f>
        <v/>
      </c>
      <c r="R142" s="3">
        <f>G142*$D142</f>
        <v/>
      </c>
      <c r="S142" s="3">
        <f>H142*$D142</f>
        <v/>
      </c>
      <c r="T142" s="3">
        <f>I142*$D142</f>
        <v/>
      </c>
      <c r="U142" s="3">
        <f>J142*$D142</f>
        <v/>
      </c>
      <c r="V142" s="3">
        <f>K142*$D142</f>
        <v/>
      </c>
      <c r="W142" s="3">
        <f>L142*$D142</f>
        <v/>
      </c>
      <c r="X142" s="3">
        <f>M142*$D142</f>
        <v/>
      </c>
      <c r="Y142" s="3">
        <f>N142*$D142</f>
        <v/>
      </c>
      <c r="Z142" s="3">
        <f>C142*$D142</f>
        <v/>
      </c>
      <c r="AA142" s="9">
        <f>$L978+$K978*E142+$J978*F142+$I978*G142+$H978*H142+$G978*I142+$F978*J142+$E978*K142+$D978*L142+$C978*M142+$B978*N142</f>
        <v/>
      </c>
      <c r="AB142" s="9">
        <f>C142-AA142</f>
        <v/>
      </c>
      <c r="AC142" s="4">
        <f>AB142^2</f>
        <v/>
      </c>
    </row>
    <row r="143">
      <c r="A143" t="inlineStr">
        <is>
          <t>br</t>
        </is>
      </c>
      <c r="B143" t="inlineStr">
        <is>
          <t>br</t>
        </is>
      </c>
      <c r="C143" s="9" t="n">
        <v>-0.00749927446933496</v>
      </c>
      <c r="D143" s="3">
        <f>EXP(0.25*'3b-d Exposures'!G168)</f>
        <v/>
      </c>
      <c r="E143" s="3">
        <f>IF('3b-d Exposures'!C168="",0,'3b-d Exposures'!C168)</f>
        <v/>
      </c>
      <c r="F143" s="3">
        <f>IF('3b-d Exposures'!E168="",0,'3b-d Exposures'!E168)</f>
        <v/>
      </c>
      <c r="G143" s="3">
        <f>IF('3b-d Exposures'!G168="",0,'3b-d Exposures'!G168)</f>
        <v/>
      </c>
      <c r="H143" s="3">
        <f>IF('3b-d Exposures'!I168="",0,'3b-d Exposures'!I168)</f>
        <v/>
      </c>
      <c r="I143" s="3">
        <f>IF('3b-d Exposures'!K168="",0,'3b-d Exposures'!K168)</f>
        <v/>
      </c>
      <c r="J143" s="3">
        <f>IF('3b-d Exposures'!M168="",0,'3b-d Exposures'!M168)</f>
        <v/>
      </c>
      <c r="K143" s="3">
        <f>IF('3b-d Exposures'!O168="",0,'3b-d Exposures'!O168)</f>
        <v/>
      </c>
      <c r="L143" s="3">
        <f>IF('3b-d Exposures'!Q168="",0,'3b-d Exposures'!Q168)</f>
        <v/>
      </c>
      <c r="M143" s="3">
        <f>IF('3b-d Exposures'!S168="",0,'3b-d Exposures'!S168)</f>
        <v/>
      </c>
      <c r="N143" s="3">
        <f>IF('3b-d Exposures'!Z168="",0,'3b-d Exposures'!Z168)</f>
        <v/>
      </c>
      <c r="O143" s="3">
        <f>$D143</f>
        <v/>
      </c>
      <c r="P143" s="3">
        <f>E143*$D143</f>
        <v/>
      </c>
      <c r="Q143" s="3">
        <f>F143*$D143</f>
        <v/>
      </c>
      <c r="R143" s="3">
        <f>G143*$D143</f>
        <v/>
      </c>
      <c r="S143" s="3">
        <f>H143*$D143</f>
        <v/>
      </c>
      <c r="T143" s="3">
        <f>I143*$D143</f>
        <v/>
      </c>
      <c r="U143" s="3">
        <f>J143*$D143</f>
        <v/>
      </c>
      <c r="V143" s="3">
        <f>K143*$D143</f>
        <v/>
      </c>
      <c r="W143" s="3">
        <f>L143*$D143</f>
        <v/>
      </c>
      <c r="X143" s="3">
        <f>M143*$D143</f>
        <v/>
      </c>
      <c r="Y143" s="3">
        <f>N143*$D143</f>
        <v/>
      </c>
      <c r="Z143" s="3">
        <f>C143*$D143</f>
        <v/>
      </c>
      <c r="AA143" s="9">
        <f>$L978+$K978*E143+$J978*F143+$I978*G143+$H978*H143+$G978*I143+$F978*J143+$E978*K143+$D978*L143+$C978*M143+$B978*N143</f>
        <v/>
      </c>
      <c r="AB143" s="9">
        <f>C143-AA143</f>
        <v/>
      </c>
      <c r="AC143" s="4">
        <f>AB143^2</f>
        <v/>
      </c>
    </row>
    <row r="144">
      <c r="A144" t="inlineStr">
        <is>
          <t>brk-b</t>
        </is>
      </c>
      <c r="B144" t="inlineStr">
        <is>
          <t>brk-b</t>
        </is>
      </c>
      <c r="C144" s="9" t="n">
        <v>-0.01178005583790698</v>
      </c>
      <c r="D144" s="3">
        <f>EXP(0.25*'3b-d Exposures'!G170)</f>
        <v/>
      </c>
      <c r="E144" s="3">
        <f>IF('3b-d Exposures'!C170="",0,'3b-d Exposures'!C170)</f>
        <v/>
      </c>
      <c r="F144" s="3">
        <f>IF('3b-d Exposures'!E170="",0,'3b-d Exposures'!E170)</f>
        <v/>
      </c>
      <c r="G144" s="3">
        <f>IF('3b-d Exposures'!G170="",0,'3b-d Exposures'!G170)</f>
        <v/>
      </c>
      <c r="H144" s="3">
        <f>IF('3b-d Exposures'!I170="",0,'3b-d Exposures'!I170)</f>
        <v/>
      </c>
      <c r="I144" s="3">
        <f>IF('3b-d Exposures'!K170="",0,'3b-d Exposures'!K170)</f>
        <v/>
      </c>
      <c r="J144" s="3">
        <f>IF('3b-d Exposures'!M170="",0,'3b-d Exposures'!M170)</f>
        <v/>
      </c>
      <c r="K144" s="3">
        <f>IF('3b-d Exposures'!O170="",0,'3b-d Exposures'!O170)</f>
        <v/>
      </c>
      <c r="L144" s="3">
        <f>IF('3b-d Exposures'!Q170="",0,'3b-d Exposures'!Q170)</f>
        <v/>
      </c>
      <c r="M144" s="3">
        <f>IF('3b-d Exposures'!S170="",0,'3b-d Exposures'!S170)</f>
        <v/>
      </c>
      <c r="N144" s="3">
        <f>IF('3b-d Exposures'!Z170="",0,'3b-d Exposures'!Z170)</f>
        <v/>
      </c>
      <c r="O144" s="3">
        <f>$D144</f>
        <v/>
      </c>
      <c r="P144" s="3">
        <f>E144*$D144</f>
        <v/>
      </c>
      <c r="Q144" s="3">
        <f>F144*$D144</f>
        <v/>
      </c>
      <c r="R144" s="3">
        <f>G144*$D144</f>
        <v/>
      </c>
      <c r="S144" s="3">
        <f>H144*$D144</f>
        <v/>
      </c>
      <c r="T144" s="3">
        <f>I144*$D144</f>
        <v/>
      </c>
      <c r="U144" s="3">
        <f>J144*$D144</f>
        <v/>
      </c>
      <c r="V144" s="3">
        <f>K144*$D144</f>
        <v/>
      </c>
      <c r="W144" s="3">
        <f>L144*$D144</f>
        <v/>
      </c>
      <c r="X144" s="3">
        <f>M144*$D144</f>
        <v/>
      </c>
      <c r="Y144" s="3">
        <f>N144*$D144</f>
        <v/>
      </c>
      <c r="Z144" s="3">
        <f>C144*$D144</f>
        <v/>
      </c>
      <c r="AA144" s="9">
        <f>$L978+$K978*E144+$J978*F144+$I978*G144+$H978*H144+$G978*I144+$F978*J144+$E978*K144+$D978*L144+$C978*M144+$B978*N144</f>
        <v/>
      </c>
      <c r="AB144" s="9">
        <f>C144-AA144</f>
        <v/>
      </c>
      <c r="AC144" s="4">
        <f>AB144^2</f>
        <v/>
      </c>
    </row>
    <row r="145">
      <c r="A145" t="inlineStr">
        <is>
          <t>BBG000CL1FG7</t>
        </is>
      </c>
      <c r="B145" t="inlineStr">
        <is>
          <t>brkr</t>
        </is>
      </c>
      <c r="C145" s="9" t="n">
        <v>0.008117447086962271</v>
      </c>
      <c r="D145" s="3">
        <f>EXP(0.25*'3b-d Exposures'!G171)</f>
        <v/>
      </c>
      <c r="E145" s="3">
        <f>IF('3b-d Exposures'!C171="",0,'3b-d Exposures'!C171)</f>
        <v/>
      </c>
      <c r="F145" s="3">
        <f>IF('3b-d Exposures'!E171="",0,'3b-d Exposures'!E171)</f>
        <v/>
      </c>
      <c r="G145" s="3">
        <f>IF('3b-d Exposures'!G171="",0,'3b-d Exposures'!G171)</f>
        <v/>
      </c>
      <c r="H145" s="3">
        <f>IF('3b-d Exposures'!I171="",0,'3b-d Exposures'!I171)</f>
        <v/>
      </c>
      <c r="I145" s="3">
        <f>IF('3b-d Exposures'!K171="",0,'3b-d Exposures'!K171)</f>
        <v/>
      </c>
      <c r="J145" s="3">
        <f>IF('3b-d Exposures'!M171="",0,'3b-d Exposures'!M171)</f>
        <v/>
      </c>
      <c r="K145" s="3">
        <f>IF('3b-d Exposures'!O171="",0,'3b-d Exposures'!O171)</f>
        <v/>
      </c>
      <c r="L145" s="3">
        <f>IF('3b-d Exposures'!Q171="",0,'3b-d Exposures'!Q171)</f>
        <v/>
      </c>
      <c r="M145" s="3">
        <f>IF('3b-d Exposures'!S171="",0,'3b-d Exposures'!S171)</f>
        <v/>
      </c>
      <c r="N145" s="3">
        <f>IF('3b-d Exposures'!Z171="",0,'3b-d Exposures'!Z171)</f>
        <v/>
      </c>
      <c r="O145" s="3">
        <f>$D145</f>
        <v/>
      </c>
      <c r="P145" s="3">
        <f>E145*$D145</f>
        <v/>
      </c>
      <c r="Q145" s="3">
        <f>F145*$D145</f>
        <v/>
      </c>
      <c r="R145" s="3">
        <f>G145*$D145</f>
        <v/>
      </c>
      <c r="S145" s="3">
        <f>H145*$D145</f>
        <v/>
      </c>
      <c r="T145" s="3">
        <f>I145*$D145</f>
        <v/>
      </c>
      <c r="U145" s="3">
        <f>J145*$D145</f>
        <v/>
      </c>
      <c r="V145" s="3">
        <f>K145*$D145</f>
        <v/>
      </c>
      <c r="W145" s="3">
        <f>L145*$D145</f>
        <v/>
      </c>
      <c r="X145" s="3">
        <f>M145*$D145</f>
        <v/>
      </c>
      <c r="Y145" s="3">
        <f>N145*$D145</f>
        <v/>
      </c>
      <c r="Z145" s="3">
        <f>C145*$D145</f>
        <v/>
      </c>
      <c r="AA145" s="9">
        <f>$L978+$K978*E145+$J978*F145+$I978*G145+$H978*H145+$G978*I145+$F978*J145+$E978*K145+$D978*L145+$C978*M145+$B978*N145</f>
        <v/>
      </c>
      <c r="AB145" s="9">
        <f>C145-AA145</f>
        <v/>
      </c>
      <c r="AC145" s="4">
        <f>AB145^2</f>
        <v/>
      </c>
    </row>
    <row r="146">
      <c r="A146" t="inlineStr">
        <is>
          <t>BBG000BWSGF4</t>
        </is>
      </c>
      <c r="B146" t="inlineStr">
        <is>
          <t>bro</t>
        </is>
      </c>
      <c r="C146" s="9" t="n">
        <v>-0.01299737700617265</v>
      </c>
      <c r="D146" s="3">
        <f>EXP(0.25*'3b-d Exposures'!G172)</f>
        <v/>
      </c>
      <c r="E146" s="3">
        <f>IF('3b-d Exposures'!C172="",0,'3b-d Exposures'!C172)</f>
        <v/>
      </c>
      <c r="F146" s="3">
        <f>IF('3b-d Exposures'!E172="",0,'3b-d Exposures'!E172)</f>
        <v/>
      </c>
      <c r="G146" s="3">
        <f>IF('3b-d Exposures'!G172="",0,'3b-d Exposures'!G172)</f>
        <v/>
      </c>
      <c r="H146" s="3">
        <f>IF('3b-d Exposures'!I172="",0,'3b-d Exposures'!I172)</f>
        <v/>
      </c>
      <c r="I146" s="3">
        <f>IF('3b-d Exposures'!K172="",0,'3b-d Exposures'!K172)</f>
        <v/>
      </c>
      <c r="J146" s="3">
        <f>IF('3b-d Exposures'!M172="",0,'3b-d Exposures'!M172)</f>
        <v/>
      </c>
      <c r="K146" s="3">
        <f>IF('3b-d Exposures'!O172="",0,'3b-d Exposures'!O172)</f>
        <v/>
      </c>
      <c r="L146" s="3">
        <f>IF('3b-d Exposures'!Q172="",0,'3b-d Exposures'!Q172)</f>
        <v/>
      </c>
      <c r="M146" s="3">
        <f>IF('3b-d Exposures'!S172="",0,'3b-d Exposures'!S172)</f>
        <v/>
      </c>
      <c r="N146" s="3">
        <f>IF('3b-d Exposures'!Z172="",0,'3b-d Exposures'!Z172)</f>
        <v/>
      </c>
      <c r="O146" s="3">
        <f>$D146</f>
        <v/>
      </c>
      <c r="P146" s="3">
        <f>E146*$D146</f>
        <v/>
      </c>
      <c r="Q146" s="3">
        <f>F146*$D146</f>
        <v/>
      </c>
      <c r="R146" s="3">
        <f>G146*$D146</f>
        <v/>
      </c>
      <c r="S146" s="3">
        <f>H146*$D146</f>
        <v/>
      </c>
      <c r="T146" s="3">
        <f>I146*$D146</f>
        <v/>
      </c>
      <c r="U146" s="3">
        <f>J146*$D146</f>
        <v/>
      </c>
      <c r="V146" s="3">
        <f>K146*$D146</f>
        <v/>
      </c>
      <c r="W146" s="3">
        <f>L146*$D146</f>
        <v/>
      </c>
      <c r="X146" s="3">
        <f>M146*$D146</f>
        <v/>
      </c>
      <c r="Y146" s="3">
        <f>N146*$D146</f>
        <v/>
      </c>
      <c r="Z146" s="3">
        <f>C146*$D146</f>
        <v/>
      </c>
      <c r="AA146" s="9">
        <f>$L978+$K978*E146+$J978*F146+$I978*G146+$H978*H146+$G978*I146+$F978*J146+$E978*K146+$D978*L146+$C978*M146+$B978*N146</f>
        <v/>
      </c>
      <c r="AB146" s="9">
        <f>C146-AA146</f>
        <v/>
      </c>
      <c r="AC146" s="4">
        <f>AB146^2</f>
        <v/>
      </c>
    </row>
    <row r="147">
      <c r="A147" t="inlineStr">
        <is>
          <t>BBG000C0LW92</t>
        </is>
      </c>
      <c r="B147" t="inlineStr">
        <is>
          <t>bsx</t>
        </is>
      </c>
      <c r="C147" s="9" t="n">
        <v>-0.002536988171661925</v>
      </c>
      <c r="D147" s="3">
        <f>EXP(0.25*'3b-d Exposures'!G173)</f>
        <v/>
      </c>
      <c r="E147" s="3">
        <f>IF('3b-d Exposures'!C173="",0,'3b-d Exposures'!C173)</f>
        <v/>
      </c>
      <c r="F147" s="3">
        <f>IF('3b-d Exposures'!E173="",0,'3b-d Exposures'!E173)</f>
        <v/>
      </c>
      <c r="G147" s="3">
        <f>IF('3b-d Exposures'!G173="",0,'3b-d Exposures'!G173)</f>
        <v/>
      </c>
      <c r="H147" s="3">
        <f>IF('3b-d Exposures'!I173="",0,'3b-d Exposures'!I173)</f>
        <v/>
      </c>
      <c r="I147" s="3">
        <f>IF('3b-d Exposures'!K173="",0,'3b-d Exposures'!K173)</f>
        <v/>
      </c>
      <c r="J147" s="3">
        <f>IF('3b-d Exposures'!M173="",0,'3b-d Exposures'!M173)</f>
        <v/>
      </c>
      <c r="K147" s="3">
        <f>IF('3b-d Exposures'!O173="",0,'3b-d Exposures'!O173)</f>
        <v/>
      </c>
      <c r="L147" s="3">
        <f>IF('3b-d Exposures'!Q173="",0,'3b-d Exposures'!Q173)</f>
        <v/>
      </c>
      <c r="M147" s="3">
        <f>IF('3b-d Exposures'!S173="",0,'3b-d Exposures'!S173)</f>
        <v/>
      </c>
      <c r="N147" s="3">
        <f>IF('3b-d Exposures'!Z173="",0,'3b-d Exposures'!Z173)</f>
        <v/>
      </c>
      <c r="O147" s="3">
        <f>$D147</f>
        <v/>
      </c>
      <c r="P147" s="3">
        <f>E147*$D147</f>
        <v/>
      </c>
      <c r="Q147" s="3">
        <f>F147*$D147</f>
        <v/>
      </c>
      <c r="R147" s="3">
        <f>G147*$D147</f>
        <v/>
      </c>
      <c r="S147" s="3">
        <f>H147*$D147</f>
        <v/>
      </c>
      <c r="T147" s="3">
        <f>I147*$D147</f>
        <v/>
      </c>
      <c r="U147" s="3">
        <f>J147*$D147</f>
        <v/>
      </c>
      <c r="V147" s="3">
        <f>K147*$D147</f>
        <v/>
      </c>
      <c r="W147" s="3">
        <f>L147*$D147</f>
        <v/>
      </c>
      <c r="X147" s="3">
        <f>M147*$D147</f>
        <v/>
      </c>
      <c r="Y147" s="3">
        <f>N147*$D147</f>
        <v/>
      </c>
      <c r="Z147" s="3">
        <f>C147*$D147</f>
        <v/>
      </c>
      <c r="AA147" s="9">
        <f>$L978+$K978*E147+$J978*F147+$I978*G147+$H978*H147+$G978*I147+$F978*J147+$E978*K147+$D978*L147+$C978*M147+$B978*N147</f>
        <v/>
      </c>
      <c r="AB147" s="9">
        <f>C147-AA147</f>
        <v/>
      </c>
      <c r="AC147" s="4">
        <f>AB147^2</f>
        <v/>
      </c>
    </row>
    <row r="148">
      <c r="A148" t="inlineStr">
        <is>
          <t>BBG0132WL1X7</t>
        </is>
      </c>
      <c r="B148" t="inlineStr">
        <is>
          <t>btsg</t>
        </is>
      </c>
      <c r="C148" s="9" t="n">
        <v>-0.0113989286036883</v>
      </c>
      <c r="D148" s="3">
        <f>EXP(0.25*'3b-d Exposures'!G175)</f>
        <v/>
      </c>
      <c r="E148" s="3">
        <f>IF('3b-d Exposures'!C175="",0,'3b-d Exposures'!C175)</f>
        <v/>
      </c>
      <c r="F148" s="3">
        <f>IF('3b-d Exposures'!E175="",0,'3b-d Exposures'!E175)</f>
        <v/>
      </c>
      <c r="G148" s="3">
        <f>IF('3b-d Exposures'!G175="",0,'3b-d Exposures'!G175)</f>
        <v/>
      </c>
      <c r="H148" s="3">
        <f>IF('3b-d Exposures'!I175="",0,'3b-d Exposures'!I175)</f>
        <v/>
      </c>
      <c r="I148" s="3">
        <f>IF('3b-d Exposures'!K175="",0,'3b-d Exposures'!K175)</f>
        <v/>
      </c>
      <c r="J148" s="3">
        <f>IF('3b-d Exposures'!M175="",0,'3b-d Exposures'!M175)</f>
        <v/>
      </c>
      <c r="K148" s="3">
        <f>IF('3b-d Exposures'!O175="",0,'3b-d Exposures'!O175)</f>
        <v/>
      </c>
      <c r="L148" s="3">
        <f>IF('3b-d Exposures'!Q175="",0,'3b-d Exposures'!Q175)</f>
        <v/>
      </c>
      <c r="M148" s="3">
        <f>IF('3b-d Exposures'!S175="",0,'3b-d Exposures'!S175)</f>
        <v/>
      </c>
      <c r="N148" s="3">
        <f>IF('3b-d Exposures'!Z175="",0,'3b-d Exposures'!Z175)</f>
        <v/>
      </c>
      <c r="O148" s="3">
        <f>$D148</f>
        <v/>
      </c>
      <c r="P148" s="3">
        <f>E148*$D148</f>
        <v/>
      </c>
      <c r="Q148" s="3">
        <f>F148*$D148</f>
        <v/>
      </c>
      <c r="R148" s="3">
        <f>G148*$D148</f>
        <v/>
      </c>
      <c r="S148" s="3">
        <f>H148*$D148</f>
        <v/>
      </c>
      <c r="T148" s="3">
        <f>I148*$D148</f>
        <v/>
      </c>
      <c r="U148" s="3">
        <f>J148*$D148</f>
        <v/>
      </c>
      <c r="V148" s="3">
        <f>K148*$D148</f>
        <v/>
      </c>
      <c r="W148" s="3">
        <f>L148*$D148</f>
        <v/>
      </c>
      <c r="X148" s="3">
        <f>M148*$D148</f>
        <v/>
      </c>
      <c r="Y148" s="3">
        <f>N148*$D148</f>
        <v/>
      </c>
      <c r="Z148" s="3">
        <f>C148*$D148</f>
        <v/>
      </c>
      <c r="AA148" s="9">
        <f>$L978+$K978*E148+$J978*F148+$I978*G148+$H978*H148+$G978*I148+$F978*J148+$E978*K148+$D978*L148+$C978*M148+$B978*N148</f>
        <v/>
      </c>
      <c r="AB148" s="9">
        <f>C148-AA148</f>
        <v/>
      </c>
      <c r="AC148" s="4">
        <f>AB148^2</f>
        <v/>
      </c>
    </row>
    <row r="149">
      <c r="A149" t="inlineStr">
        <is>
          <t>BBG00GBV88T6</t>
        </is>
      </c>
      <c r="B149" t="inlineStr">
        <is>
          <t>btu</t>
        </is>
      </c>
      <c r="C149" s="9" t="n">
        <v>-0.01048205520211221</v>
      </c>
      <c r="D149" s="3">
        <f>EXP(0.25*'3b-d Exposures'!G176)</f>
        <v/>
      </c>
      <c r="E149" s="3">
        <f>IF('3b-d Exposures'!C176="",0,'3b-d Exposures'!C176)</f>
        <v/>
      </c>
      <c r="F149" s="3">
        <f>IF('3b-d Exposures'!E176="",0,'3b-d Exposures'!E176)</f>
        <v/>
      </c>
      <c r="G149" s="3">
        <f>IF('3b-d Exposures'!G176="",0,'3b-d Exposures'!G176)</f>
        <v/>
      </c>
      <c r="H149" s="3">
        <f>IF('3b-d Exposures'!I176="",0,'3b-d Exposures'!I176)</f>
        <v/>
      </c>
      <c r="I149" s="3">
        <f>IF('3b-d Exposures'!K176="",0,'3b-d Exposures'!K176)</f>
        <v/>
      </c>
      <c r="J149" s="3">
        <f>IF('3b-d Exposures'!M176="",0,'3b-d Exposures'!M176)</f>
        <v/>
      </c>
      <c r="K149" s="3">
        <f>IF('3b-d Exposures'!O176="",0,'3b-d Exposures'!O176)</f>
        <v/>
      </c>
      <c r="L149" s="3">
        <f>IF('3b-d Exposures'!Q176="",0,'3b-d Exposures'!Q176)</f>
        <v/>
      </c>
      <c r="M149" s="3">
        <f>IF('3b-d Exposures'!S176="",0,'3b-d Exposures'!S176)</f>
        <v/>
      </c>
      <c r="N149" s="3">
        <f>IF('3b-d Exposures'!Z176="",0,'3b-d Exposures'!Z176)</f>
        <v/>
      </c>
      <c r="O149" s="3">
        <f>$D149</f>
        <v/>
      </c>
      <c r="P149" s="3">
        <f>E149*$D149</f>
        <v/>
      </c>
      <c r="Q149" s="3">
        <f>F149*$D149</f>
        <v/>
      </c>
      <c r="R149" s="3">
        <f>G149*$D149</f>
        <v/>
      </c>
      <c r="S149" s="3">
        <f>H149*$D149</f>
        <v/>
      </c>
      <c r="T149" s="3">
        <f>I149*$D149</f>
        <v/>
      </c>
      <c r="U149" s="3">
        <f>J149*$D149</f>
        <v/>
      </c>
      <c r="V149" s="3">
        <f>K149*$D149</f>
        <v/>
      </c>
      <c r="W149" s="3">
        <f>L149*$D149</f>
        <v/>
      </c>
      <c r="X149" s="3">
        <f>M149*$D149</f>
        <v/>
      </c>
      <c r="Y149" s="3">
        <f>N149*$D149</f>
        <v/>
      </c>
      <c r="Z149" s="3">
        <f>C149*$D149</f>
        <v/>
      </c>
      <c r="AA149" s="9">
        <f>$L978+$K978*E149+$J978*F149+$I978*G149+$H978*H149+$G978*I149+$F978*J149+$E978*K149+$D978*L149+$C978*M149+$B978*N149</f>
        <v/>
      </c>
      <c r="AB149" s="9">
        <f>C149-AA149</f>
        <v/>
      </c>
      <c r="AC149" s="4">
        <f>AB149^2</f>
        <v/>
      </c>
    </row>
    <row r="150">
      <c r="A150" t="inlineStr">
        <is>
          <t>BBG00L1LT6D6</t>
        </is>
      </c>
      <c r="B150" t="inlineStr">
        <is>
          <t>bv</t>
        </is>
      </c>
      <c r="C150" s="9" t="n">
        <v>0.01345026532780458</v>
      </c>
      <c r="D150" s="3">
        <f>EXP(0.25*'3b-d Exposures'!G178)</f>
        <v/>
      </c>
      <c r="E150" s="3">
        <f>IF('3b-d Exposures'!C178="",0,'3b-d Exposures'!C178)</f>
        <v/>
      </c>
      <c r="F150" s="3">
        <f>IF('3b-d Exposures'!E178="",0,'3b-d Exposures'!E178)</f>
        <v/>
      </c>
      <c r="G150" s="3">
        <f>IF('3b-d Exposures'!G178="",0,'3b-d Exposures'!G178)</f>
        <v/>
      </c>
      <c r="H150" s="3">
        <f>IF('3b-d Exposures'!I178="",0,'3b-d Exposures'!I178)</f>
        <v/>
      </c>
      <c r="I150" s="3">
        <f>IF('3b-d Exposures'!K178="",0,'3b-d Exposures'!K178)</f>
        <v/>
      </c>
      <c r="J150" s="3">
        <f>IF('3b-d Exposures'!M178="",0,'3b-d Exposures'!M178)</f>
        <v/>
      </c>
      <c r="K150" s="3">
        <f>IF('3b-d Exposures'!O178="",0,'3b-d Exposures'!O178)</f>
        <v/>
      </c>
      <c r="L150" s="3">
        <f>IF('3b-d Exposures'!Q178="",0,'3b-d Exposures'!Q178)</f>
        <v/>
      </c>
      <c r="M150" s="3">
        <f>IF('3b-d Exposures'!S178="",0,'3b-d Exposures'!S178)</f>
        <v/>
      </c>
      <c r="N150" s="3">
        <f>IF('3b-d Exposures'!Z178="",0,'3b-d Exposures'!Z178)</f>
        <v/>
      </c>
      <c r="O150" s="3">
        <f>$D150</f>
        <v/>
      </c>
      <c r="P150" s="3">
        <f>E150*$D150</f>
        <v/>
      </c>
      <c r="Q150" s="3">
        <f>F150*$D150</f>
        <v/>
      </c>
      <c r="R150" s="3">
        <f>G150*$D150</f>
        <v/>
      </c>
      <c r="S150" s="3">
        <f>H150*$D150</f>
        <v/>
      </c>
      <c r="T150" s="3">
        <f>I150*$D150</f>
        <v/>
      </c>
      <c r="U150" s="3">
        <f>J150*$D150</f>
        <v/>
      </c>
      <c r="V150" s="3">
        <f>K150*$D150</f>
        <v/>
      </c>
      <c r="W150" s="3">
        <f>L150*$D150</f>
        <v/>
      </c>
      <c r="X150" s="3">
        <f>M150*$D150</f>
        <v/>
      </c>
      <c r="Y150" s="3">
        <f>N150*$D150</f>
        <v/>
      </c>
      <c r="Z150" s="3">
        <f>C150*$D150</f>
        <v/>
      </c>
      <c r="AA150" s="9">
        <f>$L978+$K978*E150+$J978*F150+$I978*G150+$H978*H150+$G978*I150+$F978*J150+$E978*K150+$D978*L150+$C978*M150+$B978*N150</f>
        <v/>
      </c>
      <c r="AB150" s="9">
        <f>C150-AA150</f>
        <v/>
      </c>
      <c r="AC150" s="4">
        <f>AB150^2</f>
        <v/>
      </c>
    </row>
    <row r="151">
      <c r="A151" t="inlineStr">
        <is>
          <t>BBG000BJ49H3</t>
        </is>
      </c>
      <c r="B151" t="inlineStr">
        <is>
          <t>bwa</t>
        </is>
      </c>
      <c r="C151" s="9" t="n">
        <v>0.003215271624166682</v>
      </c>
      <c r="D151" s="3">
        <f>EXP(0.25*'3b-d Exposures'!G179)</f>
        <v/>
      </c>
      <c r="E151" s="3">
        <f>IF('3b-d Exposures'!C179="",0,'3b-d Exposures'!C179)</f>
        <v/>
      </c>
      <c r="F151" s="3">
        <f>IF('3b-d Exposures'!E179="",0,'3b-d Exposures'!E179)</f>
        <v/>
      </c>
      <c r="G151" s="3">
        <f>IF('3b-d Exposures'!G179="",0,'3b-d Exposures'!G179)</f>
        <v/>
      </c>
      <c r="H151" s="3">
        <f>IF('3b-d Exposures'!I179="",0,'3b-d Exposures'!I179)</f>
        <v/>
      </c>
      <c r="I151" s="3">
        <f>IF('3b-d Exposures'!K179="",0,'3b-d Exposures'!K179)</f>
        <v/>
      </c>
      <c r="J151" s="3">
        <f>IF('3b-d Exposures'!M179="",0,'3b-d Exposures'!M179)</f>
        <v/>
      </c>
      <c r="K151" s="3">
        <f>IF('3b-d Exposures'!O179="",0,'3b-d Exposures'!O179)</f>
        <v/>
      </c>
      <c r="L151" s="3">
        <f>IF('3b-d Exposures'!Q179="",0,'3b-d Exposures'!Q179)</f>
        <v/>
      </c>
      <c r="M151" s="3">
        <f>IF('3b-d Exposures'!S179="",0,'3b-d Exposures'!S179)</f>
        <v/>
      </c>
      <c r="N151" s="3">
        <f>IF('3b-d Exposures'!Z179="",0,'3b-d Exposures'!Z179)</f>
        <v/>
      </c>
      <c r="O151" s="3">
        <f>$D151</f>
        <v/>
      </c>
      <c r="P151" s="3">
        <f>E151*$D151</f>
        <v/>
      </c>
      <c r="Q151" s="3">
        <f>F151*$D151</f>
        <v/>
      </c>
      <c r="R151" s="3">
        <f>G151*$D151</f>
        <v/>
      </c>
      <c r="S151" s="3">
        <f>H151*$D151</f>
        <v/>
      </c>
      <c r="T151" s="3">
        <f>I151*$D151</f>
        <v/>
      </c>
      <c r="U151" s="3">
        <f>J151*$D151</f>
        <v/>
      </c>
      <c r="V151" s="3">
        <f>K151*$D151</f>
        <v/>
      </c>
      <c r="W151" s="3">
        <f>L151*$D151</f>
        <v/>
      </c>
      <c r="X151" s="3">
        <f>M151*$D151</f>
        <v/>
      </c>
      <c r="Y151" s="3">
        <f>N151*$D151</f>
        <v/>
      </c>
      <c r="Z151" s="3">
        <f>C151*$D151</f>
        <v/>
      </c>
      <c r="AA151" s="9">
        <f>$L978+$K978*E151+$J978*F151+$I978*G151+$H978*H151+$G978*I151+$F978*J151+$E978*K151+$D978*L151+$C978*M151+$B978*N151</f>
        <v/>
      </c>
      <c r="AB151" s="9">
        <f>C151-AA151</f>
        <v/>
      </c>
      <c r="AC151" s="4">
        <f>AB151^2</f>
        <v/>
      </c>
    </row>
    <row r="152">
      <c r="A152" t="inlineStr">
        <is>
          <t>BBG000BH0106</t>
        </is>
      </c>
      <c r="B152" t="inlineStr">
        <is>
          <t>bx</t>
        </is>
      </c>
      <c r="C152" s="9" t="n">
        <v>-0.02114180239221208</v>
      </c>
      <c r="D152" s="3">
        <f>EXP(0.25*'3b-d Exposures'!G180)</f>
        <v/>
      </c>
      <c r="E152" s="3">
        <f>IF('3b-d Exposures'!C180="",0,'3b-d Exposures'!C180)</f>
        <v/>
      </c>
      <c r="F152" s="3">
        <f>IF('3b-d Exposures'!E180="",0,'3b-d Exposures'!E180)</f>
        <v/>
      </c>
      <c r="G152" s="3">
        <f>IF('3b-d Exposures'!G180="",0,'3b-d Exposures'!G180)</f>
        <v/>
      </c>
      <c r="H152" s="3">
        <f>IF('3b-d Exposures'!I180="",0,'3b-d Exposures'!I180)</f>
        <v/>
      </c>
      <c r="I152" s="3">
        <f>IF('3b-d Exposures'!K180="",0,'3b-d Exposures'!K180)</f>
        <v/>
      </c>
      <c r="J152" s="3">
        <f>IF('3b-d Exposures'!M180="",0,'3b-d Exposures'!M180)</f>
        <v/>
      </c>
      <c r="K152" s="3">
        <f>IF('3b-d Exposures'!O180="",0,'3b-d Exposures'!O180)</f>
        <v/>
      </c>
      <c r="L152" s="3">
        <f>IF('3b-d Exposures'!Q180="",0,'3b-d Exposures'!Q180)</f>
        <v/>
      </c>
      <c r="M152" s="3">
        <f>IF('3b-d Exposures'!S180="",0,'3b-d Exposures'!S180)</f>
        <v/>
      </c>
      <c r="N152" s="3">
        <f>IF('3b-d Exposures'!Z180="",0,'3b-d Exposures'!Z180)</f>
        <v/>
      </c>
      <c r="O152" s="3">
        <f>$D152</f>
        <v/>
      </c>
      <c r="P152" s="3">
        <f>E152*$D152</f>
        <v/>
      </c>
      <c r="Q152" s="3">
        <f>F152*$D152</f>
        <v/>
      </c>
      <c r="R152" s="3">
        <f>G152*$D152</f>
        <v/>
      </c>
      <c r="S152" s="3">
        <f>H152*$D152</f>
        <v/>
      </c>
      <c r="T152" s="3">
        <f>I152*$D152</f>
        <v/>
      </c>
      <c r="U152" s="3">
        <f>J152*$D152</f>
        <v/>
      </c>
      <c r="V152" s="3">
        <f>K152*$D152</f>
        <v/>
      </c>
      <c r="W152" s="3">
        <f>L152*$D152</f>
        <v/>
      </c>
      <c r="X152" s="3">
        <f>M152*$D152</f>
        <v/>
      </c>
      <c r="Y152" s="3">
        <f>N152*$D152</f>
        <v/>
      </c>
      <c r="Z152" s="3">
        <f>C152*$D152</f>
        <v/>
      </c>
      <c r="AA152" s="9">
        <f>$L978+$K978*E152+$J978*F152+$I978*G152+$H978*H152+$G978*I152+$F978*J152+$E978*K152+$D978*L152+$C978*M152+$B978*N152</f>
        <v/>
      </c>
      <c r="AB152" s="9">
        <f>C152-AA152</f>
        <v/>
      </c>
      <c r="AC152" s="4">
        <f>AB152^2</f>
        <v/>
      </c>
    </row>
    <row r="153">
      <c r="A153" t="inlineStr">
        <is>
          <t>BBG000BGKJ70</t>
        </is>
      </c>
      <c r="B153" t="inlineStr">
        <is>
          <t>bxmt</t>
        </is>
      </c>
      <c r="C153" s="9" t="n">
        <v>-0.006763678579488119</v>
      </c>
      <c r="D153" s="3">
        <f>EXP(0.25*'3b-d Exposures'!G181)</f>
        <v/>
      </c>
      <c r="E153" s="3">
        <f>IF('3b-d Exposures'!C181="",0,'3b-d Exposures'!C181)</f>
        <v/>
      </c>
      <c r="F153" s="3">
        <f>IF('3b-d Exposures'!E181="",0,'3b-d Exposures'!E181)</f>
        <v/>
      </c>
      <c r="G153" s="3">
        <f>IF('3b-d Exposures'!G181="",0,'3b-d Exposures'!G181)</f>
        <v/>
      </c>
      <c r="H153" s="3">
        <f>IF('3b-d Exposures'!I181="",0,'3b-d Exposures'!I181)</f>
        <v/>
      </c>
      <c r="I153" s="3">
        <f>IF('3b-d Exposures'!K181="",0,'3b-d Exposures'!K181)</f>
        <v/>
      </c>
      <c r="J153" s="3">
        <f>IF('3b-d Exposures'!M181="",0,'3b-d Exposures'!M181)</f>
        <v/>
      </c>
      <c r="K153" s="3">
        <f>IF('3b-d Exposures'!O181="",0,'3b-d Exposures'!O181)</f>
        <v/>
      </c>
      <c r="L153" s="3">
        <f>IF('3b-d Exposures'!Q181="",0,'3b-d Exposures'!Q181)</f>
        <v/>
      </c>
      <c r="M153" s="3">
        <f>IF('3b-d Exposures'!S181="",0,'3b-d Exposures'!S181)</f>
        <v/>
      </c>
      <c r="N153" s="3">
        <f>IF('3b-d Exposures'!Z181="",0,'3b-d Exposures'!Z181)</f>
        <v/>
      </c>
      <c r="O153" s="3">
        <f>$D153</f>
        <v/>
      </c>
      <c r="P153" s="3">
        <f>E153*$D153</f>
        <v/>
      </c>
      <c r="Q153" s="3">
        <f>F153*$D153</f>
        <v/>
      </c>
      <c r="R153" s="3">
        <f>G153*$D153</f>
        <v/>
      </c>
      <c r="S153" s="3">
        <f>H153*$D153</f>
        <v/>
      </c>
      <c r="T153" s="3">
        <f>I153*$D153</f>
        <v/>
      </c>
      <c r="U153" s="3">
        <f>J153*$D153</f>
        <v/>
      </c>
      <c r="V153" s="3">
        <f>K153*$D153</f>
        <v/>
      </c>
      <c r="W153" s="3">
        <f>L153*$D153</f>
        <v/>
      </c>
      <c r="X153" s="3">
        <f>M153*$D153</f>
        <v/>
      </c>
      <c r="Y153" s="3">
        <f>N153*$D153</f>
        <v/>
      </c>
      <c r="Z153" s="3">
        <f>C153*$D153</f>
        <v/>
      </c>
      <c r="AA153" s="9">
        <f>$L978+$K978*E153+$J978*F153+$I978*G153+$H978*H153+$G978*I153+$F978*J153+$E978*K153+$D978*L153+$C978*M153+$B978*N153</f>
        <v/>
      </c>
      <c r="AB153" s="9">
        <f>C153-AA153</f>
        <v/>
      </c>
      <c r="AC153" s="4">
        <f>AB153^2</f>
        <v/>
      </c>
    </row>
    <row r="154">
      <c r="A154" t="inlineStr">
        <is>
          <t>BBG000BS5CM9</t>
        </is>
      </c>
      <c r="B154" t="inlineStr">
        <is>
          <t>bxp</t>
        </is>
      </c>
      <c r="C154" s="9" t="n">
        <v>-0.01353831020007312</v>
      </c>
      <c r="D154" s="3">
        <f>EXP(0.25*'3b-d Exposures'!G182)</f>
        <v/>
      </c>
      <c r="E154" s="3">
        <f>IF('3b-d Exposures'!C182="",0,'3b-d Exposures'!C182)</f>
        <v/>
      </c>
      <c r="F154" s="3">
        <f>IF('3b-d Exposures'!E182="",0,'3b-d Exposures'!E182)</f>
        <v/>
      </c>
      <c r="G154" s="3">
        <f>IF('3b-d Exposures'!G182="",0,'3b-d Exposures'!G182)</f>
        <v/>
      </c>
      <c r="H154" s="3">
        <f>IF('3b-d Exposures'!I182="",0,'3b-d Exposures'!I182)</f>
        <v/>
      </c>
      <c r="I154" s="3">
        <f>IF('3b-d Exposures'!K182="",0,'3b-d Exposures'!K182)</f>
        <v/>
      </c>
      <c r="J154" s="3">
        <f>IF('3b-d Exposures'!M182="",0,'3b-d Exposures'!M182)</f>
        <v/>
      </c>
      <c r="K154" s="3">
        <f>IF('3b-d Exposures'!O182="",0,'3b-d Exposures'!O182)</f>
        <v/>
      </c>
      <c r="L154" s="3">
        <f>IF('3b-d Exposures'!Q182="",0,'3b-d Exposures'!Q182)</f>
        <v/>
      </c>
      <c r="M154" s="3">
        <f>IF('3b-d Exposures'!S182="",0,'3b-d Exposures'!S182)</f>
        <v/>
      </c>
      <c r="N154" s="3">
        <f>IF('3b-d Exposures'!Z182="",0,'3b-d Exposures'!Z182)</f>
        <v/>
      </c>
      <c r="O154" s="3">
        <f>$D154</f>
        <v/>
      </c>
      <c r="P154" s="3">
        <f>E154*$D154</f>
        <v/>
      </c>
      <c r="Q154" s="3">
        <f>F154*$D154</f>
        <v/>
      </c>
      <c r="R154" s="3">
        <f>G154*$D154</f>
        <v/>
      </c>
      <c r="S154" s="3">
        <f>H154*$D154</f>
        <v/>
      </c>
      <c r="T154" s="3">
        <f>I154*$D154</f>
        <v/>
      </c>
      <c r="U154" s="3">
        <f>J154*$D154</f>
        <v/>
      </c>
      <c r="V154" s="3">
        <f>K154*$D154</f>
        <v/>
      </c>
      <c r="W154" s="3">
        <f>L154*$D154</f>
        <v/>
      </c>
      <c r="X154" s="3">
        <f>M154*$D154</f>
        <v/>
      </c>
      <c r="Y154" s="3">
        <f>N154*$D154</f>
        <v/>
      </c>
      <c r="Z154" s="3">
        <f>C154*$D154</f>
        <v/>
      </c>
      <c r="AA154" s="9">
        <f>$L978+$K978*E154+$J978*F154+$I978*G154+$H978*H154+$G978*I154+$F978*J154+$E978*K154+$D978*L154+$C978*M154+$B978*N154</f>
        <v/>
      </c>
      <c r="AB154" s="9">
        <f>C154-AA154</f>
        <v/>
      </c>
      <c r="AC154" s="4">
        <f>AB154^2</f>
        <v/>
      </c>
    </row>
    <row r="155">
      <c r="A155" t="inlineStr">
        <is>
          <t>BBG00MS80PM3</t>
        </is>
      </c>
      <c r="B155" t="inlineStr">
        <is>
          <t>bxsl</t>
        </is>
      </c>
      <c r="C155" s="9" t="n">
        <v>-0.02056492553967026</v>
      </c>
      <c r="D155" s="3">
        <f>EXP(0.25*'3b-d Exposures'!G183)</f>
        <v/>
      </c>
      <c r="E155" s="3">
        <f>IF('3b-d Exposures'!C183="",0,'3b-d Exposures'!C183)</f>
        <v/>
      </c>
      <c r="F155" s="3">
        <f>IF('3b-d Exposures'!E183="",0,'3b-d Exposures'!E183)</f>
        <v/>
      </c>
      <c r="G155" s="3">
        <f>IF('3b-d Exposures'!G183="",0,'3b-d Exposures'!G183)</f>
        <v/>
      </c>
      <c r="H155" s="3">
        <f>IF('3b-d Exposures'!I183="",0,'3b-d Exposures'!I183)</f>
        <v/>
      </c>
      <c r="I155" s="3">
        <f>IF('3b-d Exposures'!K183="",0,'3b-d Exposures'!K183)</f>
        <v/>
      </c>
      <c r="J155" s="3">
        <f>IF('3b-d Exposures'!M183="",0,'3b-d Exposures'!M183)</f>
        <v/>
      </c>
      <c r="K155" s="3">
        <f>IF('3b-d Exposures'!O183="",0,'3b-d Exposures'!O183)</f>
        <v/>
      </c>
      <c r="L155" s="3">
        <f>IF('3b-d Exposures'!Q183="",0,'3b-d Exposures'!Q183)</f>
        <v/>
      </c>
      <c r="M155" s="3">
        <f>IF('3b-d Exposures'!S183="",0,'3b-d Exposures'!S183)</f>
        <v/>
      </c>
      <c r="N155" s="3">
        <f>IF('3b-d Exposures'!Z183="",0,'3b-d Exposures'!Z183)</f>
        <v/>
      </c>
      <c r="O155" s="3">
        <f>$D155</f>
        <v/>
      </c>
      <c r="P155" s="3">
        <f>E155*$D155</f>
        <v/>
      </c>
      <c r="Q155" s="3">
        <f>F155*$D155</f>
        <v/>
      </c>
      <c r="R155" s="3">
        <f>G155*$D155</f>
        <v/>
      </c>
      <c r="S155" s="3">
        <f>H155*$D155</f>
        <v/>
      </c>
      <c r="T155" s="3">
        <f>I155*$D155</f>
        <v/>
      </c>
      <c r="U155" s="3">
        <f>J155*$D155</f>
        <v/>
      </c>
      <c r="V155" s="3">
        <f>K155*$D155</f>
        <v/>
      </c>
      <c r="W155" s="3">
        <f>L155*$D155</f>
        <v/>
      </c>
      <c r="X155" s="3">
        <f>M155*$D155</f>
        <v/>
      </c>
      <c r="Y155" s="3">
        <f>N155*$D155</f>
        <v/>
      </c>
      <c r="Z155" s="3">
        <f>C155*$D155</f>
        <v/>
      </c>
      <c r="AA155" s="9">
        <f>$L978+$K978*E155+$J978*F155+$I978*G155+$H978*H155+$G978*I155+$F978*J155+$E978*K155+$D978*L155+$C978*M155+$B978*N155</f>
        <v/>
      </c>
      <c r="AB155" s="9">
        <f>C155-AA155</f>
        <v/>
      </c>
      <c r="AC155" s="4">
        <f>AB155^2</f>
        <v/>
      </c>
    </row>
    <row r="156">
      <c r="A156" t="inlineStr">
        <is>
          <t>BBG000FY4S11</t>
        </is>
      </c>
      <c r="B156" t="inlineStr">
        <is>
          <t>c</t>
        </is>
      </c>
      <c r="C156" s="9" t="n">
        <v>0.007337257741543368</v>
      </c>
      <c r="D156" s="3">
        <f>EXP(0.25*'3b-d Exposures'!G184)</f>
        <v/>
      </c>
      <c r="E156" s="3">
        <f>IF('3b-d Exposures'!C184="",0,'3b-d Exposures'!C184)</f>
        <v/>
      </c>
      <c r="F156" s="3">
        <f>IF('3b-d Exposures'!E184="",0,'3b-d Exposures'!E184)</f>
        <v/>
      </c>
      <c r="G156" s="3">
        <f>IF('3b-d Exposures'!G184="",0,'3b-d Exposures'!G184)</f>
        <v/>
      </c>
      <c r="H156" s="3">
        <f>IF('3b-d Exposures'!I184="",0,'3b-d Exposures'!I184)</f>
        <v/>
      </c>
      <c r="I156" s="3">
        <f>IF('3b-d Exposures'!K184="",0,'3b-d Exposures'!K184)</f>
        <v/>
      </c>
      <c r="J156" s="3">
        <f>IF('3b-d Exposures'!M184="",0,'3b-d Exposures'!M184)</f>
        <v/>
      </c>
      <c r="K156" s="3">
        <f>IF('3b-d Exposures'!O184="",0,'3b-d Exposures'!O184)</f>
        <v/>
      </c>
      <c r="L156" s="3">
        <f>IF('3b-d Exposures'!Q184="",0,'3b-d Exposures'!Q184)</f>
        <v/>
      </c>
      <c r="M156" s="3">
        <f>IF('3b-d Exposures'!S184="",0,'3b-d Exposures'!S184)</f>
        <v/>
      </c>
      <c r="N156" s="3">
        <f>IF('3b-d Exposures'!Z184="",0,'3b-d Exposures'!Z184)</f>
        <v/>
      </c>
      <c r="O156" s="3">
        <f>$D156</f>
        <v/>
      </c>
      <c r="P156" s="3">
        <f>E156*$D156</f>
        <v/>
      </c>
      <c r="Q156" s="3">
        <f>F156*$D156</f>
        <v/>
      </c>
      <c r="R156" s="3">
        <f>G156*$D156</f>
        <v/>
      </c>
      <c r="S156" s="3">
        <f>H156*$D156</f>
        <v/>
      </c>
      <c r="T156" s="3">
        <f>I156*$D156</f>
        <v/>
      </c>
      <c r="U156" s="3">
        <f>J156*$D156</f>
        <v/>
      </c>
      <c r="V156" s="3">
        <f>K156*$D156</f>
        <v/>
      </c>
      <c r="W156" s="3">
        <f>L156*$D156</f>
        <v/>
      </c>
      <c r="X156" s="3">
        <f>M156*$D156</f>
        <v/>
      </c>
      <c r="Y156" s="3">
        <f>N156*$D156</f>
        <v/>
      </c>
      <c r="Z156" s="3">
        <f>C156*$D156</f>
        <v/>
      </c>
      <c r="AA156" s="9">
        <f>$L978+$K978*E156+$J978*F156+$I978*G156+$H978*H156+$G978*I156+$F978*J156+$E978*K156+$D978*L156+$C978*M156+$B978*N156</f>
        <v/>
      </c>
      <c r="AB156" s="9">
        <f>C156-AA156</f>
        <v/>
      </c>
      <c r="AC156" s="4">
        <f>AB156^2</f>
        <v/>
      </c>
    </row>
    <row r="157">
      <c r="A157" t="inlineStr">
        <is>
          <t>BBG000CS0D96</t>
        </is>
      </c>
      <c r="B157" t="inlineStr">
        <is>
          <t>cacc</t>
        </is>
      </c>
      <c r="C157" s="9" t="n">
        <v>-0.02465344430440952</v>
      </c>
      <c r="D157" s="3">
        <f>EXP(0.25*'3b-d Exposures'!G185)</f>
        <v/>
      </c>
      <c r="E157" s="3">
        <f>IF('3b-d Exposures'!C185="",0,'3b-d Exposures'!C185)</f>
        <v/>
      </c>
      <c r="F157" s="3">
        <f>IF('3b-d Exposures'!E185="",0,'3b-d Exposures'!E185)</f>
        <v/>
      </c>
      <c r="G157" s="3">
        <f>IF('3b-d Exposures'!G185="",0,'3b-d Exposures'!G185)</f>
        <v/>
      </c>
      <c r="H157" s="3">
        <f>IF('3b-d Exposures'!I185="",0,'3b-d Exposures'!I185)</f>
        <v/>
      </c>
      <c r="I157" s="3">
        <f>IF('3b-d Exposures'!K185="",0,'3b-d Exposures'!K185)</f>
        <v/>
      </c>
      <c r="J157" s="3">
        <f>IF('3b-d Exposures'!M185="",0,'3b-d Exposures'!M185)</f>
        <v/>
      </c>
      <c r="K157" s="3">
        <f>IF('3b-d Exposures'!O185="",0,'3b-d Exposures'!O185)</f>
        <v/>
      </c>
      <c r="L157" s="3">
        <f>IF('3b-d Exposures'!Q185="",0,'3b-d Exposures'!Q185)</f>
        <v/>
      </c>
      <c r="M157" s="3">
        <f>IF('3b-d Exposures'!S185="",0,'3b-d Exposures'!S185)</f>
        <v/>
      </c>
      <c r="N157" s="3">
        <f>IF('3b-d Exposures'!Z185="",0,'3b-d Exposures'!Z185)</f>
        <v/>
      </c>
      <c r="O157" s="3">
        <f>$D157</f>
        <v/>
      </c>
      <c r="P157" s="3">
        <f>E157*$D157</f>
        <v/>
      </c>
      <c r="Q157" s="3">
        <f>F157*$D157</f>
        <v/>
      </c>
      <c r="R157" s="3">
        <f>G157*$D157</f>
        <v/>
      </c>
      <c r="S157" s="3">
        <f>H157*$D157</f>
        <v/>
      </c>
      <c r="T157" s="3">
        <f>I157*$D157</f>
        <v/>
      </c>
      <c r="U157" s="3">
        <f>J157*$D157</f>
        <v/>
      </c>
      <c r="V157" s="3">
        <f>K157*$D157</f>
        <v/>
      </c>
      <c r="W157" s="3">
        <f>L157*$D157</f>
        <v/>
      </c>
      <c r="X157" s="3">
        <f>M157*$D157</f>
        <v/>
      </c>
      <c r="Y157" s="3">
        <f>N157*$D157</f>
        <v/>
      </c>
      <c r="Z157" s="3">
        <f>C157*$D157</f>
        <v/>
      </c>
      <c r="AA157" s="9">
        <f>$L978+$K978*E157+$J978*F157+$I978*G157+$H978*H157+$G978*I157+$F978*J157+$E978*K157+$D978*L157+$C978*M157+$B978*N157</f>
        <v/>
      </c>
      <c r="AB157" s="9">
        <f>C157-AA157</f>
        <v/>
      </c>
      <c r="AC157" s="4">
        <f>AB157^2</f>
        <v/>
      </c>
    </row>
    <row r="158">
      <c r="A158" t="inlineStr">
        <is>
          <t>BBG000BDXGP9</t>
        </is>
      </c>
      <c r="B158" t="inlineStr">
        <is>
          <t>cag</t>
        </is>
      </c>
      <c r="C158" s="9" t="n">
        <v>0.009800423353778953</v>
      </c>
      <c r="D158" s="3">
        <f>EXP(0.25*'3b-d Exposures'!G186)</f>
        <v/>
      </c>
      <c r="E158" s="3">
        <f>IF('3b-d Exposures'!C186="",0,'3b-d Exposures'!C186)</f>
        <v/>
      </c>
      <c r="F158" s="3">
        <f>IF('3b-d Exposures'!E186="",0,'3b-d Exposures'!E186)</f>
        <v/>
      </c>
      <c r="G158" s="3">
        <f>IF('3b-d Exposures'!G186="",0,'3b-d Exposures'!G186)</f>
        <v/>
      </c>
      <c r="H158" s="3">
        <f>IF('3b-d Exposures'!I186="",0,'3b-d Exposures'!I186)</f>
        <v/>
      </c>
      <c r="I158" s="3">
        <f>IF('3b-d Exposures'!K186="",0,'3b-d Exposures'!K186)</f>
        <v/>
      </c>
      <c r="J158" s="3">
        <f>IF('3b-d Exposures'!M186="",0,'3b-d Exposures'!M186)</f>
        <v/>
      </c>
      <c r="K158" s="3">
        <f>IF('3b-d Exposures'!O186="",0,'3b-d Exposures'!O186)</f>
        <v/>
      </c>
      <c r="L158" s="3">
        <f>IF('3b-d Exposures'!Q186="",0,'3b-d Exposures'!Q186)</f>
        <v/>
      </c>
      <c r="M158" s="3">
        <f>IF('3b-d Exposures'!S186="",0,'3b-d Exposures'!S186)</f>
        <v/>
      </c>
      <c r="N158" s="3">
        <f>IF('3b-d Exposures'!Z186="",0,'3b-d Exposures'!Z186)</f>
        <v/>
      </c>
      <c r="O158" s="3">
        <f>$D158</f>
        <v/>
      </c>
      <c r="P158" s="3">
        <f>E158*$D158</f>
        <v/>
      </c>
      <c r="Q158" s="3">
        <f>F158*$D158</f>
        <v/>
      </c>
      <c r="R158" s="3">
        <f>G158*$D158</f>
        <v/>
      </c>
      <c r="S158" s="3">
        <f>H158*$D158</f>
        <v/>
      </c>
      <c r="T158" s="3">
        <f>I158*$D158</f>
        <v/>
      </c>
      <c r="U158" s="3">
        <f>J158*$D158</f>
        <v/>
      </c>
      <c r="V158" s="3">
        <f>K158*$D158</f>
        <v/>
      </c>
      <c r="W158" s="3">
        <f>L158*$D158</f>
        <v/>
      </c>
      <c r="X158" s="3">
        <f>M158*$D158</f>
        <v/>
      </c>
      <c r="Y158" s="3">
        <f>N158*$D158</f>
        <v/>
      </c>
      <c r="Z158" s="3">
        <f>C158*$D158</f>
        <v/>
      </c>
      <c r="AA158" s="9">
        <f>$L978+$K978*E158+$J978*F158+$I978*G158+$H978*H158+$G978*I158+$F978*J158+$E978*K158+$D978*L158+$C978*M158+$B978*N158</f>
        <v/>
      </c>
      <c r="AB158" s="9">
        <f>C158-AA158</f>
        <v/>
      </c>
      <c r="AC158" s="4">
        <f>AB158^2</f>
        <v/>
      </c>
    </row>
    <row r="159">
      <c r="A159" t="inlineStr">
        <is>
          <t>cah</t>
        </is>
      </c>
      <c r="B159" t="inlineStr">
        <is>
          <t>cah</t>
        </is>
      </c>
      <c r="C159" s="9" t="n">
        <v>0.001881626929399305</v>
      </c>
      <c r="D159" s="3">
        <f>EXP(0.25*'3b-d Exposures'!G187)</f>
        <v/>
      </c>
      <c r="E159" s="3">
        <f>IF('3b-d Exposures'!C187="",0,'3b-d Exposures'!C187)</f>
        <v/>
      </c>
      <c r="F159" s="3">
        <f>IF('3b-d Exposures'!E187="",0,'3b-d Exposures'!E187)</f>
        <v/>
      </c>
      <c r="G159" s="3">
        <f>IF('3b-d Exposures'!G187="",0,'3b-d Exposures'!G187)</f>
        <v/>
      </c>
      <c r="H159" s="3">
        <f>IF('3b-d Exposures'!I187="",0,'3b-d Exposures'!I187)</f>
        <v/>
      </c>
      <c r="I159" s="3">
        <f>IF('3b-d Exposures'!K187="",0,'3b-d Exposures'!K187)</f>
        <v/>
      </c>
      <c r="J159" s="3">
        <f>IF('3b-d Exposures'!M187="",0,'3b-d Exposures'!M187)</f>
        <v/>
      </c>
      <c r="K159" s="3">
        <f>IF('3b-d Exposures'!O187="",0,'3b-d Exposures'!O187)</f>
        <v/>
      </c>
      <c r="L159" s="3">
        <f>IF('3b-d Exposures'!Q187="",0,'3b-d Exposures'!Q187)</f>
        <v/>
      </c>
      <c r="M159" s="3">
        <f>IF('3b-d Exposures'!S187="",0,'3b-d Exposures'!S187)</f>
        <v/>
      </c>
      <c r="N159" s="3">
        <f>IF('3b-d Exposures'!Z187="",0,'3b-d Exposures'!Z187)</f>
        <v/>
      </c>
      <c r="O159" s="3">
        <f>$D159</f>
        <v/>
      </c>
      <c r="P159" s="3">
        <f>E159*$D159</f>
        <v/>
      </c>
      <c r="Q159" s="3">
        <f>F159*$D159</f>
        <v/>
      </c>
      <c r="R159" s="3">
        <f>G159*$D159</f>
        <v/>
      </c>
      <c r="S159" s="3">
        <f>H159*$D159</f>
        <v/>
      </c>
      <c r="T159" s="3">
        <f>I159*$D159</f>
        <v/>
      </c>
      <c r="U159" s="3">
        <f>J159*$D159</f>
        <v/>
      </c>
      <c r="V159" s="3">
        <f>K159*$D159</f>
        <v/>
      </c>
      <c r="W159" s="3">
        <f>L159*$D159</f>
        <v/>
      </c>
      <c r="X159" s="3">
        <f>M159*$D159</f>
        <v/>
      </c>
      <c r="Y159" s="3">
        <f>N159*$D159</f>
        <v/>
      </c>
      <c r="Z159" s="3">
        <f>C159*$D159</f>
        <v/>
      </c>
      <c r="AA159" s="9">
        <f>$L978+$K978*E159+$J978*F159+$I978*G159+$H978*H159+$G978*I159+$F978*J159+$E978*K159+$D978*L159+$C978*M159+$B978*N159</f>
        <v/>
      </c>
      <c r="AB159" s="9">
        <f>C159-AA159</f>
        <v/>
      </c>
      <c r="AC159" s="4">
        <f>AB159^2</f>
        <v/>
      </c>
    </row>
    <row r="160">
      <c r="A160" t="inlineStr">
        <is>
          <t>BBG000PXJB68</t>
        </is>
      </c>
      <c r="B160" t="inlineStr">
        <is>
          <t>calx</t>
        </is>
      </c>
      <c r="C160" s="9" t="n">
        <v>0.01506307091467374</v>
      </c>
      <c r="D160" s="3">
        <f>EXP(0.25*'3b-d Exposures'!G189)</f>
        <v/>
      </c>
      <c r="E160" s="3">
        <f>IF('3b-d Exposures'!C189="",0,'3b-d Exposures'!C189)</f>
        <v/>
      </c>
      <c r="F160" s="3">
        <f>IF('3b-d Exposures'!E189="",0,'3b-d Exposures'!E189)</f>
        <v/>
      </c>
      <c r="G160" s="3">
        <f>IF('3b-d Exposures'!G189="",0,'3b-d Exposures'!G189)</f>
        <v/>
      </c>
      <c r="H160" s="3">
        <f>IF('3b-d Exposures'!I189="",0,'3b-d Exposures'!I189)</f>
        <v/>
      </c>
      <c r="I160" s="3">
        <f>IF('3b-d Exposures'!K189="",0,'3b-d Exposures'!K189)</f>
        <v/>
      </c>
      <c r="J160" s="3">
        <f>IF('3b-d Exposures'!M189="",0,'3b-d Exposures'!M189)</f>
        <v/>
      </c>
      <c r="K160" s="3">
        <f>IF('3b-d Exposures'!O189="",0,'3b-d Exposures'!O189)</f>
        <v/>
      </c>
      <c r="L160" s="3">
        <f>IF('3b-d Exposures'!Q189="",0,'3b-d Exposures'!Q189)</f>
        <v/>
      </c>
      <c r="M160" s="3">
        <f>IF('3b-d Exposures'!S189="",0,'3b-d Exposures'!S189)</f>
        <v/>
      </c>
      <c r="N160" s="3">
        <f>IF('3b-d Exposures'!Z189="",0,'3b-d Exposures'!Z189)</f>
        <v/>
      </c>
      <c r="O160" s="3">
        <f>$D160</f>
        <v/>
      </c>
      <c r="P160" s="3">
        <f>E160*$D160</f>
        <v/>
      </c>
      <c r="Q160" s="3">
        <f>F160*$D160</f>
        <v/>
      </c>
      <c r="R160" s="3">
        <f>G160*$D160</f>
        <v/>
      </c>
      <c r="S160" s="3">
        <f>H160*$D160</f>
        <v/>
      </c>
      <c r="T160" s="3">
        <f>I160*$D160</f>
        <v/>
      </c>
      <c r="U160" s="3">
        <f>J160*$D160</f>
        <v/>
      </c>
      <c r="V160" s="3">
        <f>K160*$D160</f>
        <v/>
      </c>
      <c r="W160" s="3">
        <f>L160*$D160</f>
        <v/>
      </c>
      <c r="X160" s="3">
        <f>M160*$D160</f>
        <v/>
      </c>
      <c r="Y160" s="3">
        <f>N160*$D160</f>
        <v/>
      </c>
      <c r="Z160" s="3">
        <f>C160*$D160</f>
        <v/>
      </c>
      <c r="AA160" s="9">
        <f>$L978+$K978*E160+$J978*F160+$I978*G160+$H978*H160+$G978*I160+$F978*J160+$E978*K160+$D978*L160+$C978*M160+$B978*N160</f>
        <v/>
      </c>
      <c r="AB160" s="9">
        <f>C160-AA160</f>
        <v/>
      </c>
      <c r="AC160" s="4">
        <f>AB160^2</f>
        <v/>
      </c>
    </row>
    <row r="161">
      <c r="A161" t="inlineStr">
        <is>
          <t>BBG000FLPRH1</t>
        </is>
      </c>
      <c r="B161" t="inlineStr">
        <is>
          <t>car</t>
        </is>
      </c>
      <c r="C161" s="9" t="n">
        <v>-0.0287888456810681</v>
      </c>
      <c r="D161" s="3">
        <f>EXP(0.25*'3b-d Exposures'!G190)</f>
        <v/>
      </c>
      <c r="E161" s="3">
        <f>IF('3b-d Exposures'!C190="",0,'3b-d Exposures'!C190)</f>
        <v/>
      </c>
      <c r="F161" s="3">
        <f>IF('3b-d Exposures'!E190="",0,'3b-d Exposures'!E190)</f>
        <v/>
      </c>
      <c r="G161" s="3">
        <f>IF('3b-d Exposures'!G190="",0,'3b-d Exposures'!G190)</f>
        <v/>
      </c>
      <c r="H161" s="3">
        <f>IF('3b-d Exposures'!I190="",0,'3b-d Exposures'!I190)</f>
        <v/>
      </c>
      <c r="I161" s="3">
        <f>IF('3b-d Exposures'!K190="",0,'3b-d Exposures'!K190)</f>
        <v/>
      </c>
      <c r="J161" s="3">
        <f>IF('3b-d Exposures'!M190="",0,'3b-d Exposures'!M190)</f>
        <v/>
      </c>
      <c r="K161" s="3">
        <f>IF('3b-d Exposures'!O190="",0,'3b-d Exposures'!O190)</f>
        <v/>
      </c>
      <c r="L161" s="3">
        <f>IF('3b-d Exposures'!Q190="",0,'3b-d Exposures'!Q190)</f>
        <v/>
      </c>
      <c r="M161" s="3">
        <f>IF('3b-d Exposures'!S190="",0,'3b-d Exposures'!S190)</f>
        <v/>
      </c>
      <c r="N161" s="3">
        <f>IF('3b-d Exposures'!Z190="",0,'3b-d Exposures'!Z190)</f>
        <v/>
      </c>
      <c r="O161" s="3">
        <f>$D161</f>
        <v/>
      </c>
      <c r="P161" s="3">
        <f>E161*$D161</f>
        <v/>
      </c>
      <c r="Q161" s="3">
        <f>F161*$D161</f>
        <v/>
      </c>
      <c r="R161" s="3">
        <f>G161*$D161</f>
        <v/>
      </c>
      <c r="S161" s="3">
        <f>H161*$D161</f>
        <v/>
      </c>
      <c r="T161" s="3">
        <f>I161*$D161</f>
        <v/>
      </c>
      <c r="U161" s="3">
        <f>J161*$D161</f>
        <v/>
      </c>
      <c r="V161" s="3">
        <f>K161*$D161</f>
        <v/>
      </c>
      <c r="W161" s="3">
        <f>L161*$D161</f>
        <v/>
      </c>
      <c r="X161" s="3">
        <f>M161*$D161</f>
        <v/>
      </c>
      <c r="Y161" s="3">
        <f>N161*$D161</f>
        <v/>
      </c>
      <c r="Z161" s="3">
        <f>C161*$D161</f>
        <v/>
      </c>
      <c r="AA161" s="9">
        <f>$L978+$K978*E161+$J978*F161+$I978*G161+$H978*H161+$G978*I161+$F978*J161+$E978*K161+$D978*L161+$C978*M161+$B978*N161</f>
        <v/>
      </c>
      <c r="AB161" s="9">
        <f>C161-AA161</f>
        <v/>
      </c>
      <c r="AC161" s="4">
        <f>AB161^2</f>
        <v/>
      </c>
    </row>
    <row r="162">
      <c r="A162" t="inlineStr">
        <is>
          <t>BBG00RP5HYS8</t>
        </is>
      </c>
      <c r="B162" t="inlineStr">
        <is>
          <t>carr</t>
        </is>
      </c>
      <c r="C162" s="9" t="n">
        <v>-0.01395887548181463</v>
      </c>
      <c r="D162" s="3">
        <f>EXP(0.25*'3b-d Exposures'!G191)</f>
        <v/>
      </c>
      <c r="E162" s="3">
        <f>IF('3b-d Exposures'!C191="",0,'3b-d Exposures'!C191)</f>
        <v/>
      </c>
      <c r="F162" s="3">
        <f>IF('3b-d Exposures'!E191="",0,'3b-d Exposures'!E191)</f>
        <v/>
      </c>
      <c r="G162" s="3">
        <f>IF('3b-d Exposures'!G191="",0,'3b-d Exposures'!G191)</f>
        <v/>
      </c>
      <c r="H162" s="3">
        <f>IF('3b-d Exposures'!I191="",0,'3b-d Exposures'!I191)</f>
        <v/>
      </c>
      <c r="I162" s="3">
        <f>IF('3b-d Exposures'!K191="",0,'3b-d Exposures'!K191)</f>
        <v/>
      </c>
      <c r="J162" s="3">
        <f>IF('3b-d Exposures'!M191="",0,'3b-d Exposures'!M191)</f>
        <v/>
      </c>
      <c r="K162" s="3">
        <f>IF('3b-d Exposures'!O191="",0,'3b-d Exposures'!O191)</f>
        <v/>
      </c>
      <c r="L162" s="3">
        <f>IF('3b-d Exposures'!Q191="",0,'3b-d Exposures'!Q191)</f>
        <v/>
      </c>
      <c r="M162" s="3">
        <f>IF('3b-d Exposures'!S191="",0,'3b-d Exposures'!S191)</f>
        <v/>
      </c>
      <c r="N162" s="3">
        <f>IF('3b-d Exposures'!Z191="",0,'3b-d Exposures'!Z191)</f>
        <v/>
      </c>
      <c r="O162" s="3">
        <f>$D162</f>
        <v/>
      </c>
      <c r="P162" s="3">
        <f>E162*$D162</f>
        <v/>
      </c>
      <c r="Q162" s="3">
        <f>F162*$D162</f>
        <v/>
      </c>
      <c r="R162" s="3">
        <f>G162*$D162</f>
        <v/>
      </c>
      <c r="S162" s="3">
        <f>H162*$D162</f>
        <v/>
      </c>
      <c r="T162" s="3">
        <f>I162*$D162</f>
        <v/>
      </c>
      <c r="U162" s="3">
        <f>J162*$D162</f>
        <v/>
      </c>
      <c r="V162" s="3">
        <f>K162*$D162</f>
        <v/>
      </c>
      <c r="W162" s="3">
        <f>L162*$D162</f>
        <v/>
      </c>
      <c r="X162" s="3">
        <f>M162*$D162</f>
        <v/>
      </c>
      <c r="Y162" s="3">
        <f>N162*$D162</f>
        <v/>
      </c>
      <c r="Z162" s="3">
        <f>C162*$D162</f>
        <v/>
      </c>
      <c r="AA162" s="9">
        <f>$L978+$K978*E162+$J978*F162+$I978*G162+$H978*H162+$G978*I162+$F978*J162+$E978*K162+$D978*L162+$C978*M162+$B978*N162</f>
        <v/>
      </c>
      <c r="AB162" s="9">
        <f>C162-AA162</f>
        <v/>
      </c>
      <c r="AC162" s="4">
        <f>AB162^2</f>
        <v/>
      </c>
    </row>
    <row r="163">
      <c r="A163" t="inlineStr">
        <is>
          <t>BBG000HGTH33</t>
        </is>
      </c>
      <c r="B163" t="inlineStr">
        <is>
          <t>cars</t>
        </is>
      </c>
      <c r="C163" s="9" t="n">
        <v>0.004026166095981942</v>
      </c>
      <c r="D163" s="3">
        <f>EXP(0.25*'3b-d Exposures'!G192)</f>
        <v/>
      </c>
      <c r="E163" s="3">
        <f>IF('3b-d Exposures'!C192="",0,'3b-d Exposures'!C192)</f>
        <v/>
      </c>
      <c r="F163" s="3">
        <f>IF('3b-d Exposures'!E192="",0,'3b-d Exposures'!E192)</f>
        <v/>
      </c>
      <c r="G163" s="3">
        <f>IF('3b-d Exposures'!G192="",0,'3b-d Exposures'!G192)</f>
        <v/>
      </c>
      <c r="H163" s="3">
        <f>IF('3b-d Exposures'!I192="",0,'3b-d Exposures'!I192)</f>
        <v/>
      </c>
      <c r="I163" s="3">
        <f>IF('3b-d Exposures'!K192="",0,'3b-d Exposures'!K192)</f>
        <v/>
      </c>
      <c r="J163" s="3">
        <f>IF('3b-d Exposures'!M192="",0,'3b-d Exposures'!M192)</f>
        <v/>
      </c>
      <c r="K163" s="3">
        <f>IF('3b-d Exposures'!O192="",0,'3b-d Exposures'!O192)</f>
        <v/>
      </c>
      <c r="L163" s="3">
        <f>IF('3b-d Exposures'!Q192="",0,'3b-d Exposures'!Q192)</f>
        <v/>
      </c>
      <c r="M163" s="3">
        <f>IF('3b-d Exposures'!S192="",0,'3b-d Exposures'!S192)</f>
        <v/>
      </c>
      <c r="N163" s="3">
        <f>IF('3b-d Exposures'!Z192="",0,'3b-d Exposures'!Z192)</f>
        <v/>
      </c>
      <c r="O163" s="3">
        <f>$D163</f>
        <v/>
      </c>
      <c r="P163" s="3">
        <f>E163*$D163</f>
        <v/>
      </c>
      <c r="Q163" s="3">
        <f>F163*$D163</f>
        <v/>
      </c>
      <c r="R163" s="3">
        <f>G163*$D163</f>
        <v/>
      </c>
      <c r="S163" s="3">
        <f>H163*$D163</f>
        <v/>
      </c>
      <c r="T163" s="3">
        <f>I163*$D163</f>
        <v/>
      </c>
      <c r="U163" s="3">
        <f>J163*$D163</f>
        <v/>
      </c>
      <c r="V163" s="3">
        <f>K163*$D163</f>
        <v/>
      </c>
      <c r="W163" s="3">
        <f>L163*$D163</f>
        <v/>
      </c>
      <c r="X163" s="3">
        <f>M163*$D163</f>
        <v/>
      </c>
      <c r="Y163" s="3">
        <f>N163*$D163</f>
        <v/>
      </c>
      <c r="Z163" s="3">
        <f>C163*$D163</f>
        <v/>
      </c>
      <c r="AA163" s="9">
        <f>$L978+$K978*E163+$J978*F163+$I978*G163+$H978*H163+$G978*I163+$F978*J163+$E978*K163+$D978*L163+$C978*M163+$B978*N163</f>
        <v/>
      </c>
      <c r="AB163" s="9">
        <f>C163-AA163</f>
        <v/>
      </c>
      <c r="AC163" s="4">
        <f>AB163^2</f>
        <v/>
      </c>
    </row>
    <row r="164">
      <c r="A164" t="inlineStr">
        <is>
          <t>BBG00KG5VJF4</t>
        </is>
      </c>
      <c r="B164" t="inlineStr">
        <is>
          <t>cart</t>
        </is>
      </c>
      <c r="C164" s="9" t="n">
        <v>-0.003663839114284362</v>
      </c>
      <c r="D164" s="3">
        <f>EXP(0.25*'3b-d Exposures'!G193)</f>
        <v/>
      </c>
      <c r="E164" s="3">
        <f>IF('3b-d Exposures'!C193="",0,'3b-d Exposures'!C193)</f>
        <v/>
      </c>
      <c r="F164" s="3">
        <f>IF('3b-d Exposures'!E193="",0,'3b-d Exposures'!E193)</f>
        <v/>
      </c>
      <c r="G164" s="3">
        <f>IF('3b-d Exposures'!G193="",0,'3b-d Exposures'!G193)</f>
        <v/>
      </c>
      <c r="H164" s="3">
        <f>IF('3b-d Exposures'!I193="",0,'3b-d Exposures'!I193)</f>
        <v/>
      </c>
      <c r="I164" s="3">
        <f>IF('3b-d Exposures'!K193="",0,'3b-d Exposures'!K193)</f>
        <v/>
      </c>
      <c r="J164" s="3">
        <f>IF('3b-d Exposures'!M193="",0,'3b-d Exposures'!M193)</f>
        <v/>
      </c>
      <c r="K164" s="3">
        <f>IF('3b-d Exposures'!O193="",0,'3b-d Exposures'!O193)</f>
        <v/>
      </c>
      <c r="L164" s="3">
        <f>IF('3b-d Exposures'!Q193="",0,'3b-d Exposures'!Q193)</f>
        <v/>
      </c>
      <c r="M164" s="3">
        <f>IF('3b-d Exposures'!S193="",0,'3b-d Exposures'!S193)</f>
        <v/>
      </c>
      <c r="N164" s="3">
        <f>IF('3b-d Exposures'!Z193="",0,'3b-d Exposures'!Z193)</f>
        <v/>
      </c>
      <c r="O164" s="3">
        <f>$D164</f>
        <v/>
      </c>
      <c r="P164" s="3">
        <f>E164*$D164</f>
        <v/>
      </c>
      <c r="Q164" s="3">
        <f>F164*$D164</f>
        <v/>
      </c>
      <c r="R164" s="3">
        <f>G164*$D164</f>
        <v/>
      </c>
      <c r="S164" s="3">
        <f>H164*$D164</f>
        <v/>
      </c>
      <c r="T164" s="3">
        <f>I164*$D164</f>
        <v/>
      </c>
      <c r="U164" s="3">
        <f>J164*$D164</f>
        <v/>
      </c>
      <c r="V164" s="3">
        <f>K164*$D164</f>
        <v/>
      </c>
      <c r="W164" s="3">
        <f>L164*$D164</f>
        <v/>
      </c>
      <c r="X164" s="3">
        <f>M164*$D164</f>
        <v/>
      </c>
      <c r="Y164" s="3">
        <f>N164*$D164</f>
        <v/>
      </c>
      <c r="Z164" s="3">
        <f>C164*$D164</f>
        <v/>
      </c>
      <c r="AA164" s="9">
        <f>$L978+$K978*E164+$J978*F164+$I978*G164+$H978*H164+$G978*I164+$F978*J164+$E978*K164+$D978*L164+$C978*M164+$B978*N164</f>
        <v/>
      </c>
      <c r="AB164" s="9">
        <f>C164-AA164</f>
        <v/>
      </c>
      <c r="AC164" s="4">
        <f>AB164^2</f>
        <v/>
      </c>
    </row>
    <row r="165">
      <c r="A165" t="inlineStr">
        <is>
          <t>BBG000BF0672</t>
        </is>
      </c>
      <c r="B165" t="inlineStr">
        <is>
          <t>casy</t>
        </is>
      </c>
      <c r="C165" s="9" t="n">
        <v>0.0004513428416128562</v>
      </c>
      <c r="D165" s="3">
        <f>EXP(0.25*'3b-d Exposures'!G194)</f>
        <v/>
      </c>
      <c r="E165" s="3">
        <f>IF('3b-d Exposures'!C194="",0,'3b-d Exposures'!C194)</f>
        <v/>
      </c>
      <c r="F165" s="3">
        <f>IF('3b-d Exposures'!E194="",0,'3b-d Exposures'!E194)</f>
        <v/>
      </c>
      <c r="G165" s="3">
        <f>IF('3b-d Exposures'!G194="",0,'3b-d Exposures'!G194)</f>
        <v/>
      </c>
      <c r="H165" s="3">
        <f>IF('3b-d Exposures'!I194="",0,'3b-d Exposures'!I194)</f>
        <v/>
      </c>
      <c r="I165" s="3">
        <f>IF('3b-d Exposures'!K194="",0,'3b-d Exposures'!K194)</f>
        <v/>
      </c>
      <c r="J165" s="3">
        <f>IF('3b-d Exposures'!M194="",0,'3b-d Exposures'!M194)</f>
        <v/>
      </c>
      <c r="K165" s="3">
        <f>IF('3b-d Exposures'!O194="",0,'3b-d Exposures'!O194)</f>
        <v/>
      </c>
      <c r="L165" s="3">
        <f>IF('3b-d Exposures'!Q194="",0,'3b-d Exposures'!Q194)</f>
        <v/>
      </c>
      <c r="M165" s="3">
        <f>IF('3b-d Exposures'!S194="",0,'3b-d Exposures'!S194)</f>
        <v/>
      </c>
      <c r="N165" s="3">
        <f>IF('3b-d Exposures'!Z194="",0,'3b-d Exposures'!Z194)</f>
        <v/>
      </c>
      <c r="O165" s="3">
        <f>$D165</f>
        <v/>
      </c>
      <c r="P165" s="3">
        <f>E165*$D165</f>
        <v/>
      </c>
      <c r="Q165" s="3">
        <f>F165*$D165</f>
        <v/>
      </c>
      <c r="R165" s="3">
        <f>G165*$D165</f>
        <v/>
      </c>
      <c r="S165" s="3">
        <f>H165*$D165</f>
        <v/>
      </c>
      <c r="T165" s="3">
        <f>I165*$D165</f>
        <v/>
      </c>
      <c r="U165" s="3">
        <f>J165*$D165</f>
        <v/>
      </c>
      <c r="V165" s="3">
        <f>K165*$D165</f>
        <v/>
      </c>
      <c r="W165" s="3">
        <f>L165*$D165</f>
        <v/>
      </c>
      <c r="X165" s="3">
        <f>M165*$D165</f>
        <v/>
      </c>
      <c r="Y165" s="3">
        <f>N165*$D165</f>
        <v/>
      </c>
      <c r="Z165" s="3">
        <f>C165*$D165</f>
        <v/>
      </c>
      <c r="AA165" s="9">
        <f>$L978+$K978*E165+$J978*F165+$I978*G165+$H978*H165+$G978*I165+$F978*J165+$E978*K165+$D978*L165+$C978*M165+$B978*N165</f>
        <v/>
      </c>
      <c r="AB165" s="9">
        <f>C165-AA165</f>
        <v/>
      </c>
      <c r="AC165" s="4">
        <f>AB165^2</f>
        <v/>
      </c>
    </row>
    <row r="166">
      <c r="A166" t="inlineStr">
        <is>
          <t>cb</t>
        </is>
      </c>
      <c r="B166" t="inlineStr">
        <is>
          <t>cb</t>
        </is>
      </c>
      <c r="C166" s="9" t="n">
        <v>0.004086898214251899</v>
      </c>
      <c r="D166" s="3">
        <f>EXP(0.25*'3b-d Exposures'!G196)</f>
        <v/>
      </c>
      <c r="E166" s="3">
        <f>IF('3b-d Exposures'!C196="",0,'3b-d Exposures'!C196)</f>
        <v/>
      </c>
      <c r="F166" s="3">
        <f>IF('3b-d Exposures'!E196="",0,'3b-d Exposures'!E196)</f>
        <v/>
      </c>
      <c r="G166" s="3">
        <f>IF('3b-d Exposures'!G196="",0,'3b-d Exposures'!G196)</f>
        <v/>
      </c>
      <c r="H166" s="3">
        <f>IF('3b-d Exposures'!I196="",0,'3b-d Exposures'!I196)</f>
        <v/>
      </c>
      <c r="I166" s="3">
        <f>IF('3b-d Exposures'!K196="",0,'3b-d Exposures'!K196)</f>
        <v/>
      </c>
      <c r="J166" s="3">
        <f>IF('3b-d Exposures'!M196="",0,'3b-d Exposures'!M196)</f>
        <v/>
      </c>
      <c r="K166" s="3">
        <f>IF('3b-d Exposures'!O196="",0,'3b-d Exposures'!O196)</f>
        <v/>
      </c>
      <c r="L166" s="3">
        <f>IF('3b-d Exposures'!Q196="",0,'3b-d Exposures'!Q196)</f>
        <v/>
      </c>
      <c r="M166" s="3">
        <f>IF('3b-d Exposures'!S196="",0,'3b-d Exposures'!S196)</f>
        <v/>
      </c>
      <c r="N166" s="3">
        <f>IF('3b-d Exposures'!Z196="",0,'3b-d Exposures'!Z196)</f>
        <v/>
      </c>
      <c r="O166" s="3">
        <f>$D166</f>
        <v/>
      </c>
      <c r="P166" s="3">
        <f>E166*$D166</f>
        <v/>
      </c>
      <c r="Q166" s="3">
        <f>F166*$D166</f>
        <v/>
      </c>
      <c r="R166" s="3">
        <f>G166*$D166</f>
        <v/>
      </c>
      <c r="S166" s="3">
        <f>H166*$D166</f>
        <v/>
      </c>
      <c r="T166" s="3">
        <f>I166*$D166</f>
        <v/>
      </c>
      <c r="U166" s="3">
        <f>J166*$D166</f>
        <v/>
      </c>
      <c r="V166" s="3">
        <f>K166*$D166</f>
        <v/>
      </c>
      <c r="W166" s="3">
        <f>L166*$D166</f>
        <v/>
      </c>
      <c r="X166" s="3">
        <f>M166*$D166</f>
        <v/>
      </c>
      <c r="Y166" s="3">
        <f>N166*$D166</f>
        <v/>
      </c>
      <c r="Z166" s="3">
        <f>C166*$D166</f>
        <v/>
      </c>
      <c r="AA166" s="9">
        <f>$L978+$K978*E166+$J978*F166+$I978*G166+$H978*H166+$G978*I166+$F978*J166+$E978*K166+$D978*L166+$C978*M166+$B978*N166</f>
        <v/>
      </c>
      <c r="AB166" s="9">
        <f>C166-AA166</f>
        <v/>
      </c>
      <c r="AC166" s="4">
        <f>AB166^2</f>
        <v/>
      </c>
    </row>
    <row r="167">
      <c r="A167" t="inlineStr">
        <is>
          <t>BBG000QH56C1</t>
        </is>
      </c>
      <c r="B167" t="inlineStr">
        <is>
          <t>cboe</t>
        </is>
      </c>
      <c r="C167" s="9" t="n">
        <v>-0.0182533388895183</v>
      </c>
      <c r="D167" s="3">
        <f>EXP(0.25*'3b-d Exposures'!G199)</f>
        <v/>
      </c>
      <c r="E167" s="3">
        <f>IF('3b-d Exposures'!C199="",0,'3b-d Exposures'!C199)</f>
        <v/>
      </c>
      <c r="F167" s="3">
        <f>IF('3b-d Exposures'!E199="",0,'3b-d Exposures'!E199)</f>
        <v/>
      </c>
      <c r="G167" s="3">
        <f>IF('3b-d Exposures'!G199="",0,'3b-d Exposures'!G199)</f>
        <v/>
      </c>
      <c r="H167" s="3">
        <f>IF('3b-d Exposures'!I199="",0,'3b-d Exposures'!I199)</f>
        <v/>
      </c>
      <c r="I167" s="3">
        <f>IF('3b-d Exposures'!K199="",0,'3b-d Exposures'!K199)</f>
        <v/>
      </c>
      <c r="J167" s="3">
        <f>IF('3b-d Exposures'!M199="",0,'3b-d Exposures'!M199)</f>
        <v/>
      </c>
      <c r="K167" s="3">
        <f>IF('3b-d Exposures'!O199="",0,'3b-d Exposures'!O199)</f>
        <v/>
      </c>
      <c r="L167" s="3">
        <f>IF('3b-d Exposures'!Q199="",0,'3b-d Exposures'!Q199)</f>
        <v/>
      </c>
      <c r="M167" s="3">
        <f>IF('3b-d Exposures'!S199="",0,'3b-d Exposures'!S199)</f>
        <v/>
      </c>
      <c r="N167" s="3">
        <f>IF('3b-d Exposures'!Z199="",0,'3b-d Exposures'!Z199)</f>
        <v/>
      </c>
      <c r="O167" s="3">
        <f>$D167</f>
        <v/>
      </c>
      <c r="P167" s="3">
        <f>E167*$D167</f>
        <v/>
      </c>
      <c r="Q167" s="3">
        <f>F167*$D167</f>
        <v/>
      </c>
      <c r="R167" s="3">
        <f>G167*$D167</f>
        <v/>
      </c>
      <c r="S167" s="3">
        <f>H167*$D167</f>
        <v/>
      </c>
      <c r="T167" s="3">
        <f>I167*$D167</f>
        <v/>
      </c>
      <c r="U167" s="3">
        <f>J167*$D167</f>
        <v/>
      </c>
      <c r="V167" s="3">
        <f>K167*$D167</f>
        <v/>
      </c>
      <c r="W167" s="3">
        <f>L167*$D167</f>
        <v/>
      </c>
      <c r="X167" s="3">
        <f>M167*$D167</f>
        <v/>
      </c>
      <c r="Y167" s="3">
        <f>N167*$D167</f>
        <v/>
      </c>
      <c r="Z167" s="3">
        <f>C167*$D167</f>
        <v/>
      </c>
      <c r="AA167" s="9">
        <f>$L978+$K978*E167+$J978*F167+$I978*G167+$H978*H167+$G978*I167+$F978*J167+$E978*K167+$D978*L167+$C978*M167+$B978*N167</f>
        <v/>
      </c>
      <c r="AB167" s="9">
        <f>C167-AA167</f>
        <v/>
      </c>
      <c r="AC167" s="4">
        <f>AB167^2</f>
        <v/>
      </c>
    </row>
    <row r="168">
      <c r="A168" t="inlineStr">
        <is>
          <t>BBG000C04224</t>
        </is>
      </c>
      <c r="B168" t="inlineStr">
        <is>
          <t>cbre</t>
        </is>
      </c>
      <c r="C168" s="9" t="n">
        <v>-0.01142943096458238</v>
      </c>
      <c r="D168" s="3">
        <f>EXP(0.25*'3b-d Exposures'!G200)</f>
        <v/>
      </c>
      <c r="E168" s="3">
        <f>IF('3b-d Exposures'!C200="",0,'3b-d Exposures'!C200)</f>
        <v/>
      </c>
      <c r="F168" s="3">
        <f>IF('3b-d Exposures'!E200="",0,'3b-d Exposures'!E200)</f>
        <v/>
      </c>
      <c r="G168" s="3">
        <f>IF('3b-d Exposures'!G200="",0,'3b-d Exposures'!G200)</f>
        <v/>
      </c>
      <c r="H168" s="3">
        <f>IF('3b-d Exposures'!I200="",0,'3b-d Exposures'!I200)</f>
        <v/>
      </c>
      <c r="I168" s="3">
        <f>IF('3b-d Exposures'!K200="",0,'3b-d Exposures'!K200)</f>
        <v/>
      </c>
      <c r="J168" s="3">
        <f>IF('3b-d Exposures'!M200="",0,'3b-d Exposures'!M200)</f>
        <v/>
      </c>
      <c r="K168" s="3">
        <f>IF('3b-d Exposures'!O200="",0,'3b-d Exposures'!O200)</f>
        <v/>
      </c>
      <c r="L168" s="3">
        <f>IF('3b-d Exposures'!Q200="",0,'3b-d Exposures'!Q200)</f>
        <v/>
      </c>
      <c r="M168" s="3">
        <f>IF('3b-d Exposures'!S200="",0,'3b-d Exposures'!S200)</f>
        <v/>
      </c>
      <c r="N168" s="3">
        <f>IF('3b-d Exposures'!Z200="",0,'3b-d Exposures'!Z200)</f>
        <v/>
      </c>
      <c r="O168" s="3">
        <f>$D168</f>
        <v/>
      </c>
      <c r="P168" s="3">
        <f>E168*$D168</f>
        <v/>
      </c>
      <c r="Q168" s="3">
        <f>F168*$D168</f>
        <v/>
      </c>
      <c r="R168" s="3">
        <f>G168*$D168</f>
        <v/>
      </c>
      <c r="S168" s="3">
        <f>H168*$D168</f>
        <v/>
      </c>
      <c r="T168" s="3">
        <f>I168*$D168</f>
        <v/>
      </c>
      <c r="U168" s="3">
        <f>J168*$D168</f>
        <v/>
      </c>
      <c r="V168" s="3">
        <f>K168*$D168</f>
        <v/>
      </c>
      <c r="W168" s="3">
        <f>L168*$D168</f>
        <v/>
      </c>
      <c r="X168" s="3">
        <f>M168*$D168</f>
        <v/>
      </c>
      <c r="Y168" s="3">
        <f>N168*$D168</f>
        <v/>
      </c>
      <c r="Z168" s="3">
        <f>C168*$D168</f>
        <v/>
      </c>
      <c r="AA168" s="9">
        <f>$L978+$K978*E168+$J978*F168+$I978*G168+$H978*H168+$G978*I168+$F978*J168+$E978*K168+$D978*L168+$C978*M168+$B978*N168</f>
        <v/>
      </c>
      <c r="AB168" s="9">
        <f>C168-AA168</f>
        <v/>
      </c>
      <c r="AC168" s="4">
        <f>AB168^2</f>
        <v/>
      </c>
    </row>
    <row r="169">
      <c r="A169" t="inlineStr">
        <is>
          <t>BBG000BF33K1</t>
        </is>
      </c>
      <c r="B169" t="inlineStr">
        <is>
          <t>cbrl</t>
        </is>
      </c>
      <c r="C169" s="9" t="n">
        <v>0.01943835528870053</v>
      </c>
      <c r="D169" s="3">
        <f>EXP(0.25*'3b-d Exposures'!G201)</f>
        <v/>
      </c>
      <c r="E169" s="3">
        <f>IF('3b-d Exposures'!C201="",0,'3b-d Exposures'!C201)</f>
        <v/>
      </c>
      <c r="F169" s="3">
        <f>IF('3b-d Exposures'!E201="",0,'3b-d Exposures'!E201)</f>
        <v/>
      </c>
      <c r="G169" s="3">
        <f>IF('3b-d Exposures'!G201="",0,'3b-d Exposures'!G201)</f>
        <v/>
      </c>
      <c r="H169" s="3">
        <f>IF('3b-d Exposures'!I201="",0,'3b-d Exposures'!I201)</f>
        <v/>
      </c>
      <c r="I169" s="3">
        <f>IF('3b-d Exposures'!K201="",0,'3b-d Exposures'!K201)</f>
        <v/>
      </c>
      <c r="J169" s="3">
        <f>IF('3b-d Exposures'!M201="",0,'3b-d Exposures'!M201)</f>
        <v/>
      </c>
      <c r="K169" s="3">
        <f>IF('3b-d Exposures'!O201="",0,'3b-d Exposures'!O201)</f>
        <v/>
      </c>
      <c r="L169" s="3">
        <f>IF('3b-d Exposures'!Q201="",0,'3b-d Exposures'!Q201)</f>
        <v/>
      </c>
      <c r="M169" s="3">
        <f>IF('3b-d Exposures'!S201="",0,'3b-d Exposures'!S201)</f>
        <v/>
      </c>
      <c r="N169" s="3">
        <f>IF('3b-d Exposures'!Z201="",0,'3b-d Exposures'!Z201)</f>
        <v/>
      </c>
      <c r="O169" s="3">
        <f>$D169</f>
        <v/>
      </c>
      <c r="P169" s="3">
        <f>E169*$D169</f>
        <v/>
      </c>
      <c r="Q169" s="3">
        <f>F169*$D169</f>
        <v/>
      </c>
      <c r="R169" s="3">
        <f>G169*$D169</f>
        <v/>
      </c>
      <c r="S169" s="3">
        <f>H169*$D169</f>
        <v/>
      </c>
      <c r="T169" s="3">
        <f>I169*$D169</f>
        <v/>
      </c>
      <c r="U169" s="3">
        <f>J169*$D169</f>
        <v/>
      </c>
      <c r="V169" s="3">
        <f>K169*$D169</f>
        <v/>
      </c>
      <c r="W169" s="3">
        <f>L169*$D169</f>
        <v/>
      </c>
      <c r="X169" s="3">
        <f>M169*$D169</f>
        <v/>
      </c>
      <c r="Y169" s="3">
        <f>N169*$D169</f>
        <v/>
      </c>
      <c r="Z169" s="3">
        <f>C169*$D169</f>
        <v/>
      </c>
      <c r="AA169" s="9">
        <f>$L978+$K978*E169+$J978*F169+$I978*G169+$H978*H169+$G978*I169+$F978*J169+$E978*K169+$D978*L169+$C978*M169+$B978*N169</f>
        <v/>
      </c>
      <c r="AB169" s="9">
        <f>C169-AA169</f>
        <v/>
      </c>
      <c r="AC169" s="4">
        <f>AB169^2</f>
        <v/>
      </c>
    </row>
    <row r="170">
      <c r="A170" t="inlineStr">
        <is>
          <t>BBG005H82GB2</t>
        </is>
      </c>
      <c r="B170" t="inlineStr">
        <is>
          <t>cc</t>
        </is>
      </c>
      <c r="C170" s="9" t="n">
        <v>-0.004139938808335741</v>
      </c>
      <c r="D170" s="3">
        <f>EXP(0.25*'3b-d Exposures'!G202)</f>
        <v/>
      </c>
      <c r="E170" s="3">
        <f>IF('3b-d Exposures'!C202="",0,'3b-d Exposures'!C202)</f>
        <v/>
      </c>
      <c r="F170" s="3">
        <f>IF('3b-d Exposures'!E202="",0,'3b-d Exposures'!E202)</f>
        <v/>
      </c>
      <c r="G170" s="3">
        <f>IF('3b-d Exposures'!G202="",0,'3b-d Exposures'!G202)</f>
        <v/>
      </c>
      <c r="H170" s="3">
        <f>IF('3b-d Exposures'!I202="",0,'3b-d Exposures'!I202)</f>
        <v/>
      </c>
      <c r="I170" s="3">
        <f>IF('3b-d Exposures'!K202="",0,'3b-d Exposures'!K202)</f>
        <v/>
      </c>
      <c r="J170" s="3">
        <f>IF('3b-d Exposures'!M202="",0,'3b-d Exposures'!M202)</f>
        <v/>
      </c>
      <c r="K170" s="3">
        <f>IF('3b-d Exposures'!O202="",0,'3b-d Exposures'!O202)</f>
        <v/>
      </c>
      <c r="L170" s="3">
        <f>IF('3b-d Exposures'!Q202="",0,'3b-d Exposures'!Q202)</f>
        <v/>
      </c>
      <c r="M170" s="3">
        <f>IF('3b-d Exposures'!S202="",0,'3b-d Exposures'!S202)</f>
        <v/>
      </c>
      <c r="N170" s="3">
        <f>IF('3b-d Exposures'!Z202="",0,'3b-d Exposures'!Z202)</f>
        <v/>
      </c>
      <c r="O170" s="3">
        <f>$D170</f>
        <v/>
      </c>
      <c r="P170" s="3">
        <f>E170*$D170</f>
        <v/>
      </c>
      <c r="Q170" s="3">
        <f>F170*$D170</f>
        <v/>
      </c>
      <c r="R170" s="3">
        <f>G170*$D170</f>
        <v/>
      </c>
      <c r="S170" s="3">
        <f>H170*$D170</f>
        <v/>
      </c>
      <c r="T170" s="3">
        <f>I170*$D170</f>
        <v/>
      </c>
      <c r="U170" s="3">
        <f>J170*$D170</f>
        <v/>
      </c>
      <c r="V170" s="3">
        <f>K170*$D170</f>
        <v/>
      </c>
      <c r="W170" s="3">
        <f>L170*$D170</f>
        <v/>
      </c>
      <c r="X170" s="3">
        <f>M170*$D170</f>
        <v/>
      </c>
      <c r="Y170" s="3">
        <f>N170*$D170</f>
        <v/>
      </c>
      <c r="Z170" s="3">
        <f>C170*$D170</f>
        <v/>
      </c>
      <c r="AA170" s="9">
        <f>$L978+$K978*E170+$J978*F170+$I978*G170+$H978*H170+$G978*I170+$F978*J170+$E978*K170+$D978*L170+$C978*M170+$B978*N170</f>
        <v/>
      </c>
      <c r="AB170" s="9">
        <f>C170-AA170</f>
        <v/>
      </c>
      <c r="AC170" s="4">
        <f>AB170^2</f>
        <v/>
      </c>
    </row>
    <row r="171">
      <c r="A171" t="inlineStr">
        <is>
          <t>BBG00WNSJM49</t>
        </is>
      </c>
      <c r="B171" t="inlineStr">
        <is>
          <t>ccc</t>
        </is>
      </c>
      <c r="C171" s="9" t="n">
        <v>0.003968193297365197</v>
      </c>
      <c r="D171" s="3">
        <f>EXP(0.25*'3b-d Exposures'!G203)</f>
        <v/>
      </c>
      <c r="E171" s="3">
        <f>IF('3b-d Exposures'!C203="",0,'3b-d Exposures'!C203)</f>
        <v/>
      </c>
      <c r="F171" s="3">
        <f>IF('3b-d Exposures'!E203="",0,'3b-d Exposures'!E203)</f>
        <v/>
      </c>
      <c r="G171" s="3">
        <f>IF('3b-d Exposures'!G203="",0,'3b-d Exposures'!G203)</f>
        <v/>
      </c>
      <c r="H171" s="3">
        <f>IF('3b-d Exposures'!I203="",0,'3b-d Exposures'!I203)</f>
        <v/>
      </c>
      <c r="I171" s="3">
        <f>IF('3b-d Exposures'!K203="",0,'3b-d Exposures'!K203)</f>
        <v/>
      </c>
      <c r="J171" s="3">
        <f>IF('3b-d Exposures'!M203="",0,'3b-d Exposures'!M203)</f>
        <v/>
      </c>
      <c r="K171" s="3">
        <f>IF('3b-d Exposures'!O203="",0,'3b-d Exposures'!O203)</f>
        <v/>
      </c>
      <c r="L171" s="3">
        <f>IF('3b-d Exposures'!Q203="",0,'3b-d Exposures'!Q203)</f>
        <v/>
      </c>
      <c r="M171" s="3">
        <f>IF('3b-d Exposures'!S203="",0,'3b-d Exposures'!S203)</f>
        <v/>
      </c>
      <c r="N171" s="3">
        <f>IF('3b-d Exposures'!Z203="",0,'3b-d Exposures'!Z203)</f>
        <v/>
      </c>
      <c r="O171" s="3">
        <f>$D171</f>
        <v/>
      </c>
      <c r="P171" s="3">
        <f>E171*$D171</f>
        <v/>
      </c>
      <c r="Q171" s="3">
        <f>F171*$D171</f>
        <v/>
      </c>
      <c r="R171" s="3">
        <f>G171*$D171</f>
        <v/>
      </c>
      <c r="S171" s="3">
        <f>H171*$D171</f>
        <v/>
      </c>
      <c r="T171" s="3">
        <f>I171*$D171</f>
        <v/>
      </c>
      <c r="U171" s="3">
        <f>J171*$D171</f>
        <v/>
      </c>
      <c r="V171" s="3">
        <f>K171*$D171</f>
        <v/>
      </c>
      <c r="W171" s="3">
        <f>L171*$D171</f>
        <v/>
      </c>
      <c r="X171" s="3">
        <f>M171*$D171</f>
        <v/>
      </c>
      <c r="Y171" s="3">
        <f>N171*$D171</f>
        <v/>
      </c>
      <c r="Z171" s="3">
        <f>C171*$D171</f>
        <v/>
      </c>
      <c r="AA171" s="9">
        <f>$L978+$K978*E171+$J978*F171+$I978*G171+$H978*H171+$G978*I171+$F978*J171+$E978*K171+$D978*L171+$C978*M171+$B978*N171</f>
        <v/>
      </c>
      <c r="AB171" s="9">
        <f>C171-AA171</f>
        <v/>
      </c>
      <c r="AC171" s="4">
        <f>AB171^2</f>
        <v/>
      </c>
    </row>
    <row r="172">
      <c r="A172" t="inlineStr">
        <is>
          <t>BBG000FV1Z23</t>
        </is>
      </c>
      <c r="B172" t="inlineStr">
        <is>
          <t>cci</t>
        </is>
      </c>
      <c r="C172" s="9" t="n">
        <v>-0.008752997300386367</v>
      </c>
      <c r="D172" s="3">
        <f>EXP(0.25*'3b-d Exposures'!G204)</f>
        <v/>
      </c>
      <c r="E172" s="3">
        <f>IF('3b-d Exposures'!C204="",0,'3b-d Exposures'!C204)</f>
        <v/>
      </c>
      <c r="F172" s="3">
        <f>IF('3b-d Exposures'!E204="",0,'3b-d Exposures'!E204)</f>
        <v/>
      </c>
      <c r="G172" s="3">
        <f>IF('3b-d Exposures'!G204="",0,'3b-d Exposures'!G204)</f>
        <v/>
      </c>
      <c r="H172" s="3">
        <f>IF('3b-d Exposures'!I204="",0,'3b-d Exposures'!I204)</f>
        <v/>
      </c>
      <c r="I172" s="3">
        <f>IF('3b-d Exposures'!K204="",0,'3b-d Exposures'!K204)</f>
        <v/>
      </c>
      <c r="J172" s="3">
        <f>IF('3b-d Exposures'!M204="",0,'3b-d Exposures'!M204)</f>
        <v/>
      </c>
      <c r="K172" s="3">
        <f>IF('3b-d Exposures'!O204="",0,'3b-d Exposures'!O204)</f>
        <v/>
      </c>
      <c r="L172" s="3">
        <f>IF('3b-d Exposures'!Q204="",0,'3b-d Exposures'!Q204)</f>
        <v/>
      </c>
      <c r="M172" s="3">
        <f>IF('3b-d Exposures'!S204="",0,'3b-d Exposures'!S204)</f>
        <v/>
      </c>
      <c r="N172" s="3">
        <f>IF('3b-d Exposures'!Z204="",0,'3b-d Exposures'!Z204)</f>
        <v/>
      </c>
      <c r="O172" s="3">
        <f>$D172</f>
        <v/>
      </c>
      <c r="P172" s="3">
        <f>E172*$D172</f>
        <v/>
      </c>
      <c r="Q172" s="3">
        <f>F172*$D172</f>
        <v/>
      </c>
      <c r="R172" s="3">
        <f>G172*$D172</f>
        <v/>
      </c>
      <c r="S172" s="3">
        <f>H172*$D172</f>
        <v/>
      </c>
      <c r="T172" s="3">
        <f>I172*$D172</f>
        <v/>
      </c>
      <c r="U172" s="3">
        <f>J172*$D172</f>
        <v/>
      </c>
      <c r="V172" s="3">
        <f>K172*$D172</f>
        <v/>
      </c>
      <c r="W172" s="3">
        <f>L172*$D172</f>
        <v/>
      </c>
      <c r="X172" s="3">
        <f>M172*$D172</f>
        <v/>
      </c>
      <c r="Y172" s="3">
        <f>N172*$D172</f>
        <v/>
      </c>
      <c r="Z172" s="3">
        <f>C172*$D172</f>
        <v/>
      </c>
      <c r="AA172" s="9">
        <f>$L978+$K978*E172+$J978*F172+$I978*G172+$H978*H172+$G978*I172+$F978*J172+$E978*K172+$D978*L172+$C978*M172+$B978*N172</f>
        <v/>
      </c>
      <c r="AB172" s="9">
        <f>C172-AA172</f>
        <v/>
      </c>
      <c r="AC172" s="4">
        <f>AB172^2</f>
        <v/>
      </c>
    </row>
    <row r="173">
      <c r="A173" t="inlineStr">
        <is>
          <t>ccl</t>
        </is>
      </c>
      <c r="B173" t="inlineStr">
        <is>
          <t>ccl</t>
        </is>
      </c>
      <c r="C173" s="9" t="n">
        <v>0.02202121738165319</v>
      </c>
      <c r="D173" s="3">
        <f>EXP(0.25*'3b-d Exposures'!G206)</f>
        <v/>
      </c>
      <c r="E173" s="3">
        <f>IF('3b-d Exposures'!C206="",0,'3b-d Exposures'!C206)</f>
        <v/>
      </c>
      <c r="F173" s="3">
        <f>IF('3b-d Exposures'!E206="",0,'3b-d Exposures'!E206)</f>
        <v/>
      </c>
      <c r="G173" s="3">
        <f>IF('3b-d Exposures'!G206="",0,'3b-d Exposures'!G206)</f>
        <v/>
      </c>
      <c r="H173" s="3">
        <f>IF('3b-d Exposures'!I206="",0,'3b-d Exposures'!I206)</f>
        <v/>
      </c>
      <c r="I173" s="3">
        <f>IF('3b-d Exposures'!K206="",0,'3b-d Exposures'!K206)</f>
        <v/>
      </c>
      <c r="J173" s="3">
        <f>IF('3b-d Exposures'!M206="",0,'3b-d Exposures'!M206)</f>
        <v/>
      </c>
      <c r="K173" s="3">
        <f>IF('3b-d Exposures'!O206="",0,'3b-d Exposures'!O206)</f>
        <v/>
      </c>
      <c r="L173" s="3">
        <f>IF('3b-d Exposures'!Q206="",0,'3b-d Exposures'!Q206)</f>
        <v/>
      </c>
      <c r="M173" s="3">
        <f>IF('3b-d Exposures'!S206="",0,'3b-d Exposures'!S206)</f>
        <v/>
      </c>
      <c r="N173" s="3">
        <f>IF('3b-d Exposures'!Z206="",0,'3b-d Exposures'!Z206)</f>
        <v/>
      </c>
      <c r="O173" s="3">
        <f>$D173</f>
        <v/>
      </c>
      <c r="P173" s="3">
        <f>E173*$D173</f>
        <v/>
      </c>
      <c r="Q173" s="3">
        <f>F173*$D173</f>
        <v/>
      </c>
      <c r="R173" s="3">
        <f>G173*$D173</f>
        <v/>
      </c>
      <c r="S173" s="3">
        <f>H173*$D173</f>
        <v/>
      </c>
      <c r="T173" s="3">
        <f>I173*$D173</f>
        <v/>
      </c>
      <c r="U173" s="3">
        <f>J173*$D173</f>
        <v/>
      </c>
      <c r="V173" s="3">
        <f>K173*$D173</f>
        <v/>
      </c>
      <c r="W173" s="3">
        <f>L173*$D173</f>
        <v/>
      </c>
      <c r="X173" s="3">
        <f>M173*$D173</f>
        <v/>
      </c>
      <c r="Y173" s="3">
        <f>N173*$D173</f>
        <v/>
      </c>
      <c r="Z173" s="3">
        <f>C173*$D173</f>
        <v/>
      </c>
      <c r="AA173" s="9">
        <f>$L978+$K978*E173+$J978*F173+$I978*G173+$H978*H173+$G978*I173+$F978*J173+$E978*K173+$D978*L173+$C978*M173+$B978*N173</f>
        <v/>
      </c>
      <c r="AB173" s="9">
        <f>C173-AA173</f>
        <v/>
      </c>
      <c r="AC173" s="4">
        <f>AB173^2</f>
        <v/>
      </c>
    </row>
    <row r="174">
      <c r="A174" t="inlineStr">
        <is>
          <t>BBG000D0SMY8</t>
        </is>
      </c>
      <c r="B174" t="inlineStr">
        <is>
          <t>ccoi</t>
        </is>
      </c>
      <c r="C174" s="9" t="n">
        <v>0.01338351659710768</v>
      </c>
      <c r="D174" s="3">
        <f>EXP(0.25*'3b-d Exposures'!G208)</f>
        <v/>
      </c>
      <c r="E174" s="3">
        <f>IF('3b-d Exposures'!C208="",0,'3b-d Exposures'!C208)</f>
        <v/>
      </c>
      <c r="F174" s="3">
        <f>IF('3b-d Exposures'!E208="",0,'3b-d Exposures'!E208)</f>
        <v/>
      </c>
      <c r="G174" s="3">
        <f>IF('3b-d Exposures'!G208="",0,'3b-d Exposures'!G208)</f>
        <v/>
      </c>
      <c r="H174" s="3">
        <f>IF('3b-d Exposures'!I208="",0,'3b-d Exposures'!I208)</f>
        <v/>
      </c>
      <c r="I174" s="3">
        <f>IF('3b-d Exposures'!K208="",0,'3b-d Exposures'!K208)</f>
        <v/>
      </c>
      <c r="J174" s="3">
        <f>IF('3b-d Exposures'!M208="",0,'3b-d Exposures'!M208)</f>
        <v/>
      </c>
      <c r="K174" s="3">
        <f>IF('3b-d Exposures'!O208="",0,'3b-d Exposures'!O208)</f>
        <v/>
      </c>
      <c r="L174" s="3">
        <f>IF('3b-d Exposures'!Q208="",0,'3b-d Exposures'!Q208)</f>
        <v/>
      </c>
      <c r="M174" s="3">
        <f>IF('3b-d Exposures'!S208="",0,'3b-d Exposures'!S208)</f>
        <v/>
      </c>
      <c r="N174" s="3">
        <f>IF('3b-d Exposures'!Z208="",0,'3b-d Exposures'!Z208)</f>
        <v/>
      </c>
      <c r="O174" s="3">
        <f>$D174</f>
        <v/>
      </c>
      <c r="P174" s="3">
        <f>E174*$D174</f>
        <v/>
      </c>
      <c r="Q174" s="3">
        <f>F174*$D174</f>
        <v/>
      </c>
      <c r="R174" s="3">
        <f>G174*$D174</f>
        <v/>
      </c>
      <c r="S174" s="3">
        <f>H174*$D174</f>
        <v/>
      </c>
      <c r="T174" s="3">
        <f>I174*$D174</f>
        <v/>
      </c>
      <c r="U174" s="3">
        <f>J174*$D174</f>
        <v/>
      </c>
      <c r="V174" s="3">
        <f>K174*$D174</f>
        <v/>
      </c>
      <c r="W174" s="3">
        <f>L174*$D174</f>
        <v/>
      </c>
      <c r="X174" s="3">
        <f>M174*$D174</f>
        <v/>
      </c>
      <c r="Y174" s="3">
        <f>N174*$D174</f>
        <v/>
      </c>
      <c r="Z174" s="3">
        <f>C174*$D174</f>
        <v/>
      </c>
      <c r="AA174" s="9">
        <f>$L978+$K978*E174+$J978*F174+$I978*G174+$H978*H174+$G978*I174+$F978*J174+$E978*K174+$D978*L174+$C978*M174+$B978*N174</f>
        <v/>
      </c>
      <c r="AB174" s="9">
        <f>C174-AA174</f>
        <v/>
      </c>
      <c r="AC174" s="4">
        <f>AB174^2</f>
        <v/>
      </c>
    </row>
    <row r="175">
      <c r="A175" t="inlineStr">
        <is>
          <t>BBG000C13CD9</t>
        </is>
      </c>
      <c r="B175" t="inlineStr">
        <is>
          <t>cdns</t>
        </is>
      </c>
      <c r="C175" s="9" t="n">
        <v>0.01127731000492371</v>
      </c>
      <c r="D175" s="3">
        <f>EXP(0.25*'3b-d Exposures'!G209)</f>
        <v/>
      </c>
      <c r="E175" s="3">
        <f>IF('3b-d Exposures'!C209="",0,'3b-d Exposures'!C209)</f>
        <v/>
      </c>
      <c r="F175" s="3">
        <f>IF('3b-d Exposures'!E209="",0,'3b-d Exposures'!E209)</f>
        <v/>
      </c>
      <c r="G175" s="3">
        <f>IF('3b-d Exposures'!G209="",0,'3b-d Exposures'!G209)</f>
        <v/>
      </c>
      <c r="H175" s="3">
        <f>IF('3b-d Exposures'!I209="",0,'3b-d Exposures'!I209)</f>
        <v/>
      </c>
      <c r="I175" s="3">
        <f>IF('3b-d Exposures'!K209="",0,'3b-d Exposures'!K209)</f>
        <v/>
      </c>
      <c r="J175" s="3">
        <f>IF('3b-d Exposures'!M209="",0,'3b-d Exposures'!M209)</f>
        <v/>
      </c>
      <c r="K175" s="3">
        <f>IF('3b-d Exposures'!O209="",0,'3b-d Exposures'!O209)</f>
        <v/>
      </c>
      <c r="L175" s="3">
        <f>IF('3b-d Exposures'!Q209="",0,'3b-d Exposures'!Q209)</f>
        <v/>
      </c>
      <c r="M175" s="3">
        <f>IF('3b-d Exposures'!S209="",0,'3b-d Exposures'!S209)</f>
        <v/>
      </c>
      <c r="N175" s="3">
        <f>IF('3b-d Exposures'!Z209="",0,'3b-d Exposures'!Z209)</f>
        <v/>
      </c>
      <c r="O175" s="3">
        <f>$D175</f>
        <v/>
      </c>
      <c r="P175" s="3">
        <f>E175*$D175</f>
        <v/>
      </c>
      <c r="Q175" s="3">
        <f>F175*$D175</f>
        <v/>
      </c>
      <c r="R175" s="3">
        <f>G175*$D175</f>
        <v/>
      </c>
      <c r="S175" s="3">
        <f>H175*$D175</f>
        <v/>
      </c>
      <c r="T175" s="3">
        <f>I175*$D175</f>
        <v/>
      </c>
      <c r="U175" s="3">
        <f>J175*$D175</f>
        <v/>
      </c>
      <c r="V175" s="3">
        <f>K175*$D175</f>
        <v/>
      </c>
      <c r="W175" s="3">
        <f>L175*$D175</f>
        <v/>
      </c>
      <c r="X175" s="3">
        <f>M175*$D175</f>
        <v/>
      </c>
      <c r="Y175" s="3">
        <f>N175*$D175</f>
        <v/>
      </c>
      <c r="Z175" s="3">
        <f>C175*$D175</f>
        <v/>
      </c>
      <c r="AA175" s="9">
        <f>$L978+$K978*E175+$J978*F175+$I978*G175+$H978*H175+$G978*I175+$F978*J175+$E978*K175+$D978*L175+$C978*M175+$B978*N175</f>
        <v/>
      </c>
      <c r="AB175" s="9">
        <f>C175-AA175</f>
        <v/>
      </c>
      <c r="AC175" s="4">
        <f>AB175^2</f>
        <v/>
      </c>
    </row>
    <row r="176">
      <c r="A176" t="inlineStr">
        <is>
          <t>cdw</t>
        </is>
      </c>
      <c r="B176" t="inlineStr">
        <is>
          <t>cdw</t>
        </is>
      </c>
      <c r="C176" s="9" t="n">
        <v>0.02665837224274425</v>
      </c>
      <c r="D176" s="3">
        <f>EXP(0.25*'3b-d Exposures'!G210)</f>
        <v/>
      </c>
      <c r="E176" s="3">
        <f>IF('3b-d Exposures'!C210="",0,'3b-d Exposures'!C210)</f>
        <v/>
      </c>
      <c r="F176" s="3">
        <f>IF('3b-d Exposures'!E210="",0,'3b-d Exposures'!E210)</f>
        <v/>
      </c>
      <c r="G176" s="3">
        <f>IF('3b-d Exposures'!G210="",0,'3b-d Exposures'!G210)</f>
        <v/>
      </c>
      <c r="H176" s="3">
        <f>IF('3b-d Exposures'!I210="",0,'3b-d Exposures'!I210)</f>
        <v/>
      </c>
      <c r="I176" s="3">
        <f>IF('3b-d Exposures'!K210="",0,'3b-d Exposures'!K210)</f>
        <v/>
      </c>
      <c r="J176" s="3">
        <f>IF('3b-d Exposures'!M210="",0,'3b-d Exposures'!M210)</f>
        <v/>
      </c>
      <c r="K176" s="3">
        <f>IF('3b-d Exposures'!O210="",0,'3b-d Exposures'!O210)</f>
        <v/>
      </c>
      <c r="L176" s="3">
        <f>IF('3b-d Exposures'!Q210="",0,'3b-d Exposures'!Q210)</f>
        <v/>
      </c>
      <c r="M176" s="3">
        <f>IF('3b-d Exposures'!S210="",0,'3b-d Exposures'!S210)</f>
        <v/>
      </c>
      <c r="N176" s="3">
        <f>IF('3b-d Exposures'!Z210="",0,'3b-d Exposures'!Z210)</f>
        <v/>
      </c>
      <c r="O176" s="3">
        <f>$D176</f>
        <v/>
      </c>
      <c r="P176" s="3">
        <f>E176*$D176</f>
        <v/>
      </c>
      <c r="Q176" s="3">
        <f>F176*$D176</f>
        <v/>
      </c>
      <c r="R176" s="3">
        <f>G176*$D176</f>
        <v/>
      </c>
      <c r="S176" s="3">
        <f>H176*$D176</f>
        <v/>
      </c>
      <c r="T176" s="3">
        <f>I176*$D176</f>
        <v/>
      </c>
      <c r="U176" s="3">
        <f>J176*$D176</f>
        <v/>
      </c>
      <c r="V176" s="3">
        <f>K176*$D176</f>
        <v/>
      </c>
      <c r="W176" s="3">
        <f>L176*$D176</f>
        <v/>
      </c>
      <c r="X176" s="3">
        <f>M176*$D176</f>
        <v/>
      </c>
      <c r="Y176" s="3">
        <f>N176*$D176</f>
        <v/>
      </c>
      <c r="Z176" s="3">
        <f>C176*$D176</f>
        <v/>
      </c>
      <c r="AA176" s="9">
        <f>$L978+$K978*E176+$J978*F176+$I978*G176+$H978*H176+$G978*I176+$F978*J176+$E978*K176+$D978*L176+$C978*M176+$B978*N176</f>
        <v/>
      </c>
      <c r="AB176" s="9">
        <f>C176-AA176</f>
        <v/>
      </c>
      <c r="AC176" s="4">
        <f>AB176^2</f>
        <v/>
      </c>
    </row>
    <row r="177">
      <c r="A177" t="inlineStr">
        <is>
          <t>BBG000CSMLT2</t>
        </is>
      </c>
      <c r="B177" t="inlineStr">
        <is>
          <t>cdzi</t>
        </is>
      </c>
      <c r="C177" s="9" t="n">
        <v>-0.009009000301245074</v>
      </c>
      <c r="D177" s="3">
        <f>EXP(0.25*'3b-d Exposures'!G211)</f>
        <v/>
      </c>
      <c r="E177" s="3">
        <f>IF('3b-d Exposures'!C211="",0,'3b-d Exposures'!C211)</f>
        <v/>
      </c>
      <c r="F177" s="3">
        <f>IF('3b-d Exposures'!E211="",0,'3b-d Exposures'!E211)</f>
        <v/>
      </c>
      <c r="G177" s="3">
        <f>IF('3b-d Exposures'!G211="",0,'3b-d Exposures'!G211)</f>
        <v/>
      </c>
      <c r="H177" s="3">
        <f>IF('3b-d Exposures'!I211="",0,'3b-d Exposures'!I211)</f>
        <v/>
      </c>
      <c r="I177" s="3">
        <f>IF('3b-d Exposures'!K211="",0,'3b-d Exposures'!K211)</f>
        <v/>
      </c>
      <c r="J177" s="3">
        <f>IF('3b-d Exposures'!M211="",0,'3b-d Exposures'!M211)</f>
        <v/>
      </c>
      <c r="K177" s="3">
        <f>IF('3b-d Exposures'!O211="",0,'3b-d Exposures'!O211)</f>
        <v/>
      </c>
      <c r="L177" s="3">
        <f>IF('3b-d Exposures'!Q211="",0,'3b-d Exposures'!Q211)</f>
        <v/>
      </c>
      <c r="M177" s="3">
        <f>IF('3b-d Exposures'!S211="",0,'3b-d Exposures'!S211)</f>
        <v/>
      </c>
      <c r="N177" s="3">
        <f>IF('3b-d Exposures'!Z211="",0,'3b-d Exposures'!Z211)</f>
        <v/>
      </c>
      <c r="O177" s="3">
        <f>$D177</f>
        <v/>
      </c>
      <c r="P177" s="3">
        <f>E177*$D177</f>
        <v/>
      </c>
      <c r="Q177" s="3">
        <f>F177*$D177</f>
        <v/>
      </c>
      <c r="R177" s="3">
        <f>G177*$D177</f>
        <v/>
      </c>
      <c r="S177" s="3">
        <f>H177*$D177</f>
        <v/>
      </c>
      <c r="T177" s="3">
        <f>I177*$D177</f>
        <v/>
      </c>
      <c r="U177" s="3">
        <f>J177*$D177</f>
        <v/>
      </c>
      <c r="V177" s="3">
        <f>K177*$D177</f>
        <v/>
      </c>
      <c r="W177" s="3">
        <f>L177*$D177</f>
        <v/>
      </c>
      <c r="X177" s="3">
        <f>M177*$D177</f>
        <v/>
      </c>
      <c r="Y177" s="3">
        <f>N177*$D177</f>
        <v/>
      </c>
      <c r="Z177" s="3">
        <f>C177*$D177</f>
        <v/>
      </c>
      <c r="AA177" s="9">
        <f>$L978+$K978*E177+$J978*F177+$I978*G177+$H978*H177+$G978*I177+$F978*J177+$E978*K177+$D978*L177+$C978*M177+$B978*N177</f>
        <v/>
      </c>
      <c r="AB177" s="9">
        <f>C177-AA177</f>
        <v/>
      </c>
      <c r="AC177" s="4">
        <f>AB177^2</f>
        <v/>
      </c>
    </row>
    <row r="178">
      <c r="A178" t="inlineStr">
        <is>
          <t>BBG000JYP7L8</t>
        </is>
      </c>
      <c r="B178" t="inlineStr">
        <is>
          <t>ce</t>
        </is>
      </c>
      <c r="C178" s="9" t="n">
        <v>0.01379582678331359</v>
      </c>
      <c r="D178" s="3">
        <f>EXP(0.25*'3b-d Exposures'!G212)</f>
        <v/>
      </c>
      <c r="E178" s="3">
        <f>IF('3b-d Exposures'!C212="",0,'3b-d Exposures'!C212)</f>
        <v/>
      </c>
      <c r="F178" s="3">
        <f>IF('3b-d Exposures'!E212="",0,'3b-d Exposures'!E212)</f>
        <v/>
      </c>
      <c r="G178" s="3">
        <f>IF('3b-d Exposures'!G212="",0,'3b-d Exposures'!G212)</f>
        <v/>
      </c>
      <c r="H178" s="3">
        <f>IF('3b-d Exposures'!I212="",0,'3b-d Exposures'!I212)</f>
        <v/>
      </c>
      <c r="I178" s="3">
        <f>IF('3b-d Exposures'!K212="",0,'3b-d Exposures'!K212)</f>
        <v/>
      </c>
      <c r="J178" s="3">
        <f>IF('3b-d Exposures'!M212="",0,'3b-d Exposures'!M212)</f>
        <v/>
      </c>
      <c r="K178" s="3">
        <f>IF('3b-d Exposures'!O212="",0,'3b-d Exposures'!O212)</f>
        <v/>
      </c>
      <c r="L178" s="3">
        <f>IF('3b-d Exposures'!Q212="",0,'3b-d Exposures'!Q212)</f>
        <v/>
      </c>
      <c r="M178" s="3">
        <f>IF('3b-d Exposures'!S212="",0,'3b-d Exposures'!S212)</f>
        <v/>
      </c>
      <c r="N178" s="3">
        <f>IF('3b-d Exposures'!Z212="",0,'3b-d Exposures'!Z212)</f>
        <v/>
      </c>
      <c r="O178" s="3">
        <f>$D178</f>
        <v/>
      </c>
      <c r="P178" s="3">
        <f>E178*$D178</f>
        <v/>
      </c>
      <c r="Q178" s="3">
        <f>F178*$D178</f>
        <v/>
      </c>
      <c r="R178" s="3">
        <f>G178*$D178</f>
        <v/>
      </c>
      <c r="S178" s="3">
        <f>H178*$D178</f>
        <v/>
      </c>
      <c r="T178" s="3">
        <f>I178*$D178</f>
        <v/>
      </c>
      <c r="U178" s="3">
        <f>J178*$D178</f>
        <v/>
      </c>
      <c r="V178" s="3">
        <f>K178*$D178</f>
        <v/>
      </c>
      <c r="W178" s="3">
        <f>L178*$D178</f>
        <v/>
      </c>
      <c r="X178" s="3">
        <f>M178*$D178</f>
        <v/>
      </c>
      <c r="Y178" s="3">
        <f>N178*$D178</f>
        <v/>
      </c>
      <c r="Z178" s="3">
        <f>C178*$D178</f>
        <v/>
      </c>
      <c r="AA178" s="9">
        <f>$L978+$K978*E178+$J978*F178+$I978*G178+$H978*H178+$G978*I178+$F978*J178+$E978*K178+$D978*L178+$C978*M178+$B978*N178</f>
        <v/>
      </c>
      <c r="AB178" s="9">
        <f>C178-AA178</f>
        <v/>
      </c>
      <c r="AC178" s="4">
        <f>AB178^2</f>
        <v/>
      </c>
    </row>
    <row r="179">
      <c r="A179" t="inlineStr">
        <is>
          <t>ceg</t>
        </is>
      </c>
      <c r="B179" t="inlineStr">
        <is>
          <t>ceg</t>
        </is>
      </c>
      <c r="C179" s="9" t="n">
        <v>-0.0272060377300547</v>
      </c>
      <c r="D179" s="3">
        <f>EXP(0.25*'3b-d Exposures'!G213)</f>
        <v/>
      </c>
      <c r="E179" s="3">
        <f>IF('3b-d Exposures'!C213="",0,'3b-d Exposures'!C213)</f>
        <v/>
      </c>
      <c r="F179" s="3">
        <f>IF('3b-d Exposures'!E213="",0,'3b-d Exposures'!E213)</f>
        <v/>
      </c>
      <c r="G179" s="3">
        <f>IF('3b-d Exposures'!G213="",0,'3b-d Exposures'!G213)</f>
        <v/>
      </c>
      <c r="H179" s="3">
        <f>IF('3b-d Exposures'!I213="",0,'3b-d Exposures'!I213)</f>
        <v/>
      </c>
      <c r="I179" s="3">
        <f>IF('3b-d Exposures'!K213="",0,'3b-d Exposures'!K213)</f>
        <v/>
      </c>
      <c r="J179" s="3">
        <f>IF('3b-d Exposures'!M213="",0,'3b-d Exposures'!M213)</f>
        <v/>
      </c>
      <c r="K179" s="3">
        <f>IF('3b-d Exposures'!O213="",0,'3b-d Exposures'!O213)</f>
        <v/>
      </c>
      <c r="L179" s="3">
        <f>IF('3b-d Exposures'!Q213="",0,'3b-d Exposures'!Q213)</f>
        <v/>
      </c>
      <c r="M179" s="3">
        <f>IF('3b-d Exposures'!S213="",0,'3b-d Exposures'!S213)</f>
        <v/>
      </c>
      <c r="N179" s="3">
        <f>IF('3b-d Exposures'!Z213="",0,'3b-d Exposures'!Z213)</f>
        <v/>
      </c>
      <c r="O179" s="3">
        <f>$D179</f>
        <v/>
      </c>
      <c r="P179" s="3">
        <f>E179*$D179</f>
        <v/>
      </c>
      <c r="Q179" s="3">
        <f>F179*$D179</f>
        <v/>
      </c>
      <c r="R179" s="3">
        <f>G179*$D179</f>
        <v/>
      </c>
      <c r="S179" s="3">
        <f>H179*$D179</f>
        <v/>
      </c>
      <c r="T179" s="3">
        <f>I179*$D179</f>
        <v/>
      </c>
      <c r="U179" s="3">
        <f>J179*$D179</f>
        <v/>
      </c>
      <c r="V179" s="3">
        <f>K179*$D179</f>
        <v/>
      </c>
      <c r="W179" s="3">
        <f>L179*$D179</f>
        <v/>
      </c>
      <c r="X179" s="3">
        <f>M179*$D179</f>
        <v/>
      </c>
      <c r="Y179" s="3">
        <f>N179*$D179</f>
        <v/>
      </c>
      <c r="Z179" s="3">
        <f>C179*$D179</f>
        <v/>
      </c>
      <c r="AA179" s="9">
        <f>$L978+$K978*E179+$J978*F179+$I978*G179+$H978*H179+$G978*I179+$F978*J179+$E978*K179+$D978*L179+$C978*M179+$B978*N179</f>
        <v/>
      </c>
      <c r="AB179" s="9">
        <f>C179-AA179</f>
        <v/>
      </c>
      <c r="AC179" s="4">
        <f>AB179^2</f>
        <v/>
      </c>
    </row>
    <row r="180">
      <c r="A180" t="inlineStr">
        <is>
          <t>BBG000BWJFZ4</t>
        </is>
      </c>
      <c r="B180" t="inlineStr">
        <is>
          <t>cf</t>
        </is>
      </c>
      <c r="C180" s="9" t="n">
        <v>0.01449915349911945</v>
      </c>
      <c r="D180" s="3">
        <f>EXP(0.25*'3b-d Exposures'!G214)</f>
        <v/>
      </c>
      <c r="E180" s="3">
        <f>IF('3b-d Exposures'!C214="",0,'3b-d Exposures'!C214)</f>
        <v/>
      </c>
      <c r="F180" s="3">
        <f>IF('3b-d Exposures'!E214="",0,'3b-d Exposures'!E214)</f>
        <v/>
      </c>
      <c r="G180" s="3">
        <f>IF('3b-d Exposures'!G214="",0,'3b-d Exposures'!G214)</f>
        <v/>
      </c>
      <c r="H180" s="3">
        <f>IF('3b-d Exposures'!I214="",0,'3b-d Exposures'!I214)</f>
        <v/>
      </c>
      <c r="I180" s="3">
        <f>IF('3b-d Exposures'!K214="",0,'3b-d Exposures'!K214)</f>
        <v/>
      </c>
      <c r="J180" s="3">
        <f>IF('3b-d Exposures'!M214="",0,'3b-d Exposures'!M214)</f>
        <v/>
      </c>
      <c r="K180" s="3">
        <f>IF('3b-d Exposures'!O214="",0,'3b-d Exposures'!O214)</f>
        <v/>
      </c>
      <c r="L180" s="3">
        <f>IF('3b-d Exposures'!Q214="",0,'3b-d Exposures'!Q214)</f>
        <v/>
      </c>
      <c r="M180" s="3">
        <f>IF('3b-d Exposures'!S214="",0,'3b-d Exposures'!S214)</f>
        <v/>
      </c>
      <c r="N180" s="3">
        <f>IF('3b-d Exposures'!Z214="",0,'3b-d Exposures'!Z214)</f>
        <v/>
      </c>
      <c r="O180" s="3">
        <f>$D180</f>
        <v/>
      </c>
      <c r="P180" s="3">
        <f>E180*$D180</f>
        <v/>
      </c>
      <c r="Q180" s="3">
        <f>F180*$D180</f>
        <v/>
      </c>
      <c r="R180" s="3">
        <f>G180*$D180</f>
        <v/>
      </c>
      <c r="S180" s="3">
        <f>H180*$D180</f>
        <v/>
      </c>
      <c r="T180" s="3">
        <f>I180*$D180</f>
        <v/>
      </c>
      <c r="U180" s="3">
        <f>J180*$D180</f>
        <v/>
      </c>
      <c r="V180" s="3">
        <f>K180*$D180</f>
        <v/>
      </c>
      <c r="W180" s="3">
        <f>L180*$D180</f>
        <v/>
      </c>
      <c r="X180" s="3">
        <f>M180*$D180</f>
        <v/>
      </c>
      <c r="Y180" s="3">
        <f>N180*$D180</f>
        <v/>
      </c>
      <c r="Z180" s="3">
        <f>C180*$D180</f>
        <v/>
      </c>
      <c r="AA180" s="9">
        <f>$L978+$K978*E180+$J978*F180+$I978*G180+$H978*H180+$G978*I180+$F978*J180+$E978*K180+$D978*L180+$C978*M180+$B978*N180</f>
        <v/>
      </c>
      <c r="AB180" s="9">
        <f>C180-AA180</f>
        <v/>
      </c>
      <c r="AC180" s="4">
        <f>AB180^2</f>
        <v/>
      </c>
    </row>
    <row r="181">
      <c r="A181" t="inlineStr">
        <is>
          <t>BBG006Q0HY77</t>
        </is>
      </c>
      <c r="B181" t="inlineStr">
        <is>
          <t>cfg</t>
        </is>
      </c>
      <c r="C181" s="9" t="n">
        <v>-0.02201896710820661</v>
      </c>
      <c r="D181" s="3">
        <f>EXP(0.25*'3b-d Exposures'!G215)</f>
        <v/>
      </c>
      <c r="E181" s="3">
        <f>IF('3b-d Exposures'!C215="",0,'3b-d Exposures'!C215)</f>
        <v/>
      </c>
      <c r="F181" s="3">
        <f>IF('3b-d Exposures'!E215="",0,'3b-d Exposures'!E215)</f>
        <v/>
      </c>
      <c r="G181" s="3">
        <f>IF('3b-d Exposures'!G215="",0,'3b-d Exposures'!G215)</f>
        <v/>
      </c>
      <c r="H181" s="3">
        <f>IF('3b-d Exposures'!I215="",0,'3b-d Exposures'!I215)</f>
        <v/>
      </c>
      <c r="I181" s="3">
        <f>IF('3b-d Exposures'!K215="",0,'3b-d Exposures'!K215)</f>
        <v/>
      </c>
      <c r="J181" s="3">
        <f>IF('3b-d Exposures'!M215="",0,'3b-d Exposures'!M215)</f>
        <v/>
      </c>
      <c r="K181" s="3">
        <f>IF('3b-d Exposures'!O215="",0,'3b-d Exposures'!O215)</f>
        <v/>
      </c>
      <c r="L181" s="3">
        <f>IF('3b-d Exposures'!Q215="",0,'3b-d Exposures'!Q215)</f>
        <v/>
      </c>
      <c r="M181" s="3">
        <f>IF('3b-d Exposures'!S215="",0,'3b-d Exposures'!S215)</f>
        <v/>
      </c>
      <c r="N181" s="3">
        <f>IF('3b-d Exposures'!Z215="",0,'3b-d Exposures'!Z215)</f>
        <v/>
      </c>
      <c r="O181" s="3">
        <f>$D181</f>
        <v/>
      </c>
      <c r="P181" s="3">
        <f>E181*$D181</f>
        <v/>
      </c>
      <c r="Q181" s="3">
        <f>F181*$D181</f>
        <v/>
      </c>
      <c r="R181" s="3">
        <f>G181*$D181</f>
        <v/>
      </c>
      <c r="S181" s="3">
        <f>H181*$D181</f>
        <v/>
      </c>
      <c r="T181" s="3">
        <f>I181*$D181</f>
        <v/>
      </c>
      <c r="U181" s="3">
        <f>J181*$D181</f>
        <v/>
      </c>
      <c r="V181" s="3">
        <f>K181*$D181</f>
        <v/>
      </c>
      <c r="W181" s="3">
        <f>L181*$D181</f>
        <v/>
      </c>
      <c r="X181" s="3">
        <f>M181*$D181</f>
        <v/>
      </c>
      <c r="Y181" s="3">
        <f>N181*$D181</f>
        <v/>
      </c>
      <c r="Z181" s="3">
        <f>C181*$D181</f>
        <v/>
      </c>
      <c r="AA181" s="9">
        <f>$L978+$K978*E181+$J978*F181+$I978*G181+$H978*H181+$G978*I181+$F978*J181+$E978*K181+$D978*L181+$C978*M181+$B978*N181</f>
        <v/>
      </c>
      <c r="AB181" s="9">
        <f>C181-AA181</f>
        <v/>
      </c>
      <c r="AC181" s="4">
        <f>AB181^2</f>
        <v/>
      </c>
    </row>
    <row r="182">
      <c r="A182" t="inlineStr">
        <is>
          <t>BBG000BFJT36</t>
        </is>
      </c>
      <c r="B182" t="inlineStr">
        <is>
          <t>chd</t>
        </is>
      </c>
      <c r="C182" s="9" t="n">
        <v>0.01007904839753415</v>
      </c>
      <c r="D182" s="3">
        <f>EXP(0.25*'3b-d Exposures'!G217)</f>
        <v/>
      </c>
      <c r="E182" s="3">
        <f>IF('3b-d Exposures'!C217="",0,'3b-d Exposures'!C217)</f>
        <v/>
      </c>
      <c r="F182" s="3">
        <f>IF('3b-d Exposures'!E217="",0,'3b-d Exposures'!E217)</f>
        <v/>
      </c>
      <c r="G182" s="3">
        <f>IF('3b-d Exposures'!G217="",0,'3b-d Exposures'!G217)</f>
        <v/>
      </c>
      <c r="H182" s="3">
        <f>IF('3b-d Exposures'!I217="",0,'3b-d Exposures'!I217)</f>
        <v/>
      </c>
      <c r="I182" s="3">
        <f>IF('3b-d Exposures'!K217="",0,'3b-d Exposures'!K217)</f>
        <v/>
      </c>
      <c r="J182" s="3">
        <f>IF('3b-d Exposures'!M217="",0,'3b-d Exposures'!M217)</f>
        <v/>
      </c>
      <c r="K182" s="3">
        <f>IF('3b-d Exposures'!O217="",0,'3b-d Exposures'!O217)</f>
        <v/>
      </c>
      <c r="L182" s="3">
        <f>IF('3b-d Exposures'!Q217="",0,'3b-d Exposures'!Q217)</f>
        <v/>
      </c>
      <c r="M182" s="3">
        <f>IF('3b-d Exposures'!S217="",0,'3b-d Exposures'!S217)</f>
        <v/>
      </c>
      <c r="N182" s="3">
        <f>IF('3b-d Exposures'!Z217="",0,'3b-d Exposures'!Z217)</f>
        <v/>
      </c>
      <c r="O182" s="3">
        <f>$D182</f>
        <v/>
      </c>
      <c r="P182" s="3">
        <f>E182*$D182</f>
        <v/>
      </c>
      <c r="Q182" s="3">
        <f>F182*$D182</f>
        <v/>
      </c>
      <c r="R182" s="3">
        <f>G182*$D182</f>
        <v/>
      </c>
      <c r="S182" s="3">
        <f>H182*$D182</f>
        <v/>
      </c>
      <c r="T182" s="3">
        <f>I182*$D182</f>
        <v/>
      </c>
      <c r="U182" s="3">
        <f>J182*$D182</f>
        <v/>
      </c>
      <c r="V182" s="3">
        <f>K182*$D182</f>
        <v/>
      </c>
      <c r="W182" s="3">
        <f>L182*$D182</f>
        <v/>
      </c>
      <c r="X182" s="3">
        <f>M182*$D182</f>
        <v/>
      </c>
      <c r="Y182" s="3">
        <f>N182*$D182</f>
        <v/>
      </c>
      <c r="Z182" s="3">
        <f>C182*$D182</f>
        <v/>
      </c>
      <c r="AA182" s="9">
        <f>$L978+$K978*E182+$J978*F182+$I978*G182+$H978*H182+$G978*I182+$F978*J182+$E978*K182+$D978*L182+$C978*M182+$B978*N182</f>
        <v/>
      </c>
      <c r="AB182" s="9">
        <f>C182-AA182</f>
        <v/>
      </c>
      <c r="AC182" s="4">
        <f>AB182^2</f>
        <v/>
      </c>
    </row>
    <row r="183">
      <c r="A183" t="inlineStr">
        <is>
          <t>BBG000BGXMG9</t>
        </is>
      </c>
      <c r="B183" t="inlineStr">
        <is>
          <t>chdn</t>
        </is>
      </c>
      <c r="C183" s="9" t="n">
        <v>0.004714612542240149</v>
      </c>
      <c r="D183" s="3">
        <f>EXP(0.25*'3b-d Exposures'!G218)</f>
        <v/>
      </c>
      <c r="E183" s="3">
        <f>IF('3b-d Exposures'!C218="",0,'3b-d Exposures'!C218)</f>
        <v/>
      </c>
      <c r="F183" s="3">
        <f>IF('3b-d Exposures'!E218="",0,'3b-d Exposures'!E218)</f>
        <v/>
      </c>
      <c r="G183" s="3">
        <f>IF('3b-d Exposures'!G218="",0,'3b-d Exposures'!G218)</f>
        <v/>
      </c>
      <c r="H183" s="3">
        <f>IF('3b-d Exposures'!I218="",0,'3b-d Exposures'!I218)</f>
        <v/>
      </c>
      <c r="I183" s="3">
        <f>IF('3b-d Exposures'!K218="",0,'3b-d Exposures'!K218)</f>
        <v/>
      </c>
      <c r="J183" s="3">
        <f>IF('3b-d Exposures'!M218="",0,'3b-d Exposures'!M218)</f>
        <v/>
      </c>
      <c r="K183" s="3">
        <f>IF('3b-d Exposures'!O218="",0,'3b-d Exposures'!O218)</f>
        <v/>
      </c>
      <c r="L183" s="3">
        <f>IF('3b-d Exposures'!Q218="",0,'3b-d Exposures'!Q218)</f>
        <v/>
      </c>
      <c r="M183" s="3">
        <f>IF('3b-d Exposures'!S218="",0,'3b-d Exposures'!S218)</f>
        <v/>
      </c>
      <c r="N183" s="3">
        <f>IF('3b-d Exposures'!Z218="",0,'3b-d Exposures'!Z218)</f>
        <v/>
      </c>
      <c r="O183" s="3">
        <f>$D183</f>
        <v/>
      </c>
      <c r="P183" s="3">
        <f>E183*$D183</f>
        <v/>
      </c>
      <c r="Q183" s="3">
        <f>F183*$D183</f>
        <v/>
      </c>
      <c r="R183" s="3">
        <f>G183*$D183</f>
        <v/>
      </c>
      <c r="S183" s="3">
        <f>H183*$D183</f>
        <v/>
      </c>
      <c r="T183" s="3">
        <f>I183*$D183</f>
        <v/>
      </c>
      <c r="U183" s="3">
        <f>J183*$D183</f>
        <v/>
      </c>
      <c r="V183" s="3">
        <f>K183*$D183</f>
        <v/>
      </c>
      <c r="W183" s="3">
        <f>L183*$D183</f>
        <v/>
      </c>
      <c r="X183" s="3">
        <f>M183*$D183</f>
        <v/>
      </c>
      <c r="Y183" s="3">
        <f>N183*$D183</f>
        <v/>
      </c>
      <c r="Z183" s="3">
        <f>C183*$D183</f>
        <v/>
      </c>
      <c r="AA183" s="9">
        <f>$L978+$K978*E183+$J978*F183+$I978*G183+$H978*H183+$G978*I183+$F978*J183+$E978*K183+$D978*L183+$C978*M183+$B978*N183</f>
        <v/>
      </c>
      <c r="AB183" s="9">
        <f>C183-AA183</f>
        <v/>
      </c>
      <c r="AC183" s="4">
        <f>AB183^2</f>
        <v/>
      </c>
    </row>
    <row r="184">
      <c r="A184" t="inlineStr">
        <is>
          <t>BBG000BPBTL2</t>
        </is>
      </c>
      <c r="B184" t="inlineStr">
        <is>
          <t>chh</t>
        </is>
      </c>
      <c r="C184" s="9" t="n">
        <v>-0.004297930150185869</v>
      </c>
      <c r="D184" s="3">
        <f>EXP(0.25*'3b-d Exposures'!G219)</f>
        <v/>
      </c>
      <c r="E184" s="3">
        <f>IF('3b-d Exposures'!C219="",0,'3b-d Exposures'!C219)</f>
        <v/>
      </c>
      <c r="F184" s="3">
        <f>IF('3b-d Exposures'!E219="",0,'3b-d Exposures'!E219)</f>
        <v/>
      </c>
      <c r="G184" s="3">
        <f>IF('3b-d Exposures'!G219="",0,'3b-d Exposures'!G219)</f>
        <v/>
      </c>
      <c r="H184" s="3">
        <f>IF('3b-d Exposures'!I219="",0,'3b-d Exposures'!I219)</f>
        <v/>
      </c>
      <c r="I184" s="3">
        <f>IF('3b-d Exposures'!K219="",0,'3b-d Exposures'!K219)</f>
        <v/>
      </c>
      <c r="J184" s="3">
        <f>IF('3b-d Exposures'!M219="",0,'3b-d Exposures'!M219)</f>
        <v/>
      </c>
      <c r="K184" s="3">
        <f>IF('3b-d Exposures'!O219="",0,'3b-d Exposures'!O219)</f>
        <v/>
      </c>
      <c r="L184" s="3">
        <f>IF('3b-d Exposures'!Q219="",0,'3b-d Exposures'!Q219)</f>
        <v/>
      </c>
      <c r="M184" s="3">
        <f>IF('3b-d Exposures'!S219="",0,'3b-d Exposures'!S219)</f>
        <v/>
      </c>
      <c r="N184" s="3">
        <f>IF('3b-d Exposures'!Z219="",0,'3b-d Exposures'!Z219)</f>
        <v/>
      </c>
      <c r="O184" s="3">
        <f>$D184</f>
        <v/>
      </c>
      <c r="P184" s="3">
        <f>E184*$D184</f>
        <v/>
      </c>
      <c r="Q184" s="3">
        <f>F184*$D184</f>
        <v/>
      </c>
      <c r="R184" s="3">
        <f>G184*$D184</f>
        <v/>
      </c>
      <c r="S184" s="3">
        <f>H184*$D184</f>
        <v/>
      </c>
      <c r="T184" s="3">
        <f>I184*$D184</f>
        <v/>
      </c>
      <c r="U184" s="3">
        <f>J184*$D184</f>
        <v/>
      </c>
      <c r="V184" s="3">
        <f>K184*$D184</f>
        <v/>
      </c>
      <c r="W184" s="3">
        <f>L184*$D184</f>
        <v/>
      </c>
      <c r="X184" s="3">
        <f>M184*$D184</f>
        <v/>
      </c>
      <c r="Y184" s="3">
        <f>N184*$D184</f>
        <v/>
      </c>
      <c r="Z184" s="3">
        <f>C184*$D184</f>
        <v/>
      </c>
      <c r="AA184" s="9">
        <f>$L978+$K978*E184+$J978*F184+$I978*G184+$H978*H184+$G978*I184+$F978*J184+$E978*K184+$D978*L184+$C978*M184+$B978*N184</f>
        <v/>
      </c>
      <c r="AB184" s="9">
        <f>C184-AA184</f>
        <v/>
      </c>
      <c r="AC184" s="4">
        <f>AB184^2</f>
        <v/>
      </c>
    </row>
    <row r="185">
      <c r="A185" t="inlineStr">
        <is>
          <t>BBG0063N8V69</t>
        </is>
      </c>
      <c r="B185" t="inlineStr">
        <is>
          <t>chrs</t>
        </is>
      </c>
      <c r="C185" s="9" t="n">
        <v>0.1229507972463046</v>
      </c>
      <c r="D185" s="3">
        <f>EXP(0.25*'3b-d Exposures'!G220)</f>
        <v/>
      </c>
      <c r="E185" s="3">
        <f>IF('3b-d Exposures'!C220="",0,'3b-d Exposures'!C220)</f>
        <v/>
      </c>
      <c r="F185" s="3">
        <f>IF('3b-d Exposures'!E220="",0,'3b-d Exposures'!E220)</f>
        <v/>
      </c>
      <c r="G185" s="3">
        <f>IF('3b-d Exposures'!G220="",0,'3b-d Exposures'!G220)</f>
        <v/>
      </c>
      <c r="H185" s="3">
        <f>IF('3b-d Exposures'!I220="",0,'3b-d Exposures'!I220)</f>
        <v/>
      </c>
      <c r="I185" s="3">
        <f>IF('3b-d Exposures'!K220="",0,'3b-d Exposures'!K220)</f>
        <v/>
      </c>
      <c r="J185" s="3">
        <f>IF('3b-d Exposures'!M220="",0,'3b-d Exposures'!M220)</f>
        <v/>
      </c>
      <c r="K185" s="3">
        <f>IF('3b-d Exposures'!O220="",0,'3b-d Exposures'!O220)</f>
        <v/>
      </c>
      <c r="L185" s="3">
        <f>IF('3b-d Exposures'!Q220="",0,'3b-d Exposures'!Q220)</f>
        <v/>
      </c>
      <c r="M185" s="3">
        <f>IF('3b-d Exposures'!S220="",0,'3b-d Exposures'!S220)</f>
        <v/>
      </c>
      <c r="N185" s="3">
        <f>IF('3b-d Exposures'!Z220="",0,'3b-d Exposures'!Z220)</f>
        <v/>
      </c>
      <c r="O185" s="3">
        <f>$D185</f>
        <v/>
      </c>
      <c r="P185" s="3">
        <f>E185*$D185</f>
        <v/>
      </c>
      <c r="Q185" s="3">
        <f>F185*$D185</f>
        <v/>
      </c>
      <c r="R185" s="3">
        <f>G185*$D185</f>
        <v/>
      </c>
      <c r="S185" s="3">
        <f>H185*$D185</f>
        <v/>
      </c>
      <c r="T185" s="3">
        <f>I185*$D185</f>
        <v/>
      </c>
      <c r="U185" s="3">
        <f>J185*$D185</f>
        <v/>
      </c>
      <c r="V185" s="3">
        <f>K185*$D185</f>
        <v/>
      </c>
      <c r="W185" s="3">
        <f>L185*$D185</f>
        <v/>
      </c>
      <c r="X185" s="3">
        <f>M185*$D185</f>
        <v/>
      </c>
      <c r="Y185" s="3">
        <f>N185*$D185</f>
        <v/>
      </c>
      <c r="Z185" s="3">
        <f>C185*$D185</f>
        <v/>
      </c>
      <c r="AA185" s="9">
        <f>$L978+$K978*E185+$J978*F185+$I978*G185+$H978*H185+$G978*I185+$F978*J185+$E978*K185+$D978*L185+$C978*M185+$B978*N185</f>
        <v/>
      </c>
      <c r="AB185" s="9">
        <f>C185-AA185</f>
        <v/>
      </c>
      <c r="AC185" s="4">
        <f>AB185^2</f>
        <v/>
      </c>
    </row>
    <row r="186">
      <c r="A186" t="inlineStr">
        <is>
          <t>BBG000BTCH57</t>
        </is>
      </c>
      <c r="B186" t="inlineStr">
        <is>
          <t>chrw</t>
        </is>
      </c>
      <c r="C186" s="9" t="n">
        <v>0.005682889047245565</v>
      </c>
      <c r="D186" s="3">
        <f>EXP(0.25*'3b-d Exposures'!G221)</f>
        <v/>
      </c>
      <c r="E186" s="3">
        <f>IF('3b-d Exposures'!C221="",0,'3b-d Exposures'!C221)</f>
        <v/>
      </c>
      <c r="F186" s="3">
        <f>IF('3b-d Exposures'!E221="",0,'3b-d Exposures'!E221)</f>
        <v/>
      </c>
      <c r="G186" s="3">
        <f>IF('3b-d Exposures'!G221="",0,'3b-d Exposures'!G221)</f>
        <v/>
      </c>
      <c r="H186" s="3">
        <f>IF('3b-d Exposures'!I221="",0,'3b-d Exposures'!I221)</f>
        <v/>
      </c>
      <c r="I186" s="3">
        <f>IF('3b-d Exposures'!K221="",0,'3b-d Exposures'!K221)</f>
        <v/>
      </c>
      <c r="J186" s="3">
        <f>IF('3b-d Exposures'!M221="",0,'3b-d Exposures'!M221)</f>
        <v/>
      </c>
      <c r="K186" s="3">
        <f>IF('3b-d Exposures'!O221="",0,'3b-d Exposures'!O221)</f>
        <v/>
      </c>
      <c r="L186" s="3">
        <f>IF('3b-d Exposures'!Q221="",0,'3b-d Exposures'!Q221)</f>
        <v/>
      </c>
      <c r="M186" s="3">
        <f>IF('3b-d Exposures'!S221="",0,'3b-d Exposures'!S221)</f>
        <v/>
      </c>
      <c r="N186" s="3">
        <f>IF('3b-d Exposures'!Z221="",0,'3b-d Exposures'!Z221)</f>
        <v/>
      </c>
      <c r="O186" s="3">
        <f>$D186</f>
        <v/>
      </c>
      <c r="P186" s="3">
        <f>E186*$D186</f>
        <v/>
      </c>
      <c r="Q186" s="3">
        <f>F186*$D186</f>
        <v/>
      </c>
      <c r="R186" s="3">
        <f>G186*$D186</f>
        <v/>
      </c>
      <c r="S186" s="3">
        <f>H186*$D186</f>
        <v/>
      </c>
      <c r="T186" s="3">
        <f>I186*$D186</f>
        <v/>
      </c>
      <c r="U186" s="3">
        <f>J186*$D186</f>
        <v/>
      </c>
      <c r="V186" s="3">
        <f>K186*$D186</f>
        <v/>
      </c>
      <c r="W186" s="3">
        <f>L186*$D186</f>
        <v/>
      </c>
      <c r="X186" s="3">
        <f>M186*$D186</f>
        <v/>
      </c>
      <c r="Y186" s="3">
        <f>N186*$D186</f>
        <v/>
      </c>
      <c r="Z186" s="3">
        <f>C186*$D186</f>
        <v/>
      </c>
      <c r="AA186" s="9">
        <f>$L978+$K978*E186+$J978*F186+$I978*G186+$H978*H186+$G978*I186+$F978*J186+$E978*K186+$D978*L186+$C978*M186+$B978*N186</f>
        <v/>
      </c>
      <c r="AB186" s="9">
        <f>C186-AA186</f>
        <v/>
      </c>
      <c r="AC186" s="4">
        <f>AB186^2</f>
        <v/>
      </c>
    </row>
    <row r="187">
      <c r="A187" t="inlineStr">
        <is>
          <t>BBG000VPGNR2</t>
        </is>
      </c>
      <c r="B187" t="inlineStr">
        <is>
          <t>chtr</t>
        </is>
      </c>
      <c r="C187" s="9" t="n">
        <v>-0.00639848990379932</v>
      </c>
      <c r="D187" s="3">
        <f>EXP(0.25*'3b-d Exposures'!G222)</f>
        <v/>
      </c>
      <c r="E187" s="3">
        <f>IF('3b-d Exposures'!C222="",0,'3b-d Exposures'!C222)</f>
        <v/>
      </c>
      <c r="F187" s="3">
        <f>IF('3b-d Exposures'!E222="",0,'3b-d Exposures'!E222)</f>
        <v/>
      </c>
      <c r="G187" s="3">
        <f>IF('3b-d Exposures'!G222="",0,'3b-d Exposures'!G222)</f>
        <v/>
      </c>
      <c r="H187" s="3">
        <f>IF('3b-d Exposures'!I222="",0,'3b-d Exposures'!I222)</f>
        <v/>
      </c>
      <c r="I187" s="3">
        <f>IF('3b-d Exposures'!K222="",0,'3b-d Exposures'!K222)</f>
        <v/>
      </c>
      <c r="J187" s="3">
        <f>IF('3b-d Exposures'!M222="",0,'3b-d Exposures'!M222)</f>
        <v/>
      </c>
      <c r="K187" s="3">
        <f>IF('3b-d Exposures'!O222="",0,'3b-d Exposures'!O222)</f>
        <v/>
      </c>
      <c r="L187" s="3">
        <f>IF('3b-d Exposures'!Q222="",0,'3b-d Exposures'!Q222)</f>
        <v/>
      </c>
      <c r="M187" s="3">
        <f>IF('3b-d Exposures'!S222="",0,'3b-d Exposures'!S222)</f>
        <v/>
      </c>
      <c r="N187" s="3">
        <f>IF('3b-d Exposures'!Z222="",0,'3b-d Exposures'!Z222)</f>
        <v/>
      </c>
      <c r="O187" s="3">
        <f>$D187</f>
        <v/>
      </c>
      <c r="P187" s="3">
        <f>E187*$D187</f>
        <v/>
      </c>
      <c r="Q187" s="3">
        <f>F187*$D187</f>
        <v/>
      </c>
      <c r="R187" s="3">
        <f>G187*$D187</f>
        <v/>
      </c>
      <c r="S187" s="3">
        <f>H187*$D187</f>
        <v/>
      </c>
      <c r="T187" s="3">
        <f>I187*$D187</f>
        <v/>
      </c>
      <c r="U187" s="3">
        <f>J187*$D187</f>
        <v/>
      </c>
      <c r="V187" s="3">
        <f>K187*$D187</f>
        <v/>
      </c>
      <c r="W187" s="3">
        <f>L187*$D187</f>
        <v/>
      </c>
      <c r="X187" s="3">
        <f>M187*$D187</f>
        <v/>
      </c>
      <c r="Y187" s="3">
        <f>N187*$D187</f>
        <v/>
      </c>
      <c r="Z187" s="3">
        <f>C187*$D187</f>
        <v/>
      </c>
      <c r="AA187" s="9">
        <f>$L978+$K978*E187+$J978*F187+$I978*G187+$H978*H187+$G978*I187+$F978*J187+$E978*K187+$D978*L187+$C978*M187+$B978*N187</f>
        <v/>
      </c>
      <c r="AB187" s="9">
        <f>C187-AA187</f>
        <v/>
      </c>
      <c r="AC187" s="4">
        <f>AB187^2</f>
        <v/>
      </c>
    </row>
    <row r="188">
      <c r="A188" t="inlineStr">
        <is>
          <t>BBG00P19DKZ6</t>
        </is>
      </c>
      <c r="B188" t="inlineStr">
        <is>
          <t>chwy</t>
        </is>
      </c>
      <c r="C188" s="9" t="n">
        <v>0.006584891401014703</v>
      </c>
      <c r="D188" s="3">
        <f>EXP(0.25*'3b-d Exposures'!G223)</f>
        <v/>
      </c>
      <c r="E188" s="3">
        <f>IF('3b-d Exposures'!C223="",0,'3b-d Exposures'!C223)</f>
        <v/>
      </c>
      <c r="F188" s="3">
        <f>IF('3b-d Exposures'!E223="",0,'3b-d Exposures'!E223)</f>
        <v/>
      </c>
      <c r="G188" s="3">
        <f>IF('3b-d Exposures'!G223="",0,'3b-d Exposures'!G223)</f>
        <v/>
      </c>
      <c r="H188" s="3">
        <f>IF('3b-d Exposures'!I223="",0,'3b-d Exposures'!I223)</f>
        <v/>
      </c>
      <c r="I188" s="3">
        <f>IF('3b-d Exposures'!K223="",0,'3b-d Exposures'!K223)</f>
        <v/>
      </c>
      <c r="J188" s="3">
        <f>IF('3b-d Exposures'!M223="",0,'3b-d Exposures'!M223)</f>
        <v/>
      </c>
      <c r="K188" s="3">
        <f>IF('3b-d Exposures'!O223="",0,'3b-d Exposures'!O223)</f>
        <v/>
      </c>
      <c r="L188" s="3">
        <f>IF('3b-d Exposures'!Q223="",0,'3b-d Exposures'!Q223)</f>
        <v/>
      </c>
      <c r="M188" s="3">
        <f>IF('3b-d Exposures'!S223="",0,'3b-d Exposures'!S223)</f>
        <v/>
      </c>
      <c r="N188" s="3">
        <f>IF('3b-d Exposures'!Z223="",0,'3b-d Exposures'!Z223)</f>
        <v/>
      </c>
      <c r="O188" s="3">
        <f>$D188</f>
        <v/>
      </c>
      <c r="P188" s="3">
        <f>E188*$D188</f>
        <v/>
      </c>
      <c r="Q188" s="3">
        <f>F188*$D188</f>
        <v/>
      </c>
      <c r="R188" s="3">
        <f>G188*$D188</f>
        <v/>
      </c>
      <c r="S188" s="3">
        <f>H188*$D188</f>
        <v/>
      </c>
      <c r="T188" s="3">
        <f>I188*$D188</f>
        <v/>
      </c>
      <c r="U188" s="3">
        <f>J188*$D188</f>
        <v/>
      </c>
      <c r="V188" s="3">
        <f>K188*$D188</f>
        <v/>
      </c>
      <c r="W188" s="3">
        <f>L188*$D188</f>
        <v/>
      </c>
      <c r="X188" s="3">
        <f>M188*$D188</f>
        <v/>
      </c>
      <c r="Y188" s="3">
        <f>N188*$D188</f>
        <v/>
      </c>
      <c r="Z188" s="3">
        <f>C188*$D188</f>
        <v/>
      </c>
      <c r="AA188" s="9">
        <f>$L978+$K978*E188+$J978*F188+$I978*G188+$H978*H188+$G978*I188+$F978*J188+$E978*K188+$D978*L188+$C978*M188+$B978*N188</f>
        <v/>
      </c>
      <c r="AB188" s="9">
        <f>C188-AA188</f>
        <v/>
      </c>
      <c r="AC188" s="4">
        <f>AB188^2</f>
        <v/>
      </c>
    </row>
    <row r="189">
      <c r="A189" t="inlineStr">
        <is>
          <t>BBG00KXRCDP0</t>
        </is>
      </c>
      <c r="B189" t="inlineStr">
        <is>
          <t>ci</t>
        </is>
      </c>
      <c r="C189" s="9" t="n">
        <v>-0.002190700907245713</v>
      </c>
      <c r="D189" s="3">
        <f>EXP(0.25*'3b-d Exposures'!G225)</f>
        <v/>
      </c>
      <c r="E189" s="3">
        <f>IF('3b-d Exposures'!C225="",0,'3b-d Exposures'!C225)</f>
        <v/>
      </c>
      <c r="F189" s="3">
        <f>IF('3b-d Exposures'!E225="",0,'3b-d Exposures'!E225)</f>
        <v/>
      </c>
      <c r="G189" s="3">
        <f>IF('3b-d Exposures'!G225="",0,'3b-d Exposures'!G225)</f>
        <v/>
      </c>
      <c r="H189" s="3">
        <f>IF('3b-d Exposures'!I225="",0,'3b-d Exposures'!I225)</f>
        <v/>
      </c>
      <c r="I189" s="3">
        <f>IF('3b-d Exposures'!K225="",0,'3b-d Exposures'!K225)</f>
        <v/>
      </c>
      <c r="J189" s="3">
        <f>IF('3b-d Exposures'!M225="",0,'3b-d Exposures'!M225)</f>
        <v/>
      </c>
      <c r="K189" s="3">
        <f>IF('3b-d Exposures'!O225="",0,'3b-d Exposures'!O225)</f>
        <v/>
      </c>
      <c r="L189" s="3">
        <f>IF('3b-d Exposures'!Q225="",0,'3b-d Exposures'!Q225)</f>
        <v/>
      </c>
      <c r="M189" s="3">
        <f>IF('3b-d Exposures'!S225="",0,'3b-d Exposures'!S225)</f>
        <v/>
      </c>
      <c r="N189" s="3">
        <f>IF('3b-d Exposures'!Z225="",0,'3b-d Exposures'!Z225)</f>
        <v/>
      </c>
      <c r="O189" s="3">
        <f>$D189</f>
        <v/>
      </c>
      <c r="P189" s="3">
        <f>E189*$D189</f>
        <v/>
      </c>
      <c r="Q189" s="3">
        <f>F189*$D189</f>
        <v/>
      </c>
      <c r="R189" s="3">
        <f>G189*$D189</f>
        <v/>
      </c>
      <c r="S189" s="3">
        <f>H189*$D189</f>
        <v/>
      </c>
      <c r="T189" s="3">
        <f>I189*$D189</f>
        <v/>
      </c>
      <c r="U189" s="3">
        <f>J189*$D189</f>
        <v/>
      </c>
      <c r="V189" s="3">
        <f>K189*$D189</f>
        <v/>
      </c>
      <c r="W189" s="3">
        <f>L189*$D189</f>
        <v/>
      </c>
      <c r="X189" s="3">
        <f>M189*$D189</f>
        <v/>
      </c>
      <c r="Y189" s="3">
        <f>N189*$D189</f>
        <v/>
      </c>
      <c r="Z189" s="3">
        <f>C189*$D189</f>
        <v/>
      </c>
      <c r="AA189" s="9">
        <f>$L978+$K978*E189+$J978*F189+$I978*G189+$H978*H189+$G978*I189+$F978*J189+$E978*K189+$D978*L189+$C978*M189+$B978*N189</f>
        <v/>
      </c>
      <c r="AB189" s="9">
        <f>C189-AA189</f>
        <v/>
      </c>
      <c r="AC189" s="4">
        <f>AB189^2</f>
        <v/>
      </c>
    </row>
    <row r="190">
      <c r="A190" t="inlineStr">
        <is>
          <t>BBG000BP1152</t>
        </is>
      </c>
      <c r="B190" t="inlineStr">
        <is>
          <t>cien</t>
        </is>
      </c>
      <c r="C190" s="9" t="n">
        <v>-0.002868682933661937</v>
      </c>
      <c r="D190" s="3">
        <f>EXP(0.25*'3b-d Exposures'!G226)</f>
        <v/>
      </c>
      <c r="E190" s="3">
        <f>IF('3b-d Exposures'!C226="",0,'3b-d Exposures'!C226)</f>
        <v/>
      </c>
      <c r="F190" s="3">
        <f>IF('3b-d Exposures'!E226="",0,'3b-d Exposures'!E226)</f>
        <v/>
      </c>
      <c r="G190" s="3">
        <f>IF('3b-d Exposures'!G226="",0,'3b-d Exposures'!G226)</f>
        <v/>
      </c>
      <c r="H190" s="3">
        <f>IF('3b-d Exposures'!I226="",0,'3b-d Exposures'!I226)</f>
        <v/>
      </c>
      <c r="I190" s="3">
        <f>IF('3b-d Exposures'!K226="",0,'3b-d Exposures'!K226)</f>
        <v/>
      </c>
      <c r="J190" s="3">
        <f>IF('3b-d Exposures'!M226="",0,'3b-d Exposures'!M226)</f>
        <v/>
      </c>
      <c r="K190" s="3">
        <f>IF('3b-d Exposures'!O226="",0,'3b-d Exposures'!O226)</f>
        <v/>
      </c>
      <c r="L190" s="3">
        <f>IF('3b-d Exposures'!Q226="",0,'3b-d Exposures'!Q226)</f>
        <v/>
      </c>
      <c r="M190" s="3">
        <f>IF('3b-d Exposures'!S226="",0,'3b-d Exposures'!S226)</f>
        <v/>
      </c>
      <c r="N190" s="3">
        <f>IF('3b-d Exposures'!Z226="",0,'3b-d Exposures'!Z226)</f>
        <v/>
      </c>
      <c r="O190" s="3">
        <f>$D190</f>
        <v/>
      </c>
      <c r="P190" s="3">
        <f>E190*$D190</f>
        <v/>
      </c>
      <c r="Q190" s="3">
        <f>F190*$D190</f>
        <v/>
      </c>
      <c r="R190" s="3">
        <f>G190*$D190</f>
        <v/>
      </c>
      <c r="S190" s="3">
        <f>H190*$D190</f>
        <v/>
      </c>
      <c r="T190" s="3">
        <f>I190*$D190</f>
        <v/>
      </c>
      <c r="U190" s="3">
        <f>J190*$D190</f>
        <v/>
      </c>
      <c r="V190" s="3">
        <f>K190*$D190</f>
        <v/>
      </c>
      <c r="W190" s="3">
        <f>L190*$D190</f>
        <v/>
      </c>
      <c r="X190" s="3">
        <f>M190*$D190</f>
        <v/>
      </c>
      <c r="Y190" s="3">
        <f>N190*$D190</f>
        <v/>
      </c>
      <c r="Z190" s="3">
        <f>C190*$D190</f>
        <v/>
      </c>
      <c r="AA190" s="9">
        <f>$L978+$K978*E190+$J978*F190+$I978*G190+$H978*H190+$G978*I190+$F978*J190+$E978*K190+$D978*L190+$C978*M190+$B978*N190</f>
        <v/>
      </c>
      <c r="AB190" s="9">
        <f>C190-AA190</f>
        <v/>
      </c>
      <c r="AC190" s="4">
        <f>AB190^2</f>
        <v/>
      </c>
    </row>
    <row r="191">
      <c r="A191" t="inlineStr">
        <is>
          <t>BBG00XYHY0K2</t>
        </is>
      </c>
      <c r="B191" t="inlineStr">
        <is>
          <t>cifr</t>
        </is>
      </c>
      <c r="C191" s="9" t="n">
        <v>-0.05970143730110733</v>
      </c>
      <c r="D191" s="3">
        <f>EXP(0.25*'3b-d Exposures'!G227)</f>
        <v/>
      </c>
      <c r="E191" s="3">
        <f>IF('3b-d Exposures'!C227="",0,'3b-d Exposures'!C227)</f>
        <v/>
      </c>
      <c r="F191" s="3">
        <f>IF('3b-d Exposures'!E227="",0,'3b-d Exposures'!E227)</f>
        <v/>
      </c>
      <c r="G191" s="3">
        <f>IF('3b-d Exposures'!G227="",0,'3b-d Exposures'!G227)</f>
        <v/>
      </c>
      <c r="H191" s="3">
        <f>IF('3b-d Exposures'!I227="",0,'3b-d Exposures'!I227)</f>
        <v/>
      </c>
      <c r="I191" s="3">
        <f>IF('3b-d Exposures'!K227="",0,'3b-d Exposures'!K227)</f>
        <v/>
      </c>
      <c r="J191" s="3">
        <f>IF('3b-d Exposures'!M227="",0,'3b-d Exposures'!M227)</f>
        <v/>
      </c>
      <c r="K191" s="3">
        <f>IF('3b-d Exposures'!O227="",0,'3b-d Exposures'!O227)</f>
        <v/>
      </c>
      <c r="L191" s="3">
        <f>IF('3b-d Exposures'!Q227="",0,'3b-d Exposures'!Q227)</f>
        <v/>
      </c>
      <c r="M191" s="3">
        <f>IF('3b-d Exposures'!S227="",0,'3b-d Exposures'!S227)</f>
        <v/>
      </c>
      <c r="N191" s="3">
        <f>IF('3b-d Exposures'!Z227="",0,'3b-d Exposures'!Z227)</f>
        <v/>
      </c>
      <c r="O191" s="3">
        <f>$D191</f>
        <v/>
      </c>
      <c r="P191" s="3">
        <f>E191*$D191</f>
        <v/>
      </c>
      <c r="Q191" s="3">
        <f>F191*$D191</f>
        <v/>
      </c>
      <c r="R191" s="3">
        <f>G191*$D191</f>
        <v/>
      </c>
      <c r="S191" s="3">
        <f>H191*$D191</f>
        <v/>
      </c>
      <c r="T191" s="3">
        <f>I191*$D191</f>
        <v/>
      </c>
      <c r="U191" s="3">
        <f>J191*$D191</f>
        <v/>
      </c>
      <c r="V191" s="3">
        <f>K191*$D191</f>
        <v/>
      </c>
      <c r="W191" s="3">
        <f>L191*$D191</f>
        <v/>
      </c>
      <c r="X191" s="3">
        <f>M191*$D191</f>
        <v/>
      </c>
      <c r="Y191" s="3">
        <f>N191*$D191</f>
        <v/>
      </c>
      <c r="Z191" s="3">
        <f>C191*$D191</f>
        <v/>
      </c>
      <c r="AA191" s="9">
        <f>$L978+$K978*E191+$J978*F191+$I978*G191+$H978*H191+$G978*I191+$F978*J191+$E978*K191+$D978*L191+$C978*M191+$B978*N191</f>
        <v/>
      </c>
      <c r="AB191" s="9">
        <f>C191-AA191</f>
        <v/>
      </c>
      <c r="AC191" s="4">
        <f>AB191^2</f>
        <v/>
      </c>
    </row>
    <row r="192">
      <c r="A192" t="inlineStr">
        <is>
          <t>cinf</t>
        </is>
      </c>
      <c r="B192" t="inlineStr">
        <is>
          <t>cinf</t>
        </is>
      </c>
      <c r="C192" s="9" t="n">
        <v>-0.01407742082482077</v>
      </c>
      <c r="D192" s="3">
        <f>EXP(0.25*'3b-d Exposures'!G228)</f>
        <v/>
      </c>
      <c r="E192" s="3">
        <f>IF('3b-d Exposures'!C228="",0,'3b-d Exposures'!C228)</f>
        <v/>
      </c>
      <c r="F192" s="3">
        <f>IF('3b-d Exposures'!E228="",0,'3b-d Exposures'!E228)</f>
        <v/>
      </c>
      <c r="G192" s="3">
        <f>IF('3b-d Exposures'!G228="",0,'3b-d Exposures'!G228)</f>
        <v/>
      </c>
      <c r="H192" s="3">
        <f>IF('3b-d Exposures'!I228="",0,'3b-d Exposures'!I228)</f>
        <v/>
      </c>
      <c r="I192" s="3">
        <f>IF('3b-d Exposures'!K228="",0,'3b-d Exposures'!K228)</f>
        <v/>
      </c>
      <c r="J192" s="3">
        <f>IF('3b-d Exposures'!M228="",0,'3b-d Exposures'!M228)</f>
        <v/>
      </c>
      <c r="K192" s="3">
        <f>IF('3b-d Exposures'!O228="",0,'3b-d Exposures'!O228)</f>
        <v/>
      </c>
      <c r="L192" s="3">
        <f>IF('3b-d Exposures'!Q228="",0,'3b-d Exposures'!Q228)</f>
        <v/>
      </c>
      <c r="M192" s="3">
        <f>IF('3b-d Exposures'!S228="",0,'3b-d Exposures'!S228)</f>
        <v/>
      </c>
      <c r="N192" s="3">
        <f>IF('3b-d Exposures'!Z228="",0,'3b-d Exposures'!Z228)</f>
        <v/>
      </c>
      <c r="O192" s="3">
        <f>$D192</f>
        <v/>
      </c>
      <c r="P192" s="3">
        <f>E192*$D192</f>
        <v/>
      </c>
      <c r="Q192" s="3">
        <f>F192*$D192</f>
        <v/>
      </c>
      <c r="R192" s="3">
        <f>G192*$D192</f>
        <v/>
      </c>
      <c r="S192" s="3">
        <f>H192*$D192</f>
        <v/>
      </c>
      <c r="T192" s="3">
        <f>I192*$D192</f>
        <v/>
      </c>
      <c r="U192" s="3">
        <f>J192*$D192</f>
        <v/>
      </c>
      <c r="V192" s="3">
        <f>K192*$D192</f>
        <v/>
      </c>
      <c r="W192" s="3">
        <f>L192*$D192</f>
        <v/>
      </c>
      <c r="X192" s="3">
        <f>M192*$D192</f>
        <v/>
      </c>
      <c r="Y192" s="3">
        <f>N192*$D192</f>
        <v/>
      </c>
      <c r="Z192" s="3">
        <f>C192*$D192</f>
        <v/>
      </c>
      <c r="AA192" s="9">
        <f>$L978+$K978*E192+$J978*F192+$I978*G192+$H978*H192+$G978*I192+$F978*J192+$E978*K192+$D978*L192+$C978*M192+$B978*N192</f>
        <v/>
      </c>
      <c r="AB192" s="9">
        <f>C192-AA192</f>
        <v/>
      </c>
      <c r="AC192" s="4">
        <f>AB192^2</f>
        <v/>
      </c>
    </row>
    <row r="193">
      <c r="A193" t="inlineStr">
        <is>
          <t>BBG000BFQYY3</t>
        </is>
      </c>
      <c r="B193" t="inlineStr">
        <is>
          <t>cl</t>
        </is>
      </c>
      <c r="C193" s="9" t="n">
        <v>0.004967379417965656</v>
      </c>
      <c r="D193" s="3">
        <f>EXP(0.25*'3b-d Exposures'!G229)</f>
        <v/>
      </c>
      <c r="E193" s="3">
        <f>IF('3b-d Exposures'!C229="",0,'3b-d Exposures'!C229)</f>
        <v/>
      </c>
      <c r="F193" s="3">
        <f>IF('3b-d Exposures'!E229="",0,'3b-d Exposures'!E229)</f>
        <v/>
      </c>
      <c r="G193" s="3">
        <f>IF('3b-d Exposures'!G229="",0,'3b-d Exposures'!G229)</f>
        <v/>
      </c>
      <c r="H193" s="3">
        <f>IF('3b-d Exposures'!I229="",0,'3b-d Exposures'!I229)</f>
        <v/>
      </c>
      <c r="I193" s="3">
        <f>IF('3b-d Exposures'!K229="",0,'3b-d Exposures'!K229)</f>
        <v/>
      </c>
      <c r="J193" s="3">
        <f>IF('3b-d Exposures'!M229="",0,'3b-d Exposures'!M229)</f>
        <v/>
      </c>
      <c r="K193" s="3">
        <f>IF('3b-d Exposures'!O229="",0,'3b-d Exposures'!O229)</f>
        <v/>
      </c>
      <c r="L193" s="3">
        <f>IF('3b-d Exposures'!Q229="",0,'3b-d Exposures'!Q229)</f>
        <v/>
      </c>
      <c r="M193" s="3">
        <f>IF('3b-d Exposures'!S229="",0,'3b-d Exposures'!S229)</f>
        <v/>
      </c>
      <c r="N193" s="3">
        <f>IF('3b-d Exposures'!Z229="",0,'3b-d Exposures'!Z229)</f>
        <v/>
      </c>
      <c r="O193" s="3">
        <f>$D193</f>
        <v/>
      </c>
      <c r="P193" s="3">
        <f>E193*$D193</f>
        <v/>
      </c>
      <c r="Q193" s="3">
        <f>F193*$D193</f>
        <v/>
      </c>
      <c r="R193" s="3">
        <f>G193*$D193</f>
        <v/>
      </c>
      <c r="S193" s="3">
        <f>H193*$D193</f>
        <v/>
      </c>
      <c r="T193" s="3">
        <f>I193*$D193</f>
        <v/>
      </c>
      <c r="U193" s="3">
        <f>J193*$D193</f>
        <v/>
      </c>
      <c r="V193" s="3">
        <f>K193*$D193</f>
        <v/>
      </c>
      <c r="W193" s="3">
        <f>L193*$D193</f>
        <v/>
      </c>
      <c r="X193" s="3">
        <f>M193*$D193</f>
        <v/>
      </c>
      <c r="Y193" s="3">
        <f>N193*$D193</f>
        <v/>
      </c>
      <c r="Z193" s="3">
        <f>C193*$D193</f>
        <v/>
      </c>
      <c r="AA193" s="9">
        <f>$L978+$K978*E193+$J978*F193+$I978*G193+$H978*H193+$G978*I193+$F978*J193+$E978*K193+$D978*L193+$C978*M193+$B978*N193</f>
        <v/>
      </c>
      <c r="AB193" s="9">
        <f>C193-AA193</f>
        <v/>
      </c>
      <c r="AC193" s="4">
        <f>AB193^2</f>
        <v/>
      </c>
    </row>
    <row r="194">
      <c r="A194" t="inlineStr">
        <is>
          <t>BBG000PT6BR8</t>
        </is>
      </c>
      <c r="B194" t="inlineStr">
        <is>
          <t>cldt</t>
        </is>
      </c>
      <c r="C194" s="9" t="n">
        <v>-0.001085905993061465</v>
      </c>
      <c r="D194" s="3">
        <f>EXP(0.25*'3b-d Exposures'!G230)</f>
        <v/>
      </c>
      <c r="E194" s="3">
        <f>IF('3b-d Exposures'!C230="",0,'3b-d Exposures'!C230)</f>
        <v/>
      </c>
      <c r="F194" s="3">
        <f>IF('3b-d Exposures'!E230="",0,'3b-d Exposures'!E230)</f>
        <v/>
      </c>
      <c r="G194" s="3">
        <f>IF('3b-d Exposures'!G230="",0,'3b-d Exposures'!G230)</f>
        <v/>
      </c>
      <c r="H194" s="3">
        <f>IF('3b-d Exposures'!I230="",0,'3b-d Exposures'!I230)</f>
        <v/>
      </c>
      <c r="I194" s="3">
        <f>IF('3b-d Exposures'!K230="",0,'3b-d Exposures'!K230)</f>
        <v/>
      </c>
      <c r="J194" s="3">
        <f>IF('3b-d Exposures'!M230="",0,'3b-d Exposures'!M230)</f>
        <v/>
      </c>
      <c r="K194" s="3">
        <f>IF('3b-d Exposures'!O230="",0,'3b-d Exposures'!O230)</f>
        <v/>
      </c>
      <c r="L194" s="3">
        <f>IF('3b-d Exposures'!Q230="",0,'3b-d Exposures'!Q230)</f>
        <v/>
      </c>
      <c r="M194" s="3">
        <f>IF('3b-d Exposures'!S230="",0,'3b-d Exposures'!S230)</f>
        <v/>
      </c>
      <c r="N194" s="3">
        <f>IF('3b-d Exposures'!Z230="",0,'3b-d Exposures'!Z230)</f>
        <v/>
      </c>
      <c r="O194" s="3">
        <f>$D194</f>
        <v/>
      </c>
      <c r="P194" s="3">
        <f>E194*$D194</f>
        <v/>
      </c>
      <c r="Q194" s="3">
        <f>F194*$D194</f>
        <v/>
      </c>
      <c r="R194" s="3">
        <f>G194*$D194</f>
        <v/>
      </c>
      <c r="S194" s="3">
        <f>H194*$D194</f>
        <v/>
      </c>
      <c r="T194" s="3">
        <f>I194*$D194</f>
        <v/>
      </c>
      <c r="U194" s="3">
        <f>J194*$D194</f>
        <v/>
      </c>
      <c r="V194" s="3">
        <f>K194*$D194</f>
        <v/>
      </c>
      <c r="W194" s="3">
        <f>L194*$D194</f>
        <v/>
      </c>
      <c r="X194" s="3">
        <f>M194*$D194</f>
        <v/>
      </c>
      <c r="Y194" s="3">
        <f>N194*$D194</f>
        <v/>
      </c>
      <c r="Z194" s="3">
        <f>C194*$D194</f>
        <v/>
      </c>
      <c r="AA194" s="9">
        <f>$L978+$K978*E194+$J978*F194+$I978*G194+$H978*H194+$G978*I194+$F978*J194+$E978*K194+$D978*L194+$C978*M194+$B978*N194</f>
        <v/>
      </c>
      <c r="AB194" s="9">
        <f>C194-AA194</f>
        <v/>
      </c>
      <c r="AC194" s="4">
        <f>AB194^2</f>
        <v/>
      </c>
    </row>
    <row r="195">
      <c r="A195" t="inlineStr">
        <is>
          <t>BBG000BC35R6</t>
        </is>
      </c>
      <c r="B195" t="inlineStr">
        <is>
          <t>clfd</t>
        </is>
      </c>
      <c r="C195" s="9" t="n">
        <v>0.02189542705691183</v>
      </c>
      <c r="D195" s="3">
        <f>EXP(0.25*'3b-d Exposures'!G231)</f>
        <v/>
      </c>
      <c r="E195" s="3">
        <f>IF('3b-d Exposures'!C231="",0,'3b-d Exposures'!C231)</f>
        <v/>
      </c>
      <c r="F195" s="3">
        <f>IF('3b-d Exposures'!E231="",0,'3b-d Exposures'!E231)</f>
        <v/>
      </c>
      <c r="G195" s="3">
        <f>IF('3b-d Exposures'!G231="",0,'3b-d Exposures'!G231)</f>
        <v/>
      </c>
      <c r="H195" s="3">
        <f>IF('3b-d Exposures'!I231="",0,'3b-d Exposures'!I231)</f>
        <v/>
      </c>
      <c r="I195" s="3">
        <f>IF('3b-d Exposures'!K231="",0,'3b-d Exposures'!K231)</f>
        <v/>
      </c>
      <c r="J195" s="3">
        <f>IF('3b-d Exposures'!M231="",0,'3b-d Exposures'!M231)</f>
        <v/>
      </c>
      <c r="K195" s="3">
        <f>IF('3b-d Exposures'!O231="",0,'3b-d Exposures'!O231)</f>
        <v/>
      </c>
      <c r="L195" s="3">
        <f>IF('3b-d Exposures'!Q231="",0,'3b-d Exposures'!Q231)</f>
        <v/>
      </c>
      <c r="M195" s="3">
        <f>IF('3b-d Exposures'!S231="",0,'3b-d Exposures'!S231)</f>
        <v/>
      </c>
      <c r="N195" s="3">
        <f>IF('3b-d Exposures'!Z231="",0,'3b-d Exposures'!Z231)</f>
        <v/>
      </c>
      <c r="O195" s="3">
        <f>$D195</f>
        <v/>
      </c>
      <c r="P195" s="3">
        <f>E195*$D195</f>
        <v/>
      </c>
      <c r="Q195" s="3">
        <f>F195*$D195</f>
        <v/>
      </c>
      <c r="R195" s="3">
        <f>G195*$D195</f>
        <v/>
      </c>
      <c r="S195" s="3">
        <f>H195*$D195</f>
        <v/>
      </c>
      <c r="T195" s="3">
        <f>I195*$D195</f>
        <v/>
      </c>
      <c r="U195" s="3">
        <f>J195*$D195</f>
        <v/>
      </c>
      <c r="V195" s="3">
        <f>K195*$D195</f>
        <v/>
      </c>
      <c r="W195" s="3">
        <f>L195*$D195</f>
        <v/>
      </c>
      <c r="X195" s="3">
        <f>M195*$D195</f>
        <v/>
      </c>
      <c r="Y195" s="3">
        <f>N195*$D195</f>
        <v/>
      </c>
      <c r="Z195" s="3">
        <f>C195*$D195</f>
        <v/>
      </c>
      <c r="AA195" s="9">
        <f>$L978+$K978*E195+$J978*F195+$I978*G195+$H978*H195+$G978*I195+$F978*J195+$E978*K195+$D978*L195+$C978*M195+$B978*N195</f>
        <v/>
      </c>
      <c r="AB195" s="9">
        <f>C195-AA195</f>
        <v/>
      </c>
      <c r="AC195" s="4">
        <f>AB195^2</f>
        <v/>
      </c>
    </row>
    <row r="196">
      <c r="A196" t="inlineStr">
        <is>
          <t>BBG000BFS7D3</t>
        </is>
      </c>
      <c r="B196" t="inlineStr">
        <is>
          <t>clx</t>
        </is>
      </c>
      <c r="C196" s="9" t="n">
        <v>-0.003768516678985367</v>
      </c>
      <c r="D196" s="3">
        <f>EXP(0.25*'3b-d Exposures'!G232)</f>
        <v/>
      </c>
      <c r="E196" s="3">
        <f>IF('3b-d Exposures'!C232="",0,'3b-d Exposures'!C232)</f>
        <v/>
      </c>
      <c r="F196" s="3">
        <f>IF('3b-d Exposures'!E232="",0,'3b-d Exposures'!E232)</f>
        <v/>
      </c>
      <c r="G196" s="3">
        <f>IF('3b-d Exposures'!G232="",0,'3b-d Exposures'!G232)</f>
        <v/>
      </c>
      <c r="H196" s="3">
        <f>IF('3b-d Exposures'!I232="",0,'3b-d Exposures'!I232)</f>
        <v/>
      </c>
      <c r="I196" s="3">
        <f>IF('3b-d Exposures'!K232="",0,'3b-d Exposures'!K232)</f>
        <v/>
      </c>
      <c r="J196" s="3">
        <f>IF('3b-d Exposures'!M232="",0,'3b-d Exposures'!M232)</f>
        <v/>
      </c>
      <c r="K196" s="3">
        <f>IF('3b-d Exposures'!O232="",0,'3b-d Exposures'!O232)</f>
        <v/>
      </c>
      <c r="L196" s="3">
        <f>IF('3b-d Exposures'!Q232="",0,'3b-d Exposures'!Q232)</f>
        <v/>
      </c>
      <c r="M196" s="3">
        <f>IF('3b-d Exposures'!S232="",0,'3b-d Exposures'!S232)</f>
        <v/>
      </c>
      <c r="N196" s="3">
        <f>IF('3b-d Exposures'!Z232="",0,'3b-d Exposures'!Z232)</f>
        <v/>
      </c>
      <c r="O196" s="3">
        <f>$D196</f>
        <v/>
      </c>
      <c r="P196" s="3">
        <f>E196*$D196</f>
        <v/>
      </c>
      <c r="Q196" s="3">
        <f>F196*$D196</f>
        <v/>
      </c>
      <c r="R196" s="3">
        <f>G196*$D196</f>
        <v/>
      </c>
      <c r="S196" s="3">
        <f>H196*$D196</f>
        <v/>
      </c>
      <c r="T196" s="3">
        <f>I196*$D196</f>
        <v/>
      </c>
      <c r="U196" s="3">
        <f>J196*$D196</f>
        <v/>
      </c>
      <c r="V196" s="3">
        <f>K196*$D196</f>
        <v/>
      </c>
      <c r="W196" s="3">
        <f>L196*$D196</f>
        <v/>
      </c>
      <c r="X196" s="3">
        <f>M196*$D196</f>
        <v/>
      </c>
      <c r="Y196" s="3">
        <f>N196*$D196</f>
        <v/>
      </c>
      <c r="Z196" s="3">
        <f>C196*$D196</f>
        <v/>
      </c>
      <c r="AA196" s="9">
        <f>$L978+$K978*E196+$J978*F196+$I978*G196+$H978*H196+$G978*I196+$F978*J196+$E978*K196+$D978*L196+$C978*M196+$B978*N196</f>
        <v/>
      </c>
      <c r="AB196" s="9">
        <f>C196-AA196</f>
        <v/>
      </c>
      <c r="AC196" s="4">
        <f>AB196^2</f>
        <v/>
      </c>
    </row>
    <row r="197">
      <c r="A197" t="inlineStr">
        <is>
          <t>BBG000BFT2L4</t>
        </is>
      </c>
      <c r="B197" t="inlineStr">
        <is>
          <t>cmcsa</t>
        </is>
      </c>
      <c r="C197" s="9" t="n">
        <v>0.002315184855934405</v>
      </c>
      <c r="D197" s="3">
        <f>EXP(0.25*'3b-d Exposures'!G233)</f>
        <v/>
      </c>
      <c r="E197" s="3">
        <f>IF('3b-d Exposures'!C233="",0,'3b-d Exposures'!C233)</f>
        <v/>
      </c>
      <c r="F197" s="3">
        <f>IF('3b-d Exposures'!E233="",0,'3b-d Exposures'!E233)</f>
        <v/>
      </c>
      <c r="G197" s="3">
        <f>IF('3b-d Exposures'!G233="",0,'3b-d Exposures'!G233)</f>
        <v/>
      </c>
      <c r="H197" s="3">
        <f>IF('3b-d Exposures'!I233="",0,'3b-d Exposures'!I233)</f>
        <v/>
      </c>
      <c r="I197" s="3">
        <f>IF('3b-d Exposures'!K233="",0,'3b-d Exposures'!K233)</f>
        <v/>
      </c>
      <c r="J197" s="3">
        <f>IF('3b-d Exposures'!M233="",0,'3b-d Exposures'!M233)</f>
        <v/>
      </c>
      <c r="K197" s="3">
        <f>IF('3b-d Exposures'!O233="",0,'3b-d Exposures'!O233)</f>
        <v/>
      </c>
      <c r="L197" s="3">
        <f>IF('3b-d Exposures'!Q233="",0,'3b-d Exposures'!Q233)</f>
        <v/>
      </c>
      <c r="M197" s="3">
        <f>IF('3b-d Exposures'!S233="",0,'3b-d Exposures'!S233)</f>
        <v/>
      </c>
      <c r="N197" s="3">
        <f>IF('3b-d Exposures'!Z233="",0,'3b-d Exposures'!Z233)</f>
        <v/>
      </c>
      <c r="O197" s="3">
        <f>$D197</f>
        <v/>
      </c>
      <c r="P197" s="3">
        <f>E197*$D197</f>
        <v/>
      </c>
      <c r="Q197" s="3">
        <f>F197*$D197</f>
        <v/>
      </c>
      <c r="R197" s="3">
        <f>G197*$D197</f>
        <v/>
      </c>
      <c r="S197" s="3">
        <f>H197*$D197</f>
        <v/>
      </c>
      <c r="T197" s="3">
        <f>I197*$D197</f>
        <v/>
      </c>
      <c r="U197" s="3">
        <f>J197*$D197</f>
        <v/>
      </c>
      <c r="V197" s="3">
        <f>K197*$D197</f>
        <v/>
      </c>
      <c r="W197" s="3">
        <f>L197*$D197</f>
        <v/>
      </c>
      <c r="X197" s="3">
        <f>M197*$D197</f>
        <v/>
      </c>
      <c r="Y197" s="3">
        <f>N197*$D197</f>
        <v/>
      </c>
      <c r="Z197" s="3">
        <f>C197*$D197</f>
        <v/>
      </c>
      <c r="AA197" s="9">
        <f>$L978+$K978*E197+$J978*F197+$I978*G197+$H978*H197+$G978*I197+$F978*J197+$E978*K197+$D978*L197+$C978*M197+$B978*N197</f>
        <v/>
      </c>
      <c r="AB197" s="9">
        <f>C197-AA197</f>
        <v/>
      </c>
      <c r="AC197" s="4">
        <f>AB197^2</f>
        <v/>
      </c>
    </row>
    <row r="198">
      <c r="A198" t="inlineStr">
        <is>
          <t>BBG000BHLYP4</t>
        </is>
      </c>
      <c r="B198" t="inlineStr">
        <is>
          <t>cme</t>
        </is>
      </c>
      <c r="C198" s="9" t="n">
        <v>-0.01004202486896699</v>
      </c>
      <c r="D198" s="3">
        <f>EXP(0.25*'3b-d Exposures'!G234)</f>
        <v/>
      </c>
      <c r="E198" s="3">
        <f>IF('3b-d Exposures'!C234="",0,'3b-d Exposures'!C234)</f>
        <v/>
      </c>
      <c r="F198" s="3">
        <f>IF('3b-d Exposures'!E234="",0,'3b-d Exposures'!E234)</f>
        <v/>
      </c>
      <c r="G198" s="3">
        <f>IF('3b-d Exposures'!G234="",0,'3b-d Exposures'!G234)</f>
        <v/>
      </c>
      <c r="H198" s="3">
        <f>IF('3b-d Exposures'!I234="",0,'3b-d Exposures'!I234)</f>
        <v/>
      </c>
      <c r="I198" s="3">
        <f>IF('3b-d Exposures'!K234="",0,'3b-d Exposures'!K234)</f>
        <v/>
      </c>
      <c r="J198" s="3">
        <f>IF('3b-d Exposures'!M234="",0,'3b-d Exposures'!M234)</f>
        <v/>
      </c>
      <c r="K198" s="3">
        <f>IF('3b-d Exposures'!O234="",0,'3b-d Exposures'!O234)</f>
        <v/>
      </c>
      <c r="L198" s="3">
        <f>IF('3b-d Exposures'!Q234="",0,'3b-d Exposures'!Q234)</f>
        <v/>
      </c>
      <c r="M198" s="3">
        <f>IF('3b-d Exposures'!S234="",0,'3b-d Exposures'!S234)</f>
        <v/>
      </c>
      <c r="N198" s="3">
        <f>IF('3b-d Exposures'!Z234="",0,'3b-d Exposures'!Z234)</f>
        <v/>
      </c>
      <c r="O198" s="3">
        <f>$D198</f>
        <v/>
      </c>
      <c r="P198" s="3">
        <f>E198*$D198</f>
        <v/>
      </c>
      <c r="Q198" s="3">
        <f>F198*$D198</f>
        <v/>
      </c>
      <c r="R198" s="3">
        <f>G198*$D198</f>
        <v/>
      </c>
      <c r="S198" s="3">
        <f>H198*$D198</f>
        <v/>
      </c>
      <c r="T198" s="3">
        <f>I198*$D198</f>
        <v/>
      </c>
      <c r="U198" s="3">
        <f>J198*$D198</f>
        <v/>
      </c>
      <c r="V198" s="3">
        <f>K198*$D198</f>
        <v/>
      </c>
      <c r="W198" s="3">
        <f>L198*$D198</f>
        <v/>
      </c>
      <c r="X198" s="3">
        <f>M198*$D198</f>
        <v/>
      </c>
      <c r="Y198" s="3">
        <f>N198*$D198</f>
        <v/>
      </c>
      <c r="Z198" s="3">
        <f>C198*$D198</f>
        <v/>
      </c>
      <c r="AA198" s="9">
        <f>$L978+$K978*E198+$J978*F198+$I978*G198+$H978*H198+$G978*I198+$F978*J198+$E978*K198+$D978*L198+$C978*M198+$B978*N198</f>
        <v/>
      </c>
      <c r="AB198" s="9">
        <f>C198-AA198</f>
        <v/>
      </c>
      <c r="AC198" s="4">
        <f>AB198^2</f>
        <v/>
      </c>
    </row>
    <row r="199">
      <c r="A199" t="inlineStr">
        <is>
          <t>BBG000QX74T1</t>
        </is>
      </c>
      <c r="B199" t="inlineStr">
        <is>
          <t>cmg</t>
        </is>
      </c>
      <c r="C199" s="9" t="n">
        <v>-0.01592977137425644</v>
      </c>
      <c r="D199" s="3">
        <f>EXP(0.25*'3b-d Exposures'!G235)</f>
        <v/>
      </c>
      <c r="E199" s="3">
        <f>IF('3b-d Exposures'!C235="",0,'3b-d Exposures'!C235)</f>
        <v/>
      </c>
      <c r="F199" s="3">
        <f>IF('3b-d Exposures'!E235="",0,'3b-d Exposures'!E235)</f>
        <v/>
      </c>
      <c r="G199" s="3">
        <f>IF('3b-d Exposures'!G235="",0,'3b-d Exposures'!G235)</f>
        <v/>
      </c>
      <c r="H199" s="3">
        <f>IF('3b-d Exposures'!I235="",0,'3b-d Exposures'!I235)</f>
        <v/>
      </c>
      <c r="I199" s="3">
        <f>IF('3b-d Exposures'!K235="",0,'3b-d Exposures'!K235)</f>
        <v/>
      </c>
      <c r="J199" s="3">
        <f>IF('3b-d Exposures'!M235="",0,'3b-d Exposures'!M235)</f>
        <v/>
      </c>
      <c r="K199" s="3">
        <f>IF('3b-d Exposures'!O235="",0,'3b-d Exposures'!O235)</f>
        <v/>
      </c>
      <c r="L199" s="3">
        <f>IF('3b-d Exposures'!Q235="",0,'3b-d Exposures'!Q235)</f>
        <v/>
      </c>
      <c r="M199" s="3">
        <f>IF('3b-d Exposures'!S235="",0,'3b-d Exposures'!S235)</f>
        <v/>
      </c>
      <c r="N199" s="3">
        <f>IF('3b-d Exposures'!Z235="",0,'3b-d Exposures'!Z235)</f>
        <v/>
      </c>
      <c r="O199" s="3">
        <f>$D199</f>
        <v/>
      </c>
      <c r="P199" s="3">
        <f>E199*$D199</f>
        <v/>
      </c>
      <c r="Q199" s="3">
        <f>F199*$D199</f>
        <v/>
      </c>
      <c r="R199" s="3">
        <f>G199*$D199</f>
        <v/>
      </c>
      <c r="S199" s="3">
        <f>H199*$D199</f>
        <v/>
      </c>
      <c r="T199" s="3">
        <f>I199*$D199</f>
        <v/>
      </c>
      <c r="U199" s="3">
        <f>J199*$D199</f>
        <v/>
      </c>
      <c r="V199" s="3">
        <f>K199*$D199</f>
        <v/>
      </c>
      <c r="W199" s="3">
        <f>L199*$D199</f>
        <v/>
      </c>
      <c r="X199" s="3">
        <f>M199*$D199</f>
        <v/>
      </c>
      <c r="Y199" s="3">
        <f>N199*$D199</f>
        <v/>
      </c>
      <c r="Z199" s="3">
        <f>C199*$D199</f>
        <v/>
      </c>
      <c r="AA199" s="9">
        <f>$L978+$K978*E199+$J978*F199+$I978*G199+$H978*H199+$G978*I199+$F978*J199+$E978*K199+$D978*L199+$C978*M199+$B978*N199</f>
        <v/>
      </c>
      <c r="AB199" s="9">
        <f>C199-AA199</f>
        <v/>
      </c>
      <c r="AC199" s="4">
        <f>AB199^2</f>
        <v/>
      </c>
    </row>
    <row r="200">
      <c r="A200" t="inlineStr">
        <is>
          <t>cmi</t>
        </is>
      </c>
      <c r="B200" t="inlineStr">
        <is>
          <t>cmi</t>
        </is>
      </c>
      <c r="C200" s="9" t="n">
        <v>0.006025937294229511</v>
      </c>
      <c r="D200" s="3">
        <f>EXP(0.25*'3b-d Exposures'!G236)</f>
        <v/>
      </c>
      <c r="E200" s="3">
        <f>IF('3b-d Exposures'!C236="",0,'3b-d Exposures'!C236)</f>
        <v/>
      </c>
      <c r="F200" s="3">
        <f>IF('3b-d Exposures'!E236="",0,'3b-d Exposures'!E236)</f>
        <v/>
      </c>
      <c r="G200" s="3">
        <f>IF('3b-d Exposures'!G236="",0,'3b-d Exposures'!G236)</f>
        <v/>
      </c>
      <c r="H200" s="3">
        <f>IF('3b-d Exposures'!I236="",0,'3b-d Exposures'!I236)</f>
        <v/>
      </c>
      <c r="I200" s="3">
        <f>IF('3b-d Exposures'!K236="",0,'3b-d Exposures'!K236)</f>
        <v/>
      </c>
      <c r="J200" s="3">
        <f>IF('3b-d Exposures'!M236="",0,'3b-d Exposures'!M236)</f>
        <v/>
      </c>
      <c r="K200" s="3">
        <f>IF('3b-d Exposures'!O236="",0,'3b-d Exposures'!O236)</f>
        <v/>
      </c>
      <c r="L200" s="3">
        <f>IF('3b-d Exposures'!Q236="",0,'3b-d Exposures'!Q236)</f>
        <v/>
      </c>
      <c r="M200" s="3">
        <f>IF('3b-d Exposures'!S236="",0,'3b-d Exposures'!S236)</f>
        <v/>
      </c>
      <c r="N200" s="3">
        <f>IF('3b-d Exposures'!Z236="",0,'3b-d Exposures'!Z236)</f>
        <v/>
      </c>
      <c r="O200" s="3">
        <f>$D200</f>
        <v/>
      </c>
      <c r="P200" s="3">
        <f>E200*$D200</f>
        <v/>
      </c>
      <c r="Q200" s="3">
        <f>F200*$D200</f>
        <v/>
      </c>
      <c r="R200" s="3">
        <f>G200*$D200</f>
        <v/>
      </c>
      <c r="S200" s="3">
        <f>H200*$D200</f>
        <v/>
      </c>
      <c r="T200" s="3">
        <f>I200*$D200</f>
        <v/>
      </c>
      <c r="U200" s="3">
        <f>J200*$D200</f>
        <v/>
      </c>
      <c r="V200" s="3">
        <f>K200*$D200</f>
        <v/>
      </c>
      <c r="W200" s="3">
        <f>L200*$D200</f>
        <v/>
      </c>
      <c r="X200" s="3">
        <f>M200*$D200</f>
        <v/>
      </c>
      <c r="Y200" s="3">
        <f>N200*$D200</f>
        <v/>
      </c>
      <c r="Z200" s="3">
        <f>C200*$D200</f>
        <v/>
      </c>
      <c r="AA200" s="9">
        <f>$L978+$K978*E200+$J978*F200+$I978*G200+$H978*H200+$G978*I200+$F978*J200+$E978*K200+$D978*L200+$C978*M200+$B978*N200</f>
        <v/>
      </c>
      <c r="AB200" s="9">
        <f>C200-AA200</f>
        <v/>
      </c>
      <c r="AC200" s="4">
        <f>AB200^2</f>
        <v/>
      </c>
    </row>
    <row r="201">
      <c r="A201" t="inlineStr">
        <is>
          <t>BBG000BFVXX0</t>
        </is>
      </c>
      <c r="B201" t="inlineStr">
        <is>
          <t>cms</t>
        </is>
      </c>
      <c r="C201" s="9" t="n">
        <v>-0.01879202839613037</v>
      </c>
      <c r="D201" s="3">
        <f>EXP(0.25*'3b-d Exposures'!G237)</f>
        <v/>
      </c>
      <c r="E201" s="3">
        <f>IF('3b-d Exposures'!C237="",0,'3b-d Exposures'!C237)</f>
        <v/>
      </c>
      <c r="F201" s="3">
        <f>IF('3b-d Exposures'!E237="",0,'3b-d Exposures'!E237)</f>
        <v/>
      </c>
      <c r="G201" s="3">
        <f>IF('3b-d Exposures'!G237="",0,'3b-d Exposures'!G237)</f>
        <v/>
      </c>
      <c r="H201" s="3">
        <f>IF('3b-d Exposures'!I237="",0,'3b-d Exposures'!I237)</f>
        <v/>
      </c>
      <c r="I201" s="3">
        <f>IF('3b-d Exposures'!K237="",0,'3b-d Exposures'!K237)</f>
        <v/>
      </c>
      <c r="J201" s="3">
        <f>IF('3b-d Exposures'!M237="",0,'3b-d Exposures'!M237)</f>
        <v/>
      </c>
      <c r="K201" s="3">
        <f>IF('3b-d Exposures'!O237="",0,'3b-d Exposures'!O237)</f>
        <v/>
      </c>
      <c r="L201" s="3">
        <f>IF('3b-d Exposures'!Q237="",0,'3b-d Exposures'!Q237)</f>
        <v/>
      </c>
      <c r="M201" s="3">
        <f>IF('3b-d Exposures'!S237="",0,'3b-d Exposures'!S237)</f>
        <v/>
      </c>
      <c r="N201" s="3">
        <f>IF('3b-d Exposures'!Z237="",0,'3b-d Exposures'!Z237)</f>
        <v/>
      </c>
      <c r="O201" s="3">
        <f>$D201</f>
        <v/>
      </c>
      <c r="P201" s="3">
        <f>E201*$D201</f>
        <v/>
      </c>
      <c r="Q201" s="3">
        <f>F201*$D201</f>
        <v/>
      </c>
      <c r="R201" s="3">
        <f>G201*$D201</f>
        <v/>
      </c>
      <c r="S201" s="3">
        <f>H201*$D201</f>
        <v/>
      </c>
      <c r="T201" s="3">
        <f>I201*$D201</f>
        <v/>
      </c>
      <c r="U201" s="3">
        <f>J201*$D201</f>
        <v/>
      </c>
      <c r="V201" s="3">
        <f>K201*$D201</f>
        <v/>
      </c>
      <c r="W201" s="3">
        <f>L201*$D201</f>
        <v/>
      </c>
      <c r="X201" s="3">
        <f>M201*$D201</f>
        <v/>
      </c>
      <c r="Y201" s="3">
        <f>N201*$D201</f>
        <v/>
      </c>
      <c r="Z201" s="3">
        <f>C201*$D201</f>
        <v/>
      </c>
      <c r="AA201" s="9">
        <f>$L978+$K978*E201+$J978*F201+$I978*G201+$H978*H201+$G978*I201+$F978*J201+$E978*K201+$D978*L201+$C978*M201+$B978*N201</f>
        <v/>
      </c>
      <c r="AB201" s="9">
        <f>C201-AA201</f>
        <v/>
      </c>
      <c r="AC201" s="4">
        <f>AB201^2</f>
        <v/>
      </c>
    </row>
    <row r="202">
      <c r="A202" t="inlineStr">
        <is>
          <t>BBG000BDXCJ5</t>
        </is>
      </c>
      <c r="B202" t="inlineStr">
        <is>
          <t>cnc</t>
        </is>
      </c>
      <c r="C202" s="9" t="n">
        <v>0.001000022888183683</v>
      </c>
      <c r="D202" s="3">
        <f>EXP(0.25*'3b-d Exposures'!G238)</f>
        <v/>
      </c>
      <c r="E202" s="3">
        <f>IF('3b-d Exposures'!C238="",0,'3b-d Exposures'!C238)</f>
        <v/>
      </c>
      <c r="F202" s="3">
        <f>IF('3b-d Exposures'!E238="",0,'3b-d Exposures'!E238)</f>
        <v/>
      </c>
      <c r="G202" s="3">
        <f>IF('3b-d Exposures'!G238="",0,'3b-d Exposures'!G238)</f>
        <v/>
      </c>
      <c r="H202" s="3">
        <f>IF('3b-d Exposures'!I238="",0,'3b-d Exposures'!I238)</f>
        <v/>
      </c>
      <c r="I202" s="3">
        <f>IF('3b-d Exposures'!K238="",0,'3b-d Exposures'!K238)</f>
        <v/>
      </c>
      <c r="J202" s="3">
        <f>IF('3b-d Exposures'!M238="",0,'3b-d Exposures'!M238)</f>
        <v/>
      </c>
      <c r="K202" s="3">
        <f>IF('3b-d Exposures'!O238="",0,'3b-d Exposures'!O238)</f>
        <v/>
      </c>
      <c r="L202" s="3">
        <f>IF('3b-d Exposures'!Q238="",0,'3b-d Exposures'!Q238)</f>
        <v/>
      </c>
      <c r="M202" s="3">
        <f>IF('3b-d Exposures'!S238="",0,'3b-d Exposures'!S238)</f>
        <v/>
      </c>
      <c r="N202" s="3">
        <f>IF('3b-d Exposures'!Z238="",0,'3b-d Exposures'!Z238)</f>
        <v/>
      </c>
      <c r="O202" s="3">
        <f>$D202</f>
        <v/>
      </c>
      <c r="P202" s="3">
        <f>E202*$D202</f>
        <v/>
      </c>
      <c r="Q202" s="3">
        <f>F202*$D202</f>
        <v/>
      </c>
      <c r="R202" s="3">
        <f>G202*$D202</f>
        <v/>
      </c>
      <c r="S202" s="3">
        <f>H202*$D202</f>
        <v/>
      </c>
      <c r="T202" s="3">
        <f>I202*$D202</f>
        <v/>
      </c>
      <c r="U202" s="3">
        <f>J202*$D202</f>
        <v/>
      </c>
      <c r="V202" s="3">
        <f>K202*$D202</f>
        <v/>
      </c>
      <c r="W202" s="3">
        <f>L202*$D202</f>
        <v/>
      </c>
      <c r="X202" s="3">
        <f>M202*$D202</f>
        <v/>
      </c>
      <c r="Y202" s="3">
        <f>N202*$D202</f>
        <v/>
      </c>
      <c r="Z202" s="3">
        <f>C202*$D202</f>
        <v/>
      </c>
      <c r="AA202" s="9">
        <f>$L978+$K978*E202+$J978*F202+$I978*G202+$H978*H202+$G978*I202+$F978*J202+$E978*K202+$D978*L202+$C978*M202+$B978*N202</f>
        <v/>
      </c>
      <c r="AB202" s="9">
        <f>C202-AA202</f>
        <v/>
      </c>
      <c r="AC202" s="4">
        <f>AB202^2</f>
        <v/>
      </c>
    </row>
    <row r="203">
      <c r="A203" t="inlineStr">
        <is>
          <t>BBG00C1BZMT9</t>
        </is>
      </c>
      <c r="B203" t="inlineStr">
        <is>
          <t>cndt</t>
        </is>
      </c>
      <c r="C203" s="9" t="n">
        <v>0.1099195295752173</v>
      </c>
      <c r="D203" s="3">
        <f>EXP(0.25*'3b-d Exposures'!G239)</f>
        <v/>
      </c>
      <c r="E203" s="3">
        <f>IF('3b-d Exposures'!C239="",0,'3b-d Exposures'!C239)</f>
        <v/>
      </c>
      <c r="F203" s="3">
        <f>IF('3b-d Exposures'!E239="",0,'3b-d Exposures'!E239)</f>
        <v/>
      </c>
      <c r="G203" s="3">
        <f>IF('3b-d Exposures'!G239="",0,'3b-d Exposures'!G239)</f>
        <v/>
      </c>
      <c r="H203" s="3">
        <f>IF('3b-d Exposures'!I239="",0,'3b-d Exposures'!I239)</f>
        <v/>
      </c>
      <c r="I203" s="3">
        <f>IF('3b-d Exposures'!K239="",0,'3b-d Exposures'!K239)</f>
        <v/>
      </c>
      <c r="J203" s="3">
        <f>IF('3b-d Exposures'!M239="",0,'3b-d Exposures'!M239)</f>
        <v/>
      </c>
      <c r="K203" s="3">
        <f>IF('3b-d Exposures'!O239="",0,'3b-d Exposures'!O239)</f>
        <v/>
      </c>
      <c r="L203" s="3">
        <f>IF('3b-d Exposures'!Q239="",0,'3b-d Exposures'!Q239)</f>
        <v/>
      </c>
      <c r="M203" s="3">
        <f>IF('3b-d Exposures'!S239="",0,'3b-d Exposures'!S239)</f>
        <v/>
      </c>
      <c r="N203" s="3">
        <f>IF('3b-d Exposures'!Z239="",0,'3b-d Exposures'!Z239)</f>
        <v/>
      </c>
      <c r="O203" s="3">
        <f>$D203</f>
        <v/>
      </c>
      <c r="P203" s="3">
        <f>E203*$D203</f>
        <v/>
      </c>
      <c r="Q203" s="3">
        <f>F203*$D203</f>
        <v/>
      </c>
      <c r="R203" s="3">
        <f>G203*$D203</f>
        <v/>
      </c>
      <c r="S203" s="3">
        <f>H203*$D203</f>
        <v/>
      </c>
      <c r="T203" s="3">
        <f>I203*$D203</f>
        <v/>
      </c>
      <c r="U203" s="3">
        <f>J203*$D203</f>
        <v/>
      </c>
      <c r="V203" s="3">
        <f>K203*$D203</f>
        <v/>
      </c>
      <c r="W203" s="3">
        <f>L203*$D203</f>
        <v/>
      </c>
      <c r="X203" s="3">
        <f>M203*$D203</f>
        <v/>
      </c>
      <c r="Y203" s="3">
        <f>N203*$D203</f>
        <v/>
      </c>
      <c r="Z203" s="3">
        <f>C203*$D203</f>
        <v/>
      </c>
      <c r="AA203" s="9">
        <f>$L978+$K978*E203+$J978*F203+$I978*G203+$H978*H203+$G978*I203+$F978*J203+$E978*K203+$D978*L203+$C978*M203+$B978*N203</f>
        <v/>
      </c>
      <c r="AB203" s="9">
        <f>C203-AA203</f>
        <v/>
      </c>
      <c r="AC203" s="4">
        <f>AB203^2</f>
        <v/>
      </c>
    </row>
    <row r="204">
      <c r="A204" t="inlineStr">
        <is>
          <t>BBG000QDVR53</t>
        </is>
      </c>
      <c r="B204" t="inlineStr">
        <is>
          <t>cnk</t>
        </is>
      </c>
      <c r="C204" s="9" t="n">
        <v>0.04345307811915311</v>
      </c>
      <c r="D204" s="3">
        <f>EXP(0.25*'3b-d Exposures'!G240)</f>
        <v/>
      </c>
      <c r="E204" s="3">
        <f>IF('3b-d Exposures'!C240="",0,'3b-d Exposures'!C240)</f>
        <v/>
      </c>
      <c r="F204" s="3">
        <f>IF('3b-d Exposures'!E240="",0,'3b-d Exposures'!E240)</f>
        <v/>
      </c>
      <c r="G204" s="3">
        <f>IF('3b-d Exposures'!G240="",0,'3b-d Exposures'!G240)</f>
        <v/>
      </c>
      <c r="H204" s="3">
        <f>IF('3b-d Exposures'!I240="",0,'3b-d Exposures'!I240)</f>
        <v/>
      </c>
      <c r="I204" s="3">
        <f>IF('3b-d Exposures'!K240="",0,'3b-d Exposures'!K240)</f>
        <v/>
      </c>
      <c r="J204" s="3">
        <f>IF('3b-d Exposures'!M240="",0,'3b-d Exposures'!M240)</f>
        <v/>
      </c>
      <c r="K204" s="3">
        <f>IF('3b-d Exposures'!O240="",0,'3b-d Exposures'!O240)</f>
        <v/>
      </c>
      <c r="L204" s="3">
        <f>IF('3b-d Exposures'!Q240="",0,'3b-d Exposures'!Q240)</f>
        <v/>
      </c>
      <c r="M204" s="3">
        <f>IF('3b-d Exposures'!S240="",0,'3b-d Exposures'!S240)</f>
        <v/>
      </c>
      <c r="N204" s="3">
        <f>IF('3b-d Exposures'!Z240="",0,'3b-d Exposures'!Z240)</f>
        <v/>
      </c>
      <c r="O204" s="3">
        <f>$D204</f>
        <v/>
      </c>
      <c r="P204" s="3">
        <f>E204*$D204</f>
        <v/>
      </c>
      <c r="Q204" s="3">
        <f>F204*$D204</f>
        <v/>
      </c>
      <c r="R204" s="3">
        <f>G204*$D204</f>
        <v/>
      </c>
      <c r="S204" s="3">
        <f>H204*$D204</f>
        <v/>
      </c>
      <c r="T204" s="3">
        <f>I204*$D204</f>
        <v/>
      </c>
      <c r="U204" s="3">
        <f>J204*$D204</f>
        <v/>
      </c>
      <c r="V204" s="3">
        <f>K204*$D204</f>
        <v/>
      </c>
      <c r="W204" s="3">
        <f>L204*$D204</f>
        <v/>
      </c>
      <c r="X204" s="3">
        <f>M204*$D204</f>
        <v/>
      </c>
      <c r="Y204" s="3">
        <f>N204*$D204</f>
        <v/>
      </c>
      <c r="Z204" s="3">
        <f>C204*$D204</f>
        <v/>
      </c>
      <c r="AA204" s="9">
        <f>$L978+$K978*E204+$J978*F204+$I978*G204+$H978*H204+$G978*I204+$F978*J204+$E978*K204+$D978*L204+$C978*M204+$B978*N204</f>
        <v/>
      </c>
      <c r="AB204" s="9">
        <f>C204-AA204</f>
        <v/>
      </c>
      <c r="AC204" s="4">
        <f>AB204^2</f>
        <v/>
      </c>
    </row>
    <row r="205">
      <c r="A205" t="inlineStr">
        <is>
          <t>BBG000Q1GK24</t>
        </is>
      </c>
      <c r="B205" t="inlineStr">
        <is>
          <t>cno</t>
        </is>
      </c>
      <c r="C205" s="9" t="n">
        <v>-0.01353387899049319</v>
      </c>
      <c r="D205" s="3">
        <f>EXP(0.25*'3b-d Exposures'!G242)</f>
        <v/>
      </c>
      <c r="E205" s="3">
        <f>IF('3b-d Exposures'!C242="",0,'3b-d Exposures'!C242)</f>
        <v/>
      </c>
      <c r="F205" s="3">
        <f>IF('3b-d Exposures'!E242="",0,'3b-d Exposures'!E242)</f>
        <v/>
      </c>
      <c r="G205" s="3">
        <f>IF('3b-d Exposures'!G242="",0,'3b-d Exposures'!G242)</f>
        <v/>
      </c>
      <c r="H205" s="3">
        <f>IF('3b-d Exposures'!I242="",0,'3b-d Exposures'!I242)</f>
        <v/>
      </c>
      <c r="I205" s="3">
        <f>IF('3b-d Exposures'!K242="",0,'3b-d Exposures'!K242)</f>
        <v/>
      </c>
      <c r="J205" s="3">
        <f>IF('3b-d Exposures'!M242="",0,'3b-d Exposures'!M242)</f>
        <v/>
      </c>
      <c r="K205" s="3">
        <f>IF('3b-d Exposures'!O242="",0,'3b-d Exposures'!O242)</f>
        <v/>
      </c>
      <c r="L205" s="3">
        <f>IF('3b-d Exposures'!Q242="",0,'3b-d Exposures'!Q242)</f>
        <v/>
      </c>
      <c r="M205" s="3">
        <f>IF('3b-d Exposures'!S242="",0,'3b-d Exposures'!S242)</f>
        <v/>
      </c>
      <c r="N205" s="3">
        <f>IF('3b-d Exposures'!Z242="",0,'3b-d Exposures'!Z242)</f>
        <v/>
      </c>
      <c r="O205" s="3">
        <f>$D205</f>
        <v/>
      </c>
      <c r="P205" s="3">
        <f>E205*$D205</f>
        <v/>
      </c>
      <c r="Q205" s="3">
        <f>F205*$D205</f>
        <v/>
      </c>
      <c r="R205" s="3">
        <f>G205*$D205</f>
        <v/>
      </c>
      <c r="S205" s="3">
        <f>H205*$D205</f>
        <v/>
      </c>
      <c r="T205" s="3">
        <f>I205*$D205</f>
        <v/>
      </c>
      <c r="U205" s="3">
        <f>J205*$D205</f>
        <v/>
      </c>
      <c r="V205" s="3">
        <f>K205*$D205</f>
        <v/>
      </c>
      <c r="W205" s="3">
        <f>L205*$D205</f>
        <v/>
      </c>
      <c r="X205" s="3">
        <f>M205*$D205</f>
        <v/>
      </c>
      <c r="Y205" s="3">
        <f>N205*$D205</f>
        <v/>
      </c>
      <c r="Z205" s="3">
        <f>C205*$D205</f>
        <v/>
      </c>
      <c r="AA205" s="9">
        <f>$L978+$K978*E205+$J978*F205+$I978*G205+$H978*H205+$G978*I205+$F978*J205+$E978*K205+$D978*L205+$C978*M205+$B978*N205</f>
        <v/>
      </c>
      <c r="AB205" s="9">
        <f>C205-AA205</f>
        <v/>
      </c>
      <c r="AC205" s="4">
        <f>AB205^2</f>
        <v/>
      </c>
    </row>
    <row r="206">
      <c r="A206" t="inlineStr">
        <is>
          <t>BBG000FDBX90</t>
        </is>
      </c>
      <c r="B206" t="inlineStr">
        <is>
          <t>cnp</t>
        </is>
      </c>
      <c r="C206" s="9" t="n">
        <v>-0.0193133348613761</v>
      </c>
      <c r="D206" s="3">
        <f>EXP(0.25*'3b-d Exposures'!G243)</f>
        <v/>
      </c>
      <c r="E206" s="3">
        <f>IF('3b-d Exposures'!C243="",0,'3b-d Exposures'!C243)</f>
        <v/>
      </c>
      <c r="F206" s="3">
        <f>IF('3b-d Exposures'!E243="",0,'3b-d Exposures'!E243)</f>
        <v/>
      </c>
      <c r="G206" s="3">
        <f>IF('3b-d Exposures'!G243="",0,'3b-d Exposures'!G243)</f>
        <v/>
      </c>
      <c r="H206" s="3">
        <f>IF('3b-d Exposures'!I243="",0,'3b-d Exposures'!I243)</f>
        <v/>
      </c>
      <c r="I206" s="3">
        <f>IF('3b-d Exposures'!K243="",0,'3b-d Exposures'!K243)</f>
        <v/>
      </c>
      <c r="J206" s="3">
        <f>IF('3b-d Exposures'!M243="",0,'3b-d Exposures'!M243)</f>
        <v/>
      </c>
      <c r="K206" s="3">
        <f>IF('3b-d Exposures'!O243="",0,'3b-d Exposures'!O243)</f>
        <v/>
      </c>
      <c r="L206" s="3">
        <f>IF('3b-d Exposures'!Q243="",0,'3b-d Exposures'!Q243)</f>
        <v/>
      </c>
      <c r="M206" s="3">
        <f>IF('3b-d Exposures'!S243="",0,'3b-d Exposures'!S243)</f>
        <v/>
      </c>
      <c r="N206" s="3">
        <f>IF('3b-d Exposures'!Z243="",0,'3b-d Exposures'!Z243)</f>
        <v/>
      </c>
      <c r="O206" s="3">
        <f>$D206</f>
        <v/>
      </c>
      <c r="P206" s="3">
        <f>E206*$D206</f>
        <v/>
      </c>
      <c r="Q206" s="3">
        <f>F206*$D206</f>
        <v/>
      </c>
      <c r="R206" s="3">
        <f>G206*$D206</f>
        <v/>
      </c>
      <c r="S206" s="3">
        <f>H206*$D206</f>
        <v/>
      </c>
      <c r="T206" s="3">
        <f>I206*$D206</f>
        <v/>
      </c>
      <c r="U206" s="3">
        <f>J206*$D206</f>
        <v/>
      </c>
      <c r="V206" s="3">
        <f>K206*$D206</f>
        <v/>
      </c>
      <c r="W206" s="3">
        <f>L206*$D206</f>
        <v/>
      </c>
      <c r="X206" s="3">
        <f>M206*$D206</f>
        <v/>
      </c>
      <c r="Y206" s="3">
        <f>N206*$D206</f>
        <v/>
      </c>
      <c r="Z206" s="3">
        <f>C206*$D206</f>
        <v/>
      </c>
      <c r="AA206" s="9">
        <f>$L978+$K978*E206+$J978*F206+$I978*G206+$H978*H206+$G978*I206+$F978*J206+$E978*K206+$D978*L206+$C978*M206+$B978*N206</f>
        <v/>
      </c>
      <c r="AB206" s="9">
        <f>C206-AA206</f>
        <v/>
      </c>
      <c r="AC206" s="4">
        <f>AB206^2</f>
        <v/>
      </c>
    </row>
    <row r="207">
      <c r="A207" t="inlineStr">
        <is>
          <t>BBG000L35KD5</t>
        </is>
      </c>
      <c r="B207" t="inlineStr">
        <is>
          <t>codi</t>
        </is>
      </c>
      <c r="C207" s="9" t="n">
        <v>0.002953528115921422</v>
      </c>
      <c r="D207" s="3">
        <f>EXP(0.25*'3b-d Exposures'!G245)</f>
        <v/>
      </c>
      <c r="E207" s="3">
        <f>IF('3b-d Exposures'!C245="",0,'3b-d Exposures'!C245)</f>
        <v/>
      </c>
      <c r="F207" s="3">
        <f>IF('3b-d Exposures'!E245="",0,'3b-d Exposures'!E245)</f>
        <v/>
      </c>
      <c r="G207" s="3">
        <f>IF('3b-d Exposures'!G245="",0,'3b-d Exposures'!G245)</f>
        <v/>
      </c>
      <c r="H207" s="3">
        <f>IF('3b-d Exposures'!I245="",0,'3b-d Exposures'!I245)</f>
        <v/>
      </c>
      <c r="I207" s="3">
        <f>IF('3b-d Exposures'!K245="",0,'3b-d Exposures'!K245)</f>
        <v/>
      </c>
      <c r="J207" s="3">
        <f>IF('3b-d Exposures'!M245="",0,'3b-d Exposures'!M245)</f>
        <v/>
      </c>
      <c r="K207" s="3">
        <f>IF('3b-d Exposures'!O245="",0,'3b-d Exposures'!O245)</f>
        <v/>
      </c>
      <c r="L207" s="3">
        <f>IF('3b-d Exposures'!Q245="",0,'3b-d Exposures'!Q245)</f>
        <v/>
      </c>
      <c r="M207" s="3">
        <f>IF('3b-d Exposures'!S245="",0,'3b-d Exposures'!S245)</f>
        <v/>
      </c>
      <c r="N207" s="3">
        <f>IF('3b-d Exposures'!Z245="",0,'3b-d Exposures'!Z245)</f>
        <v/>
      </c>
      <c r="O207" s="3">
        <f>$D207</f>
        <v/>
      </c>
      <c r="P207" s="3">
        <f>E207*$D207</f>
        <v/>
      </c>
      <c r="Q207" s="3">
        <f>F207*$D207</f>
        <v/>
      </c>
      <c r="R207" s="3">
        <f>G207*$D207</f>
        <v/>
      </c>
      <c r="S207" s="3">
        <f>H207*$D207</f>
        <v/>
      </c>
      <c r="T207" s="3">
        <f>I207*$D207</f>
        <v/>
      </c>
      <c r="U207" s="3">
        <f>J207*$D207</f>
        <v/>
      </c>
      <c r="V207" s="3">
        <f>K207*$D207</f>
        <v/>
      </c>
      <c r="W207" s="3">
        <f>L207*$D207</f>
        <v/>
      </c>
      <c r="X207" s="3">
        <f>M207*$D207</f>
        <v/>
      </c>
      <c r="Y207" s="3">
        <f>N207*$D207</f>
        <v/>
      </c>
      <c r="Z207" s="3">
        <f>C207*$D207</f>
        <v/>
      </c>
      <c r="AA207" s="9">
        <f>$L978+$K978*E207+$J978*F207+$I978*G207+$H978*H207+$G978*I207+$F978*J207+$E978*K207+$D978*L207+$C978*M207+$B978*N207</f>
        <v/>
      </c>
      <c r="AB207" s="9">
        <f>C207-AA207</f>
        <v/>
      </c>
      <c r="AC207" s="4">
        <f>AB207^2</f>
        <v/>
      </c>
    </row>
    <row r="208">
      <c r="A208" t="inlineStr">
        <is>
          <t>BBG000BGKTF9</t>
        </is>
      </c>
      <c r="B208" t="inlineStr">
        <is>
          <t>cof</t>
        </is>
      </c>
      <c r="C208" s="9" t="n">
        <v>-0.023384087769458</v>
      </c>
      <c r="D208" s="3">
        <f>EXP(0.25*'3b-d Exposures'!G246)</f>
        <v/>
      </c>
      <c r="E208" s="3">
        <f>IF('3b-d Exposures'!C246="",0,'3b-d Exposures'!C246)</f>
        <v/>
      </c>
      <c r="F208" s="3">
        <f>IF('3b-d Exposures'!E246="",0,'3b-d Exposures'!E246)</f>
        <v/>
      </c>
      <c r="G208" s="3">
        <f>IF('3b-d Exposures'!G246="",0,'3b-d Exposures'!G246)</f>
        <v/>
      </c>
      <c r="H208" s="3">
        <f>IF('3b-d Exposures'!I246="",0,'3b-d Exposures'!I246)</f>
        <v/>
      </c>
      <c r="I208" s="3">
        <f>IF('3b-d Exposures'!K246="",0,'3b-d Exposures'!K246)</f>
        <v/>
      </c>
      <c r="J208" s="3">
        <f>IF('3b-d Exposures'!M246="",0,'3b-d Exposures'!M246)</f>
        <v/>
      </c>
      <c r="K208" s="3">
        <f>IF('3b-d Exposures'!O246="",0,'3b-d Exposures'!O246)</f>
        <v/>
      </c>
      <c r="L208" s="3">
        <f>IF('3b-d Exposures'!Q246="",0,'3b-d Exposures'!Q246)</f>
        <v/>
      </c>
      <c r="M208" s="3">
        <f>IF('3b-d Exposures'!S246="",0,'3b-d Exposures'!S246)</f>
        <v/>
      </c>
      <c r="N208" s="3">
        <f>IF('3b-d Exposures'!Z246="",0,'3b-d Exposures'!Z246)</f>
        <v/>
      </c>
      <c r="O208" s="3">
        <f>$D208</f>
        <v/>
      </c>
      <c r="P208" s="3">
        <f>E208*$D208</f>
        <v/>
      </c>
      <c r="Q208" s="3">
        <f>F208*$D208</f>
        <v/>
      </c>
      <c r="R208" s="3">
        <f>G208*$D208</f>
        <v/>
      </c>
      <c r="S208" s="3">
        <f>H208*$D208</f>
        <v/>
      </c>
      <c r="T208" s="3">
        <f>I208*$D208</f>
        <v/>
      </c>
      <c r="U208" s="3">
        <f>J208*$D208</f>
        <v/>
      </c>
      <c r="V208" s="3">
        <f>K208*$D208</f>
        <v/>
      </c>
      <c r="W208" s="3">
        <f>L208*$D208</f>
        <v/>
      </c>
      <c r="X208" s="3">
        <f>M208*$D208</f>
        <v/>
      </c>
      <c r="Y208" s="3">
        <f>N208*$D208</f>
        <v/>
      </c>
      <c r="Z208" s="3">
        <f>C208*$D208</f>
        <v/>
      </c>
      <c r="AA208" s="9">
        <f>$L978+$K978*E208+$J978*F208+$I978*G208+$H978*H208+$G978*I208+$F978*J208+$E978*K208+$D978*L208+$C978*M208+$B978*N208</f>
        <v/>
      </c>
      <c r="AB208" s="9">
        <f>C208-AA208</f>
        <v/>
      </c>
      <c r="AC208" s="4">
        <f>AB208^2</f>
        <v/>
      </c>
    </row>
    <row r="209">
      <c r="A209" t="inlineStr">
        <is>
          <t>cohr</t>
        </is>
      </c>
      <c r="B209" t="inlineStr">
        <is>
          <t>cohr</t>
        </is>
      </c>
      <c r="C209" s="9" t="n">
        <v>0.03454471803081183</v>
      </c>
      <c r="D209" s="3">
        <f>EXP(0.25*'3b-d Exposures'!G247)</f>
        <v/>
      </c>
      <c r="E209" s="3">
        <f>IF('3b-d Exposures'!C247="",0,'3b-d Exposures'!C247)</f>
        <v/>
      </c>
      <c r="F209" s="3">
        <f>IF('3b-d Exposures'!E247="",0,'3b-d Exposures'!E247)</f>
        <v/>
      </c>
      <c r="G209" s="3">
        <f>IF('3b-d Exposures'!G247="",0,'3b-d Exposures'!G247)</f>
        <v/>
      </c>
      <c r="H209" s="3">
        <f>IF('3b-d Exposures'!I247="",0,'3b-d Exposures'!I247)</f>
        <v/>
      </c>
      <c r="I209" s="3">
        <f>IF('3b-d Exposures'!K247="",0,'3b-d Exposures'!K247)</f>
        <v/>
      </c>
      <c r="J209" s="3">
        <f>IF('3b-d Exposures'!M247="",0,'3b-d Exposures'!M247)</f>
        <v/>
      </c>
      <c r="K209" s="3">
        <f>IF('3b-d Exposures'!O247="",0,'3b-d Exposures'!O247)</f>
        <v/>
      </c>
      <c r="L209" s="3">
        <f>IF('3b-d Exposures'!Q247="",0,'3b-d Exposures'!Q247)</f>
        <v/>
      </c>
      <c r="M209" s="3">
        <f>IF('3b-d Exposures'!S247="",0,'3b-d Exposures'!S247)</f>
        <v/>
      </c>
      <c r="N209" s="3">
        <f>IF('3b-d Exposures'!Z247="",0,'3b-d Exposures'!Z247)</f>
        <v/>
      </c>
      <c r="O209" s="3">
        <f>$D209</f>
        <v/>
      </c>
      <c r="P209" s="3">
        <f>E209*$D209</f>
        <v/>
      </c>
      <c r="Q209" s="3">
        <f>F209*$D209</f>
        <v/>
      </c>
      <c r="R209" s="3">
        <f>G209*$D209</f>
        <v/>
      </c>
      <c r="S209" s="3">
        <f>H209*$D209</f>
        <v/>
      </c>
      <c r="T209" s="3">
        <f>I209*$D209</f>
        <v/>
      </c>
      <c r="U209" s="3">
        <f>J209*$D209</f>
        <v/>
      </c>
      <c r="V209" s="3">
        <f>K209*$D209</f>
        <v/>
      </c>
      <c r="W209" s="3">
        <f>L209*$D209</f>
        <v/>
      </c>
      <c r="X209" s="3">
        <f>M209*$D209</f>
        <v/>
      </c>
      <c r="Y209" s="3">
        <f>N209*$D209</f>
        <v/>
      </c>
      <c r="Z209" s="3">
        <f>C209*$D209</f>
        <v/>
      </c>
      <c r="AA209" s="9">
        <f>$L978+$K978*E209+$J978*F209+$I978*G209+$H978*H209+$G978*I209+$F978*J209+$E978*K209+$D978*L209+$C978*M209+$B978*N209</f>
        <v/>
      </c>
      <c r="AB209" s="9">
        <f>C209-AA209</f>
        <v/>
      </c>
      <c r="AC209" s="4">
        <f>AB209^2</f>
        <v/>
      </c>
    </row>
    <row r="210">
      <c r="A210" t="inlineStr">
        <is>
          <t>BBG000CTGXS2</t>
        </is>
      </c>
      <c r="B210" t="inlineStr">
        <is>
          <t>colb</t>
        </is>
      </c>
      <c r="C210" s="9" t="n">
        <v>-0.004514622749410169</v>
      </c>
      <c r="D210" s="3">
        <f>EXP(0.25*'3b-d Exposures'!G249)</f>
        <v/>
      </c>
      <c r="E210" s="3">
        <f>IF('3b-d Exposures'!C249="",0,'3b-d Exposures'!C249)</f>
        <v/>
      </c>
      <c r="F210" s="3">
        <f>IF('3b-d Exposures'!E249="",0,'3b-d Exposures'!E249)</f>
        <v/>
      </c>
      <c r="G210" s="3">
        <f>IF('3b-d Exposures'!G249="",0,'3b-d Exposures'!G249)</f>
        <v/>
      </c>
      <c r="H210" s="3">
        <f>IF('3b-d Exposures'!I249="",0,'3b-d Exposures'!I249)</f>
        <v/>
      </c>
      <c r="I210" s="3">
        <f>IF('3b-d Exposures'!K249="",0,'3b-d Exposures'!K249)</f>
        <v/>
      </c>
      <c r="J210" s="3">
        <f>IF('3b-d Exposures'!M249="",0,'3b-d Exposures'!M249)</f>
        <v/>
      </c>
      <c r="K210" s="3">
        <f>IF('3b-d Exposures'!O249="",0,'3b-d Exposures'!O249)</f>
        <v/>
      </c>
      <c r="L210" s="3">
        <f>IF('3b-d Exposures'!Q249="",0,'3b-d Exposures'!Q249)</f>
        <v/>
      </c>
      <c r="M210" s="3">
        <f>IF('3b-d Exposures'!S249="",0,'3b-d Exposures'!S249)</f>
        <v/>
      </c>
      <c r="N210" s="3">
        <f>IF('3b-d Exposures'!Z249="",0,'3b-d Exposures'!Z249)</f>
        <v/>
      </c>
      <c r="O210" s="3">
        <f>$D210</f>
        <v/>
      </c>
      <c r="P210" s="3">
        <f>E210*$D210</f>
        <v/>
      </c>
      <c r="Q210" s="3">
        <f>F210*$D210</f>
        <v/>
      </c>
      <c r="R210" s="3">
        <f>G210*$D210</f>
        <v/>
      </c>
      <c r="S210" s="3">
        <f>H210*$D210</f>
        <v/>
      </c>
      <c r="T210" s="3">
        <f>I210*$D210</f>
        <v/>
      </c>
      <c r="U210" s="3">
        <f>J210*$D210</f>
        <v/>
      </c>
      <c r="V210" s="3">
        <f>K210*$D210</f>
        <v/>
      </c>
      <c r="W210" s="3">
        <f>L210*$D210</f>
        <v/>
      </c>
      <c r="X210" s="3">
        <f>M210*$D210</f>
        <v/>
      </c>
      <c r="Y210" s="3">
        <f>N210*$D210</f>
        <v/>
      </c>
      <c r="Z210" s="3">
        <f>C210*$D210</f>
        <v/>
      </c>
      <c r="AA210" s="9">
        <f>$L978+$K978*E210+$J978*F210+$I978*G210+$H978*H210+$G978*I210+$F978*J210+$E978*K210+$D978*L210+$C978*M210+$B978*N210</f>
        <v/>
      </c>
      <c r="AB210" s="9">
        <f>C210-AA210</f>
        <v/>
      </c>
      <c r="AC210" s="4">
        <f>AB210^2</f>
        <v/>
      </c>
    </row>
    <row r="211">
      <c r="A211" t="inlineStr">
        <is>
          <t>BBG000QF05R6</t>
        </is>
      </c>
      <c r="B211" t="inlineStr">
        <is>
          <t>cold</t>
        </is>
      </c>
      <c r="C211" s="9" t="n">
        <v>-0.01886000693054934</v>
      </c>
      <c r="D211" s="3">
        <f>EXP(0.25*'3b-d Exposures'!G250)</f>
        <v/>
      </c>
      <c r="E211" s="3">
        <f>IF('3b-d Exposures'!C250="",0,'3b-d Exposures'!C250)</f>
        <v/>
      </c>
      <c r="F211" s="3">
        <f>IF('3b-d Exposures'!E250="",0,'3b-d Exposures'!E250)</f>
        <v/>
      </c>
      <c r="G211" s="3">
        <f>IF('3b-d Exposures'!G250="",0,'3b-d Exposures'!G250)</f>
        <v/>
      </c>
      <c r="H211" s="3">
        <f>IF('3b-d Exposures'!I250="",0,'3b-d Exposures'!I250)</f>
        <v/>
      </c>
      <c r="I211" s="3">
        <f>IF('3b-d Exposures'!K250="",0,'3b-d Exposures'!K250)</f>
        <v/>
      </c>
      <c r="J211" s="3">
        <f>IF('3b-d Exposures'!M250="",0,'3b-d Exposures'!M250)</f>
        <v/>
      </c>
      <c r="K211" s="3">
        <f>IF('3b-d Exposures'!O250="",0,'3b-d Exposures'!O250)</f>
        <v/>
      </c>
      <c r="L211" s="3">
        <f>IF('3b-d Exposures'!Q250="",0,'3b-d Exposures'!Q250)</f>
        <v/>
      </c>
      <c r="M211" s="3">
        <f>IF('3b-d Exposures'!S250="",0,'3b-d Exposures'!S250)</f>
        <v/>
      </c>
      <c r="N211" s="3">
        <f>IF('3b-d Exposures'!Z250="",0,'3b-d Exposures'!Z250)</f>
        <v/>
      </c>
      <c r="O211" s="3">
        <f>$D211</f>
        <v/>
      </c>
      <c r="P211" s="3">
        <f>E211*$D211</f>
        <v/>
      </c>
      <c r="Q211" s="3">
        <f>F211*$D211</f>
        <v/>
      </c>
      <c r="R211" s="3">
        <f>G211*$D211</f>
        <v/>
      </c>
      <c r="S211" s="3">
        <f>H211*$D211</f>
        <v/>
      </c>
      <c r="T211" s="3">
        <f>I211*$D211</f>
        <v/>
      </c>
      <c r="U211" s="3">
        <f>J211*$D211</f>
        <v/>
      </c>
      <c r="V211" s="3">
        <f>K211*$D211</f>
        <v/>
      </c>
      <c r="W211" s="3">
        <f>L211*$D211</f>
        <v/>
      </c>
      <c r="X211" s="3">
        <f>M211*$D211</f>
        <v/>
      </c>
      <c r="Y211" s="3">
        <f>N211*$D211</f>
        <v/>
      </c>
      <c r="Z211" s="3">
        <f>C211*$D211</f>
        <v/>
      </c>
      <c r="AA211" s="9">
        <f>$L978+$K978*E211+$J978*F211+$I978*G211+$H978*H211+$G978*I211+$F978*J211+$E978*K211+$D978*L211+$C978*M211+$B978*N211</f>
        <v/>
      </c>
      <c r="AB211" s="9">
        <f>C211-AA211</f>
        <v/>
      </c>
      <c r="AC211" s="4">
        <f>AB211^2</f>
        <v/>
      </c>
    </row>
    <row r="212">
      <c r="A212" t="inlineStr">
        <is>
          <t>BBG00J5SXTH3</t>
        </is>
      </c>
      <c r="B212" t="inlineStr">
        <is>
          <t>comp</t>
        </is>
      </c>
      <c r="C212" s="9" t="n">
        <v>0.007052145673008825</v>
      </c>
      <c r="D212" s="3">
        <f>EXP(0.25*'3b-d Exposures'!G251)</f>
        <v/>
      </c>
      <c r="E212" s="3">
        <f>IF('3b-d Exposures'!C251="",0,'3b-d Exposures'!C251)</f>
        <v/>
      </c>
      <c r="F212" s="3">
        <f>IF('3b-d Exposures'!E251="",0,'3b-d Exposures'!E251)</f>
        <v/>
      </c>
      <c r="G212" s="3">
        <f>IF('3b-d Exposures'!G251="",0,'3b-d Exposures'!G251)</f>
        <v/>
      </c>
      <c r="H212" s="3">
        <f>IF('3b-d Exposures'!I251="",0,'3b-d Exposures'!I251)</f>
        <v/>
      </c>
      <c r="I212" s="3">
        <f>IF('3b-d Exposures'!K251="",0,'3b-d Exposures'!K251)</f>
        <v/>
      </c>
      <c r="J212" s="3">
        <f>IF('3b-d Exposures'!M251="",0,'3b-d Exposures'!M251)</f>
        <v/>
      </c>
      <c r="K212" s="3">
        <f>IF('3b-d Exposures'!O251="",0,'3b-d Exposures'!O251)</f>
        <v/>
      </c>
      <c r="L212" s="3">
        <f>IF('3b-d Exposures'!Q251="",0,'3b-d Exposures'!Q251)</f>
        <v/>
      </c>
      <c r="M212" s="3">
        <f>IF('3b-d Exposures'!S251="",0,'3b-d Exposures'!S251)</f>
        <v/>
      </c>
      <c r="N212" s="3">
        <f>IF('3b-d Exposures'!Z251="",0,'3b-d Exposures'!Z251)</f>
        <v/>
      </c>
      <c r="O212" s="3">
        <f>$D212</f>
        <v/>
      </c>
      <c r="P212" s="3">
        <f>E212*$D212</f>
        <v/>
      </c>
      <c r="Q212" s="3">
        <f>F212*$D212</f>
        <v/>
      </c>
      <c r="R212" s="3">
        <f>G212*$D212</f>
        <v/>
      </c>
      <c r="S212" s="3">
        <f>H212*$D212</f>
        <v/>
      </c>
      <c r="T212" s="3">
        <f>I212*$D212</f>
        <v/>
      </c>
      <c r="U212" s="3">
        <f>J212*$D212</f>
        <v/>
      </c>
      <c r="V212" s="3">
        <f>K212*$D212</f>
        <v/>
      </c>
      <c r="W212" s="3">
        <f>L212*$D212</f>
        <v/>
      </c>
      <c r="X212" s="3">
        <f>M212*$D212</f>
        <v/>
      </c>
      <c r="Y212" s="3">
        <f>N212*$D212</f>
        <v/>
      </c>
      <c r="Z212" s="3">
        <f>C212*$D212</f>
        <v/>
      </c>
      <c r="AA212" s="9">
        <f>$L978+$K978*E212+$J978*F212+$I978*G212+$H978*H212+$G978*I212+$F978*J212+$E978*K212+$D978*L212+$C978*M212+$B978*N212</f>
        <v/>
      </c>
      <c r="AB212" s="9">
        <f>C212-AA212</f>
        <v/>
      </c>
      <c r="AC212" s="4">
        <f>AB212^2</f>
        <v/>
      </c>
    </row>
    <row r="213">
      <c r="A213" t="inlineStr">
        <is>
          <t>BBG000BG3445</t>
        </is>
      </c>
      <c r="B213" t="inlineStr">
        <is>
          <t>coo</t>
        </is>
      </c>
      <c r="C213" s="9" t="n">
        <v>-0.01397663313487119</v>
      </c>
      <c r="D213" s="3">
        <f>EXP(0.25*'3b-d Exposures'!G253)</f>
        <v/>
      </c>
      <c r="E213" s="3">
        <f>IF('3b-d Exposures'!C253="",0,'3b-d Exposures'!C253)</f>
        <v/>
      </c>
      <c r="F213" s="3">
        <f>IF('3b-d Exposures'!E253="",0,'3b-d Exposures'!E253)</f>
        <v/>
      </c>
      <c r="G213" s="3">
        <f>IF('3b-d Exposures'!G253="",0,'3b-d Exposures'!G253)</f>
        <v/>
      </c>
      <c r="H213" s="3">
        <f>IF('3b-d Exposures'!I253="",0,'3b-d Exposures'!I253)</f>
        <v/>
      </c>
      <c r="I213" s="3">
        <f>IF('3b-d Exposures'!K253="",0,'3b-d Exposures'!K253)</f>
        <v/>
      </c>
      <c r="J213" s="3">
        <f>IF('3b-d Exposures'!M253="",0,'3b-d Exposures'!M253)</f>
        <v/>
      </c>
      <c r="K213" s="3">
        <f>IF('3b-d Exposures'!O253="",0,'3b-d Exposures'!O253)</f>
        <v/>
      </c>
      <c r="L213" s="3">
        <f>IF('3b-d Exposures'!Q253="",0,'3b-d Exposures'!Q253)</f>
        <v/>
      </c>
      <c r="M213" s="3">
        <f>IF('3b-d Exposures'!S253="",0,'3b-d Exposures'!S253)</f>
        <v/>
      </c>
      <c r="N213" s="3">
        <f>IF('3b-d Exposures'!Z253="",0,'3b-d Exposures'!Z253)</f>
        <v/>
      </c>
      <c r="O213" s="3">
        <f>$D213</f>
        <v/>
      </c>
      <c r="P213" s="3">
        <f>E213*$D213</f>
        <v/>
      </c>
      <c r="Q213" s="3">
        <f>F213*$D213</f>
        <v/>
      </c>
      <c r="R213" s="3">
        <f>G213*$D213</f>
        <v/>
      </c>
      <c r="S213" s="3">
        <f>H213*$D213</f>
        <v/>
      </c>
      <c r="T213" s="3">
        <f>I213*$D213</f>
        <v/>
      </c>
      <c r="U213" s="3">
        <f>J213*$D213</f>
        <v/>
      </c>
      <c r="V213" s="3">
        <f>K213*$D213</f>
        <v/>
      </c>
      <c r="W213" s="3">
        <f>L213*$D213</f>
        <v/>
      </c>
      <c r="X213" s="3">
        <f>M213*$D213</f>
        <v/>
      </c>
      <c r="Y213" s="3">
        <f>N213*$D213</f>
        <v/>
      </c>
      <c r="Z213" s="3">
        <f>C213*$D213</f>
        <v/>
      </c>
      <c r="AA213" s="9">
        <f>$L978+$K978*E213+$J978*F213+$I978*G213+$H978*H213+$G978*I213+$F978*J213+$E978*K213+$D978*L213+$C978*M213+$B978*N213</f>
        <v/>
      </c>
      <c r="AB213" s="9">
        <f>C213-AA213</f>
        <v/>
      </c>
      <c r="AC213" s="4">
        <f>AB213^2</f>
        <v/>
      </c>
    </row>
    <row r="214">
      <c r="A214" t="inlineStr">
        <is>
          <t>BBG000BQQH30</t>
        </is>
      </c>
      <c r="B214" t="inlineStr">
        <is>
          <t>cop</t>
        </is>
      </c>
      <c r="C214" s="9" t="n">
        <v>-0.02030635243400614</v>
      </c>
      <c r="D214" s="3">
        <f>EXP(0.25*'3b-d Exposures'!G254)</f>
        <v/>
      </c>
      <c r="E214" s="3">
        <f>IF('3b-d Exposures'!C254="",0,'3b-d Exposures'!C254)</f>
        <v/>
      </c>
      <c r="F214" s="3">
        <f>IF('3b-d Exposures'!E254="",0,'3b-d Exposures'!E254)</f>
        <v/>
      </c>
      <c r="G214" s="3">
        <f>IF('3b-d Exposures'!G254="",0,'3b-d Exposures'!G254)</f>
        <v/>
      </c>
      <c r="H214" s="3">
        <f>IF('3b-d Exposures'!I254="",0,'3b-d Exposures'!I254)</f>
        <v/>
      </c>
      <c r="I214" s="3">
        <f>IF('3b-d Exposures'!K254="",0,'3b-d Exposures'!K254)</f>
        <v/>
      </c>
      <c r="J214" s="3">
        <f>IF('3b-d Exposures'!M254="",0,'3b-d Exposures'!M254)</f>
        <v/>
      </c>
      <c r="K214" s="3">
        <f>IF('3b-d Exposures'!O254="",0,'3b-d Exposures'!O254)</f>
        <v/>
      </c>
      <c r="L214" s="3">
        <f>IF('3b-d Exposures'!Q254="",0,'3b-d Exposures'!Q254)</f>
        <v/>
      </c>
      <c r="M214" s="3">
        <f>IF('3b-d Exposures'!S254="",0,'3b-d Exposures'!S254)</f>
        <v/>
      </c>
      <c r="N214" s="3">
        <f>IF('3b-d Exposures'!Z254="",0,'3b-d Exposures'!Z254)</f>
        <v/>
      </c>
      <c r="O214" s="3">
        <f>$D214</f>
        <v/>
      </c>
      <c r="P214" s="3">
        <f>E214*$D214</f>
        <v/>
      </c>
      <c r="Q214" s="3">
        <f>F214*$D214</f>
        <v/>
      </c>
      <c r="R214" s="3">
        <f>G214*$D214</f>
        <v/>
      </c>
      <c r="S214" s="3">
        <f>H214*$D214</f>
        <v/>
      </c>
      <c r="T214" s="3">
        <f>I214*$D214</f>
        <v/>
      </c>
      <c r="U214" s="3">
        <f>J214*$D214</f>
        <v/>
      </c>
      <c r="V214" s="3">
        <f>K214*$D214</f>
        <v/>
      </c>
      <c r="W214" s="3">
        <f>L214*$D214</f>
        <v/>
      </c>
      <c r="X214" s="3">
        <f>M214*$D214</f>
        <v/>
      </c>
      <c r="Y214" s="3">
        <f>N214*$D214</f>
        <v/>
      </c>
      <c r="Z214" s="3">
        <f>C214*$D214</f>
        <v/>
      </c>
      <c r="AA214" s="9">
        <f>$L978+$K978*E214+$J978*F214+$I978*G214+$H978*H214+$G978*I214+$F978*J214+$E978*K214+$D978*L214+$C978*M214+$B978*N214</f>
        <v/>
      </c>
      <c r="AB214" s="9">
        <f>C214-AA214</f>
        <v/>
      </c>
      <c r="AC214" s="4">
        <f>AB214^2</f>
        <v/>
      </c>
    </row>
    <row r="215">
      <c r="A215" t="inlineStr">
        <is>
          <t>BBG000MDCQC2</t>
        </is>
      </c>
      <c r="B215" t="inlineStr">
        <is>
          <t>cor</t>
        </is>
      </c>
      <c r="C215" s="9" t="n">
        <v>-0.006678591407619616</v>
      </c>
      <c r="D215" s="3">
        <f>EXP(0.25*'3b-d Exposures'!G255)</f>
        <v/>
      </c>
      <c r="E215" s="3">
        <f>IF('3b-d Exposures'!C255="",0,'3b-d Exposures'!C255)</f>
        <v/>
      </c>
      <c r="F215" s="3">
        <f>IF('3b-d Exposures'!E255="",0,'3b-d Exposures'!E255)</f>
        <v/>
      </c>
      <c r="G215" s="3">
        <f>IF('3b-d Exposures'!G255="",0,'3b-d Exposures'!G255)</f>
        <v/>
      </c>
      <c r="H215" s="3">
        <f>IF('3b-d Exposures'!I255="",0,'3b-d Exposures'!I255)</f>
        <v/>
      </c>
      <c r="I215" s="3">
        <f>IF('3b-d Exposures'!K255="",0,'3b-d Exposures'!K255)</f>
        <v/>
      </c>
      <c r="J215" s="3">
        <f>IF('3b-d Exposures'!M255="",0,'3b-d Exposures'!M255)</f>
        <v/>
      </c>
      <c r="K215" s="3">
        <f>IF('3b-d Exposures'!O255="",0,'3b-d Exposures'!O255)</f>
        <v/>
      </c>
      <c r="L215" s="3">
        <f>IF('3b-d Exposures'!Q255="",0,'3b-d Exposures'!Q255)</f>
        <v/>
      </c>
      <c r="M215" s="3">
        <f>IF('3b-d Exposures'!S255="",0,'3b-d Exposures'!S255)</f>
        <v/>
      </c>
      <c r="N215" s="3">
        <f>IF('3b-d Exposures'!Z255="",0,'3b-d Exposures'!Z255)</f>
        <v/>
      </c>
      <c r="O215" s="3">
        <f>$D215</f>
        <v/>
      </c>
      <c r="P215" s="3">
        <f>E215*$D215</f>
        <v/>
      </c>
      <c r="Q215" s="3">
        <f>F215*$D215</f>
        <v/>
      </c>
      <c r="R215" s="3">
        <f>G215*$D215</f>
        <v/>
      </c>
      <c r="S215" s="3">
        <f>H215*$D215</f>
        <v/>
      </c>
      <c r="T215" s="3">
        <f>I215*$D215</f>
        <v/>
      </c>
      <c r="U215" s="3">
        <f>J215*$D215</f>
        <v/>
      </c>
      <c r="V215" s="3">
        <f>K215*$D215</f>
        <v/>
      </c>
      <c r="W215" s="3">
        <f>L215*$D215</f>
        <v/>
      </c>
      <c r="X215" s="3">
        <f>M215*$D215</f>
        <v/>
      </c>
      <c r="Y215" s="3">
        <f>N215*$D215</f>
        <v/>
      </c>
      <c r="Z215" s="3">
        <f>C215*$D215</f>
        <v/>
      </c>
      <c r="AA215" s="9">
        <f>$L978+$K978*E215+$J978*F215+$I978*G215+$H978*H215+$G978*I215+$F978*J215+$E978*K215+$D978*L215+$C978*M215+$B978*N215</f>
        <v/>
      </c>
      <c r="AB215" s="9">
        <f>C215-AA215</f>
        <v/>
      </c>
      <c r="AC215" s="4">
        <f>AB215^2</f>
        <v/>
      </c>
    </row>
    <row r="216">
      <c r="A216" t="inlineStr">
        <is>
          <t>BBG01L5GH011</t>
        </is>
      </c>
      <c r="B216" t="inlineStr">
        <is>
          <t>corz</t>
        </is>
      </c>
      <c r="C216" s="9" t="n">
        <v>-0.1017896968819649</v>
      </c>
      <c r="D216" s="3">
        <f>EXP(0.25*'3b-d Exposures'!G256)</f>
        <v/>
      </c>
      <c r="E216" s="3">
        <f>IF('3b-d Exposures'!C256="",0,'3b-d Exposures'!C256)</f>
        <v/>
      </c>
      <c r="F216" s="3">
        <f>IF('3b-d Exposures'!E256="",0,'3b-d Exposures'!E256)</f>
        <v/>
      </c>
      <c r="G216" s="3">
        <f>IF('3b-d Exposures'!G256="",0,'3b-d Exposures'!G256)</f>
        <v/>
      </c>
      <c r="H216" s="3">
        <f>IF('3b-d Exposures'!I256="",0,'3b-d Exposures'!I256)</f>
        <v/>
      </c>
      <c r="I216" s="3">
        <f>IF('3b-d Exposures'!K256="",0,'3b-d Exposures'!K256)</f>
        <v/>
      </c>
      <c r="J216" s="3">
        <f>IF('3b-d Exposures'!M256="",0,'3b-d Exposures'!M256)</f>
        <v/>
      </c>
      <c r="K216" s="3">
        <f>IF('3b-d Exposures'!O256="",0,'3b-d Exposures'!O256)</f>
        <v/>
      </c>
      <c r="L216" s="3">
        <f>IF('3b-d Exposures'!Q256="",0,'3b-d Exposures'!Q256)</f>
        <v/>
      </c>
      <c r="M216" s="3">
        <f>IF('3b-d Exposures'!S256="",0,'3b-d Exposures'!S256)</f>
        <v/>
      </c>
      <c r="N216" s="3">
        <f>IF('3b-d Exposures'!Z256="",0,'3b-d Exposures'!Z256)</f>
        <v/>
      </c>
      <c r="O216" s="3">
        <f>$D216</f>
        <v/>
      </c>
      <c r="P216" s="3">
        <f>E216*$D216</f>
        <v/>
      </c>
      <c r="Q216" s="3">
        <f>F216*$D216</f>
        <v/>
      </c>
      <c r="R216" s="3">
        <f>G216*$D216</f>
        <v/>
      </c>
      <c r="S216" s="3">
        <f>H216*$D216</f>
        <v/>
      </c>
      <c r="T216" s="3">
        <f>I216*$D216</f>
        <v/>
      </c>
      <c r="U216" s="3">
        <f>J216*$D216</f>
        <v/>
      </c>
      <c r="V216" s="3">
        <f>K216*$D216</f>
        <v/>
      </c>
      <c r="W216" s="3">
        <f>L216*$D216</f>
        <v/>
      </c>
      <c r="X216" s="3">
        <f>M216*$D216</f>
        <v/>
      </c>
      <c r="Y216" s="3">
        <f>N216*$D216</f>
        <v/>
      </c>
      <c r="Z216" s="3">
        <f>C216*$D216</f>
        <v/>
      </c>
      <c r="AA216" s="9">
        <f>$L978+$K978*E216+$J978*F216+$I978*G216+$H978*H216+$G978*I216+$F978*J216+$E978*K216+$D978*L216+$C978*M216+$B978*N216</f>
        <v/>
      </c>
      <c r="AB216" s="9">
        <f>C216-AA216</f>
        <v/>
      </c>
      <c r="AC216" s="4">
        <f>AB216^2</f>
        <v/>
      </c>
    </row>
    <row r="217">
      <c r="A217" t="inlineStr">
        <is>
          <t>cost</t>
        </is>
      </c>
      <c r="B217" t="inlineStr">
        <is>
          <t>cost</t>
        </is>
      </c>
      <c r="C217" s="9" t="n">
        <v>0.003210351219171903</v>
      </c>
      <c r="D217" s="3">
        <f>EXP(0.25*'3b-d Exposures'!G258)</f>
        <v/>
      </c>
      <c r="E217" s="3">
        <f>IF('3b-d Exposures'!C258="",0,'3b-d Exposures'!C258)</f>
        <v/>
      </c>
      <c r="F217" s="3">
        <f>IF('3b-d Exposures'!E258="",0,'3b-d Exposures'!E258)</f>
        <v/>
      </c>
      <c r="G217" s="3">
        <f>IF('3b-d Exposures'!G258="",0,'3b-d Exposures'!G258)</f>
        <v/>
      </c>
      <c r="H217" s="3">
        <f>IF('3b-d Exposures'!I258="",0,'3b-d Exposures'!I258)</f>
        <v/>
      </c>
      <c r="I217" s="3">
        <f>IF('3b-d Exposures'!K258="",0,'3b-d Exposures'!K258)</f>
        <v/>
      </c>
      <c r="J217" s="3">
        <f>IF('3b-d Exposures'!M258="",0,'3b-d Exposures'!M258)</f>
        <v/>
      </c>
      <c r="K217" s="3">
        <f>IF('3b-d Exposures'!O258="",0,'3b-d Exposures'!O258)</f>
        <v/>
      </c>
      <c r="L217" s="3">
        <f>IF('3b-d Exposures'!Q258="",0,'3b-d Exposures'!Q258)</f>
        <v/>
      </c>
      <c r="M217" s="3">
        <f>IF('3b-d Exposures'!S258="",0,'3b-d Exposures'!S258)</f>
        <v/>
      </c>
      <c r="N217" s="3">
        <f>IF('3b-d Exposures'!Z258="",0,'3b-d Exposures'!Z258)</f>
        <v/>
      </c>
      <c r="O217" s="3">
        <f>$D217</f>
        <v/>
      </c>
      <c r="P217" s="3">
        <f>E217*$D217</f>
        <v/>
      </c>
      <c r="Q217" s="3">
        <f>F217*$D217</f>
        <v/>
      </c>
      <c r="R217" s="3">
        <f>G217*$D217</f>
        <v/>
      </c>
      <c r="S217" s="3">
        <f>H217*$D217</f>
        <v/>
      </c>
      <c r="T217" s="3">
        <f>I217*$D217</f>
        <v/>
      </c>
      <c r="U217" s="3">
        <f>J217*$D217</f>
        <v/>
      </c>
      <c r="V217" s="3">
        <f>K217*$D217</f>
        <v/>
      </c>
      <c r="W217" s="3">
        <f>L217*$D217</f>
        <v/>
      </c>
      <c r="X217" s="3">
        <f>M217*$D217</f>
        <v/>
      </c>
      <c r="Y217" s="3">
        <f>N217*$D217</f>
        <v/>
      </c>
      <c r="Z217" s="3">
        <f>C217*$D217</f>
        <v/>
      </c>
      <c r="AA217" s="9">
        <f>$L978+$K978*E217+$J978*F217+$I978*G217+$H978*H217+$G978*I217+$F978*J217+$E978*K217+$D978*L217+$C978*M217+$B978*N217</f>
        <v/>
      </c>
      <c r="AB217" s="9">
        <f>C217-AA217</f>
        <v/>
      </c>
      <c r="AC217" s="4">
        <f>AB217^2</f>
        <v/>
      </c>
    </row>
    <row r="218">
      <c r="A218" t="inlineStr">
        <is>
          <t>BBG000F395V1</t>
        </is>
      </c>
      <c r="B218" t="inlineStr">
        <is>
          <t>coty</t>
        </is>
      </c>
      <c r="C218" s="9" t="n">
        <v>0.03518271090382075</v>
      </c>
      <c r="D218" s="3">
        <f>EXP(0.25*'3b-d Exposures'!G259)</f>
        <v/>
      </c>
      <c r="E218" s="3">
        <f>IF('3b-d Exposures'!C259="",0,'3b-d Exposures'!C259)</f>
        <v/>
      </c>
      <c r="F218" s="3">
        <f>IF('3b-d Exposures'!E259="",0,'3b-d Exposures'!E259)</f>
        <v/>
      </c>
      <c r="G218" s="3">
        <f>IF('3b-d Exposures'!G259="",0,'3b-d Exposures'!G259)</f>
        <v/>
      </c>
      <c r="H218" s="3">
        <f>IF('3b-d Exposures'!I259="",0,'3b-d Exposures'!I259)</f>
        <v/>
      </c>
      <c r="I218" s="3">
        <f>IF('3b-d Exposures'!K259="",0,'3b-d Exposures'!K259)</f>
        <v/>
      </c>
      <c r="J218" s="3">
        <f>IF('3b-d Exposures'!M259="",0,'3b-d Exposures'!M259)</f>
        <v/>
      </c>
      <c r="K218" s="3">
        <f>IF('3b-d Exposures'!O259="",0,'3b-d Exposures'!O259)</f>
        <v/>
      </c>
      <c r="L218" s="3">
        <f>IF('3b-d Exposures'!Q259="",0,'3b-d Exposures'!Q259)</f>
        <v/>
      </c>
      <c r="M218" s="3">
        <f>IF('3b-d Exposures'!S259="",0,'3b-d Exposures'!S259)</f>
        <v/>
      </c>
      <c r="N218" s="3">
        <f>IF('3b-d Exposures'!Z259="",0,'3b-d Exposures'!Z259)</f>
        <v/>
      </c>
      <c r="O218" s="3">
        <f>$D218</f>
        <v/>
      </c>
      <c r="P218" s="3">
        <f>E218*$D218</f>
        <v/>
      </c>
      <c r="Q218" s="3">
        <f>F218*$D218</f>
        <v/>
      </c>
      <c r="R218" s="3">
        <f>G218*$D218</f>
        <v/>
      </c>
      <c r="S218" s="3">
        <f>H218*$D218</f>
        <v/>
      </c>
      <c r="T218" s="3">
        <f>I218*$D218</f>
        <v/>
      </c>
      <c r="U218" s="3">
        <f>J218*$D218</f>
        <v/>
      </c>
      <c r="V218" s="3">
        <f>K218*$D218</f>
        <v/>
      </c>
      <c r="W218" s="3">
        <f>L218*$D218</f>
        <v/>
      </c>
      <c r="X218" s="3">
        <f>M218*$D218</f>
        <v/>
      </c>
      <c r="Y218" s="3">
        <f>N218*$D218</f>
        <v/>
      </c>
      <c r="Z218" s="3">
        <f>C218*$D218</f>
        <v/>
      </c>
      <c r="AA218" s="9">
        <f>$L978+$K978*E218+$J978*F218+$I978*G218+$H978*H218+$G978*I218+$F978*J218+$E978*K218+$D978*L218+$C978*M218+$B978*N218</f>
        <v/>
      </c>
      <c r="AB218" s="9">
        <f>C218-AA218</f>
        <v/>
      </c>
      <c r="AC218" s="4">
        <f>AB218^2</f>
        <v/>
      </c>
    </row>
    <row r="219">
      <c r="A219" t="inlineStr">
        <is>
          <t>BBG002WLDMW5</t>
        </is>
      </c>
      <c r="B219" t="inlineStr">
        <is>
          <t>cour</t>
        </is>
      </c>
      <c r="C219" s="9" t="n">
        <v>0.04150942536142765</v>
      </c>
      <c r="D219" s="3">
        <f>EXP(0.25*'3b-d Exposures'!G260)</f>
        <v/>
      </c>
      <c r="E219" s="3">
        <f>IF('3b-d Exposures'!C260="",0,'3b-d Exposures'!C260)</f>
        <v/>
      </c>
      <c r="F219" s="3">
        <f>IF('3b-d Exposures'!E260="",0,'3b-d Exposures'!E260)</f>
        <v/>
      </c>
      <c r="G219" s="3">
        <f>IF('3b-d Exposures'!G260="",0,'3b-d Exposures'!G260)</f>
        <v/>
      </c>
      <c r="H219" s="3">
        <f>IF('3b-d Exposures'!I260="",0,'3b-d Exposures'!I260)</f>
        <v/>
      </c>
      <c r="I219" s="3">
        <f>IF('3b-d Exposures'!K260="",0,'3b-d Exposures'!K260)</f>
        <v/>
      </c>
      <c r="J219" s="3">
        <f>IF('3b-d Exposures'!M260="",0,'3b-d Exposures'!M260)</f>
        <v/>
      </c>
      <c r="K219" s="3">
        <f>IF('3b-d Exposures'!O260="",0,'3b-d Exposures'!O260)</f>
        <v/>
      </c>
      <c r="L219" s="3">
        <f>IF('3b-d Exposures'!Q260="",0,'3b-d Exposures'!Q260)</f>
        <v/>
      </c>
      <c r="M219" s="3">
        <f>IF('3b-d Exposures'!S260="",0,'3b-d Exposures'!S260)</f>
        <v/>
      </c>
      <c r="N219" s="3">
        <f>IF('3b-d Exposures'!Z260="",0,'3b-d Exposures'!Z260)</f>
        <v/>
      </c>
      <c r="O219" s="3">
        <f>$D219</f>
        <v/>
      </c>
      <c r="P219" s="3">
        <f>E219*$D219</f>
        <v/>
      </c>
      <c r="Q219" s="3">
        <f>F219*$D219</f>
        <v/>
      </c>
      <c r="R219" s="3">
        <f>G219*$D219</f>
        <v/>
      </c>
      <c r="S219" s="3">
        <f>H219*$D219</f>
        <v/>
      </c>
      <c r="T219" s="3">
        <f>I219*$D219</f>
        <v/>
      </c>
      <c r="U219" s="3">
        <f>J219*$D219</f>
        <v/>
      </c>
      <c r="V219" s="3">
        <f>K219*$D219</f>
        <v/>
      </c>
      <c r="W219" s="3">
        <f>L219*$D219</f>
        <v/>
      </c>
      <c r="X219" s="3">
        <f>M219*$D219</f>
        <v/>
      </c>
      <c r="Y219" s="3">
        <f>N219*$D219</f>
        <v/>
      </c>
      <c r="Z219" s="3">
        <f>C219*$D219</f>
        <v/>
      </c>
      <c r="AA219" s="9">
        <f>$L978+$K978*E219+$J978*F219+$I978*G219+$H978*H219+$G978*I219+$F978*J219+$E978*K219+$D978*L219+$C978*M219+$B978*N219</f>
        <v/>
      </c>
      <c r="AB219" s="9">
        <f>C219-AA219</f>
        <v/>
      </c>
      <c r="AC219" s="4">
        <f>AB219^2</f>
        <v/>
      </c>
    </row>
    <row r="220">
      <c r="A220" t="inlineStr">
        <is>
          <t>BBG000BCVMH9</t>
        </is>
      </c>
      <c r="B220" t="inlineStr">
        <is>
          <t>cp</t>
        </is>
      </c>
      <c r="C220" s="9" t="n">
        <v>-0.003655736687140476</v>
      </c>
      <c r="D220" s="3">
        <f>EXP(0.25*'3b-d Exposures'!G261)</f>
        <v/>
      </c>
      <c r="E220" s="3">
        <f>IF('3b-d Exposures'!C261="",0,'3b-d Exposures'!C261)</f>
        <v/>
      </c>
      <c r="F220" s="3">
        <f>IF('3b-d Exposures'!E261="",0,'3b-d Exposures'!E261)</f>
        <v/>
      </c>
      <c r="G220" s="3">
        <f>IF('3b-d Exposures'!G261="",0,'3b-d Exposures'!G261)</f>
        <v/>
      </c>
      <c r="H220" s="3">
        <f>IF('3b-d Exposures'!I261="",0,'3b-d Exposures'!I261)</f>
        <v/>
      </c>
      <c r="I220" s="3">
        <f>IF('3b-d Exposures'!K261="",0,'3b-d Exposures'!K261)</f>
        <v/>
      </c>
      <c r="J220" s="3">
        <f>IF('3b-d Exposures'!M261="",0,'3b-d Exposures'!M261)</f>
        <v/>
      </c>
      <c r="K220" s="3">
        <f>IF('3b-d Exposures'!O261="",0,'3b-d Exposures'!O261)</f>
        <v/>
      </c>
      <c r="L220" s="3">
        <f>IF('3b-d Exposures'!Q261="",0,'3b-d Exposures'!Q261)</f>
        <v/>
      </c>
      <c r="M220" s="3">
        <f>IF('3b-d Exposures'!S261="",0,'3b-d Exposures'!S261)</f>
        <v/>
      </c>
      <c r="N220" s="3">
        <f>IF('3b-d Exposures'!Z261="",0,'3b-d Exposures'!Z261)</f>
        <v/>
      </c>
      <c r="O220" s="3">
        <f>$D220</f>
        <v/>
      </c>
      <c r="P220" s="3">
        <f>E220*$D220</f>
        <v/>
      </c>
      <c r="Q220" s="3">
        <f>F220*$D220</f>
        <v/>
      </c>
      <c r="R220" s="3">
        <f>G220*$D220</f>
        <v/>
      </c>
      <c r="S220" s="3">
        <f>H220*$D220</f>
        <v/>
      </c>
      <c r="T220" s="3">
        <f>I220*$D220</f>
        <v/>
      </c>
      <c r="U220" s="3">
        <f>J220*$D220</f>
        <v/>
      </c>
      <c r="V220" s="3">
        <f>K220*$D220</f>
        <v/>
      </c>
      <c r="W220" s="3">
        <f>L220*$D220</f>
        <v/>
      </c>
      <c r="X220" s="3">
        <f>M220*$D220</f>
        <v/>
      </c>
      <c r="Y220" s="3">
        <f>N220*$D220</f>
        <v/>
      </c>
      <c r="Z220" s="3">
        <f>C220*$D220</f>
        <v/>
      </c>
      <c r="AA220" s="9">
        <f>$L978+$K978*E220+$J978*F220+$I978*G220+$H978*H220+$G978*I220+$F978*J220+$E978*K220+$D978*L220+$C978*M220+$B978*N220</f>
        <v/>
      </c>
      <c r="AB220" s="9">
        <f>C220-AA220</f>
        <v/>
      </c>
      <c r="AC220" s="4">
        <f>AB220^2</f>
        <v/>
      </c>
    </row>
    <row r="221">
      <c r="A221" t="inlineStr">
        <is>
          <t>cpay</t>
        </is>
      </c>
      <c r="B221" t="inlineStr">
        <is>
          <t>cpay</t>
        </is>
      </c>
      <c r="C221" s="9" t="n">
        <v>0.004748406509712311</v>
      </c>
      <c r="D221" s="3">
        <f>EXP(0.25*'3b-d Exposures'!G262)</f>
        <v/>
      </c>
      <c r="E221" s="3">
        <f>IF('3b-d Exposures'!C262="",0,'3b-d Exposures'!C262)</f>
        <v/>
      </c>
      <c r="F221" s="3">
        <f>IF('3b-d Exposures'!E262="",0,'3b-d Exposures'!E262)</f>
        <v/>
      </c>
      <c r="G221" s="3">
        <f>IF('3b-d Exposures'!G262="",0,'3b-d Exposures'!G262)</f>
        <v/>
      </c>
      <c r="H221" s="3">
        <f>IF('3b-d Exposures'!I262="",0,'3b-d Exposures'!I262)</f>
        <v/>
      </c>
      <c r="I221" s="3">
        <f>IF('3b-d Exposures'!K262="",0,'3b-d Exposures'!K262)</f>
        <v/>
      </c>
      <c r="J221" s="3">
        <f>IF('3b-d Exposures'!M262="",0,'3b-d Exposures'!M262)</f>
        <v/>
      </c>
      <c r="K221" s="3">
        <f>IF('3b-d Exposures'!O262="",0,'3b-d Exposures'!O262)</f>
        <v/>
      </c>
      <c r="L221" s="3">
        <f>IF('3b-d Exposures'!Q262="",0,'3b-d Exposures'!Q262)</f>
        <v/>
      </c>
      <c r="M221" s="3">
        <f>IF('3b-d Exposures'!S262="",0,'3b-d Exposures'!S262)</f>
        <v/>
      </c>
      <c r="N221" s="3">
        <f>IF('3b-d Exposures'!Z262="",0,'3b-d Exposures'!Z262)</f>
        <v/>
      </c>
      <c r="O221" s="3">
        <f>$D221</f>
        <v/>
      </c>
      <c r="P221" s="3">
        <f>E221*$D221</f>
        <v/>
      </c>
      <c r="Q221" s="3">
        <f>F221*$D221</f>
        <v/>
      </c>
      <c r="R221" s="3">
        <f>G221*$D221</f>
        <v/>
      </c>
      <c r="S221" s="3">
        <f>H221*$D221</f>
        <v/>
      </c>
      <c r="T221" s="3">
        <f>I221*$D221</f>
        <v/>
      </c>
      <c r="U221" s="3">
        <f>J221*$D221</f>
        <v/>
      </c>
      <c r="V221" s="3">
        <f>K221*$D221</f>
        <v/>
      </c>
      <c r="W221" s="3">
        <f>L221*$D221</f>
        <v/>
      </c>
      <c r="X221" s="3">
        <f>M221*$D221</f>
        <v/>
      </c>
      <c r="Y221" s="3">
        <f>N221*$D221</f>
        <v/>
      </c>
      <c r="Z221" s="3">
        <f>C221*$D221</f>
        <v/>
      </c>
      <c r="AA221" s="9">
        <f>$L978+$K978*E221+$J978*F221+$I978*G221+$H978*H221+$G978*I221+$F978*J221+$E978*K221+$D978*L221+$C978*M221+$B978*N221</f>
        <v/>
      </c>
      <c r="AB221" s="9">
        <f>C221-AA221</f>
        <v/>
      </c>
      <c r="AC221" s="4">
        <f>AB221^2</f>
        <v/>
      </c>
    </row>
    <row r="222">
      <c r="A222" t="inlineStr">
        <is>
          <t>BBG000BG4202</t>
        </is>
      </c>
      <c r="B222" t="inlineStr">
        <is>
          <t>cpb</t>
        </is>
      </c>
      <c r="C222" s="9" t="n">
        <v>0.0006494523905142824</v>
      </c>
      <c r="D222" s="3">
        <f>EXP(0.25*'3b-d Exposures'!G263)</f>
        <v/>
      </c>
      <c r="E222" s="3">
        <f>IF('3b-d Exposures'!C263="",0,'3b-d Exposures'!C263)</f>
        <v/>
      </c>
      <c r="F222" s="3">
        <f>IF('3b-d Exposures'!E263="",0,'3b-d Exposures'!E263)</f>
        <v/>
      </c>
      <c r="G222" s="3">
        <f>IF('3b-d Exposures'!G263="",0,'3b-d Exposures'!G263)</f>
        <v/>
      </c>
      <c r="H222" s="3">
        <f>IF('3b-d Exposures'!I263="",0,'3b-d Exposures'!I263)</f>
        <v/>
      </c>
      <c r="I222" s="3">
        <f>IF('3b-d Exposures'!K263="",0,'3b-d Exposures'!K263)</f>
        <v/>
      </c>
      <c r="J222" s="3">
        <f>IF('3b-d Exposures'!M263="",0,'3b-d Exposures'!M263)</f>
        <v/>
      </c>
      <c r="K222" s="3">
        <f>IF('3b-d Exposures'!O263="",0,'3b-d Exposures'!O263)</f>
        <v/>
      </c>
      <c r="L222" s="3">
        <f>IF('3b-d Exposures'!Q263="",0,'3b-d Exposures'!Q263)</f>
        <v/>
      </c>
      <c r="M222" s="3">
        <f>IF('3b-d Exposures'!S263="",0,'3b-d Exposures'!S263)</f>
        <v/>
      </c>
      <c r="N222" s="3">
        <f>IF('3b-d Exposures'!Z263="",0,'3b-d Exposures'!Z263)</f>
        <v/>
      </c>
      <c r="O222" s="3">
        <f>$D222</f>
        <v/>
      </c>
      <c r="P222" s="3">
        <f>E222*$D222</f>
        <v/>
      </c>
      <c r="Q222" s="3">
        <f>F222*$D222</f>
        <v/>
      </c>
      <c r="R222" s="3">
        <f>G222*$D222</f>
        <v/>
      </c>
      <c r="S222" s="3">
        <f>H222*$D222</f>
        <v/>
      </c>
      <c r="T222" s="3">
        <f>I222*$D222</f>
        <v/>
      </c>
      <c r="U222" s="3">
        <f>J222*$D222</f>
        <v/>
      </c>
      <c r="V222" s="3">
        <f>K222*$D222</f>
        <v/>
      </c>
      <c r="W222" s="3">
        <f>L222*$D222</f>
        <v/>
      </c>
      <c r="X222" s="3">
        <f>M222*$D222</f>
        <v/>
      </c>
      <c r="Y222" s="3">
        <f>N222*$D222</f>
        <v/>
      </c>
      <c r="Z222" s="3">
        <f>C222*$D222</f>
        <v/>
      </c>
      <c r="AA222" s="9">
        <f>$L978+$K978*E222+$J978*F222+$I978*G222+$H978*H222+$G978*I222+$F978*J222+$E978*K222+$D978*L222+$C978*M222+$B978*N222</f>
        <v/>
      </c>
      <c r="AB222" s="9">
        <f>C222-AA222</f>
        <v/>
      </c>
      <c r="AC222" s="4">
        <f>AB222^2</f>
        <v/>
      </c>
    </row>
    <row r="223">
      <c r="A223" t="inlineStr">
        <is>
          <t>BBG000G4GKH3</t>
        </is>
      </c>
      <c r="B223" t="inlineStr">
        <is>
          <t>cpk</t>
        </is>
      </c>
      <c r="C223" s="9" t="n">
        <v>0.004857846231264729</v>
      </c>
      <c r="D223" s="3">
        <f>EXP(0.25*'3b-d Exposures'!G264)</f>
        <v/>
      </c>
      <c r="E223" s="3">
        <f>IF('3b-d Exposures'!C264="",0,'3b-d Exposures'!C264)</f>
        <v/>
      </c>
      <c r="F223" s="3">
        <f>IF('3b-d Exposures'!E264="",0,'3b-d Exposures'!E264)</f>
        <v/>
      </c>
      <c r="G223" s="3">
        <f>IF('3b-d Exposures'!G264="",0,'3b-d Exposures'!G264)</f>
        <v/>
      </c>
      <c r="H223" s="3">
        <f>IF('3b-d Exposures'!I264="",0,'3b-d Exposures'!I264)</f>
        <v/>
      </c>
      <c r="I223" s="3">
        <f>IF('3b-d Exposures'!K264="",0,'3b-d Exposures'!K264)</f>
        <v/>
      </c>
      <c r="J223" s="3">
        <f>IF('3b-d Exposures'!M264="",0,'3b-d Exposures'!M264)</f>
        <v/>
      </c>
      <c r="K223" s="3">
        <f>IF('3b-d Exposures'!O264="",0,'3b-d Exposures'!O264)</f>
        <v/>
      </c>
      <c r="L223" s="3">
        <f>IF('3b-d Exposures'!Q264="",0,'3b-d Exposures'!Q264)</f>
        <v/>
      </c>
      <c r="M223" s="3">
        <f>IF('3b-d Exposures'!S264="",0,'3b-d Exposures'!S264)</f>
        <v/>
      </c>
      <c r="N223" s="3">
        <f>IF('3b-d Exposures'!Z264="",0,'3b-d Exposures'!Z264)</f>
        <v/>
      </c>
      <c r="O223" s="3">
        <f>$D223</f>
        <v/>
      </c>
      <c r="P223" s="3">
        <f>E223*$D223</f>
        <v/>
      </c>
      <c r="Q223" s="3">
        <f>F223*$D223</f>
        <v/>
      </c>
      <c r="R223" s="3">
        <f>G223*$D223</f>
        <v/>
      </c>
      <c r="S223" s="3">
        <f>H223*$D223</f>
        <v/>
      </c>
      <c r="T223" s="3">
        <f>I223*$D223</f>
        <v/>
      </c>
      <c r="U223" s="3">
        <f>J223*$D223</f>
        <v/>
      </c>
      <c r="V223" s="3">
        <f>K223*$D223</f>
        <v/>
      </c>
      <c r="W223" s="3">
        <f>L223*$D223</f>
        <v/>
      </c>
      <c r="X223" s="3">
        <f>M223*$D223</f>
        <v/>
      </c>
      <c r="Y223" s="3">
        <f>N223*$D223</f>
        <v/>
      </c>
      <c r="Z223" s="3">
        <f>C223*$D223</f>
        <v/>
      </c>
      <c r="AA223" s="9">
        <f>$L978+$K978*E223+$J978*F223+$I978*G223+$H978*H223+$G978*I223+$F978*J223+$E978*K223+$D978*L223+$C978*M223+$B978*N223</f>
        <v/>
      </c>
      <c r="AB223" s="9">
        <f>C223-AA223</f>
        <v/>
      </c>
      <c r="AC223" s="4">
        <f>AB223^2</f>
        <v/>
      </c>
    </row>
    <row r="224">
      <c r="A224" t="inlineStr">
        <is>
          <t>BBG000BM9RH1</t>
        </is>
      </c>
      <c r="B224" t="inlineStr">
        <is>
          <t>cprt</t>
        </is>
      </c>
      <c r="C224" s="9" t="n">
        <v>-0.02161222503669069</v>
      </c>
      <c r="D224" s="3">
        <f>EXP(0.25*'3b-d Exposures'!G266)</f>
        <v/>
      </c>
      <c r="E224" s="3">
        <f>IF('3b-d Exposures'!C266="",0,'3b-d Exposures'!C266)</f>
        <v/>
      </c>
      <c r="F224" s="3">
        <f>IF('3b-d Exposures'!E266="",0,'3b-d Exposures'!E266)</f>
        <v/>
      </c>
      <c r="G224" s="3">
        <f>IF('3b-d Exposures'!G266="",0,'3b-d Exposures'!G266)</f>
        <v/>
      </c>
      <c r="H224" s="3">
        <f>IF('3b-d Exposures'!I266="",0,'3b-d Exposures'!I266)</f>
        <v/>
      </c>
      <c r="I224" s="3">
        <f>IF('3b-d Exposures'!K266="",0,'3b-d Exposures'!K266)</f>
        <v/>
      </c>
      <c r="J224" s="3">
        <f>IF('3b-d Exposures'!M266="",0,'3b-d Exposures'!M266)</f>
        <v/>
      </c>
      <c r="K224" s="3">
        <f>IF('3b-d Exposures'!O266="",0,'3b-d Exposures'!O266)</f>
        <v/>
      </c>
      <c r="L224" s="3">
        <f>IF('3b-d Exposures'!Q266="",0,'3b-d Exposures'!Q266)</f>
        <v/>
      </c>
      <c r="M224" s="3">
        <f>IF('3b-d Exposures'!S266="",0,'3b-d Exposures'!S266)</f>
        <v/>
      </c>
      <c r="N224" s="3">
        <f>IF('3b-d Exposures'!Z266="",0,'3b-d Exposures'!Z266)</f>
        <v/>
      </c>
      <c r="O224" s="3">
        <f>$D224</f>
        <v/>
      </c>
      <c r="P224" s="3">
        <f>E224*$D224</f>
        <v/>
      </c>
      <c r="Q224" s="3">
        <f>F224*$D224</f>
        <v/>
      </c>
      <c r="R224" s="3">
        <f>G224*$D224</f>
        <v/>
      </c>
      <c r="S224" s="3">
        <f>H224*$D224</f>
        <v/>
      </c>
      <c r="T224" s="3">
        <f>I224*$D224</f>
        <v/>
      </c>
      <c r="U224" s="3">
        <f>J224*$D224</f>
        <v/>
      </c>
      <c r="V224" s="3">
        <f>K224*$D224</f>
        <v/>
      </c>
      <c r="W224" s="3">
        <f>L224*$D224</f>
        <v/>
      </c>
      <c r="X224" s="3">
        <f>M224*$D224</f>
        <v/>
      </c>
      <c r="Y224" s="3">
        <f>N224*$D224</f>
        <v/>
      </c>
      <c r="Z224" s="3">
        <f>C224*$D224</f>
        <v/>
      </c>
      <c r="AA224" s="9">
        <f>$L978+$K978*E224+$J978*F224+$I978*G224+$H978*H224+$G978*I224+$F978*J224+$E978*K224+$D978*L224+$C978*M224+$B978*N224</f>
        <v/>
      </c>
      <c r="AB224" s="9">
        <f>C224-AA224</f>
        <v/>
      </c>
      <c r="AC224" s="4">
        <f>AB224^2</f>
        <v/>
      </c>
    </row>
    <row r="225">
      <c r="A225" t="inlineStr">
        <is>
          <t>cpt</t>
        </is>
      </c>
      <c r="B225" t="inlineStr">
        <is>
          <t>cpt</t>
        </is>
      </c>
      <c r="C225" s="9" t="n">
        <v>-0.01470591069045346</v>
      </c>
      <c r="D225" s="3">
        <f>EXP(0.25*'3b-d Exposures'!G267)</f>
        <v/>
      </c>
      <c r="E225" s="3">
        <f>IF('3b-d Exposures'!C267="",0,'3b-d Exposures'!C267)</f>
        <v/>
      </c>
      <c r="F225" s="3">
        <f>IF('3b-d Exposures'!E267="",0,'3b-d Exposures'!E267)</f>
        <v/>
      </c>
      <c r="G225" s="3">
        <f>IF('3b-d Exposures'!G267="",0,'3b-d Exposures'!G267)</f>
        <v/>
      </c>
      <c r="H225" s="3">
        <f>IF('3b-d Exposures'!I267="",0,'3b-d Exposures'!I267)</f>
        <v/>
      </c>
      <c r="I225" s="3">
        <f>IF('3b-d Exposures'!K267="",0,'3b-d Exposures'!K267)</f>
        <v/>
      </c>
      <c r="J225" s="3">
        <f>IF('3b-d Exposures'!M267="",0,'3b-d Exposures'!M267)</f>
        <v/>
      </c>
      <c r="K225" s="3">
        <f>IF('3b-d Exposures'!O267="",0,'3b-d Exposures'!O267)</f>
        <v/>
      </c>
      <c r="L225" s="3">
        <f>IF('3b-d Exposures'!Q267="",0,'3b-d Exposures'!Q267)</f>
        <v/>
      </c>
      <c r="M225" s="3">
        <f>IF('3b-d Exposures'!S267="",0,'3b-d Exposures'!S267)</f>
        <v/>
      </c>
      <c r="N225" s="3">
        <f>IF('3b-d Exposures'!Z267="",0,'3b-d Exposures'!Z267)</f>
        <v/>
      </c>
      <c r="O225" s="3">
        <f>$D225</f>
        <v/>
      </c>
      <c r="P225" s="3">
        <f>E225*$D225</f>
        <v/>
      </c>
      <c r="Q225" s="3">
        <f>F225*$D225</f>
        <v/>
      </c>
      <c r="R225" s="3">
        <f>G225*$D225</f>
        <v/>
      </c>
      <c r="S225" s="3">
        <f>H225*$D225</f>
        <v/>
      </c>
      <c r="T225" s="3">
        <f>I225*$D225</f>
        <v/>
      </c>
      <c r="U225" s="3">
        <f>J225*$D225</f>
        <v/>
      </c>
      <c r="V225" s="3">
        <f>K225*$D225</f>
        <v/>
      </c>
      <c r="W225" s="3">
        <f>L225*$D225</f>
        <v/>
      </c>
      <c r="X225" s="3">
        <f>M225*$D225</f>
        <v/>
      </c>
      <c r="Y225" s="3">
        <f>N225*$D225</f>
        <v/>
      </c>
      <c r="Z225" s="3">
        <f>C225*$D225</f>
        <v/>
      </c>
      <c r="AA225" s="9">
        <f>$L978+$K978*E225+$J978*F225+$I978*G225+$H978*H225+$G978*I225+$F978*J225+$E978*K225+$D978*L225+$C978*M225+$B978*N225</f>
        <v/>
      </c>
      <c r="AB225" s="9">
        <f>C225-AA225</f>
        <v/>
      </c>
      <c r="AC225" s="4">
        <f>AB225^2</f>
        <v/>
      </c>
    </row>
    <row r="226">
      <c r="A226" t="inlineStr">
        <is>
          <t>BBG016HJ8729</t>
        </is>
      </c>
      <c r="B226" t="inlineStr">
        <is>
          <t>crbg</t>
        </is>
      </c>
      <c r="C226" s="9" t="n">
        <v>-0.01297490674639379</v>
      </c>
      <c r="D226" s="3">
        <f>EXP(0.25*'3b-d Exposures'!G268)</f>
        <v/>
      </c>
      <c r="E226" s="3">
        <f>IF('3b-d Exposures'!C268="",0,'3b-d Exposures'!C268)</f>
        <v/>
      </c>
      <c r="F226" s="3">
        <f>IF('3b-d Exposures'!E268="",0,'3b-d Exposures'!E268)</f>
        <v/>
      </c>
      <c r="G226" s="3">
        <f>IF('3b-d Exposures'!G268="",0,'3b-d Exposures'!G268)</f>
        <v/>
      </c>
      <c r="H226" s="3">
        <f>IF('3b-d Exposures'!I268="",0,'3b-d Exposures'!I268)</f>
        <v/>
      </c>
      <c r="I226" s="3">
        <f>IF('3b-d Exposures'!K268="",0,'3b-d Exposures'!K268)</f>
        <v/>
      </c>
      <c r="J226" s="3">
        <f>IF('3b-d Exposures'!M268="",0,'3b-d Exposures'!M268)</f>
        <v/>
      </c>
      <c r="K226" s="3">
        <f>IF('3b-d Exposures'!O268="",0,'3b-d Exposures'!O268)</f>
        <v/>
      </c>
      <c r="L226" s="3">
        <f>IF('3b-d Exposures'!Q268="",0,'3b-d Exposures'!Q268)</f>
        <v/>
      </c>
      <c r="M226" s="3">
        <f>IF('3b-d Exposures'!S268="",0,'3b-d Exposures'!S268)</f>
        <v/>
      </c>
      <c r="N226" s="3">
        <f>IF('3b-d Exposures'!Z268="",0,'3b-d Exposures'!Z268)</f>
        <v/>
      </c>
      <c r="O226" s="3">
        <f>$D226</f>
        <v/>
      </c>
      <c r="P226" s="3">
        <f>E226*$D226</f>
        <v/>
      </c>
      <c r="Q226" s="3">
        <f>F226*$D226</f>
        <v/>
      </c>
      <c r="R226" s="3">
        <f>G226*$D226</f>
        <v/>
      </c>
      <c r="S226" s="3">
        <f>H226*$D226</f>
        <v/>
      </c>
      <c r="T226" s="3">
        <f>I226*$D226</f>
        <v/>
      </c>
      <c r="U226" s="3">
        <f>J226*$D226</f>
        <v/>
      </c>
      <c r="V226" s="3">
        <f>K226*$D226</f>
        <v/>
      </c>
      <c r="W226" s="3">
        <f>L226*$D226</f>
        <v/>
      </c>
      <c r="X226" s="3">
        <f>M226*$D226</f>
        <v/>
      </c>
      <c r="Y226" s="3">
        <f>N226*$D226</f>
        <v/>
      </c>
      <c r="Z226" s="3">
        <f>C226*$D226</f>
        <v/>
      </c>
      <c r="AA226" s="9">
        <f>$L978+$K978*E226+$J978*F226+$I978*G226+$H978*H226+$G978*I226+$F978*J226+$E978*K226+$D978*L226+$C978*M226+$B978*N226</f>
        <v/>
      </c>
      <c r="AB226" s="9">
        <f>C226-AA226</f>
        <v/>
      </c>
      <c r="AC226" s="4">
        <f>AB226^2</f>
        <v/>
      </c>
    </row>
    <row r="227">
      <c r="A227" t="inlineStr">
        <is>
          <t>crh</t>
        </is>
      </c>
      <c r="B227" t="inlineStr">
        <is>
          <t>crh</t>
        </is>
      </c>
      <c r="C227" s="9" t="n">
        <v>0.001857837774883686</v>
      </c>
      <c r="D227" s="3">
        <f>EXP(0.25*'3b-d Exposures'!G271)</f>
        <v/>
      </c>
      <c r="E227" s="3">
        <f>IF('3b-d Exposures'!C271="",0,'3b-d Exposures'!C271)</f>
        <v/>
      </c>
      <c r="F227" s="3">
        <f>IF('3b-d Exposures'!E271="",0,'3b-d Exposures'!E271)</f>
        <v/>
      </c>
      <c r="G227" s="3">
        <f>IF('3b-d Exposures'!G271="",0,'3b-d Exposures'!G271)</f>
        <v/>
      </c>
      <c r="H227" s="3">
        <f>IF('3b-d Exposures'!I271="",0,'3b-d Exposures'!I271)</f>
        <v/>
      </c>
      <c r="I227" s="3">
        <f>IF('3b-d Exposures'!K271="",0,'3b-d Exposures'!K271)</f>
        <v/>
      </c>
      <c r="J227" s="3">
        <f>IF('3b-d Exposures'!M271="",0,'3b-d Exposures'!M271)</f>
        <v/>
      </c>
      <c r="K227" s="3">
        <f>IF('3b-d Exposures'!O271="",0,'3b-d Exposures'!O271)</f>
        <v/>
      </c>
      <c r="L227" s="3">
        <f>IF('3b-d Exposures'!Q271="",0,'3b-d Exposures'!Q271)</f>
        <v/>
      </c>
      <c r="M227" s="3">
        <f>IF('3b-d Exposures'!S271="",0,'3b-d Exposures'!S271)</f>
        <v/>
      </c>
      <c r="N227" s="3">
        <f>IF('3b-d Exposures'!Z271="",0,'3b-d Exposures'!Z271)</f>
        <v/>
      </c>
      <c r="O227" s="3">
        <f>$D227</f>
        <v/>
      </c>
      <c r="P227" s="3">
        <f>E227*$D227</f>
        <v/>
      </c>
      <c r="Q227" s="3">
        <f>F227*$D227</f>
        <v/>
      </c>
      <c r="R227" s="3">
        <f>G227*$D227</f>
        <v/>
      </c>
      <c r="S227" s="3">
        <f>H227*$D227</f>
        <v/>
      </c>
      <c r="T227" s="3">
        <f>I227*$D227</f>
        <v/>
      </c>
      <c r="U227" s="3">
        <f>J227*$D227</f>
        <v/>
      </c>
      <c r="V227" s="3">
        <f>K227*$D227</f>
        <v/>
      </c>
      <c r="W227" s="3">
        <f>L227*$D227</f>
        <v/>
      </c>
      <c r="X227" s="3">
        <f>M227*$D227</f>
        <v/>
      </c>
      <c r="Y227" s="3">
        <f>N227*$D227</f>
        <v/>
      </c>
      <c r="Z227" s="3">
        <f>C227*$D227</f>
        <v/>
      </c>
      <c r="AA227" s="9">
        <f>$L978+$K978*E227+$J978*F227+$I978*G227+$H978*H227+$G978*I227+$F978*J227+$E978*K227+$D978*L227+$C978*M227+$B978*N227</f>
        <v/>
      </c>
      <c r="AB227" s="9">
        <f>C227-AA227</f>
        <v/>
      </c>
      <c r="AC227" s="4">
        <f>AB227^2</f>
        <v/>
      </c>
    </row>
    <row r="228">
      <c r="A228" t="inlineStr">
        <is>
          <t>BBG000CTM4J9</t>
        </is>
      </c>
      <c r="B228" t="inlineStr">
        <is>
          <t>cri</t>
        </is>
      </c>
      <c r="C228" s="9" t="n">
        <v>0.04178110831379978</v>
      </c>
      <c r="D228" s="3">
        <f>EXP(0.25*'3b-d Exposures'!G272)</f>
        <v/>
      </c>
      <c r="E228" s="3">
        <f>IF('3b-d Exposures'!C272="",0,'3b-d Exposures'!C272)</f>
        <v/>
      </c>
      <c r="F228" s="3">
        <f>IF('3b-d Exposures'!E272="",0,'3b-d Exposures'!E272)</f>
        <v/>
      </c>
      <c r="G228" s="3">
        <f>IF('3b-d Exposures'!G272="",0,'3b-d Exposures'!G272)</f>
        <v/>
      </c>
      <c r="H228" s="3">
        <f>IF('3b-d Exposures'!I272="",0,'3b-d Exposures'!I272)</f>
        <v/>
      </c>
      <c r="I228" s="3">
        <f>IF('3b-d Exposures'!K272="",0,'3b-d Exposures'!K272)</f>
        <v/>
      </c>
      <c r="J228" s="3">
        <f>IF('3b-d Exposures'!M272="",0,'3b-d Exposures'!M272)</f>
        <v/>
      </c>
      <c r="K228" s="3">
        <f>IF('3b-d Exposures'!O272="",0,'3b-d Exposures'!O272)</f>
        <v/>
      </c>
      <c r="L228" s="3">
        <f>IF('3b-d Exposures'!Q272="",0,'3b-d Exposures'!Q272)</f>
        <v/>
      </c>
      <c r="M228" s="3">
        <f>IF('3b-d Exposures'!S272="",0,'3b-d Exposures'!S272)</f>
        <v/>
      </c>
      <c r="N228" s="3">
        <f>IF('3b-d Exposures'!Z272="",0,'3b-d Exposures'!Z272)</f>
        <v/>
      </c>
      <c r="O228" s="3">
        <f>$D228</f>
        <v/>
      </c>
      <c r="P228" s="3">
        <f>E228*$D228</f>
        <v/>
      </c>
      <c r="Q228" s="3">
        <f>F228*$D228</f>
        <v/>
      </c>
      <c r="R228" s="3">
        <f>G228*$D228</f>
        <v/>
      </c>
      <c r="S228" s="3">
        <f>H228*$D228</f>
        <v/>
      </c>
      <c r="T228" s="3">
        <f>I228*$D228</f>
        <v/>
      </c>
      <c r="U228" s="3">
        <f>J228*$D228</f>
        <v/>
      </c>
      <c r="V228" s="3">
        <f>K228*$D228</f>
        <v/>
      </c>
      <c r="W228" s="3">
        <f>L228*$D228</f>
        <v/>
      </c>
      <c r="X228" s="3">
        <f>M228*$D228</f>
        <v/>
      </c>
      <c r="Y228" s="3">
        <f>N228*$D228</f>
        <v/>
      </c>
      <c r="Z228" s="3">
        <f>C228*$D228</f>
        <v/>
      </c>
      <c r="AA228" s="9">
        <f>$L978+$K978*E228+$J978*F228+$I978*G228+$H978*H228+$G978*I228+$F978*J228+$E978*K228+$D978*L228+$C978*M228+$B978*N228</f>
        <v/>
      </c>
      <c r="AB228" s="9">
        <f>C228-AA228</f>
        <v/>
      </c>
      <c r="AC228" s="4">
        <f>AB228^2</f>
        <v/>
      </c>
    </row>
    <row r="229">
      <c r="A229" t="inlineStr">
        <is>
          <t>BBG000BG5BL8</t>
        </is>
      </c>
      <c r="B229" t="inlineStr">
        <is>
          <t>crl</t>
        </is>
      </c>
      <c r="C229" s="9" t="n">
        <v>0.01100172042733805</v>
      </c>
      <c r="D229" s="3">
        <f>EXP(0.25*'3b-d Exposures'!G273)</f>
        <v/>
      </c>
      <c r="E229" s="3">
        <f>IF('3b-d Exposures'!C273="",0,'3b-d Exposures'!C273)</f>
        <v/>
      </c>
      <c r="F229" s="3">
        <f>IF('3b-d Exposures'!E273="",0,'3b-d Exposures'!E273)</f>
        <v/>
      </c>
      <c r="G229" s="3">
        <f>IF('3b-d Exposures'!G273="",0,'3b-d Exposures'!G273)</f>
        <v/>
      </c>
      <c r="H229" s="3">
        <f>IF('3b-d Exposures'!I273="",0,'3b-d Exposures'!I273)</f>
        <v/>
      </c>
      <c r="I229" s="3">
        <f>IF('3b-d Exposures'!K273="",0,'3b-d Exposures'!K273)</f>
        <v/>
      </c>
      <c r="J229" s="3">
        <f>IF('3b-d Exposures'!M273="",0,'3b-d Exposures'!M273)</f>
        <v/>
      </c>
      <c r="K229" s="3">
        <f>IF('3b-d Exposures'!O273="",0,'3b-d Exposures'!O273)</f>
        <v/>
      </c>
      <c r="L229" s="3">
        <f>IF('3b-d Exposures'!Q273="",0,'3b-d Exposures'!Q273)</f>
        <v/>
      </c>
      <c r="M229" s="3">
        <f>IF('3b-d Exposures'!S273="",0,'3b-d Exposures'!S273)</f>
        <v/>
      </c>
      <c r="N229" s="3">
        <f>IF('3b-d Exposures'!Z273="",0,'3b-d Exposures'!Z273)</f>
        <v/>
      </c>
      <c r="O229" s="3">
        <f>$D229</f>
        <v/>
      </c>
      <c r="P229" s="3">
        <f>E229*$D229</f>
        <v/>
      </c>
      <c r="Q229" s="3">
        <f>F229*$D229</f>
        <v/>
      </c>
      <c r="R229" s="3">
        <f>G229*$D229</f>
        <v/>
      </c>
      <c r="S229" s="3">
        <f>H229*$D229</f>
        <v/>
      </c>
      <c r="T229" s="3">
        <f>I229*$D229</f>
        <v/>
      </c>
      <c r="U229" s="3">
        <f>J229*$D229</f>
        <v/>
      </c>
      <c r="V229" s="3">
        <f>K229*$D229</f>
        <v/>
      </c>
      <c r="W229" s="3">
        <f>L229*$D229</f>
        <v/>
      </c>
      <c r="X229" s="3">
        <f>M229*$D229</f>
        <v/>
      </c>
      <c r="Y229" s="3">
        <f>N229*$D229</f>
        <v/>
      </c>
      <c r="Z229" s="3">
        <f>C229*$D229</f>
        <v/>
      </c>
      <c r="AA229" s="9">
        <f>$L978+$K978*E229+$J978*F229+$I978*G229+$H978*H229+$G978*I229+$F978*J229+$E978*K229+$D978*L229+$C978*M229+$B978*N229</f>
        <v/>
      </c>
      <c r="AB229" s="9">
        <f>C229-AA229</f>
        <v/>
      </c>
      <c r="AC229" s="4">
        <f>AB229^2</f>
        <v/>
      </c>
    </row>
    <row r="230">
      <c r="A230" t="inlineStr">
        <is>
          <t>BBG000BN2DC2</t>
        </is>
      </c>
      <c r="B230" t="inlineStr">
        <is>
          <t>crm</t>
        </is>
      </c>
      <c r="C230" s="9" t="n">
        <v>0.003091114829174346</v>
      </c>
      <c r="D230" s="3">
        <f>EXP(0.25*'3b-d Exposures'!G274)</f>
        <v/>
      </c>
      <c r="E230" s="3">
        <f>IF('3b-d Exposures'!C274="",0,'3b-d Exposures'!C274)</f>
        <v/>
      </c>
      <c r="F230" s="3">
        <f>IF('3b-d Exposures'!E274="",0,'3b-d Exposures'!E274)</f>
        <v/>
      </c>
      <c r="G230" s="3">
        <f>IF('3b-d Exposures'!G274="",0,'3b-d Exposures'!G274)</f>
        <v/>
      </c>
      <c r="H230" s="3">
        <f>IF('3b-d Exposures'!I274="",0,'3b-d Exposures'!I274)</f>
        <v/>
      </c>
      <c r="I230" s="3">
        <f>IF('3b-d Exposures'!K274="",0,'3b-d Exposures'!K274)</f>
        <v/>
      </c>
      <c r="J230" s="3">
        <f>IF('3b-d Exposures'!M274="",0,'3b-d Exposures'!M274)</f>
        <v/>
      </c>
      <c r="K230" s="3">
        <f>IF('3b-d Exposures'!O274="",0,'3b-d Exposures'!O274)</f>
        <v/>
      </c>
      <c r="L230" s="3">
        <f>IF('3b-d Exposures'!Q274="",0,'3b-d Exposures'!Q274)</f>
        <v/>
      </c>
      <c r="M230" s="3">
        <f>IF('3b-d Exposures'!S274="",0,'3b-d Exposures'!S274)</f>
        <v/>
      </c>
      <c r="N230" s="3">
        <f>IF('3b-d Exposures'!Z274="",0,'3b-d Exposures'!Z274)</f>
        <v/>
      </c>
      <c r="O230" s="3">
        <f>$D230</f>
        <v/>
      </c>
      <c r="P230" s="3">
        <f>E230*$D230</f>
        <v/>
      </c>
      <c r="Q230" s="3">
        <f>F230*$D230</f>
        <v/>
      </c>
      <c r="R230" s="3">
        <f>G230*$D230</f>
        <v/>
      </c>
      <c r="S230" s="3">
        <f>H230*$D230</f>
        <v/>
      </c>
      <c r="T230" s="3">
        <f>I230*$D230</f>
        <v/>
      </c>
      <c r="U230" s="3">
        <f>J230*$D230</f>
        <v/>
      </c>
      <c r="V230" s="3">
        <f>K230*$D230</f>
        <v/>
      </c>
      <c r="W230" s="3">
        <f>L230*$D230</f>
        <v/>
      </c>
      <c r="X230" s="3">
        <f>M230*$D230</f>
        <v/>
      </c>
      <c r="Y230" s="3">
        <f>N230*$D230</f>
        <v/>
      </c>
      <c r="Z230" s="3">
        <f>C230*$D230</f>
        <v/>
      </c>
      <c r="AA230" s="9">
        <f>$L978+$K978*E230+$J978*F230+$I978*G230+$H978*H230+$G978*I230+$F978*J230+$E978*K230+$D978*L230+$C978*M230+$B978*N230</f>
        <v/>
      </c>
      <c r="AB230" s="9">
        <f>C230-AA230</f>
        <v/>
      </c>
      <c r="AC230" s="4">
        <f>AB230^2</f>
        <v/>
      </c>
    </row>
    <row r="231">
      <c r="A231" t="inlineStr">
        <is>
          <t>BBG000BGCQT9</t>
        </is>
      </c>
      <c r="B231" t="inlineStr">
        <is>
          <t>crs</t>
        </is>
      </c>
      <c r="C231" s="9" t="n">
        <v>0.003762056467592867</v>
      </c>
      <c r="D231" s="3">
        <f>EXP(0.25*'3b-d Exposures'!G275)</f>
        <v/>
      </c>
      <c r="E231" s="3">
        <f>IF('3b-d Exposures'!C275="",0,'3b-d Exposures'!C275)</f>
        <v/>
      </c>
      <c r="F231" s="3">
        <f>IF('3b-d Exposures'!E275="",0,'3b-d Exposures'!E275)</f>
        <v/>
      </c>
      <c r="G231" s="3">
        <f>IF('3b-d Exposures'!G275="",0,'3b-d Exposures'!G275)</f>
        <v/>
      </c>
      <c r="H231" s="3">
        <f>IF('3b-d Exposures'!I275="",0,'3b-d Exposures'!I275)</f>
        <v/>
      </c>
      <c r="I231" s="3">
        <f>IF('3b-d Exposures'!K275="",0,'3b-d Exposures'!K275)</f>
        <v/>
      </c>
      <c r="J231" s="3">
        <f>IF('3b-d Exposures'!M275="",0,'3b-d Exposures'!M275)</f>
        <v/>
      </c>
      <c r="K231" s="3">
        <f>IF('3b-d Exposures'!O275="",0,'3b-d Exposures'!O275)</f>
        <v/>
      </c>
      <c r="L231" s="3">
        <f>IF('3b-d Exposures'!Q275="",0,'3b-d Exposures'!Q275)</f>
        <v/>
      </c>
      <c r="M231" s="3">
        <f>IF('3b-d Exposures'!S275="",0,'3b-d Exposures'!S275)</f>
        <v/>
      </c>
      <c r="N231" s="3">
        <f>IF('3b-d Exposures'!Z275="",0,'3b-d Exposures'!Z275)</f>
        <v/>
      </c>
      <c r="O231" s="3">
        <f>$D231</f>
        <v/>
      </c>
      <c r="P231" s="3">
        <f>E231*$D231</f>
        <v/>
      </c>
      <c r="Q231" s="3">
        <f>F231*$D231</f>
        <v/>
      </c>
      <c r="R231" s="3">
        <f>G231*$D231</f>
        <v/>
      </c>
      <c r="S231" s="3">
        <f>H231*$D231</f>
        <v/>
      </c>
      <c r="T231" s="3">
        <f>I231*$D231</f>
        <v/>
      </c>
      <c r="U231" s="3">
        <f>J231*$D231</f>
        <v/>
      </c>
      <c r="V231" s="3">
        <f>K231*$D231</f>
        <v/>
      </c>
      <c r="W231" s="3">
        <f>L231*$D231</f>
        <v/>
      </c>
      <c r="X231" s="3">
        <f>M231*$D231</f>
        <v/>
      </c>
      <c r="Y231" s="3">
        <f>N231*$D231</f>
        <v/>
      </c>
      <c r="Z231" s="3">
        <f>C231*$D231</f>
        <v/>
      </c>
      <c r="AA231" s="9">
        <f>$L978+$K978*E231+$J978*F231+$I978*G231+$H978*H231+$G978*I231+$F978*J231+$E978*K231+$D978*L231+$C978*M231+$B978*N231</f>
        <v/>
      </c>
      <c r="AB231" s="9">
        <f>C231-AA231</f>
        <v/>
      </c>
      <c r="AC231" s="4">
        <f>AB231^2</f>
        <v/>
      </c>
    </row>
    <row r="232">
      <c r="A232" t="inlineStr">
        <is>
          <t>BBG005938P44</t>
        </is>
      </c>
      <c r="B232" t="inlineStr">
        <is>
          <t>crto</t>
        </is>
      </c>
      <c r="C232" s="9" t="n">
        <v>0.0009808954567123163</v>
      </c>
      <c r="D232" s="3">
        <f>EXP(0.25*'3b-d Exposures'!G276)</f>
        <v/>
      </c>
      <c r="E232" s="3">
        <f>IF('3b-d Exposures'!C276="",0,'3b-d Exposures'!C276)</f>
        <v/>
      </c>
      <c r="F232" s="3">
        <f>IF('3b-d Exposures'!E276="",0,'3b-d Exposures'!E276)</f>
        <v/>
      </c>
      <c r="G232" s="3">
        <f>IF('3b-d Exposures'!G276="",0,'3b-d Exposures'!G276)</f>
        <v/>
      </c>
      <c r="H232" s="3">
        <f>IF('3b-d Exposures'!I276="",0,'3b-d Exposures'!I276)</f>
        <v/>
      </c>
      <c r="I232" s="3">
        <f>IF('3b-d Exposures'!K276="",0,'3b-d Exposures'!K276)</f>
        <v/>
      </c>
      <c r="J232" s="3">
        <f>IF('3b-d Exposures'!M276="",0,'3b-d Exposures'!M276)</f>
        <v/>
      </c>
      <c r="K232" s="3">
        <f>IF('3b-d Exposures'!O276="",0,'3b-d Exposures'!O276)</f>
        <v/>
      </c>
      <c r="L232" s="3">
        <f>IF('3b-d Exposures'!Q276="",0,'3b-d Exposures'!Q276)</f>
        <v/>
      </c>
      <c r="M232" s="3">
        <f>IF('3b-d Exposures'!S276="",0,'3b-d Exposures'!S276)</f>
        <v/>
      </c>
      <c r="N232" s="3">
        <f>IF('3b-d Exposures'!Z276="",0,'3b-d Exposures'!Z276)</f>
        <v/>
      </c>
      <c r="O232" s="3">
        <f>$D232</f>
        <v/>
      </c>
      <c r="P232" s="3">
        <f>E232*$D232</f>
        <v/>
      </c>
      <c r="Q232" s="3">
        <f>F232*$D232</f>
        <v/>
      </c>
      <c r="R232" s="3">
        <f>G232*$D232</f>
        <v/>
      </c>
      <c r="S232" s="3">
        <f>H232*$D232</f>
        <v/>
      </c>
      <c r="T232" s="3">
        <f>I232*$D232</f>
        <v/>
      </c>
      <c r="U232" s="3">
        <f>J232*$D232</f>
        <v/>
      </c>
      <c r="V232" s="3">
        <f>K232*$D232</f>
        <v/>
      </c>
      <c r="W232" s="3">
        <f>L232*$D232</f>
        <v/>
      </c>
      <c r="X232" s="3">
        <f>M232*$D232</f>
        <v/>
      </c>
      <c r="Y232" s="3">
        <f>N232*$D232</f>
        <v/>
      </c>
      <c r="Z232" s="3">
        <f>C232*$D232</f>
        <v/>
      </c>
      <c r="AA232" s="9">
        <f>$L978+$K978*E232+$J978*F232+$I978*G232+$H978*H232+$G978*I232+$F978*J232+$E978*K232+$D978*L232+$C978*M232+$B978*N232</f>
        <v/>
      </c>
      <c r="AB232" s="9">
        <f>C232-AA232</f>
        <v/>
      </c>
      <c r="AC232" s="4">
        <f>AB232^2</f>
        <v/>
      </c>
    </row>
    <row r="233">
      <c r="A233" t="inlineStr">
        <is>
          <t>BBG000C1DHF5</t>
        </is>
      </c>
      <c r="B233" t="inlineStr">
        <is>
          <t>crus</t>
        </is>
      </c>
      <c r="C233" s="9" t="n">
        <v>0.03245571554519322</v>
      </c>
      <c r="D233" s="3">
        <f>EXP(0.25*'3b-d Exposures'!G277)</f>
        <v/>
      </c>
      <c r="E233" s="3">
        <f>IF('3b-d Exposures'!C277="",0,'3b-d Exposures'!C277)</f>
        <v/>
      </c>
      <c r="F233" s="3">
        <f>IF('3b-d Exposures'!E277="",0,'3b-d Exposures'!E277)</f>
        <v/>
      </c>
      <c r="G233" s="3">
        <f>IF('3b-d Exposures'!G277="",0,'3b-d Exposures'!G277)</f>
        <v/>
      </c>
      <c r="H233" s="3">
        <f>IF('3b-d Exposures'!I277="",0,'3b-d Exposures'!I277)</f>
        <v/>
      </c>
      <c r="I233" s="3">
        <f>IF('3b-d Exposures'!K277="",0,'3b-d Exposures'!K277)</f>
        <v/>
      </c>
      <c r="J233" s="3">
        <f>IF('3b-d Exposures'!M277="",0,'3b-d Exposures'!M277)</f>
        <v/>
      </c>
      <c r="K233" s="3">
        <f>IF('3b-d Exposures'!O277="",0,'3b-d Exposures'!O277)</f>
        <v/>
      </c>
      <c r="L233" s="3">
        <f>IF('3b-d Exposures'!Q277="",0,'3b-d Exposures'!Q277)</f>
        <v/>
      </c>
      <c r="M233" s="3">
        <f>IF('3b-d Exposures'!S277="",0,'3b-d Exposures'!S277)</f>
        <v/>
      </c>
      <c r="N233" s="3">
        <f>IF('3b-d Exposures'!Z277="",0,'3b-d Exposures'!Z277)</f>
        <v/>
      </c>
      <c r="O233" s="3">
        <f>$D233</f>
        <v/>
      </c>
      <c r="P233" s="3">
        <f>E233*$D233</f>
        <v/>
      </c>
      <c r="Q233" s="3">
        <f>F233*$D233</f>
        <v/>
      </c>
      <c r="R233" s="3">
        <f>G233*$D233</f>
        <v/>
      </c>
      <c r="S233" s="3">
        <f>H233*$D233</f>
        <v/>
      </c>
      <c r="T233" s="3">
        <f>I233*$D233</f>
        <v/>
      </c>
      <c r="U233" s="3">
        <f>J233*$D233</f>
        <v/>
      </c>
      <c r="V233" s="3">
        <f>K233*$D233</f>
        <v/>
      </c>
      <c r="W233" s="3">
        <f>L233*$D233</f>
        <v/>
      </c>
      <c r="X233" s="3">
        <f>M233*$D233</f>
        <v/>
      </c>
      <c r="Y233" s="3">
        <f>N233*$D233</f>
        <v/>
      </c>
      <c r="Z233" s="3">
        <f>C233*$D233</f>
        <v/>
      </c>
      <c r="AA233" s="9">
        <f>$L978+$K978*E233+$J978*F233+$I978*G233+$H978*H233+$G978*I233+$F978*J233+$E978*K233+$D978*L233+$C978*M233+$B978*N233</f>
        <v/>
      </c>
      <c r="AB233" s="9">
        <f>C233-AA233</f>
        <v/>
      </c>
      <c r="AC233" s="4">
        <f>AB233^2</f>
        <v/>
      </c>
    </row>
    <row r="234">
      <c r="A234" t="inlineStr">
        <is>
          <t>BBG000C3J3C9</t>
        </is>
      </c>
      <c r="B234" t="inlineStr">
        <is>
          <t>csco</t>
        </is>
      </c>
      <c r="C234" s="9" t="n">
        <v>0.003715642647123207</v>
      </c>
      <c r="D234" s="3">
        <f>EXP(0.25*'3b-d Exposures'!G280)</f>
        <v/>
      </c>
      <c r="E234" s="3">
        <f>IF('3b-d Exposures'!C280="",0,'3b-d Exposures'!C280)</f>
        <v/>
      </c>
      <c r="F234" s="3">
        <f>IF('3b-d Exposures'!E280="",0,'3b-d Exposures'!E280)</f>
        <v/>
      </c>
      <c r="G234" s="3">
        <f>IF('3b-d Exposures'!G280="",0,'3b-d Exposures'!G280)</f>
        <v/>
      </c>
      <c r="H234" s="3">
        <f>IF('3b-d Exposures'!I280="",0,'3b-d Exposures'!I280)</f>
        <v/>
      </c>
      <c r="I234" s="3">
        <f>IF('3b-d Exposures'!K280="",0,'3b-d Exposures'!K280)</f>
        <v/>
      </c>
      <c r="J234" s="3">
        <f>IF('3b-d Exposures'!M280="",0,'3b-d Exposures'!M280)</f>
        <v/>
      </c>
      <c r="K234" s="3">
        <f>IF('3b-d Exposures'!O280="",0,'3b-d Exposures'!O280)</f>
        <v/>
      </c>
      <c r="L234" s="3">
        <f>IF('3b-d Exposures'!Q280="",0,'3b-d Exposures'!Q280)</f>
        <v/>
      </c>
      <c r="M234" s="3">
        <f>IF('3b-d Exposures'!S280="",0,'3b-d Exposures'!S280)</f>
        <v/>
      </c>
      <c r="N234" s="3">
        <f>IF('3b-d Exposures'!Z280="",0,'3b-d Exposures'!Z280)</f>
        <v/>
      </c>
      <c r="O234" s="3">
        <f>$D234</f>
        <v/>
      </c>
      <c r="P234" s="3">
        <f>E234*$D234</f>
        <v/>
      </c>
      <c r="Q234" s="3">
        <f>F234*$D234</f>
        <v/>
      </c>
      <c r="R234" s="3">
        <f>G234*$D234</f>
        <v/>
      </c>
      <c r="S234" s="3">
        <f>H234*$D234</f>
        <v/>
      </c>
      <c r="T234" s="3">
        <f>I234*$D234</f>
        <v/>
      </c>
      <c r="U234" s="3">
        <f>J234*$D234</f>
        <v/>
      </c>
      <c r="V234" s="3">
        <f>K234*$D234</f>
        <v/>
      </c>
      <c r="W234" s="3">
        <f>L234*$D234</f>
        <v/>
      </c>
      <c r="X234" s="3">
        <f>M234*$D234</f>
        <v/>
      </c>
      <c r="Y234" s="3">
        <f>N234*$D234</f>
        <v/>
      </c>
      <c r="Z234" s="3">
        <f>C234*$D234</f>
        <v/>
      </c>
      <c r="AA234" s="9">
        <f>$L978+$K978*E234+$J978*F234+$I978*G234+$H978*H234+$G978*I234+$F978*J234+$E978*K234+$D978*L234+$C978*M234+$B978*N234</f>
        <v/>
      </c>
      <c r="AB234" s="9">
        <f>C234-AA234</f>
        <v/>
      </c>
      <c r="AC234" s="4">
        <f>AB234^2</f>
        <v/>
      </c>
    </row>
    <row r="235">
      <c r="A235" t="inlineStr">
        <is>
          <t>BBG000D7JKW9</t>
        </is>
      </c>
      <c r="B235" t="inlineStr">
        <is>
          <t>csgp</t>
        </is>
      </c>
      <c r="C235" s="9" t="n">
        <v>-0.01561343373794577</v>
      </c>
      <c r="D235" s="3">
        <f>EXP(0.25*'3b-d Exposures'!G281)</f>
        <v/>
      </c>
      <c r="E235" s="3">
        <f>IF('3b-d Exposures'!C281="",0,'3b-d Exposures'!C281)</f>
        <v/>
      </c>
      <c r="F235" s="3">
        <f>IF('3b-d Exposures'!E281="",0,'3b-d Exposures'!E281)</f>
        <v/>
      </c>
      <c r="G235" s="3">
        <f>IF('3b-d Exposures'!G281="",0,'3b-d Exposures'!G281)</f>
        <v/>
      </c>
      <c r="H235" s="3">
        <f>IF('3b-d Exposures'!I281="",0,'3b-d Exposures'!I281)</f>
        <v/>
      </c>
      <c r="I235" s="3">
        <f>IF('3b-d Exposures'!K281="",0,'3b-d Exposures'!K281)</f>
        <v/>
      </c>
      <c r="J235" s="3">
        <f>IF('3b-d Exposures'!M281="",0,'3b-d Exposures'!M281)</f>
        <v/>
      </c>
      <c r="K235" s="3">
        <f>IF('3b-d Exposures'!O281="",0,'3b-d Exposures'!O281)</f>
        <v/>
      </c>
      <c r="L235" s="3">
        <f>IF('3b-d Exposures'!Q281="",0,'3b-d Exposures'!Q281)</f>
        <v/>
      </c>
      <c r="M235" s="3">
        <f>IF('3b-d Exposures'!S281="",0,'3b-d Exposures'!S281)</f>
        <v/>
      </c>
      <c r="N235" s="3">
        <f>IF('3b-d Exposures'!Z281="",0,'3b-d Exposures'!Z281)</f>
        <v/>
      </c>
      <c r="O235" s="3">
        <f>$D235</f>
        <v/>
      </c>
      <c r="P235" s="3">
        <f>E235*$D235</f>
        <v/>
      </c>
      <c r="Q235" s="3">
        <f>F235*$D235</f>
        <v/>
      </c>
      <c r="R235" s="3">
        <f>G235*$D235</f>
        <v/>
      </c>
      <c r="S235" s="3">
        <f>H235*$D235</f>
        <v/>
      </c>
      <c r="T235" s="3">
        <f>I235*$D235</f>
        <v/>
      </c>
      <c r="U235" s="3">
        <f>J235*$D235</f>
        <v/>
      </c>
      <c r="V235" s="3">
        <f>K235*$D235</f>
        <v/>
      </c>
      <c r="W235" s="3">
        <f>L235*$D235</f>
        <v/>
      </c>
      <c r="X235" s="3">
        <f>M235*$D235</f>
        <v/>
      </c>
      <c r="Y235" s="3">
        <f>N235*$D235</f>
        <v/>
      </c>
      <c r="Z235" s="3">
        <f>C235*$D235</f>
        <v/>
      </c>
      <c r="AA235" s="9">
        <f>$L978+$K978*E235+$J978*F235+$I978*G235+$H978*H235+$G978*I235+$F978*J235+$E978*K235+$D978*L235+$C978*M235+$B978*N235</f>
        <v/>
      </c>
      <c r="AB235" s="9">
        <f>C235-AA235</f>
        <v/>
      </c>
      <c r="AC235" s="4">
        <f>AB235^2</f>
        <v/>
      </c>
    </row>
    <row r="236">
      <c r="A236" t="inlineStr">
        <is>
          <t>BBG000BGJ661</t>
        </is>
      </c>
      <c r="B236" t="inlineStr">
        <is>
          <t>cswc</t>
        </is>
      </c>
      <c r="C236" s="9" t="n">
        <v>-0.002971209624715532</v>
      </c>
      <c r="D236" s="3">
        <f>EXP(0.25*'3b-d Exposures'!G282)</f>
        <v/>
      </c>
      <c r="E236" s="3">
        <f>IF('3b-d Exposures'!C282="",0,'3b-d Exposures'!C282)</f>
        <v/>
      </c>
      <c r="F236" s="3">
        <f>IF('3b-d Exposures'!E282="",0,'3b-d Exposures'!E282)</f>
        <v/>
      </c>
      <c r="G236" s="3">
        <f>IF('3b-d Exposures'!G282="",0,'3b-d Exposures'!G282)</f>
        <v/>
      </c>
      <c r="H236" s="3">
        <f>IF('3b-d Exposures'!I282="",0,'3b-d Exposures'!I282)</f>
        <v/>
      </c>
      <c r="I236" s="3">
        <f>IF('3b-d Exposures'!K282="",0,'3b-d Exposures'!K282)</f>
        <v/>
      </c>
      <c r="J236" s="3">
        <f>IF('3b-d Exposures'!M282="",0,'3b-d Exposures'!M282)</f>
        <v/>
      </c>
      <c r="K236" s="3">
        <f>IF('3b-d Exposures'!O282="",0,'3b-d Exposures'!O282)</f>
        <v/>
      </c>
      <c r="L236" s="3">
        <f>IF('3b-d Exposures'!Q282="",0,'3b-d Exposures'!Q282)</f>
        <v/>
      </c>
      <c r="M236" s="3">
        <f>IF('3b-d Exposures'!S282="",0,'3b-d Exposures'!S282)</f>
        <v/>
      </c>
      <c r="N236" s="3">
        <f>IF('3b-d Exposures'!Z282="",0,'3b-d Exposures'!Z282)</f>
        <v/>
      </c>
      <c r="O236" s="3">
        <f>$D236</f>
        <v/>
      </c>
      <c r="P236" s="3">
        <f>E236*$D236</f>
        <v/>
      </c>
      <c r="Q236" s="3">
        <f>F236*$D236</f>
        <v/>
      </c>
      <c r="R236" s="3">
        <f>G236*$D236</f>
        <v/>
      </c>
      <c r="S236" s="3">
        <f>H236*$D236</f>
        <v/>
      </c>
      <c r="T236" s="3">
        <f>I236*$D236</f>
        <v/>
      </c>
      <c r="U236" s="3">
        <f>J236*$D236</f>
        <v/>
      </c>
      <c r="V236" s="3">
        <f>K236*$D236</f>
        <v/>
      </c>
      <c r="W236" s="3">
        <f>L236*$D236</f>
        <v/>
      </c>
      <c r="X236" s="3">
        <f>M236*$D236</f>
        <v/>
      </c>
      <c r="Y236" s="3">
        <f>N236*$D236</f>
        <v/>
      </c>
      <c r="Z236" s="3">
        <f>C236*$D236</f>
        <v/>
      </c>
      <c r="AA236" s="9">
        <f>$L978+$K978*E236+$J978*F236+$I978*G236+$H978*H236+$G978*I236+$F978*J236+$E978*K236+$D978*L236+$C978*M236+$B978*N236</f>
        <v/>
      </c>
      <c r="AB236" s="9">
        <f>C236-AA236</f>
        <v/>
      </c>
      <c r="AC236" s="4">
        <f>AB236^2</f>
        <v/>
      </c>
    </row>
    <row r="237">
      <c r="A237" t="inlineStr">
        <is>
          <t>BBG000BGJRC8</t>
        </is>
      </c>
      <c r="B237" t="inlineStr">
        <is>
          <t>csx</t>
        </is>
      </c>
      <c r="C237" s="9" t="n">
        <v>-0.005745413449825265</v>
      </c>
      <c r="D237" s="3">
        <f>EXP(0.25*'3b-d Exposures'!G283)</f>
        <v/>
      </c>
      <c r="E237" s="3">
        <f>IF('3b-d Exposures'!C283="",0,'3b-d Exposures'!C283)</f>
        <v/>
      </c>
      <c r="F237" s="3">
        <f>IF('3b-d Exposures'!E283="",0,'3b-d Exposures'!E283)</f>
        <v/>
      </c>
      <c r="G237" s="3">
        <f>IF('3b-d Exposures'!G283="",0,'3b-d Exposures'!G283)</f>
        <v/>
      </c>
      <c r="H237" s="3">
        <f>IF('3b-d Exposures'!I283="",0,'3b-d Exposures'!I283)</f>
        <v/>
      </c>
      <c r="I237" s="3">
        <f>IF('3b-d Exposures'!K283="",0,'3b-d Exposures'!K283)</f>
        <v/>
      </c>
      <c r="J237" s="3">
        <f>IF('3b-d Exposures'!M283="",0,'3b-d Exposures'!M283)</f>
        <v/>
      </c>
      <c r="K237" s="3">
        <f>IF('3b-d Exposures'!O283="",0,'3b-d Exposures'!O283)</f>
        <v/>
      </c>
      <c r="L237" s="3">
        <f>IF('3b-d Exposures'!Q283="",0,'3b-d Exposures'!Q283)</f>
        <v/>
      </c>
      <c r="M237" s="3">
        <f>IF('3b-d Exposures'!S283="",0,'3b-d Exposures'!S283)</f>
        <v/>
      </c>
      <c r="N237" s="3">
        <f>IF('3b-d Exposures'!Z283="",0,'3b-d Exposures'!Z283)</f>
        <v/>
      </c>
      <c r="O237" s="3">
        <f>$D237</f>
        <v/>
      </c>
      <c r="P237" s="3">
        <f>E237*$D237</f>
        <v/>
      </c>
      <c r="Q237" s="3">
        <f>F237*$D237</f>
        <v/>
      </c>
      <c r="R237" s="3">
        <f>G237*$D237</f>
        <v/>
      </c>
      <c r="S237" s="3">
        <f>H237*$D237</f>
        <v/>
      </c>
      <c r="T237" s="3">
        <f>I237*$D237</f>
        <v/>
      </c>
      <c r="U237" s="3">
        <f>J237*$D237</f>
        <v/>
      </c>
      <c r="V237" s="3">
        <f>K237*$D237</f>
        <v/>
      </c>
      <c r="W237" s="3">
        <f>L237*$D237</f>
        <v/>
      </c>
      <c r="X237" s="3">
        <f>M237*$D237</f>
        <v/>
      </c>
      <c r="Y237" s="3">
        <f>N237*$D237</f>
        <v/>
      </c>
      <c r="Z237" s="3">
        <f>C237*$D237</f>
        <v/>
      </c>
      <c r="AA237" s="9">
        <f>$L978+$K978*E237+$J978*F237+$I978*G237+$H978*H237+$G978*I237+$F978*J237+$E978*K237+$D978*L237+$C978*M237+$B978*N237</f>
        <v/>
      </c>
      <c r="AB237" s="9">
        <f>C237-AA237</f>
        <v/>
      </c>
      <c r="AC237" s="4">
        <f>AB237^2</f>
        <v/>
      </c>
    </row>
    <row r="238">
      <c r="A238" t="inlineStr">
        <is>
          <t>ctas</t>
        </is>
      </c>
      <c r="B238" t="inlineStr">
        <is>
          <t>ctas</t>
        </is>
      </c>
      <c r="C238" s="9" t="n">
        <v>-0.01395095575324734</v>
      </c>
      <c r="D238" s="3">
        <f>EXP(0.25*'3b-d Exposures'!G284)</f>
        <v/>
      </c>
      <c r="E238" s="3">
        <f>IF('3b-d Exposures'!C284="",0,'3b-d Exposures'!C284)</f>
        <v/>
      </c>
      <c r="F238" s="3">
        <f>IF('3b-d Exposures'!E284="",0,'3b-d Exposures'!E284)</f>
        <v/>
      </c>
      <c r="G238" s="3">
        <f>IF('3b-d Exposures'!G284="",0,'3b-d Exposures'!G284)</f>
        <v/>
      </c>
      <c r="H238" s="3">
        <f>IF('3b-d Exposures'!I284="",0,'3b-d Exposures'!I284)</f>
        <v/>
      </c>
      <c r="I238" s="3">
        <f>IF('3b-d Exposures'!K284="",0,'3b-d Exposures'!K284)</f>
        <v/>
      </c>
      <c r="J238" s="3">
        <f>IF('3b-d Exposures'!M284="",0,'3b-d Exposures'!M284)</f>
        <v/>
      </c>
      <c r="K238" s="3">
        <f>IF('3b-d Exposures'!O284="",0,'3b-d Exposures'!O284)</f>
        <v/>
      </c>
      <c r="L238" s="3">
        <f>IF('3b-d Exposures'!Q284="",0,'3b-d Exposures'!Q284)</f>
        <v/>
      </c>
      <c r="M238" s="3">
        <f>IF('3b-d Exposures'!S284="",0,'3b-d Exposures'!S284)</f>
        <v/>
      </c>
      <c r="N238" s="3">
        <f>IF('3b-d Exposures'!Z284="",0,'3b-d Exposures'!Z284)</f>
        <v/>
      </c>
      <c r="O238" s="3">
        <f>$D238</f>
        <v/>
      </c>
      <c r="P238" s="3">
        <f>E238*$D238</f>
        <v/>
      </c>
      <c r="Q238" s="3">
        <f>F238*$D238</f>
        <v/>
      </c>
      <c r="R238" s="3">
        <f>G238*$D238</f>
        <v/>
      </c>
      <c r="S238" s="3">
        <f>H238*$D238</f>
        <v/>
      </c>
      <c r="T238" s="3">
        <f>I238*$D238</f>
        <v/>
      </c>
      <c r="U238" s="3">
        <f>J238*$D238</f>
        <v/>
      </c>
      <c r="V238" s="3">
        <f>K238*$D238</f>
        <v/>
      </c>
      <c r="W238" s="3">
        <f>L238*$D238</f>
        <v/>
      </c>
      <c r="X238" s="3">
        <f>M238*$D238</f>
        <v/>
      </c>
      <c r="Y238" s="3">
        <f>N238*$D238</f>
        <v/>
      </c>
      <c r="Z238" s="3">
        <f>C238*$D238</f>
        <v/>
      </c>
      <c r="AA238" s="9">
        <f>$L978+$K978*E238+$J978*F238+$I978*G238+$H978*H238+$G978*I238+$F978*J238+$E978*K238+$D978*L238+$C978*M238+$B978*N238</f>
        <v/>
      </c>
      <c r="AB238" s="9">
        <f>C238-AA238</f>
        <v/>
      </c>
      <c r="AC238" s="4">
        <f>AB238^2</f>
        <v/>
      </c>
    </row>
    <row r="239">
      <c r="A239" t="inlineStr">
        <is>
          <t>BBG005KC4Z70</t>
        </is>
      </c>
      <c r="B239" t="inlineStr">
        <is>
          <t>ctre</t>
        </is>
      </c>
      <c r="C239" s="9" t="n">
        <v>-0.02081235341335885</v>
      </c>
      <c r="D239" s="3">
        <f>EXP(0.25*'3b-d Exposures'!G285)</f>
        <v/>
      </c>
      <c r="E239" s="3">
        <f>IF('3b-d Exposures'!C285="",0,'3b-d Exposures'!C285)</f>
        <v/>
      </c>
      <c r="F239" s="3">
        <f>IF('3b-d Exposures'!E285="",0,'3b-d Exposures'!E285)</f>
        <v/>
      </c>
      <c r="G239" s="3">
        <f>IF('3b-d Exposures'!G285="",0,'3b-d Exposures'!G285)</f>
        <v/>
      </c>
      <c r="H239" s="3">
        <f>IF('3b-d Exposures'!I285="",0,'3b-d Exposures'!I285)</f>
        <v/>
      </c>
      <c r="I239" s="3">
        <f>IF('3b-d Exposures'!K285="",0,'3b-d Exposures'!K285)</f>
        <v/>
      </c>
      <c r="J239" s="3">
        <f>IF('3b-d Exposures'!M285="",0,'3b-d Exposures'!M285)</f>
        <v/>
      </c>
      <c r="K239" s="3">
        <f>IF('3b-d Exposures'!O285="",0,'3b-d Exposures'!O285)</f>
        <v/>
      </c>
      <c r="L239" s="3">
        <f>IF('3b-d Exposures'!Q285="",0,'3b-d Exposures'!Q285)</f>
        <v/>
      </c>
      <c r="M239" s="3">
        <f>IF('3b-d Exposures'!S285="",0,'3b-d Exposures'!S285)</f>
        <v/>
      </c>
      <c r="N239" s="3">
        <f>IF('3b-d Exposures'!Z285="",0,'3b-d Exposures'!Z285)</f>
        <v/>
      </c>
      <c r="O239" s="3">
        <f>$D239</f>
        <v/>
      </c>
      <c r="P239" s="3">
        <f>E239*$D239</f>
        <v/>
      </c>
      <c r="Q239" s="3">
        <f>F239*$D239</f>
        <v/>
      </c>
      <c r="R239" s="3">
        <f>G239*$D239</f>
        <v/>
      </c>
      <c r="S239" s="3">
        <f>H239*$D239</f>
        <v/>
      </c>
      <c r="T239" s="3">
        <f>I239*$D239</f>
        <v/>
      </c>
      <c r="U239" s="3">
        <f>J239*$D239</f>
        <v/>
      </c>
      <c r="V239" s="3">
        <f>K239*$D239</f>
        <v/>
      </c>
      <c r="W239" s="3">
        <f>L239*$D239</f>
        <v/>
      </c>
      <c r="X239" s="3">
        <f>M239*$D239</f>
        <v/>
      </c>
      <c r="Y239" s="3">
        <f>N239*$D239</f>
        <v/>
      </c>
      <c r="Z239" s="3">
        <f>C239*$D239</f>
        <v/>
      </c>
      <c r="AA239" s="9">
        <f>$L978+$K978*E239+$J978*F239+$I978*G239+$H978*H239+$G978*I239+$F978*J239+$E978*K239+$D978*L239+$C978*M239+$B978*N239</f>
        <v/>
      </c>
      <c r="AB239" s="9">
        <f>C239-AA239</f>
        <v/>
      </c>
      <c r="AC239" s="4">
        <f>AB239^2</f>
        <v/>
      </c>
    </row>
    <row r="240">
      <c r="A240" t="inlineStr">
        <is>
          <t>BBG01M4ZP8Y6</t>
        </is>
      </c>
      <c r="B240" t="inlineStr">
        <is>
          <t>ctri</t>
        </is>
      </c>
      <c r="C240" s="9" t="n">
        <v>0.02322064635146148</v>
      </c>
      <c r="D240" s="3">
        <f>EXP(0.25*'3b-d Exposures'!G286)</f>
        <v/>
      </c>
      <c r="E240" s="3">
        <f>IF('3b-d Exposures'!C286="",0,'3b-d Exposures'!C286)</f>
        <v/>
      </c>
      <c r="F240" s="3">
        <f>IF('3b-d Exposures'!E286="",0,'3b-d Exposures'!E286)</f>
        <v/>
      </c>
      <c r="G240" s="3">
        <f>IF('3b-d Exposures'!G286="",0,'3b-d Exposures'!G286)</f>
        <v/>
      </c>
      <c r="H240" s="3">
        <f>IF('3b-d Exposures'!I286="",0,'3b-d Exposures'!I286)</f>
        <v/>
      </c>
      <c r="I240" s="3">
        <f>IF('3b-d Exposures'!K286="",0,'3b-d Exposures'!K286)</f>
        <v/>
      </c>
      <c r="J240" s="3">
        <f>IF('3b-d Exposures'!M286="",0,'3b-d Exposures'!M286)</f>
        <v/>
      </c>
      <c r="K240" s="3">
        <f>IF('3b-d Exposures'!O286="",0,'3b-d Exposures'!O286)</f>
        <v/>
      </c>
      <c r="L240" s="3">
        <f>IF('3b-d Exposures'!Q286="",0,'3b-d Exposures'!Q286)</f>
        <v/>
      </c>
      <c r="M240" s="3">
        <f>IF('3b-d Exposures'!S286="",0,'3b-d Exposures'!S286)</f>
        <v/>
      </c>
      <c r="N240" s="3">
        <f>IF('3b-d Exposures'!Z286="",0,'3b-d Exposures'!Z286)</f>
        <v/>
      </c>
      <c r="O240" s="3">
        <f>$D240</f>
        <v/>
      </c>
      <c r="P240" s="3">
        <f>E240*$D240</f>
        <v/>
      </c>
      <c r="Q240" s="3">
        <f>F240*$D240</f>
        <v/>
      </c>
      <c r="R240" s="3">
        <f>G240*$D240</f>
        <v/>
      </c>
      <c r="S240" s="3">
        <f>H240*$D240</f>
        <v/>
      </c>
      <c r="T240" s="3">
        <f>I240*$D240</f>
        <v/>
      </c>
      <c r="U240" s="3">
        <f>J240*$D240</f>
        <v/>
      </c>
      <c r="V240" s="3">
        <f>K240*$D240</f>
        <v/>
      </c>
      <c r="W240" s="3">
        <f>L240*$D240</f>
        <v/>
      </c>
      <c r="X240" s="3">
        <f>M240*$D240</f>
        <v/>
      </c>
      <c r="Y240" s="3">
        <f>N240*$D240</f>
        <v/>
      </c>
      <c r="Z240" s="3">
        <f>C240*$D240</f>
        <v/>
      </c>
      <c r="AA240" s="9">
        <f>$L978+$K978*E240+$J978*F240+$I978*G240+$H978*H240+$G978*I240+$F978*J240+$E978*K240+$D978*L240+$C978*M240+$B978*N240</f>
        <v/>
      </c>
      <c r="AB240" s="9">
        <f>C240-AA240</f>
        <v/>
      </c>
      <c r="AC240" s="4">
        <f>AB240^2</f>
        <v/>
      </c>
    </row>
    <row r="241">
      <c r="A241" t="inlineStr">
        <is>
          <t>BBG000BBDV81</t>
        </is>
      </c>
      <c r="B241" t="inlineStr">
        <is>
          <t>ctsh</t>
        </is>
      </c>
      <c r="C241" s="9" t="n">
        <v>0.004099944907051345</v>
      </c>
      <c r="D241" s="3">
        <f>EXP(0.25*'3b-d Exposures'!G287)</f>
        <v/>
      </c>
      <c r="E241" s="3">
        <f>IF('3b-d Exposures'!C287="",0,'3b-d Exposures'!C287)</f>
        <v/>
      </c>
      <c r="F241" s="3">
        <f>IF('3b-d Exposures'!E287="",0,'3b-d Exposures'!E287)</f>
        <v/>
      </c>
      <c r="G241" s="3">
        <f>IF('3b-d Exposures'!G287="",0,'3b-d Exposures'!G287)</f>
        <v/>
      </c>
      <c r="H241" s="3">
        <f>IF('3b-d Exposures'!I287="",0,'3b-d Exposures'!I287)</f>
        <v/>
      </c>
      <c r="I241" s="3">
        <f>IF('3b-d Exposures'!K287="",0,'3b-d Exposures'!K287)</f>
        <v/>
      </c>
      <c r="J241" s="3">
        <f>IF('3b-d Exposures'!M287="",0,'3b-d Exposures'!M287)</f>
        <v/>
      </c>
      <c r="K241" s="3">
        <f>IF('3b-d Exposures'!O287="",0,'3b-d Exposures'!O287)</f>
        <v/>
      </c>
      <c r="L241" s="3">
        <f>IF('3b-d Exposures'!Q287="",0,'3b-d Exposures'!Q287)</f>
        <v/>
      </c>
      <c r="M241" s="3">
        <f>IF('3b-d Exposures'!S287="",0,'3b-d Exposures'!S287)</f>
        <v/>
      </c>
      <c r="N241" s="3">
        <f>IF('3b-d Exposures'!Z287="",0,'3b-d Exposures'!Z287)</f>
        <v/>
      </c>
      <c r="O241" s="3">
        <f>$D241</f>
        <v/>
      </c>
      <c r="P241" s="3">
        <f>E241*$D241</f>
        <v/>
      </c>
      <c r="Q241" s="3">
        <f>F241*$D241</f>
        <v/>
      </c>
      <c r="R241" s="3">
        <f>G241*$D241</f>
        <v/>
      </c>
      <c r="S241" s="3">
        <f>H241*$D241</f>
        <v/>
      </c>
      <c r="T241" s="3">
        <f>I241*$D241</f>
        <v/>
      </c>
      <c r="U241" s="3">
        <f>J241*$D241</f>
        <v/>
      </c>
      <c r="V241" s="3">
        <f>K241*$D241</f>
        <v/>
      </c>
      <c r="W241" s="3">
        <f>L241*$D241</f>
        <v/>
      </c>
      <c r="X241" s="3">
        <f>M241*$D241</f>
        <v/>
      </c>
      <c r="Y241" s="3">
        <f>N241*$D241</f>
        <v/>
      </c>
      <c r="Z241" s="3">
        <f>C241*$D241</f>
        <v/>
      </c>
      <c r="AA241" s="9">
        <f>$L978+$K978*E241+$J978*F241+$I978*G241+$H978*H241+$G978*I241+$F978*J241+$E978*K241+$D978*L241+$C978*M241+$B978*N241</f>
        <v/>
      </c>
      <c r="AB241" s="9">
        <f>C241-AA241</f>
        <v/>
      </c>
      <c r="AC241" s="4">
        <f>AB241^2</f>
        <v/>
      </c>
    </row>
    <row r="242">
      <c r="A242" t="inlineStr">
        <is>
          <t>ctva</t>
        </is>
      </c>
      <c r="B242" t="inlineStr">
        <is>
          <t>ctva</t>
        </is>
      </c>
      <c r="C242" s="9" t="n">
        <v>0.002577762298493935</v>
      </c>
      <c r="D242" s="3">
        <f>EXP(0.25*'3b-d Exposures'!G288)</f>
        <v/>
      </c>
      <c r="E242" s="3">
        <f>IF('3b-d Exposures'!C288="",0,'3b-d Exposures'!C288)</f>
        <v/>
      </c>
      <c r="F242" s="3">
        <f>IF('3b-d Exposures'!E288="",0,'3b-d Exposures'!E288)</f>
        <v/>
      </c>
      <c r="G242" s="3">
        <f>IF('3b-d Exposures'!G288="",0,'3b-d Exposures'!G288)</f>
        <v/>
      </c>
      <c r="H242" s="3">
        <f>IF('3b-d Exposures'!I288="",0,'3b-d Exposures'!I288)</f>
        <v/>
      </c>
      <c r="I242" s="3">
        <f>IF('3b-d Exposures'!K288="",0,'3b-d Exposures'!K288)</f>
        <v/>
      </c>
      <c r="J242" s="3">
        <f>IF('3b-d Exposures'!M288="",0,'3b-d Exposures'!M288)</f>
        <v/>
      </c>
      <c r="K242" s="3">
        <f>IF('3b-d Exposures'!O288="",0,'3b-d Exposures'!O288)</f>
        <v/>
      </c>
      <c r="L242" s="3">
        <f>IF('3b-d Exposures'!Q288="",0,'3b-d Exposures'!Q288)</f>
        <v/>
      </c>
      <c r="M242" s="3">
        <f>IF('3b-d Exposures'!S288="",0,'3b-d Exposures'!S288)</f>
        <v/>
      </c>
      <c r="N242" s="3">
        <f>IF('3b-d Exposures'!Z288="",0,'3b-d Exposures'!Z288)</f>
        <v/>
      </c>
      <c r="O242" s="3">
        <f>$D242</f>
        <v/>
      </c>
      <c r="P242" s="3">
        <f>E242*$D242</f>
        <v/>
      </c>
      <c r="Q242" s="3">
        <f>F242*$D242</f>
        <v/>
      </c>
      <c r="R242" s="3">
        <f>G242*$D242</f>
        <v/>
      </c>
      <c r="S242" s="3">
        <f>H242*$D242</f>
        <v/>
      </c>
      <c r="T242" s="3">
        <f>I242*$D242</f>
        <v/>
      </c>
      <c r="U242" s="3">
        <f>J242*$D242</f>
        <v/>
      </c>
      <c r="V242" s="3">
        <f>K242*$D242</f>
        <v/>
      </c>
      <c r="W242" s="3">
        <f>L242*$D242</f>
        <v/>
      </c>
      <c r="X242" s="3">
        <f>M242*$D242</f>
        <v/>
      </c>
      <c r="Y242" s="3">
        <f>N242*$D242</f>
        <v/>
      </c>
      <c r="Z242" s="3">
        <f>C242*$D242</f>
        <v/>
      </c>
      <c r="AA242" s="9">
        <f>$L978+$K978*E242+$J978*F242+$I978*G242+$H978*H242+$G978*I242+$F978*J242+$E978*K242+$D978*L242+$C978*M242+$B978*N242</f>
        <v/>
      </c>
      <c r="AB242" s="9">
        <f>C242-AA242</f>
        <v/>
      </c>
      <c r="AC242" s="4">
        <f>AB242^2</f>
        <v/>
      </c>
    </row>
    <row r="243">
      <c r="A243" t="inlineStr">
        <is>
          <t>BBG000HF28Q9</t>
        </is>
      </c>
      <c r="B243" t="inlineStr">
        <is>
          <t>cube</t>
        </is>
      </c>
      <c r="C243" s="9" t="n">
        <v>-0.006456936058306884</v>
      </c>
      <c r="D243" s="3">
        <f>EXP(0.25*'3b-d Exposures'!G289)</f>
        <v/>
      </c>
      <c r="E243" s="3">
        <f>IF('3b-d Exposures'!C289="",0,'3b-d Exposures'!C289)</f>
        <v/>
      </c>
      <c r="F243" s="3">
        <f>IF('3b-d Exposures'!E289="",0,'3b-d Exposures'!E289)</f>
        <v/>
      </c>
      <c r="G243" s="3">
        <f>IF('3b-d Exposures'!G289="",0,'3b-d Exposures'!G289)</f>
        <v/>
      </c>
      <c r="H243" s="3">
        <f>IF('3b-d Exposures'!I289="",0,'3b-d Exposures'!I289)</f>
        <v/>
      </c>
      <c r="I243" s="3">
        <f>IF('3b-d Exposures'!K289="",0,'3b-d Exposures'!K289)</f>
        <v/>
      </c>
      <c r="J243" s="3">
        <f>IF('3b-d Exposures'!M289="",0,'3b-d Exposures'!M289)</f>
        <v/>
      </c>
      <c r="K243" s="3">
        <f>IF('3b-d Exposures'!O289="",0,'3b-d Exposures'!O289)</f>
        <v/>
      </c>
      <c r="L243" s="3">
        <f>IF('3b-d Exposures'!Q289="",0,'3b-d Exposures'!Q289)</f>
        <v/>
      </c>
      <c r="M243" s="3">
        <f>IF('3b-d Exposures'!S289="",0,'3b-d Exposures'!S289)</f>
        <v/>
      </c>
      <c r="N243" s="3">
        <f>IF('3b-d Exposures'!Z289="",0,'3b-d Exposures'!Z289)</f>
        <v/>
      </c>
      <c r="O243" s="3">
        <f>$D243</f>
        <v/>
      </c>
      <c r="P243" s="3">
        <f>E243*$D243</f>
        <v/>
      </c>
      <c r="Q243" s="3">
        <f>F243*$D243</f>
        <v/>
      </c>
      <c r="R243" s="3">
        <f>G243*$D243</f>
        <v/>
      </c>
      <c r="S243" s="3">
        <f>H243*$D243</f>
        <v/>
      </c>
      <c r="T243" s="3">
        <f>I243*$D243</f>
        <v/>
      </c>
      <c r="U243" s="3">
        <f>J243*$D243</f>
        <v/>
      </c>
      <c r="V243" s="3">
        <f>K243*$D243</f>
        <v/>
      </c>
      <c r="W243" s="3">
        <f>L243*$D243</f>
        <v/>
      </c>
      <c r="X243" s="3">
        <f>M243*$D243</f>
        <v/>
      </c>
      <c r="Y243" s="3">
        <f>N243*$D243</f>
        <v/>
      </c>
      <c r="Z243" s="3">
        <f>C243*$D243</f>
        <v/>
      </c>
      <c r="AA243" s="9">
        <f>$L978+$K978*E243+$J978*F243+$I978*G243+$H978*H243+$G978*I243+$F978*J243+$E978*K243+$D978*L243+$C978*M243+$B978*N243</f>
        <v/>
      </c>
      <c r="AB243" s="9">
        <f>C243-AA243</f>
        <v/>
      </c>
      <c r="AC243" s="4">
        <f>AB243^2</f>
        <v/>
      </c>
    </row>
    <row r="244">
      <c r="A244" t="inlineStr">
        <is>
          <t>BBG0023XX761</t>
        </is>
      </c>
      <c r="B244" t="inlineStr">
        <is>
          <t>cubi</t>
        </is>
      </c>
      <c r="C244" s="9" t="n">
        <v>-0.01417181977410642</v>
      </c>
      <c r="D244" s="3">
        <f>EXP(0.25*'3b-d Exposures'!G290)</f>
        <v/>
      </c>
      <c r="E244" s="3">
        <f>IF('3b-d Exposures'!C290="",0,'3b-d Exposures'!C290)</f>
        <v/>
      </c>
      <c r="F244" s="3">
        <f>IF('3b-d Exposures'!E290="",0,'3b-d Exposures'!E290)</f>
        <v/>
      </c>
      <c r="G244" s="3">
        <f>IF('3b-d Exposures'!G290="",0,'3b-d Exposures'!G290)</f>
        <v/>
      </c>
      <c r="H244" s="3">
        <f>IF('3b-d Exposures'!I290="",0,'3b-d Exposures'!I290)</f>
        <v/>
      </c>
      <c r="I244" s="3">
        <f>IF('3b-d Exposures'!K290="",0,'3b-d Exposures'!K290)</f>
        <v/>
      </c>
      <c r="J244" s="3">
        <f>IF('3b-d Exposures'!M290="",0,'3b-d Exposures'!M290)</f>
        <v/>
      </c>
      <c r="K244" s="3">
        <f>IF('3b-d Exposures'!O290="",0,'3b-d Exposures'!O290)</f>
        <v/>
      </c>
      <c r="L244" s="3">
        <f>IF('3b-d Exposures'!Q290="",0,'3b-d Exposures'!Q290)</f>
        <v/>
      </c>
      <c r="M244" s="3">
        <f>IF('3b-d Exposures'!S290="",0,'3b-d Exposures'!S290)</f>
        <v/>
      </c>
      <c r="N244" s="3">
        <f>IF('3b-d Exposures'!Z290="",0,'3b-d Exposures'!Z290)</f>
        <v/>
      </c>
      <c r="O244" s="3">
        <f>$D244</f>
        <v/>
      </c>
      <c r="P244" s="3">
        <f>E244*$D244</f>
        <v/>
      </c>
      <c r="Q244" s="3">
        <f>F244*$D244</f>
        <v/>
      </c>
      <c r="R244" s="3">
        <f>G244*$D244</f>
        <v/>
      </c>
      <c r="S244" s="3">
        <f>H244*$D244</f>
        <v/>
      </c>
      <c r="T244" s="3">
        <f>I244*$D244</f>
        <v/>
      </c>
      <c r="U244" s="3">
        <f>J244*$D244</f>
        <v/>
      </c>
      <c r="V244" s="3">
        <f>K244*$D244</f>
        <v/>
      </c>
      <c r="W244" s="3">
        <f>L244*$D244</f>
        <v/>
      </c>
      <c r="X244" s="3">
        <f>M244*$D244</f>
        <v/>
      </c>
      <c r="Y244" s="3">
        <f>N244*$D244</f>
        <v/>
      </c>
      <c r="Z244" s="3">
        <f>C244*$D244</f>
        <v/>
      </c>
      <c r="AA244" s="9">
        <f>$L978+$K978*E244+$J978*F244+$I978*G244+$H978*H244+$G978*I244+$F978*J244+$E978*K244+$D978*L244+$C978*M244+$B978*N244</f>
        <v/>
      </c>
      <c r="AB244" s="9">
        <f>C244-AA244</f>
        <v/>
      </c>
      <c r="AC244" s="4">
        <f>AB244^2</f>
        <v/>
      </c>
    </row>
    <row r="245">
      <c r="A245" t="inlineStr">
        <is>
          <t>BBG000BG88X9</t>
        </is>
      </c>
      <c r="B245" t="inlineStr">
        <is>
          <t>cvlt</t>
        </is>
      </c>
      <c r="C245" s="9" t="n">
        <v>-0.004312548809184857</v>
      </c>
      <c r="D245" s="3">
        <f>EXP(0.25*'3b-d Exposures'!G292)</f>
        <v/>
      </c>
      <c r="E245" s="3">
        <f>IF('3b-d Exposures'!C292="",0,'3b-d Exposures'!C292)</f>
        <v/>
      </c>
      <c r="F245" s="3">
        <f>IF('3b-d Exposures'!E292="",0,'3b-d Exposures'!E292)</f>
        <v/>
      </c>
      <c r="G245" s="3">
        <f>IF('3b-d Exposures'!G292="",0,'3b-d Exposures'!G292)</f>
        <v/>
      </c>
      <c r="H245" s="3">
        <f>IF('3b-d Exposures'!I292="",0,'3b-d Exposures'!I292)</f>
        <v/>
      </c>
      <c r="I245" s="3">
        <f>IF('3b-d Exposures'!K292="",0,'3b-d Exposures'!K292)</f>
        <v/>
      </c>
      <c r="J245" s="3">
        <f>IF('3b-d Exposures'!M292="",0,'3b-d Exposures'!M292)</f>
        <v/>
      </c>
      <c r="K245" s="3">
        <f>IF('3b-d Exposures'!O292="",0,'3b-d Exposures'!O292)</f>
        <v/>
      </c>
      <c r="L245" s="3">
        <f>IF('3b-d Exposures'!Q292="",0,'3b-d Exposures'!Q292)</f>
        <v/>
      </c>
      <c r="M245" s="3">
        <f>IF('3b-d Exposures'!S292="",0,'3b-d Exposures'!S292)</f>
        <v/>
      </c>
      <c r="N245" s="3">
        <f>IF('3b-d Exposures'!Z292="",0,'3b-d Exposures'!Z292)</f>
        <v/>
      </c>
      <c r="O245" s="3">
        <f>$D245</f>
        <v/>
      </c>
      <c r="P245" s="3">
        <f>E245*$D245</f>
        <v/>
      </c>
      <c r="Q245" s="3">
        <f>F245*$D245</f>
        <v/>
      </c>
      <c r="R245" s="3">
        <f>G245*$D245</f>
        <v/>
      </c>
      <c r="S245" s="3">
        <f>H245*$D245</f>
        <v/>
      </c>
      <c r="T245" s="3">
        <f>I245*$D245</f>
        <v/>
      </c>
      <c r="U245" s="3">
        <f>J245*$D245</f>
        <v/>
      </c>
      <c r="V245" s="3">
        <f>K245*$D245</f>
        <v/>
      </c>
      <c r="W245" s="3">
        <f>L245*$D245</f>
        <v/>
      </c>
      <c r="X245" s="3">
        <f>M245*$D245</f>
        <v/>
      </c>
      <c r="Y245" s="3">
        <f>N245*$D245</f>
        <v/>
      </c>
      <c r="Z245" s="3">
        <f>C245*$D245</f>
        <v/>
      </c>
      <c r="AA245" s="9">
        <f>$L978+$K978*E245+$J978*F245+$I978*G245+$H978*H245+$G978*I245+$F978*J245+$E978*K245+$D978*L245+$C978*M245+$B978*N245</f>
        <v/>
      </c>
      <c r="AB245" s="9">
        <f>C245-AA245</f>
        <v/>
      </c>
      <c r="AC245" s="4">
        <f>AB245^2</f>
        <v/>
      </c>
    </row>
    <row r="246">
      <c r="A246" t="inlineStr">
        <is>
          <t>BBG000BGRY34</t>
        </is>
      </c>
      <c r="B246" t="inlineStr">
        <is>
          <t>cvs</t>
        </is>
      </c>
      <c r="C246" s="9" t="n">
        <v>-0.01286550466600411</v>
      </c>
      <c r="D246" s="3">
        <f>EXP(0.25*'3b-d Exposures'!G294)</f>
        <v/>
      </c>
      <c r="E246" s="3">
        <f>IF('3b-d Exposures'!C294="",0,'3b-d Exposures'!C294)</f>
        <v/>
      </c>
      <c r="F246" s="3">
        <f>IF('3b-d Exposures'!E294="",0,'3b-d Exposures'!E294)</f>
        <v/>
      </c>
      <c r="G246" s="3">
        <f>IF('3b-d Exposures'!G294="",0,'3b-d Exposures'!G294)</f>
        <v/>
      </c>
      <c r="H246" s="3">
        <f>IF('3b-d Exposures'!I294="",0,'3b-d Exposures'!I294)</f>
        <v/>
      </c>
      <c r="I246" s="3">
        <f>IF('3b-d Exposures'!K294="",0,'3b-d Exposures'!K294)</f>
        <v/>
      </c>
      <c r="J246" s="3">
        <f>IF('3b-d Exposures'!M294="",0,'3b-d Exposures'!M294)</f>
        <v/>
      </c>
      <c r="K246" s="3">
        <f>IF('3b-d Exposures'!O294="",0,'3b-d Exposures'!O294)</f>
        <v/>
      </c>
      <c r="L246" s="3">
        <f>IF('3b-d Exposures'!Q294="",0,'3b-d Exposures'!Q294)</f>
        <v/>
      </c>
      <c r="M246" s="3">
        <f>IF('3b-d Exposures'!S294="",0,'3b-d Exposures'!S294)</f>
        <v/>
      </c>
      <c r="N246" s="3">
        <f>IF('3b-d Exposures'!Z294="",0,'3b-d Exposures'!Z294)</f>
        <v/>
      </c>
      <c r="O246" s="3">
        <f>$D246</f>
        <v/>
      </c>
      <c r="P246" s="3">
        <f>E246*$D246</f>
        <v/>
      </c>
      <c r="Q246" s="3">
        <f>F246*$D246</f>
        <v/>
      </c>
      <c r="R246" s="3">
        <f>G246*$D246</f>
        <v/>
      </c>
      <c r="S246" s="3">
        <f>H246*$D246</f>
        <v/>
      </c>
      <c r="T246" s="3">
        <f>I246*$D246</f>
        <v/>
      </c>
      <c r="U246" s="3">
        <f>J246*$D246</f>
        <v/>
      </c>
      <c r="V246" s="3">
        <f>K246*$D246</f>
        <v/>
      </c>
      <c r="W246" s="3">
        <f>L246*$D246</f>
        <v/>
      </c>
      <c r="X246" s="3">
        <f>M246*$D246</f>
        <v/>
      </c>
      <c r="Y246" s="3">
        <f>N246*$D246</f>
        <v/>
      </c>
      <c r="Z246" s="3">
        <f>C246*$D246</f>
        <v/>
      </c>
      <c r="AA246" s="9">
        <f>$L978+$K978*E246+$J978*F246+$I978*G246+$H978*H246+$G978*I246+$F978*J246+$E978*K246+$D978*L246+$C978*M246+$B978*N246</f>
        <v/>
      </c>
      <c r="AB246" s="9">
        <f>C246-AA246</f>
        <v/>
      </c>
      <c r="AC246" s="4">
        <f>AB246^2</f>
        <v/>
      </c>
    </row>
    <row r="247">
      <c r="A247" t="inlineStr">
        <is>
          <t>BBG000DQBZJ7</t>
        </is>
      </c>
      <c r="B247" t="inlineStr">
        <is>
          <t>cvsa</t>
        </is>
      </c>
      <c r="C247" s="9" t="n">
        <v>0.001750312069850324</v>
      </c>
      <c r="D247" s="3">
        <f>EXP(0.25*'3b-d Exposures'!G295)</f>
        <v/>
      </c>
      <c r="E247" s="3">
        <f>IF('3b-d Exposures'!C295="",0,'3b-d Exposures'!C295)</f>
        <v/>
      </c>
      <c r="F247" s="3">
        <f>IF('3b-d Exposures'!E295="",0,'3b-d Exposures'!E295)</f>
        <v/>
      </c>
      <c r="G247" s="3">
        <f>IF('3b-d Exposures'!G295="",0,'3b-d Exposures'!G295)</f>
        <v/>
      </c>
      <c r="H247" s="3">
        <f>IF('3b-d Exposures'!I295="",0,'3b-d Exposures'!I295)</f>
        <v/>
      </c>
      <c r="I247" s="3">
        <f>IF('3b-d Exposures'!K295="",0,'3b-d Exposures'!K295)</f>
        <v/>
      </c>
      <c r="J247" s="3">
        <f>IF('3b-d Exposures'!M295="",0,'3b-d Exposures'!M295)</f>
        <v/>
      </c>
      <c r="K247" s="3">
        <f>IF('3b-d Exposures'!O295="",0,'3b-d Exposures'!O295)</f>
        <v/>
      </c>
      <c r="L247" s="3">
        <f>IF('3b-d Exposures'!Q295="",0,'3b-d Exposures'!Q295)</f>
        <v/>
      </c>
      <c r="M247" s="3">
        <f>IF('3b-d Exposures'!S295="",0,'3b-d Exposures'!S295)</f>
        <v/>
      </c>
      <c r="N247" s="3">
        <f>IF('3b-d Exposures'!Z295="",0,'3b-d Exposures'!Z295)</f>
        <v/>
      </c>
      <c r="O247" s="3">
        <f>$D247</f>
        <v/>
      </c>
      <c r="P247" s="3">
        <f>E247*$D247</f>
        <v/>
      </c>
      <c r="Q247" s="3">
        <f>F247*$D247</f>
        <v/>
      </c>
      <c r="R247" s="3">
        <f>G247*$D247</f>
        <v/>
      </c>
      <c r="S247" s="3">
        <f>H247*$D247</f>
        <v/>
      </c>
      <c r="T247" s="3">
        <f>I247*$D247</f>
        <v/>
      </c>
      <c r="U247" s="3">
        <f>J247*$D247</f>
        <v/>
      </c>
      <c r="V247" s="3">
        <f>K247*$D247</f>
        <v/>
      </c>
      <c r="W247" s="3">
        <f>L247*$D247</f>
        <v/>
      </c>
      <c r="X247" s="3">
        <f>M247*$D247</f>
        <v/>
      </c>
      <c r="Y247" s="3">
        <f>N247*$D247</f>
        <v/>
      </c>
      <c r="Z247" s="3">
        <f>C247*$D247</f>
        <v/>
      </c>
      <c r="AA247" s="9">
        <f>$L978+$K978*E247+$J978*F247+$I978*G247+$H978*H247+$G978*I247+$F978*J247+$E978*K247+$D978*L247+$C978*M247+$B978*N247</f>
        <v/>
      </c>
      <c r="AB247" s="9">
        <f>C247-AA247</f>
        <v/>
      </c>
      <c r="AC247" s="4">
        <f>AB247^2</f>
        <v/>
      </c>
    </row>
    <row r="248">
      <c r="A248" t="inlineStr">
        <is>
          <t>BBG000K4ND22</t>
        </is>
      </c>
      <c r="B248" t="inlineStr">
        <is>
          <t>cvx</t>
        </is>
      </c>
      <c r="C248" s="9" t="n">
        <v>0.001729082363560952</v>
      </c>
      <c r="D248" s="3">
        <f>EXP(0.25*'3b-d Exposures'!G296)</f>
        <v/>
      </c>
      <c r="E248" s="3">
        <f>IF('3b-d Exposures'!C296="",0,'3b-d Exposures'!C296)</f>
        <v/>
      </c>
      <c r="F248" s="3">
        <f>IF('3b-d Exposures'!E296="",0,'3b-d Exposures'!E296)</f>
        <v/>
      </c>
      <c r="G248" s="3">
        <f>IF('3b-d Exposures'!G296="",0,'3b-d Exposures'!G296)</f>
        <v/>
      </c>
      <c r="H248" s="3">
        <f>IF('3b-d Exposures'!I296="",0,'3b-d Exposures'!I296)</f>
        <v/>
      </c>
      <c r="I248" s="3">
        <f>IF('3b-d Exposures'!K296="",0,'3b-d Exposures'!K296)</f>
        <v/>
      </c>
      <c r="J248" s="3">
        <f>IF('3b-d Exposures'!M296="",0,'3b-d Exposures'!M296)</f>
        <v/>
      </c>
      <c r="K248" s="3">
        <f>IF('3b-d Exposures'!O296="",0,'3b-d Exposures'!O296)</f>
        <v/>
      </c>
      <c r="L248" s="3">
        <f>IF('3b-d Exposures'!Q296="",0,'3b-d Exposures'!Q296)</f>
        <v/>
      </c>
      <c r="M248" s="3">
        <f>IF('3b-d Exposures'!S296="",0,'3b-d Exposures'!S296)</f>
        <v/>
      </c>
      <c r="N248" s="3">
        <f>IF('3b-d Exposures'!Z296="",0,'3b-d Exposures'!Z296)</f>
        <v/>
      </c>
      <c r="O248" s="3">
        <f>$D248</f>
        <v/>
      </c>
      <c r="P248" s="3">
        <f>E248*$D248</f>
        <v/>
      </c>
      <c r="Q248" s="3">
        <f>F248*$D248</f>
        <v/>
      </c>
      <c r="R248" s="3">
        <f>G248*$D248</f>
        <v/>
      </c>
      <c r="S248" s="3">
        <f>H248*$D248</f>
        <v/>
      </c>
      <c r="T248" s="3">
        <f>I248*$D248</f>
        <v/>
      </c>
      <c r="U248" s="3">
        <f>J248*$D248</f>
        <v/>
      </c>
      <c r="V248" s="3">
        <f>K248*$D248</f>
        <v/>
      </c>
      <c r="W248" s="3">
        <f>L248*$D248</f>
        <v/>
      </c>
      <c r="X248" s="3">
        <f>M248*$D248</f>
        <v/>
      </c>
      <c r="Y248" s="3">
        <f>N248*$D248</f>
        <v/>
      </c>
      <c r="Z248" s="3">
        <f>C248*$D248</f>
        <v/>
      </c>
      <c r="AA248" s="9">
        <f>$L978+$K978*E248+$J978*F248+$I978*G248+$H978*H248+$G978*I248+$F978*J248+$E978*K248+$D978*L248+$C978*M248+$B978*N248</f>
        <v/>
      </c>
      <c r="AB248" s="9">
        <f>C248-AA248</f>
        <v/>
      </c>
      <c r="AC248" s="4">
        <f>AB248^2</f>
        <v/>
      </c>
    </row>
    <row r="249">
      <c r="A249" t="inlineStr">
        <is>
          <t>BBG0074Q3NK6</t>
        </is>
      </c>
      <c r="B249" t="inlineStr">
        <is>
          <t>czr</t>
        </is>
      </c>
      <c r="C249" s="9" t="n">
        <v>0.01350991479320496</v>
      </c>
      <c r="D249" s="3">
        <f>EXP(0.25*'3b-d Exposures'!G300)</f>
        <v/>
      </c>
      <c r="E249" s="3">
        <f>IF('3b-d Exposures'!C300="",0,'3b-d Exposures'!C300)</f>
        <v/>
      </c>
      <c r="F249" s="3">
        <f>IF('3b-d Exposures'!E300="",0,'3b-d Exposures'!E300)</f>
        <v/>
      </c>
      <c r="G249" s="3">
        <f>IF('3b-d Exposures'!G300="",0,'3b-d Exposures'!G300)</f>
        <v/>
      </c>
      <c r="H249" s="3">
        <f>IF('3b-d Exposures'!I300="",0,'3b-d Exposures'!I300)</f>
        <v/>
      </c>
      <c r="I249" s="3">
        <f>IF('3b-d Exposures'!K300="",0,'3b-d Exposures'!K300)</f>
        <v/>
      </c>
      <c r="J249" s="3">
        <f>IF('3b-d Exposures'!M300="",0,'3b-d Exposures'!M300)</f>
        <v/>
      </c>
      <c r="K249" s="3">
        <f>IF('3b-d Exposures'!O300="",0,'3b-d Exposures'!O300)</f>
        <v/>
      </c>
      <c r="L249" s="3">
        <f>IF('3b-d Exposures'!Q300="",0,'3b-d Exposures'!Q300)</f>
        <v/>
      </c>
      <c r="M249" s="3">
        <f>IF('3b-d Exposures'!S300="",0,'3b-d Exposures'!S300)</f>
        <v/>
      </c>
      <c r="N249" s="3">
        <f>IF('3b-d Exposures'!Z300="",0,'3b-d Exposures'!Z300)</f>
        <v/>
      </c>
      <c r="O249" s="3">
        <f>$D249</f>
        <v/>
      </c>
      <c r="P249" s="3">
        <f>E249*$D249</f>
        <v/>
      </c>
      <c r="Q249" s="3">
        <f>F249*$D249</f>
        <v/>
      </c>
      <c r="R249" s="3">
        <f>G249*$D249</f>
        <v/>
      </c>
      <c r="S249" s="3">
        <f>H249*$D249</f>
        <v/>
      </c>
      <c r="T249" s="3">
        <f>I249*$D249</f>
        <v/>
      </c>
      <c r="U249" s="3">
        <f>J249*$D249</f>
        <v/>
      </c>
      <c r="V249" s="3">
        <f>K249*$D249</f>
        <v/>
      </c>
      <c r="W249" s="3">
        <f>L249*$D249</f>
        <v/>
      </c>
      <c r="X249" s="3">
        <f>M249*$D249</f>
        <v/>
      </c>
      <c r="Y249" s="3">
        <f>N249*$D249</f>
        <v/>
      </c>
      <c r="Z249" s="3">
        <f>C249*$D249</f>
        <v/>
      </c>
      <c r="AA249" s="9">
        <f>$L978+$K978*E249+$J978*F249+$I978*G249+$H978*H249+$G978*I249+$F978*J249+$E978*K249+$D978*L249+$C978*M249+$B978*N249</f>
        <v/>
      </c>
      <c r="AB249" s="9">
        <f>C249-AA249</f>
        <v/>
      </c>
      <c r="AC249" s="4">
        <f>AB249^2</f>
        <v/>
      </c>
    </row>
    <row r="250">
      <c r="A250" t="inlineStr">
        <is>
          <t>BBG000BGVW60</t>
        </is>
      </c>
      <c r="B250" t="inlineStr">
        <is>
          <t>d</t>
        </is>
      </c>
      <c r="C250" s="9" t="n">
        <v>-0.024000077773079</v>
      </c>
      <c r="D250" s="3">
        <f>EXP(0.25*'3b-d Exposures'!G301)</f>
        <v/>
      </c>
      <c r="E250" s="3">
        <f>IF('3b-d Exposures'!C301="",0,'3b-d Exposures'!C301)</f>
        <v/>
      </c>
      <c r="F250" s="3">
        <f>IF('3b-d Exposures'!E301="",0,'3b-d Exposures'!E301)</f>
        <v/>
      </c>
      <c r="G250" s="3">
        <f>IF('3b-d Exposures'!G301="",0,'3b-d Exposures'!G301)</f>
        <v/>
      </c>
      <c r="H250" s="3">
        <f>IF('3b-d Exposures'!I301="",0,'3b-d Exposures'!I301)</f>
        <v/>
      </c>
      <c r="I250" s="3">
        <f>IF('3b-d Exposures'!K301="",0,'3b-d Exposures'!K301)</f>
        <v/>
      </c>
      <c r="J250" s="3">
        <f>IF('3b-d Exposures'!M301="",0,'3b-d Exposures'!M301)</f>
        <v/>
      </c>
      <c r="K250" s="3">
        <f>IF('3b-d Exposures'!O301="",0,'3b-d Exposures'!O301)</f>
        <v/>
      </c>
      <c r="L250" s="3">
        <f>IF('3b-d Exposures'!Q301="",0,'3b-d Exposures'!Q301)</f>
        <v/>
      </c>
      <c r="M250" s="3">
        <f>IF('3b-d Exposures'!S301="",0,'3b-d Exposures'!S301)</f>
        <v/>
      </c>
      <c r="N250" s="3">
        <f>IF('3b-d Exposures'!Z301="",0,'3b-d Exposures'!Z301)</f>
        <v/>
      </c>
      <c r="O250" s="3">
        <f>$D250</f>
        <v/>
      </c>
      <c r="P250" s="3">
        <f>E250*$D250</f>
        <v/>
      </c>
      <c r="Q250" s="3">
        <f>F250*$D250</f>
        <v/>
      </c>
      <c r="R250" s="3">
        <f>G250*$D250</f>
        <v/>
      </c>
      <c r="S250" s="3">
        <f>H250*$D250</f>
        <v/>
      </c>
      <c r="T250" s="3">
        <f>I250*$D250</f>
        <v/>
      </c>
      <c r="U250" s="3">
        <f>J250*$D250</f>
        <v/>
      </c>
      <c r="V250" s="3">
        <f>K250*$D250</f>
        <v/>
      </c>
      <c r="W250" s="3">
        <f>L250*$D250</f>
        <v/>
      </c>
      <c r="X250" s="3">
        <f>M250*$D250</f>
        <v/>
      </c>
      <c r="Y250" s="3">
        <f>N250*$D250</f>
        <v/>
      </c>
      <c r="Z250" s="3">
        <f>C250*$D250</f>
        <v/>
      </c>
      <c r="AA250" s="9">
        <f>$L978+$K978*E250+$J978*F250+$I978*G250+$H978*H250+$G978*I250+$F978*J250+$E978*K250+$D978*L250+$C978*M250+$B978*N250</f>
        <v/>
      </c>
      <c r="AB250" s="9">
        <f>C250-AA250</f>
        <v/>
      </c>
      <c r="AC250" s="4">
        <f>AB250^2</f>
        <v/>
      </c>
    </row>
    <row r="251">
      <c r="A251" t="inlineStr">
        <is>
          <t>BBG000R7Z112</t>
        </is>
      </c>
      <c r="B251" t="inlineStr">
        <is>
          <t>dal</t>
        </is>
      </c>
      <c r="C251" s="9" t="n">
        <v>-0.006424398422292255</v>
      </c>
      <c r="D251" s="3">
        <f>EXP(0.25*'3b-d Exposures'!G302)</f>
        <v/>
      </c>
      <c r="E251" s="3">
        <f>IF('3b-d Exposures'!C302="",0,'3b-d Exposures'!C302)</f>
        <v/>
      </c>
      <c r="F251" s="3">
        <f>IF('3b-d Exposures'!E302="",0,'3b-d Exposures'!E302)</f>
        <v/>
      </c>
      <c r="G251" s="3">
        <f>IF('3b-d Exposures'!G302="",0,'3b-d Exposures'!G302)</f>
        <v/>
      </c>
      <c r="H251" s="3">
        <f>IF('3b-d Exposures'!I302="",0,'3b-d Exposures'!I302)</f>
        <v/>
      </c>
      <c r="I251" s="3">
        <f>IF('3b-d Exposures'!K302="",0,'3b-d Exposures'!K302)</f>
        <v/>
      </c>
      <c r="J251" s="3">
        <f>IF('3b-d Exposures'!M302="",0,'3b-d Exposures'!M302)</f>
        <v/>
      </c>
      <c r="K251" s="3">
        <f>IF('3b-d Exposures'!O302="",0,'3b-d Exposures'!O302)</f>
        <v/>
      </c>
      <c r="L251" s="3">
        <f>IF('3b-d Exposures'!Q302="",0,'3b-d Exposures'!Q302)</f>
        <v/>
      </c>
      <c r="M251" s="3">
        <f>IF('3b-d Exposures'!S302="",0,'3b-d Exposures'!S302)</f>
        <v/>
      </c>
      <c r="N251" s="3">
        <f>IF('3b-d Exposures'!Z302="",0,'3b-d Exposures'!Z302)</f>
        <v/>
      </c>
      <c r="O251" s="3">
        <f>$D251</f>
        <v/>
      </c>
      <c r="P251" s="3">
        <f>E251*$D251</f>
        <v/>
      </c>
      <c r="Q251" s="3">
        <f>F251*$D251</f>
        <v/>
      </c>
      <c r="R251" s="3">
        <f>G251*$D251</f>
        <v/>
      </c>
      <c r="S251" s="3">
        <f>H251*$D251</f>
        <v/>
      </c>
      <c r="T251" s="3">
        <f>I251*$D251</f>
        <v/>
      </c>
      <c r="U251" s="3">
        <f>J251*$D251</f>
        <v/>
      </c>
      <c r="V251" s="3">
        <f>K251*$D251</f>
        <v/>
      </c>
      <c r="W251" s="3">
        <f>L251*$D251</f>
        <v/>
      </c>
      <c r="X251" s="3">
        <f>M251*$D251</f>
        <v/>
      </c>
      <c r="Y251" s="3">
        <f>N251*$D251</f>
        <v/>
      </c>
      <c r="Z251" s="3">
        <f>C251*$D251</f>
        <v/>
      </c>
      <c r="AA251" s="9">
        <f>$L978+$K978*E251+$J978*F251+$I978*G251+$H978*H251+$G978*I251+$F978*J251+$E978*K251+$D978*L251+$C978*M251+$B978*N251</f>
        <v/>
      </c>
      <c r="AB251" s="9">
        <f>C251-AA251</f>
        <v/>
      </c>
      <c r="AC251" s="4">
        <f>AB251^2</f>
        <v/>
      </c>
    </row>
    <row r="252">
      <c r="A252" t="inlineStr">
        <is>
          <t>BBG000BN8ZK8</t>
        </is>
      </c>
      <c r="B252" t="inlineStr">
        <is>
          <t>dar</t>
        </is>
      </c>
      <c r="C252" s="9" t="n">
        <v>-0.01973844710474537</v>
      </c>
      <c r="D252" s="3">
        <f>EXP(0.25*'3b-d Exposures'!G303)</f>
        <v/>
      </c>
      <c r="E252" s="3">
        <f>IF('3b-d Exposures'!C303="",0,'3b-d Exposures'!C303)</f>
        <v/>
      </c>
      <c r="F252" s="3">
        <f>IF('3b-d Exposures'!E303="",0,'3b-d Exposures'!E303)</f>
        <v/>
      </c>
      <c r="G252" s="3">
        <f>IF('3b-d Exposures'!G303="",0,'3b-d Exposures'!G303)</f>
        <v/>
      </c>
      <c r="H252" s="3">
        <f>IF('3b-d Exposures'!I303="",0,'3b-d Exposures'!I303)</f>
        <v/>
      </c>
      <c r="I252" s="3">
        <f>IF('3b-d Exposures'!K303="",0,'3b-d Exposures'!K303)</f>
        <v/>
      </c>
      <c r="J252" s="3">
        <f>IF('3b-d Exposures'!M303="",0,'3b-d Exposures'!M303)</f>
        <v/>
      </c>
      <c r="K252" s="3">
        <f>IF('3b-d Exposures'!O303="",0,'3b-d Exposures'!O303)</f>
        <v/>
      </c>
      <c r="L252" s="3">
        <f>IF('3b-d Exposures'!Q303="",0,'3b-d Exposures'!Q303)</f>
        <v/>
      </c>
      <c r="M252" s="3">
        <f>IF('3b-d Exposures'!S303="",0,'3b-d Exposures'!S303)</f>
        <v/>
      </c>
      <c r="N252" s="3">
        <f>IF('3b-d Exposures'!Z303="",0,'3b-d Exposures'!Z303)</f>
        <v/>
      </c>
      <c r="O252" s="3">
        <f>$D252</f>
        <v/>
      </c>
      <c r="P252" s="3">
        <f>E252*$D252</f>
        <v/>
      </c>
      <c r="Q252" s="3">
        <f>F252*$D252</f>
        <v/>
      </c>
      <c r="R252" s="3">
        <f>G252*$D252</f>
        <v/>
      </c>
      <c r="S252" s="3">
        <f>H252*$D252</f>
        <v/>
      </c>
      <c r="T252" s="3">
        <f>I252*$D252</f>
        <v/>
      </c>
      <c r="U252" s="3">
        <f>J252*$D252</f>
        <v/>
      </c>
      <c r="V252" s="3">
        <f>K252*$D252</f>
        <v/>
      </c>
      <c r="W252" s="3">
        <f>L252*$D252</f>
        <v/>
      </c>
      <c r="X252" s="3">
        <f>M252*$D252</f>
        <v/>
      </c>
      <c r="Y252" s="3">
        <f>N252*$D252</f>
        <v/>
      </c>
      <c r="Z252" s="3">
        <f>C252*$D252</f>
        <v/>
      </c>
      <c r="AA252" s="9">
        <f>$L978+$K978*E252+$J978*F252+$I978*G252+$H978*H252+$G978*I252+$F978*J252+$E978*K252+$D978*L252+$C978*M252+$B978*N252</f>
        <v/>
      </c>
      <c r="AB252" s="9">
        <f>C252-AA252</f>
        <v/>
      </c>
      <c r="AC252" s="4">
        <f>AB252^2</f>
        <v/>
      </c>
    </row>
    <row r="253">
      <c r="A253" t="inlineStr">
        <is>
          <t>BBG005D7QCJ3</t>
        </is>
      </c>
      <c r="B253" t="inlineStr">
        <is>
          <t>dash</t>
        </is>
      </c>
      <c r="C253" s="9" t="n">
        <v>-0.02277261030389321</v>
      </c>
      <c r="D253" s="3">
        <f>EXP(0.25*'3b-d Exposures'!G304)</f>
        <v/>
      </c>
      <c r="E253" s="3">
        <f>IF('3b-d Exposures'!C304="",0,'3b-d Exposures'!C304)</f>
        <v/>
      </c>
      <c r="F253" s="3">
        <f>IF('3b-d Exposures'!E304="",0,'3b-d Exposures'!E304)</f>
        <v/>
      </c>
      <c r="G253" s="3">
        <f>IF('3b-d Exposures'!G304="",0,'3b-d Exposures'!G304)</f>
        <v/>
      </c>
      <c r="H253" s="3">
        <f>IF('3b-d Exposures'!I304="",0,'3b-d Exposures'!I304)</f>
        <v/>
      </c>
      <c r="I253" s="3">
        <f>IF('3b-d Exposures'!K304="",0,'3b-d Exposures'!K304)</f>
        <v/>
      </c>
      <c r="J253" s="3">
        <f>IF('3b-d Exposures'!M304="",0,'3b-d Exposures'!M304)</f>
        <v/>
      </c>
      <c r="K253" s="3">
        <f>IF('3b-d Exposures'!O304="",0,'3b-d Exposures'!O304)</f>
        <v/>
      </c>
      <c r="L253" s="3">
        <f>IF('3b-d Exposures'!Q304="",0,'3b-d Exposures'!Q304)</f>
        <v/>
      </c>
      <c r="M253" s="3">
        <f>IF('3b-d Exposures'!S304="",0,'3b-d Exposures'!S304)</f>
        <v/>
      </c>
      <c r="N253" s="3">
        <f>IF('3b-d Exposures'!Z304="",0,'3b-d Exposures'!Z304)</f>
        <v/>
      </c>
      <c r="O253" s="3">
        <f>$D253</f>
        <v/>
      </c>
      <c r="P253" s="3">
        <f>E253*$D253</f>
        <v/>
      </c>
      <c r="Q253" s="3">
        <f>F253*$D253</f>
        <v/>
      </c>
      <c r="R253" s="3">
        <f>G253*$D253</f>
        <v/>
      </c>
      <c r="S253" s="3">
        <f>H253*$D253</f>
        <v/>
      </c>
      <c r="T253" s="3">
        <f>I253*$D253</f>
        <v/>
      </c>
      <c r="U253" s="3">
        <f>J253*$D253</f>
        <v/>
      </c>
      <c r="V253" s="3">
        <f>K253*$D253</f>
        <v/>
      </c>
      <c r="W253" s="3">
        <f>L253*$D253</f>
        <v/>
      </c>
      <c r="X253" s="3">
        <f>M253*$D253</f>
        <v/>
      </c>
      <c r="Y253" s="3">
        <f>N253*$D253</f>
        <v/>
      </c>
      <c r="Z253" s="3">
        <f>C253*$D253</f>
        <v/>
      </c>
      <c r="AA253" s="9">
        <f>$L978+$K978*E253+$J978*F253+$I978*G253+$H978*H253+$G978*I253+$F978*J253+$E978*K253+$D978*L253+$C978*M253+$B978*N253</f>
        <v/>
      </c>
      <c r="AB253" s="9">
        <f>C253-AA253</f>
        <v/>
      </c>
      <c r="AC253" s="4">
        <f>AB253^2</f>
        <v/>
      </c>
    </row>
    <row r="254">
      <c r="A254" t="inlineStr">
        <is>
          <t>BBG000BGZP70</t>
        </is>
      </c>
      <c r="B254" t="inlineStr">
        <is>
          <t>dci</t>
        </is>
      </c>
      <c r="C254" s="9" t="n">
        <v>0.0002561624932775342</v>
      </c>
      <c r="D254" s="3">
        <f>EXP(0.25*'3b-d Exposures'!G307)</f>
        <v/>
      </c>
      <c r="E254" s="3">
        <f>IF('3b-d Exposures'!C307="",0,'3b-d Exposures'!C307)</f>
        <v/>
      </c>
      <c r="F254" s="3">
        <f>IF('3b-d Exposures'!E307="",0,'3b-d Exposures'!E307)</f>
        <v/>
      </c>
      <c r="G254" s="3">
        <f>IF('3b-d Exposures'!G307="",0,'3b-d Exposures'!G307)</f>
        <v/>
      </c>
      <c r="H254" s="3">
        <f>IF('3b-d Exposures'!I307="",0,'3b-d Exposures'!I307)</f>
        <v/>
      </c>
      <c r="I254" s="3">
        <f>IF('3b-d Exposures'!K307="",0,'3b-d Exposures'!K307)</f>
        <v/>
      </c>
      <c r="J254" s="3">
        <f>IF('3b-d Exposures'!M307="",0,'3b-d Exposures'!M307)</f>
        <v/>
      </c>
      <c r="K254" s="3">
        <f>IF('3b-d Exposures'!O307="",0,'3b-d Exposures'!O307)</f>
        <v/>
      </c>
      <c r="L254" s="3">
        <f>IF('3b-d Exposures'!Q307="",0,'3b-d Exposures'!Q307)</f>
        <v/>
      </c>
      <c r="M254" s="3">
        <f>IF('3b-d Exposures'!S307="",0,'3b-d Exposures'!S307)</f>
        <v/>
      </c>
      <c r="N254" s="3">
        <f>IF('3b-d Exposures'!Z307="",0,'3b-d Exposures'!Z307)</f>
        <v/>
      </c>
      <c r="O254" s="3">
        <f>$D254</f>
        <v/>
      </c>
      <c r="P254" s="3">
        <f>E254*$D254</f>
        <v/>
      </c>
      <c r="Q254" s="3">
        <f>F254*$D254</f>
        <v/>
      </c>
      <c r="R254" s="3">
        <f>G254*$D254</f>
        <v/>
      </c>
      <c r="S254" s="3">
        <f>H254*$D254</f>
        <v/>
      </c>
      <c r="T254" s="3">
        <f>I254*$D254</f>
        <v/>
      </c>
      <c r="U254" s="3">
        <f>J254*$D254</f>
        <v/>
      </c>
      <c r="V254" s="3">
        <f>K254*$D254</f>
        <v/>
      </c>
      <c r="W254" s="3">
        <f>L254*$D254</f>
        <v/>
      </c>
      <c r="X254" s="3">
        <f>M254*$D254</f>
        <v/>
      </c>
      <c r="Y254" s="3">
        <f>N254*$D254</f>
        <v/>
      </c>
      <c r="Z254" s="3">
        <f>C254*$D254</f>
        <v/>
      </c>
      <c r="AA254" s="9">
        <f>$L978+$K978*E254+$J978*F254+$I978*G254+$H978*H254+$G978*I254+$F978*J254+$E978*K254+$D978*L254+$C978*M254+$B978*N254</f>
        <v/>
      </c>
      <c r="AB254" s="9">
        <f>C254-AA254</f>
        <v/>
      </c>
      <c r="AC254" s="4">
        <f>AB254^2</f>
        <v/>
      </c>
    </row>
    <row r="255">
      <c r="A255" t="inlineStr">
        <is>
          <t>BBG000BGD220</t>
        </is>
      </c>
      <c r="B255" t="inlineStr">
        <is>
          <t>dcom</t>
        </is>
      </c>
      <c r="C255" s="9" t="n">
        <v>0.01337790098783143</v>
      </c>
      <c r="D255" s="3">
        <f>EXP(0.25*'3b-d Exposures'!G308)</f>
        <v/>
      </c>
      <c r="E255" s="3">
        <f>IF('3b-d Exposures'!C308="",0,'3b-d Exposures'!C308)</f>
        <v/>
      </c>
      <c r="F255" s="3">
        <f>IF('3b-d Exposures'!E308="",0,'3b-d Exposures'!E308)</f>
        <v/>
      </c>
      <c r="G255" s="3">
        <f>IF('3b-d Exposures'!G308="",0,'3b-d Exposures'!G308)</f>
        <v/>
      </c>
      <c r="H255" s="3">
        <f>IF('3b-d Exposures'!I308="",0,'3b-d Exposures'!I308)</f>
        <v/>
      </c>
      <c r="I255" s="3">
        <f>IF('3b-d Exposures'!K308="",0,'3b-d Exposures'!K308)</f>
        <v/>
      </c>
      <c r="J255" s="3">
        <f>IF('3b-d Exposures'!M308="",0,'3b-d Exposures'!M308)</f>
        <v/>
      </c>
      <c r="K255" s="3">
        <f>IF('3b-d Exposures'!O308="",0,'3b-d Exposures'!O308)</f>
        <v/>
      </c>
      <c r="L255" s="3">
        <f>IF('3b-d Exposures'!Q308="",0,'3b-d Exposures'!Q308)</f>
        <v/>
      </c>
      <c r="M255" s="3">
        <f>IF('3b-d Exposures'!S308="",0,'3b-d Exposures'!S308)</f>
        <v/>
      </c>
      <c r="N255" s="3">
        <f>IF('3b-d Exposures'!Z308="",0,'3b-d Exposures'!Z308)</f>
        <v/>
      </c>
      <c r="O255" s="3">
        <f>$D255</f>
        <v/>
      </c>
      <c r="P255" s="3">
        <f>E255*$D255</f>
        <v/>
      </c>
      <c r="Q255" s="3">
        <f>F255*$D255</f>
        <v/>
      </c>
      <c r="R255" s="3">
        <f>G255*$D255</f>
        <v/>
      </c>
      <c r="S255" s="3">
        <f>H255*$D255</f>
        <v/>
      </c>
      <c r="T255" s="3">
        <f>I255*$D255</f>
        <v/>
      </c>
      <c r="U255" s="3">
        <f>J255*$D255</f>
        <v/>
      </c>
      <c r="V255" s="3">
        <f>K255*$D255</f>
        <v/>
      </c>
      <c r="W255" s="3">
        <f>L255*$D255</f>
        <v/>
      </c>
      <c r="X255" s="3">
        <f>M255*$D255</f>
        <v/>
      </c>
      <c r="Y255" s="3">
        <f>N255*$D255</f>
        <v/>
      </c>
      <c r="Z255" s="3">
        <f>C255*$D255</f>
        <v/>
      </c>
      <c r="AA255" s="9">
        <f>$L978+$K978*E255+$J978*F255+$I978*G255+$H978*H255+$G978*I255+$F978*J255+$E978*K255+$D978*L255+$C978*M255+$B978*N255</f>
        <v/>
      </c>
      <c r="AB255" s="9">
        <f>C255-AA255</f>
        <v/>
      </c>
      <c r="AC255" s="4">
        <f>AB255^2</f>
        <v/>
      </c>
    </row>
    <row r="256">
      <c r="A256" t="inlineStr">
        <is>
          <t>BBG00BN961G4</t>
        </is>
      </c>
      <c r="B256" t="inlineStr">
        <is>
          <t>dd</t>
        </is>
      </c>
      <c r="C256" s="9" t="n">
        <v>0.001555243491019098</v>
      </c>
      <c r="D256" s="3">
        <f>EXP(0.25*'3b-d Exposures'!G309)</f>
        <v/>
      </c>
      <c r="E256" s="3">
        <f>IF('3b-d Exposures'!C309="",0,'3b-d Exposures'!C309)</f>
        <v/>
      </c>
      <c r="F256" s="3">
        <f>IF('3b-d Exposures'!E309="",0,'3b-d Exposures'!E309)</f>
        <v/>
      </c>
      <c r="G256" s="3">
        <f>IF('3b-d Exposures'!G309="",0,'3b-d Exposures'!G309)</f>
        <v/>
      </c>
      <c r="H256" s="3">
        <f>IF('3b-d Exposures'!I309="",0,'3b-d Exposures'!I309)</f>
        <v/>
      </c>
      <c r="I256" s="3">
        <f>IF('3b-d Exposures'!K309="",0,'3b-d Exposures'!K309)</f>
        <v/>
      </c>
      <c r="J256" s="3">
        <f>IF('3b-d Exposures'!M309="",0,'3b-d Exposures'!M309)</f>
        <v/>
      </c>
      <c r="K256" s="3">
        <f>IF('3b-d Exposures'!O309="",0,'3b-d Exposures'!O309)</f>
        <v/>
      </c>
      <c r="L256" s="3">
        <f>IF('3b-d Exposures'!Q309="",0,'3b-d Exposures'!Q309)</f>
        <v/>
      </c>
      <c r="M256" s="3">
        <f>IF('3b-d Exposures'!S309="",0,'3b-d Exposures'!S309)</f>
        <v/>
      </c>
      <c r="N256" s="3">
        <f>IF('3b-d Exposures'!Z309="",0,'3b-d Exposures'!Z309)</f>
        <v/>
      </c>
      <c r="O256" s="3">
        <f>$D256</f>
        <v/>
      </c>
      <c r="P256" s="3">
        <f>E256*$D256</f>
        <v/>
      </c>
      <c r="Q256" s="3">
        <f>F256*$D256</f>
        <v/>
      </c>
      <c r="R256" s="3">
        <f>G256*$D256</f>
        <v/>
      </c>
      <c r="S256" s="3">
        <f>H256*$D256</f>
        <v/>
      </c>
      <c r="T256" s="3">
        <f>I256*$D256</f>
        <v/>
      </c>
      <c r="U256" s="3">
        <f>J256*$D256</f>
        <v/>
      </c>
      <c r="V256" s="3">
        <f>K256*$D256</f>
        <v/>
      </c>
      <c r="W256" s="3">
        <f>L256*$D256</f>
        <v/>
      </c>
      <c r="X256" s="3">
        <f>M256*$D256</f>
        <v/>
      </c>
      <c r="Y256" s="3">
        <f>N256*$D256</f>
        <v/>
      </c>
      <c r="Z256" s="3">
        <f>C256*$D256</f>
        <v/>
      </c>
      <c r="AA256" s="9">
        <f>$L978+$K978*E256+$J978*F256+$I978*G256+$H978*H256+$G978*I256+$F978*J256+$E978*K256+$D978*L256+$C978*M256+$B978*N256</f>
        <v/>
      </c>
      <c r="AB256" s="9">
        <f>C256-AA256</f>
        <v/>
      </c>
      <c r="AC256" s="4">
        <f>AB256^2</f>
        <v/>
      </c>
    </row>
    <row r="257">
      <c r="A257" t="inlineStr">
        <is>
          <t>de</t>
        </is>
      </c>
      <c r="B257" t="inlineStr">
        <is>
          <t>de</t>
        </is>
      </c>
      <c r="C257" s="9" t="n">
        <v>-0.006331753564640441</v>
      </c>
      <c r="D257" s="3">
        <f>EXP(0.25*'3b-d Exposures'!G312)</f>
        <v/>
      </c>
      <c r="E257" s="3">
        <f>IF('3b-d Exposures'!C312="",0,'3b-d Exposures'!C312)</f>
        <v/>
      </c>
      <c r="F257" s="3">
        <f>IF('3b-d Exposures'!E312="",0,'3b-d Exposures'!E312)</f>
        <v/>
      </c>
      <c r="G257" s="3">
        <f>IF('3b-d Exposures'!G312="",0,'3b-d Exposures'!G312)</f>
        <v/>
      </c>
      <c r="H257" s="3">
        <f>IF('3b-d Exposures'!I312="",0,'3b-d Exposures'!I312)</f>
        <v/>
      </c>
      <c r="I257" s="3">
        <f>IF('3b-d Exposures'!K312="",0,'3b-d Exposures'!K312)</f>
        <v/>
      </c>
      <c r="J257" s="3">
        <f>IF('3b-d Exposures'!M312="",0,'3b-d Exposures'!M312)</f>
        <v/>
      </c>
      <c r="K257" s="3">
        <f>IF('3b-d Exposures'!O312="",0,'3b-d Exposures'!O312)</f>
        <v/>
      </c>
      <c r="L257" s="3">
        <f>IF('3b-d Exposures'!Q312="",0,'3b-d Exposures'!Q312)</f>
        <v/>
      </c>
      <c r="M257" s="3">
        <f>IF('3b-d Exposures'!S312="",0,'3b-d Exposures'!S312)</f>
        <v/>
      </c>
      <c r="N257" s="3">
        <f>IF('3b-d Exposures'!Z312="",0,'3b-d Exposures'!Z312)</f>
        <v/>
      </c>
      <c r="O257" s="3">
        <f>$D257</f>
        <v/>
      </c>
      <c r="P257" s="3">
        <f>E257*$D257</f>
        <v/>
      </c>
      <c r="Q257" s="3">
        <f>F257*$D257</f>
        <v/>
      </c>
      <c r="R257" s="3">
        <f>G257*$D257</f>
        <v/>
      </c>
      <c r="S257" s="3">
        <f>H257*$D257</f>
        <v/>
      </c>
      <c r="T257" s="3">
        <f>I257*$D257</f>
        <v/>
      </c>
      <c r="U257" s="3">
        <f>J257*$D257</f>
        <v/>
      </c>
      <c r="V257" s="3">
        <f>K257*$D257</f>
        <v/>
      </c>
      <c r="W257" s="3">
        <f>L257*$D257</f>
        <v/>
      </c>
      <c r="X257" s="3">
        <f>M257*$D257</f>
        <v/>
      </c>
      <c r="Y257" s="3">
        <f>N257*$D257</f>
        <v/>
      </c>
      <c r="Z257" s="3">
        <f>C257*$D257</f>
        <v/>
      </c>
      <c r="AA257" s="9">
        <f>$L978+$K978*E257+$J978*F257+$I978*G257+$H978*H257+$G978*I257+$F978*J257+$E978*K257+$D978*L257+$C978*M257+$B978*N257</f>
        <v/>
      </c>
      <c r="AB257" s="9">
        <f>C257-AA257</f>
        <v/>
      </c>
      <c r="AC257" s="4">
        <f>AB257^2</f>
        <v/>
      </c>
    </row>
    <row r="258">
      <c r="A258" t="inlineStr">
        <is>
          <t>deck</t>
        </is>
      </c>
      <c r="B258" t="inlineStr">
        <is>
          <t>deck</t>
        </is>
      </c>
      <c r="C258" s="9" t="n">
        <v>0.030312242187716</v>
      </c>
      <c r="D258" s="3">
        <f>EXP(0.25*'3b-d Exposures'!G313)</f>
        <v/>
      </c>
      <c r="E258" s="3">
        <f>IF('3b-d Exposures'!C313="",0,'3b-d Exposures'!C313)</f>
        <v/>
      </c>
      <c r="F258" s="3">
        <f>IF('3b-d Exposures'!E313="",0,'3b-d Exposures'!E313)</f>
        <v/>
      </c>
      <c r="G258" s="3">
        <f>IF('3b-d Exposures'!G313="",0,'3b-d Exposures'!G313)</f>
        <v/>
      </c>
      <c r="H258" s="3">
        <f>IF('3b-d Exposures'!I313="",0,'3b-d Exposures'!I313)</f>
        <v/>
      </c>
      <c r="I258" s="3">
        <f>IF('3b-d Exposures'!K313="",0,'3b-d Exposures'!K313)</f>
        <v/>
      </c>
      <c r="J258" s="3">
        <f>IF('3b-d Exposures'!M313="",0,'3b-d Exposures'!M313)</f>
        <v/>
      </c>
      <c r="K258" s="3">
        <f>IF('3b-d Exposures'!O313="",0,'3b-d Exposures'!O313)</f>
        <v/>
      </c>
      <c r="L258" s="3">
        <f>IF('3b-d Exposures'!Q313="",0,'3b-d Exposures'!Q313)</f>
        <v/>
      </c>
      <c r="M258" s="3">
        <f>IF('3b-d Exposures'!S313="",0,'3b-d Exposures'!S313)</f>
        <v/>
      </c>
      <c r="N258" s="3">
        <f>IF('3b-d Exposures'!Z313="",0,'3b-d Exposures'!Z313)</f>
        <v/>
      </c>
      <c r="O258" s="3">
        <f>$D258</f>
        <v/>
      </c>
      <c r="P258" s="3">
        <f>E258*$D258</f>
        <v/>
      </c>
      <c r="Q258" s="3">
        <f>F258*$D258</f>
        <v/>
      </c>
      <c r="R258" s="3">
        <f>G258*$D258</f>
        <v/>
      </c>
      <c r="S258" s="3">
        <f>H258*$D258</f>
        <v/>
      </c>
      <c r="T258" s="3">
        <f>I258*$D258</f>
        <v/>
      </c>
      <c r="U258" s="3">
        <f>J258*$D258</f>
        <v/>
      </c>
      <c r="V258" s="3">
        <f>K258*$D258</f>
        <v/>
      </c>
      <c r="W258" s="3">
        <f>L258*$D258</f>
        <v/>
      </c>
      <c r="X258" s="3">
        <f>M258*$D258</f>
        <v/>
      </c>
      <c r="Y258" s="3">
        <f>N258*$D258</f>
        <v/>
      </c>
      <c r="Z258" s="3">
        <f>C258*$D258</f>
        <v/>
      </c>
      <c r="AA258" s="9">
        <f>$L978+$K978*E258+$J978*F258+$I978*G258+$H978*H258+$G978*I258+$F978*J258+$E978*K258+$D978*L258+$C978*M258+$B978*N258</f>
        <v/>
      </c>
      <c r="AB258" s="9">
        <f>C258-AA258</f>
        <v/>
      </c>
      <c r="AC258" s="4">
        <f>AB258^2</f>
        <v/>
      </c>
    </row>
    <row r="259">
      <c r="A259" t="inlineStr">
        <is>
          <t>BBG000PN1SJ8</t>
        </is>
      </c>
      <c r="B259" t="inlineStr">
        <is>
          <t>dei</t>
        </is>
      </c>
      <c r="C259" s="9" t="n">
        <v>-0.005681726797176267</v>
      </c>
      <c r="D259" s="3">
        <f>EXP(0.25*'3b-d Exposures'!G314)</f>
        <v/>
      </c>
      <c r="E259" s="3">
        <f>IF('3b-d Exposures'!C314="",0,'3b-d Exposures'!C314)</f>
        <v/>
      </c>
      <c r="F259" s="3">
        <f>IF('3b-d Exposures'!E314="",0,'3b-d Exposures'!E314)</f>
        <v/>
      </c>
      <c r="G259" s="3">
        <f>IF('3b-d Exposures'!G314="",0,'3b-d Exposures'!G314)</f>
        <v/>
      </c>
      <c r="H259" s="3">
        <f>IF('3b-d Exposures'!I314="",0,'3b-d Exposures'!I314)</f>
        <v/>
      </c>
      <c r="I259" s="3">
        <f>IF('3b-d Exposures'!K314="",0,'3b-d Exposures'!K314)</f>
        <v/>
      </c>
      <c r="J259" s="3">
        <f>IF('3b-d Exposures'!M314="",0,'3b-d Exposures'!M314)</f>
        <v/>
      </c>
      <c r="K259" s="3">
        <f>IF('3b-d Exposures'!O314="",0,'3b-d Exposures'!O314)</f>
        <v/>
      </c>
      <c r="L259" s="3">
        <f>IF('3b-d Exposures'!Q314="",0,'3b-d Exposures'!Q314)</f>
        <v/>
      </c>
      <c r="M259" s="3">
        <f>IF('3b-d Exposures'!S314="",0,'3b-d Exposures'!S314)</f>
        <v/>
      </c>
      <c r="N259" s="3">
        <f>IF('3b-d Exposures'!Z314="",0,'3b-d Exposures'!Z314)</f>
        <v/>
      </c>
      <c r="O259" s="3">
        <f>$D259</f>
        <v/>
      </c>
      <c r="P259" s="3">
        <f>E259*$D259</f>
        <v/>
      </c>
      <c r="Q259" s="3">
        <f>F259*$D259</f>
        <v/>
      </c>
      <c r="R259" s="3">
        <f>G259*$D259</f>
        <v/>
      </c>
      <c r="S259" s="3">
        <f>H259*$D259</f>
        <v/>
      </c>
      <c r="T259" s="3">
        <f>I259*$D259</f>
        <v/>
      </c>
      <c r="U259" s="3">
        <f>J259*$D259</f>
        <v/>
      </c>
      <c r="V259" s="3">
        <f>K259*$D259</f>
        <v/>
      </c>
      <c r="W259" s="3">
        <f>L259*$D259</f>
        <v/>
      </c>
      <c r="X259" s="3">
        <f>M259*$D259</f>
        <v/>
      </c>
      <c r="Y259" s="3">
        <f>N259*$D259</f>
        <v/>
      </c>
      <c r="Z259" s="3">
        <f>C259*$D259</f>
        <v/>
      </c>
      <c r="AA259" s="9">
        <f>$L978+$K978*E259+$J978*F259+$I978*G259+$H978*H259+$G978*I259+$F978*J259+$E978*K259+$D978*L259+$C978*M259+$B978*N259</f>
        <v/>
      </c>
      <c r="AB259" s="9">
        <f>C259-AA259</f>
        <v/>
      </c>
      <c r="AC259" s="4">
        <f>AB259^2</f>
        <v/>
      </c>
    </row>
    <row r="260">
      <c r="A260" t="inlineStr">
        <is>
          <t>dell</t>
        </is>
      </c>
      <c r="B260" t="inlineStr">
        <is>
          <t>dell</t>
        </is>
      </c>
      <c r="C260" s="9" t="n">
        <v>-0.01371585726469471</v>
      </c>
      <c r="D260" s="3">
        <f>EXP(0.25*'3b-d Exposures'!G315)</f>
        <v/>
      </c>
      <c r="E260" s="3">
        <f>IF('3b-d Exposures'!C315="",0,'3b-d Exposures'!C315)</f>
        <v/>
      </c>
      <c r="F260" s="3">
        <f>IF('3b-d Exposures'!E315="",0,'3b-d Exposures'!E315)</f>
        <v/>
      </c>
      <c r="G260" s="3">
        <f>IF('3b-d Exposures'!G315="",0,'3b-d Exposures'!G315)</f>
        <v/>
      </c>
      <c r="H260" s="3">
        <f>IF('3b-d Exposures'!I315="",0,'3b-d Exposures'!I315)</f>
        <v/>
      </c>
      <c r="I260" s="3">
        <f>IF('3b-d Exposures'!K315="",0,'3b-d Exposures'!K315)</f>
        <v/>
      </c>
      <c r="J260" s="3">
        <f>IF('3b-d Exposures'!M315="",0,'3b-d Exposures'!M315)</f>
        <v/>
      </c>
      <c r="K260" s="3">
        <f>IF('3b-d Exposures'!O315="",0,'3b-d Exposures'!O315)</f>
        <v/>
      </c>
      <c r="L260" s="3">
        <f>IF('3b-d Exposures'!Q315="",0,'3b-d Exposures'!Q315)</f>
        <v/>
      </c>
      <c r="M260" s="3">
        <f>IF('3b-d Exposures'!S315="",0,'3b-d Exposures'!S315)</f>
        <v/>
      </c>
      <c r="N260" s="3">
        <f>IF('3b-d Exposures'!Z315="",0,'3b-d Exposures'!Z315)</f>
        <v/>
      </c>
      <c r="O260" s="3">
        <f>$D260</f>
        <v/>
      </c>
      <c r="P260" s="3">
        <f>E260*$D260</f>
        <v/>
      </c>
      <c r="Q260" s="3">
        <f>F260*$D260</f>
        <v/>
      </c>
      <c r="R260" s="3">
        <f>G260*$D260</f>
        <v/>
      </c>
      <c r="S260" s="3">
        <f>H260*$D260</f>
        <v/>
      </c>
      <c r="T260" s="3">
        <f>I260*$D260</f>
        <v/>
      </c>
      <c r="U260" s="3">
        <f>J260*$D260</f>
        <v/>
      </c>
      <c r="V260" s="3">
        <f>K260*$D260</f>
        <v/>
      </c>
      <c r="W260" s="3">
        <f>L260*$D260</f>
        <v/>
      </c>
      <c r="X260" s="3">
        <f>M260*$D260</f>
        <v/>
      </c>
      <c r="Y260" s="3">
        <f>N260*$D260</f>
        <v/>
      </c>
      <c r="Z260" s="3">
        <f>C260*$D260</f>
        <v/>
      </c>
      <c r="AA260" s="9">
        <f>$L978+$K978*E260+$J978*F260+$I978*G260+$H978*H260+$G978*I260+$F978*J260+$E978*K260+$D978*L260+$C978*M260+$B978*N260</f>
        <v/>
      </c>
      <c r="AB260" s="9">
        <f>C260-AA260</f>
        <v/>
      </c>
      <c r="AC260" s="4">
        <f>AB260^2</f>
        <v/>
      </c>
    </row>
    <row r="261">
      <c r="A261" t="inlineStr">
        <is>
          <t>BBG000NV1KK7</t>
        </is>
      </c>
      <c r="B261" t="inlineStr">
        <is>
          <t>dg</t>
        </is>
      </c>
      <c r="C261" s="9" t="n">
        <v>0.00672971592070315</v>
      </c>
      <c r="D261" s="3">
        <f>EXP(0.25*'3b-d Exposures'!G316)</f>
        <v/>
      </c>
      <c r="E261" s="3">
        <f>IF('3b-d Exposures'!C316="",0,'3b-d Exposures'!C316)</f>
        <v/>
      </c>
      <c r="F261" s="3">
        <f>IF('3b-d Exposures'!E316="",0,'3b-d Exposures'!E316)</f>
        <v/>
      </c>
      <c r="G261" s="3">
        <f>IF('3b-d Exposures'!G316="",0,'3b-d Exposures'!G316)</f>
        <v/>
      </c>
      <c r="H261" s="3">
        <f>IF('3b-d Exposures'!I316="",0,'3b-d Exposures'!I316)</f>
        <v/>
      </c>
      <c r="I261" s="3">
        <f>IF('3b-d Exposures'!K316="",0,'3b-d Exposures'!K316)</f>
        <v/>
      </c>
      <c r="J261" s="3">
        <f>IF('3b-d Exposures'!M316="",0,'3b-d Exposures'!M316)</f>
        <v/>
      </c>
      <c r="K261" s="3">
        <f>IF('3b-d Exposures'!O316="",0,'3b-d Exposures'!O316)</f>
        <v/>
      </c>
      <c r="L261" s="3">
        <f>IF('3b-d Exposures'!Q316="",0,'3b-d Exposures'!Q316)</f>
        <v/>
      </c>
      <c r="M261" s="3">
        <f>IF('3b-d Exposures'!S316="",0,'3b-d Exposures'!S316)</f>
        <v/>
      </c>
      <c r="N261" s="3">
        <f>IF('3b-d Exposures'!Z316="",0,'3b-d Exposures'!Z316)</f>
        <v/>
      </c>
      <c r="O261" s="3">
        <f>$D261</f>
        <v/>
      </c>
      <c r="P261" s="3">
        <f>E261*$D261</f>
        <v/>
      </c>
      <c r="Q261" s="3">
        <f>F261*$D261</f>
        <v/>
      </c>
      <c r="R261" s="3">
        <f>G261*$D261</f>
        <v/>
      </c>
      <c r="S261" s="3">
        <f>H261*$D261</f>
        <v/>
      </c>
      <c r="T261" s="3">
        <f>I261*$D261</f>
        <v/>
      </c>
      <c r="U261" s="3">
        <f>J261*$D261</f>
        <v/>
      </c>
      <c r="V261" s="3">
        <f>K261*$D261</f>
        <v/>
      </c>
      <c r="W261" s="3">
        <f>L261*$D261</f>
        <v/>
      </c>
      <c r="X261" s="3">
        <f>M261*$D261</f>
        <v/>
      </c>
      <c r="Y261" s="3">
        <f>N261*$D261</f>
        <v/>
      </c>
      <c r="Z261" s="3">
        <f>C261*$D261</f>
        <v/>
      </c>
      <c r="AA261" s="9">
        <f>$L978+$K978*E261+$J978*F261+$I978*G261+$H978*H261+$G978*I261+$F978*J261+$E978*K261+$D978*L261+$C978*M261+$B978*N261</f>
        <v/>
      </c>
      <c r="AB261" s="9">
        <f>C261-AA261</f>
        <v/>
      </c>
      <c r="AC261" s="4">
        <f>AB261^2</f>
        <v/>
      </c>
    </row>
    <row r="262">
      <c r="A262" t="inlineStr">
        <is>
          <t>dgx</t>
        </is>
      </c>
      <c r="B262" t="inlineStr">
        <is>
          <t>dgx</t>
        </is>
      </c>
      <c r="C262" s="9" t="n">
        <v>-0.007069971618662074</v>
      </c>
      <c r="D262" s="3">
        <f>EXP(0.25*'3b-d Exposures'!G317)</f>
        <v/>
      </c>
      <c r="E262" s="3">
        <f>IF('3b-d Exposures'!C317="",0,'3b-d Exposures'!C317)</f>
        <v/>
      </c>
      <c r="F262" s="3">
        <f>IF('3b-d Exposures'!E317="",0,'3b-d Exposures'!E317)</f>
        <v/>
      </c>
      <c r="G262" s="3">
        <f>IF('3b-d Exposures'!G317="",0,'3b-d Exposures'!G317)</f>
        <v/>
      </c>
      <c r="H262" s="3">
        <f>IF('3b-d Exposures'!I317="",0,'3b-d Exposures'!I317)</f>
        <v/>
      </c>
      <c r="I262" s="3">
        <f>IF('3b-d Exposures'!K317="",0,'3b-d Exposures'!K317)</f>
        <v/>
      </c>
      <c r="J262" s="3">
        <f>IF('3b-d Exposures'!M317="",0,'3b-d Exposures'!M317)</f>
        <v/>
      </c>
      <c r="K262" s="3">
        <f>IF('3b-d Exposures'!O317="",0,'3b-d Exposures'!O317)</f>
        <v/>
      </c>
      <c r="L262" s="3">
        <f>IF('3b-d Exposures'!Q317="",0,'3b-d Exposures'!Q317)</f>
        <v/>
      </c>
      <c r="M262" s="3">
        <f>IF('3b-d Exposures'!S317="",0,'3b-d Exposures'!S317)</f>
        <v/>
      </c>
      <c r="N262" s="3">
        <f>IF('3b-d Exposures'!Z317="",0,'3b-d Exposures'!Z317)</f>
        <v/>
      </c>
      <c r="O262" s="3">
        <f>$D262</f>
        <v/>
      </c>
      <c r="P262" s="3">
        <f>E262*$D262</f>
        <v/>
      </c>
      <c r="Q262" s="3">
        <f>F262*$D262</f>
        <v/>
      </c>
      <c r="R262" s="3">
        <f>G262*$D262</f>
        <v/>
      </c>
      <c r="S262" s="3">
        <f>H262*$D262</f>
        <v/>
      </c>
      <c r="T262" s="3">
        <f>I262*$D262</f>
        <v/>
      </c>
      <c r="U262" s="3">
        <f>J262*$D262</f>
        <v/>
      </c>
      <c r="V262" s="3">
        <f>K262*$D262</f>
        <v/>
      </c>
      <c r="W262" s="3">
        <f>L262*$D262</f>
        <v/>
      </c>
      <c r="X262" s="3">
        <f>M262*$D262</f>
        <v/>
      </c>
      <c r="Y262" s="3">
        <f>N262*$D262</f>
        <v/>
      </c>
      <c r="Z262" s="3">
        <f>C262*$D262</f>
        <v/>
      </c>
      <c r="AA262" s="9">
        <f>$L978+$K978*E262+$J978*F262+$I978*G262+$H978*H262+$G978*I262+$F978*J262+$E978*K262+$D978*L262+$C978*M262+$B978*N262</f>
        <v/>
      </c>
      <c r="AB262" s="9">
        <f>C262-AA262</f>
        <v/>
      </c>
      <c r="AC262" s="4">
        <f>AB262^2</f>
        <v/>
      </c>
    </row>
    <row r="263">
      <c r="A263" t="inlineStr">
        <is>
          <t>BBG000DQTXY6</t>
        </is>
      </c>
      <c r="B263" t="inlineStr">
        <is>
          <t>dhi</t>
        </is>
      </c>
      <c r="C263" s="9" t="n">
        <v>-0.008176323849193978</v>
      </c>
      <c r="D263" s="3">
        <f>EXP(0.25*'3b-d Exposures'!G318)</f>
        <v/>
      </c>
      <c r="E263" s="3">
        <f>IF('3b-d Exposures'!C318="",0,'3b-d Exposures'!C318)</f>
        <v/>
      </c>
      <c r="F263" s="3">
        <f>IF('3b-d Exposures'!E318="",0,'3b-d Exposures'!E318)</f>
        <v/>
      </c>
      <c r="G263" s="3">
        <f>IF('3b-d Exposures'!G318="",0,'3b-d Exposures'!G318)</f>
        <v/>
      </c>
      <c r="H263" s="3">
        <f>IF('3b-d Exposures'!I318="",0,'3b-d Exposures'!I318)</f>
        <v/>
      </c>
      <c r="I263" s="3">
        <f>IF('3b-d Exposures'!K318="",0,'3b-d Exposures'!K318)</f>
        <v/>
      </c>
      <c r="J263" s="3">
        <f>IF('3b-d Exposures'!M318="",0,'3b-d Exposures'!M318)</f>
        <v/>
      </c>
      <c r="K263" s="3">
        <f>IF('3b-d Exposures'!O318="",0,'3b-d Exposures'!O318)</f>
        <v/>
      </c>
      <c r="L263" s="3">
        <f>IF('3b-d Exposures'!Q318="",0,'3b-d Exposures'!Q318)</f>
        <v/>
      </c>
      <c r="M263" s="3">
        <f>IF('3b-d Exposures'!S318="",0,'3b-d Exposures'!S318)</f>
        <v/>
      </c>
      <c r="N263" s="3">
        <f>IF('3b-d Exposures'!Z318="",0,'3b-d Exposures'!Z318)</f>
        <v/>
      </c>
      <c r="O263" s="3">
        <f>$D263</f>
        <v/>
      </c>
      <c r="P263" s="3">
        <f>E263*$D263</f>
        <v/>
      </c>
      <c r="Q263" s="3">
        <f>F263*$D263</f>
        <v/>
      </c>
      <c r="R263" s="3">
        <f>G263*$D263</f>
        <v/>
      </c>
      <c r="S263" s="3">
        <f>H263*$D263</f>
        <v/>
      </c>
      <c r="T263" s="3">
        <f>I263*$D263</f>
        <v/>
      </c>
      <c r="U263" s="3">
        <f>J263*$D263</f>
        <v/>
      </c>
      <c r="V263" s="3">
        <f>K263*$D263</f>
        <v/>
      </c>
      <c r="W263" s="3">
        <f>L263*$D263</f>
        <v/>
      </c>
      <c r="X263" s="3">
        <f>M263*$D263</f>
        <v/>
      </c>
      <c r="Y263" s="3">
        <f>N263*$D263</f>
        <v/>
      </c>
      <c r="Z263" s="3">
        <f>C263*$D263</f>
        <v/>
      </c>
      <c r="AA263" s="9">
        <f>$L978+$K978*E263+$J978*F263+$I978*G263+$H978*H263+$G978*I263+$F978*J263+$E978*K263+$D978*L263+$C978*M263+$B978*N263</f>
        <v/>
      </c>
      <c r="AB263" s="9">
        <f>C263-AA263</f>
        <v/>
      </c>
      <c r="AC263" s="4">
        <f>AB263^2</f>
        <v/>
      </c>
    </row>
    <row r="264">
      <c r="A264" t="inlineStr">
        <is>
          <t>BBG000BH3JF8</t>
        </is>
      </c>
      <c r="B264" t="inlineStr">
        <is>
          <t>dhr</t>
        </is>
      </c>
      <c r="C264" s="9" t="n">
        <v>0.006675291542683315</v>
      </c>
      <c r="D264" s="3">
        <f>EXP(0.25*'3b-d Exposures'!G319)</f>
        <v/>
      </c>
      <c r="E264" s="3">
        <f>IF('3b-d Exposures'!C319="",0,'3b-d Exposures'!C319)</f>
        <v/>
      </c>
      <c r="F264" s="3">
        <f>IF('3b-d Exposures'!E319="",0,'3b-d Exposures'!E319)</f>
        <v/>
      </c>
      <c r="G264" s="3">
        <f>IF('3b-d Exposures'!G319="",0,'3b-d Exposures'!G319)</f>
        <v/>
      </c>
      <c r="H264" s="3">
        <f>IF('3b-d Exposures'!I319="",0,'3b-d Exposures'!I319)</f>
        <v/>
      </c>
      <c r="I264" s="3">
        <f>IF('3b-d Exposures'!K319="",0,'3b-d Exposures'!K319)</f>
        <v/>
      </c>
      <c r="J264" s="3">
        <f>IF('3b-d Exposures'!M319="",0,'3b-d Exposures'!M319)</f>
        <v/>
      </c>
      <c r="K264" s="3">
        <f>IF('3b-d Exposures'!O319="",0,'3b-d Exposures'!O319)</f>
        <v/>
      </c>
      <c r="L264" s="3">
        <f>IF('3b-d Exposures'!Q319="",0,'3b-d Exposures'!Q319)</f>
        <v/>
      </c>
      <c r="M264" s="3">
        <f>IF('3b-d Exposures'!S319="",0,'3b-d Exposures'!S319)</f>
        <v/>
      </c>
      <c r="N264" s="3">
        <f>IF('3b-d Exposures'!Z319="",0,'3b-d Exposures'!Z319)</f>
        <v/>
      </c>
      <c r="O264" s="3">
        <f>$D264</f>
        <v/>
      </c>
      <c r="P264" s="3">
        <f>E264*$D264</f>
        <v/>
      </c>
      <c r="Q264" s="3">
        <f>F264*$D264</f>
        <v/>
      </c>
      <c r="R264" s="3">
        <f>G264*$D264</f>
        <v/>
      </c>
      <c r="S264" s="3">
        <f>H264*$D264</f>
        <v/>
      </c>
      <c r="T264" s="3">
        <f>I264*$D264</f>
        <v/>
      </c>
      <c r="U264" s="3">
        <f>J264*$D264</f>
        <v/>
      </c>
      <c r="V264" s="3">
        <f>K264*$D264</f>
        <v/>
      </c>
      <c r="W264" s="3">
        <f>L264*$D264</f>
        <v/>
      </c>
      <c r="X264" s="3">
        <f>M264*$D264</f>
        <v/>
      </c>
      <c r="Y264" s="3">
        <f>N264*$D264</f>
        <v/>
      </c>
      <c r="Z264" s="3">
        <f>C264*$D264</f>
        <v/>
      </c>
      <c r="AA264" s="9">
        <f>$L978+$K978*E264+$J978*F264+$I978*G264+$H978*H264+$G978*I264+$F978*J264+$E978*K264+$D978*L264+$C978*M264+$B978*N264</f>
        <v/>
      </c>
      <c r="AB264" s="9">
        <f>C264-AA264</f>
        <v/>
      </c>
      <c r="AC264" s="4">
        <f>AB264^2</f>
        <v/>
      </c>
    </row>
    <row r="265">
      <c r="A265" t="inlineStr">
        <is>
          <t>BBG011DJJ3G6</t>
        </is>
      </c>
      <c r="B265" t="inlineStr">
        <is>
          <t>didiy</t>
        </is>
      </c>
      <c r="C265" s="9" t="n">
        <v>0.008474669590729178</v>
      </c>
      <c r="D265" s="3">
        <f>EXP(0.25*'3b-d Exposures'!G320)</f>
        <v/>
      </c>
      <c r="E265" s="3">
        <f>IF('3b-d Exposures'!C320="",0,'3b-d Exposures'!C320)</f>
        <v/>
      </c>
      <c r="F265" s="3">
        <f>IF('3b-d Exposures'!E320="",0,'3b-d Exposures'!E320)</f>
        <v/>
      </c>
      <c r="G265" s="3">
        <f>IF('3b-d Exposures'!G320="",0,'3b-d Exposures'!G320)</f>
        <v/>
      </c>
      <c r="H265" s="3">
        <f>IF('3b-d Exposures'!I320="",0,'3b-d Exposures'!I320)</f>
        <v/>
      </c>
      <c r="I265" s="3">
        <f>IF('3b-d Exposures'!K320="",0,'3b-d Exposures'!K320)</f>
        <v/>
      </c>
      <c r="J265" s="3">
        <f>IF('3b-d Exposures'!M320="",0,'3b-d Exposures'!M320)</f>
        <v/>
      </c>
      <c r="K265" s="3">
        <f>IF('3b-d Exposures'!O320="",0,'3b-d Exposures'!O320)</f>
        <v/>
      </c>
      <c r="L265" s="3">
        <f>IF('3b-d Exposures'!Q320="",0,'3b-d Exposures'!Q320)</f>
        <v/>
      </c>
      <c r="M265" s="3">
        <f>IF('3b-d Exposures'!S320="",0,'3b-d Exposures'!S320)</f>
        <v/>
      </c>
      <c r="N265" s="3">
        <f>IF('3b-d Exposures'!Z320="",0,'3b-d Exposures'!Z320)</f>
        <v/>
      </c>
      <c r="O265" s="3">
        <f>$D265</f>
        <v/>
      </c>
      <c r="P265" s="3">
        <f>E265*$D265</f>
        <v/>
      </c>
      <c r="Q265" s="3">
        <f>F265*$D265</f>
        <v/>
      </c>
      <c r="R265" s="3">
        <f>G265*$D265</f>
        <v/>
      </c>
      <c r="S265" s="3">
        <f>H265*$D265</f>
        <v/>
      </c>
      <c r="T265" s="3">
        <f>I265*$D265</f>
        <v/>
      </c>
      <c r="U265" s="3">
        <f>J265*$D265</f>
        <v/>
      </c>
      <c r="V265" s="3">
        <f>K265*$D265</f>
        <v/>
      </c>
      <c r="W265" s="3">
        <f>L265*$D265</f>
        <v/>
      </c>
      <c r="X265" s="3">
        <f>M265*$D265</f>
        <v/>
      </c>
      <c r="Y265" s="3">
        <f>N265*$D265</f>
        <v/>
      </c>
      <c r="Z265" s="3">
        <f>C265*$D265</f>
        <v/>
      </c>
      <c r="AA265" s="9">
        <f>$L978+$K978*E265+$J978*F265+$I978*G265+$H978*H265+$G978*I265+$F978*J265+$E978*K265+$D978*L265+$C978*M265+$B978*N265</f>
        <v/>
      </c>
      <c r="AB265" s="9">
        <f>C265-AA265</f>
        <v/>
      </c>
      <c r="AC265" s="4">
        <f>AB265^2</f>
        <v/>
      </c>
    </row>
    <row r="266">
      <c r="A266" t="inlineStr">
        <is>
          <t>BBG000GZ9406</t>
        </is>
      </c>
      <c r="B266" t="inlineStr">
        <is>
          <t>din</t>
        </is>
      </c>
      <c r="C266" s="9" t="n">
        <v>-0.0141981877750732</v>
      </c>
      <c r="D266" s="3">
        <f>EXP(0.25*'3b-d Exposures'!G321)</f>
        <v/>
      </c>
      <c r="E266" s="3">
        <f>IF('3b-d Exposures'!C321="",0,'3b-d Exposures'!C321)</f>
        <v/>
      </c>
      <c r="F266" s="3">
        <f>IF('3b-d Exposures'!E321="",0,'3b-d Exposures'!E321)</f>
        <v/>
      </c>
      <c r="G266" s="3">
        <f>IF('3b-d Exposures'!G321="",0,'3b-d Exposures'!G321)</f>
        <v/>
      </c>
      <c r="H266" s="3">
        <f>IF('3b-d Exposures'!I321="",0,'3b-d Exposures'!I321)</f>
        <v/>
      </c>
      <c r="I266" s="3">
        <f>IF('3b-d Exposures'!K321="",0,'3b-d Exposures'!K321)</f>
        <v/>
      </c>
      <c r="J266" s="3">
        <f>IF('3b-d Exposures'!M321="",0,'3b-d Exposures'!M321)</f>
        <v/>
      </c>
      <c r="K266" s="3">
        <f>IF('3b-d Exposures'!O321="",0,'3b-d Exposures'!O321)</f>
        <v/>
      </c>
      <c r="L266" s="3">
        <f>IF('3b-d Exposures'!Q321="",0,'3b-d Exposures'!Q321)</f>
        <v/>
      </c>
      <c r="M266" s="3">
        <f>IF('3b-d Exposures'!S321="",0,'3b-d Exposures'!S321)</f>
        <v/>
      </c>
      <c r="N266" s="3">
        <f>IF('3b-d Exposures'!Z321="",0,'3b-d Exposures'!Z321)</f>
        <v/>
      </c>
      <c r="O266" s="3">
        <f>$D266</f>
        <v/>
      </c>
      <c r="P266" s="3">
        <f>E266*$D266</f>
        <v/>
      </c>
      <c r="Q266" s="3">
        <f>F266*$D266</f>
        <v/>
      </c>
      <c r="R266" s="3">
        <f>G266*$D266</f>
        <v/>
      </c>
      <c r="S266" s="3">
        <f>H266*$D266</f>
        <v/>
      </c>
      <c r="T266" s="3">
        <f>I266*$D266</f>
        <v/>
      </c>
      <c r="U266" s="3">
        <f>J266*$D266</f>
        <v/>
      </c>
      <c r="V266" s="3">
        <f>K266*$D266</f>
        <v/>
      </c>
      <c r="W266" s="3">
        <f>L266*$D266</f>
        <v/>
      </c>
      <c r="X266" s="3">
        <f>M266*$D266</f>
        <v/>
      </c>
      <c r="Y266" s="3">
        <f>N266*$D266</f>
        <v/>
      </c>
      <c r="Z266" s="3">
        <f>C266*$D266</f>
        <v/>
      </c>
      <c r="AA266" s="9">
        <f>$L978+$K978*E266+$J978*F266+$I978*G266+$H978*H266+$G978*I266+$F978*J266+$E978*K266+$D978*L266+$C978*M266+$B978*N266</f>
        <v/>
      </c>
      <c r="AB266" s="9">
        <f>C266-AA266</f>
        <v/>
      </c>
      <c r="AC266" s="4">
        <f>AB266^2</f>
        <v/>
      </c>
    </row>
    <row r="267">
      <c r="A267" t="inlineStr">
        <is>
          <t>BBG000BH4R78</t>
        </is>
      </c>
      <c r="B267" t="inlineStr">
        <is>
          <t>dis</t>
        </is>
      </c>
      <c r="C267" s="9" t="n">
        <v>-0.00263893296087947</v>
      </c>
      <c r="D267" s="3">
        <f>EXP(0.25*'3b-d Exposures'!G322)</f>
        <v/>
      </c>
      <c r="E267" s="3">
        <f>IF('3b-d Exposures'!C322="",0,'3b-d Exposures'!C322)</f>
        <v/>
      </c>
      <c r="F267" s="3">
        <f>IF('3b-d Exposures'!E322="",0,'3b-d Exposures'!E322)</f>
        <v/>
      </c>
      <c r="G267" s="3">
        <f>IF('3b-d Exposures'!G322="",0,'3b-d Exposures'!G322)</f>
        <v/>
      </c>
      <c r="H267" s="3">
        <f>IF('3b-d Exposures'!I322="",0,'3b-d Exposures'!I322)</f>
        <v/>
      </c>
      <c r="I267" s="3">
        <f>IF('3b-d Exposures'!K322="",0,'3b-d Exposures'!K322)</f>
        <v/>
      </c>
      <c r="J267" s="3">
        <f>IF('3b-d Exposures'!M322="",0,'3b-d Exposures'!M322)</f>
        <v/>
      </c>
      <c r="K267" s="3">
        <f>IF('3b-d Exposures'!O322="",0,'3b-d Exposures'!O322)</f>
        <v/>
      </c>
      <c r="L267" s="3">
        <f>IF('3b-d Exposures'!Q322="",0,'3b-d Exposures'!Q322)</f>
        <v/>
      </c>
      <c r="M267" s="3">
        <f>IF('3b-d Exposures'!S322="",0,'3b-d Exposures'!S322)</f>
        <v/>
      </c>
      <c r="N267" s="3">
        <f>IF('3b-d Exposures'!Z322="",0,'3b-d Exposures'!Z322)</f>
        <v/>
      </c>
      <c r="O267" s="3">
        <f>$D267</f>
        <v/>
      </c>
      <c r="P267" s="3">
        <f>E267*$D267</f>
        <v/>
      </c>
      <c r="Q267" s="3">
        <f>F267*$D267</f>
        <v/>
      </c>
      <c r="R267" s="3">
        <f>G267*$D267</f>
        <v/>
      </c>
      <c r="S267" s="3">
        <f>H267*$D267</f>
        <v/>
      </c>
      <c r="T267" s="3">
        <f>I267*$D267</f>
        <v/>
      </c>
      <c r="U267" s="3">
        <f>J267*$D267</f>
        <v/>
      </c>
      <c r="V267" s="3">
        <f>K267*$D267</f>
        <v/>
      </c>
      <c r="W267" s="3">
        <f>L267*$D267</f>
        <v/>
      </c>
      <c r="X267" s="3">
        <f>M267*$D267</f>
        <v/>
      </c>
      <c r="Y267" s="3">
        <f>N267*$D267</f>
        <v/>
      </c>
      <c r="Z267" s="3">
        <f>C267*$D267</f>
        <v/>
      </c>
      <c r="AA267" s="9">
        <f>$L978+$K978*E267+$J978*F267+$I978*G267+$H978*H267+$G978*I267+$F978*J267+$E978*K267+$D978*L267+$C978*M267+$B978*N267</f>
        <v/>
      </c>
      <c r="AB267" s="9">
        <f>C267-AA267</f>
        <v/>
      </c>
      <c r="AC267" s="4">
        <f>AB267^2</f>
        <v/>
      </c>
    </row>
    <row r="268">
      <c r="A268" t="inlineStr">
        <is>
          <t>BBG00FZYFVC5</t>
        </is>
      </c>
      <c r="B268" t="inlineStr">
        <is>
          <t>dk</t>
        </is>
      </c>
      <c r="C268" s="9" t="n">
        <v>0.04461939401657955</v>
      </c>
      <c r="D268" s="3">
        <f>EXP(0.25*'3b-d Exposures'!G323)</f>
        <v/>
      </c>
      <c r="E268" s="3">
        <f>IF('3b-d Exposures'!C323="",0,'3b-d Exposures'!C323)</f>
        <v/>
      </c>
      <c r="F268" s="3">
        <f>IF('3b-d Exposures'!E323="",0,'3b-d Exposures'!E323)</f>
        <v/>
      </c>
      <c r="G268" s="3">
        <f>IF('3b-d Exposures'!G323="",0,'3b-d Exposures'!G323)</f>
        <v/>
      </c>
      <c r="H268" s="3">
        <f>IF('3b-d Exposures'!I323="",0,'3b-d Exposures'!I323)</f>
        <v/>
      </c>
      <c r="I268" s="3">
        <f>IF('3b-d Exposures'!K323="",0,'3b-d Exposures'!K323)</f>
        <v/>
      </c>
      <c r="J268" s="3">
        <f>IF('3b-d Exposures'!M323="",0,'3b-d Exposures'!M323)</f>
        <v/>
      </c>
      <c r="K268" s="3">
        <f>IF('3b-d Exposures'!O323="",0,'3b-d Exposures'!O323)</f>
        <v/>
      </c>
      <c r="L268" s="3">
        <f>IF('3b-d Exposures'!Q323="",0,'3b-d Exposures'!Q323)</f>
        <v/>
      </c>
      <c r="M268" s="3">
        <f>IF('3b-d Exposures'!S323="",0,'3b-d Exposures'!S323)</f>
        <v/>
      </c>
      <c r="N268" s="3">
        <f>IF('3b-d Exposures'!Z323="",0,'3b-d Exposures'!Z323)</f>
        <v/>
      </c>
      <c r="O268" s="3">
        <f>$D268</f>
        <v/>
      </c>
      <c r="P268" s="3">
        <f>E268*$D268</f>
        <v/>
      </c>
      <c r="Q268" s="3">
        <f>F268*$D268</f>
        <v/>
      </c>
      <c r="R268" s="3">
        <f>G268*$D268</f>
        <v/>
      </c>
      <c r="S268" s="3">
        <f>H268*$D268</f>
        <v/>
      </c>
      <c r="T268" s="3">
        <f>I268*$D268</f>
        <v/>
      </c>
      <c r="U268" s="3">
        <f>J268*$D268</f>
        <v/>
      </c>
      <c r="V268" s="3">
        <f>K268*$D268</f>
        <v/>
      </c>
      <c r="W268" s="3">
        <f>L268*$D268</f>
        <v/>
      </c>
      <c r="X268" s="3">
        <f>M268*$D268</f>
        <v/>
      </c>
      <c r="Y268" s="3">
        <f>N268*$D268</f>
        <v/>
      </c>
      <c r="Z268" s="3">
        <f>C268*$D268</f>
        <v/>
      </c>
      <c r="AA268" s="9">
        <f>$L978+$K978*E268+$J978*F268+$I978*G268+$H978*H268+$G978*I268+$F978*J268+$E978*K268+$D978*L268+$C978*M268+$B978*N268</f>
        <v/>
      </c>
      <c r="AB268" s="9">
        <f>C268-AA268</f>
        <v/>
      </c>
      <c r="AC268" s="4">
        <f>AB268^2</f>
        <v/>
      </c>
    </row>
    <row r="269">
      <c r="A269" t="inlineStr">
        <is>
          <t>BBG000Q5ZRM7</t>
        </is>
      </c>
      <c r="B269" t="inlineStr">
        <is>
          <t>dlr</t>
        </is>
      </c>
      <c r="C269" s="9" t="n">
        <v>-0.01803885025904384</v>
      </c>
      <c r="D269" s="3">
        <f>EXP(0.25*'3b-d Exposures'!G324)</f>
        <v/>
      </c>
      <c r="E269" s="3">
        <f>IF('3b-d Exposures'!C324="",0,'3b-d Exposures'!C324)</f>
        <v/>
      </c>
      <c r="F269" s="3">
        <f>IF('3b-d Exposures'!E324="",0,'3b-d Exposures'!E324)</f>
        <v/>
      </c>
      <c r="G269" s="3">
        <f>IF('3b-d Exposures'!G324="",0,'3b-d Exposures'!G324)</f>
        <v/>
      </c>
      <c r="H269" s="3">
        <f>IF('3b-d Exposures'!I324="",0,'3b-d Exposures'!I324)</f>
        <v/>
      </c>
      <c r="I269" s="3">
        <f>IF('3b-d Exposures'!K324="",0,'3b-d Exposures'!K324)</f>
        <v/>
      </c>
      <c r="J269" s="3">
        <f>IF('3b-d Exposures'!M324="",0,'3b-d Exposures'!M324)</f>
        <v/>
      </c>
      <c r="K269" s="3">
        <f>IF('3b-d Exposures'!O324="",0,'3b-d Exposures'!O324)</f>
        <v/>
      </c>
      <c r="L269" s="3">
        <f>IF('3b-d Exposures'!Q324="",0,'3b-d Exposures'!Q324)</f>
        <v/>
      </c>
      <c r="M269" s="3">
        <f>IF('3b-d Exposures'!S324="",0,'3b-d Exposures'!S324)</f>
        <v/>
      </c>
      <c r="N269" s="3">
        <f>IF('3b-d Exposures'!Z324="",0,'3b-d Exposures'!Z324)</f>
        <v/>
      </c>
      <c r="O269" s="3">
        <f>$D269</f>
        <v/>
      </c>
      <c r="P269" s="3">
        <f>E269*$D269</f>
        <v/>
      </c>
      <c r="Q269" s="3">
        <f>F269*$D269</f>
        <v/>
      </c>
      <c r="R269" s="3">
        <f>G269*$D269</f>
        <v/>
      </c>
      <c r="S269" s="3">
        <f>H269*$D269</f>
        <v/>
      </c>
      <c r="T269" s="3">
        <f>I269*$D269</f>
        <v/>
      </c>
      <c r="U269" s="3">
        <f>J269*$D269</f>
        <v/>
      </c>
      <c r="V269" s="3">
        <f>K269*$D269</f>
        <v/>
      </c>
      <c r="W269" s="3">
        <f>L269*$D269</f>
        <v/>
      </c>
      <c r="X269" s="3">
        <f>M269*$D269</f>
        <v/>
      </c>
      <c r="Y269" s="3">
        <f>N269*$D269</f>
        <v/>
      </c>
      <c r="Z269" s="3">
        <f>C269*$D269</f>
        <v/>
      </c>
      <c r="AA269" s="9">
        <f>$L978+$K978*E269+$J978*F269+$I978*G269+$H978*H269+$G978*I269+$F978*J269+$E978*K269+$D978*L269+$C978*M269+$B978*N269</f>
        <v/>
      </c>
      <c r="AB269" s="9">
        <f>C269-AA269</f>
        <v/>
      </c>
      <c r="AC269" s="4">
        <f>AB269^2</f>
        <v/>
      </c>
    </row>
    <row r="270">
      <c r="A270" t="inlineStr">
        <is>
          <t>BBG000BSC0K9</t>
        </is>
      </c>
      <c r="B270" t="inlineStr">
        <is>
          <t>dltr</t>
        </is>
      </c>
      <c r="C270" s="9" t="n">
        <v>0.02160798355638982</v>
      </c>
      <c r="D270" s="3">
        <f>EXP(0.25*'3b-d Exposures'!G325)</f>
        <v/>
      </c>
      <c r="E270" s="3">
        <f>IF('3b-d Exposures'!C325="",0,'3b-d Exposures'!C325)</f>
        <v/>
      </c>
      <c r="F270" s="3">
        <f>IF('3b-d Exposures'!E325="",0,'3b-d Exposures'!E325)</f>
        <v/>
      </c>
      <c r="G270" s="3">
        <f>IF('3b-d Exposures'!G325="",0,'3b-d Exposures'!G325)</f>
        <v/>
      </c>
      <c r="H270" s="3">
        <f>IF('3b-d Exposures'!I325="",0,'3b-d Exposures'!I325)</f>
        <v/>
      </c>
      <c r="I270" s="3">
        <f>IF('3b-d Exposures'!K325="",0,'3b-d Exposures'!K325)</f>
        <v/>
      </c>
      <c r="J270" s="3">
        <f>IF('3b-d Exposures'!M325="",0,'3b-d Exposures'!M325)</f>
        <v/>
      </c>
      <c r="K270" s="3">
        <f>IF('3b-d Exposures'!O325="",0,'3b-d Exposures'!O325)</f>
        <v/>
      </c>
      <c r="L270" s="3">
        <f>IF('3b-d Exposures'!Q325="",0,'3b-d Exposures'!Q325)</f>
        <v/>
      </c>
      <c r="M270" s="3">
        <f>IF('3b-d Exposures'!S325="",0,'3b-d Exposures'!S325)</f>
        <v/>
      </c>
      <c r="N270" s="3">
        <f>IF('3b-d Exposures'!Z325="",0,'3b-d Exposures'!Z325)</f>
        <v/>
      </c>
      <c r="O270" s="3">
        <f>$D270</f>
        <v/>
      </c>
      <c r="P270" s="3">
        <f>E270*$D270</f>
        <v/>
      </c>
      <c r="Q270" s="3">
        <f>F270*$D270</f>
        <v/>
      </c>
      <c r="R270" s="3">
        <f>G270*$D270</f>
        <v/>
      </c>
      <c r="S270" s="3">
        <f>H270*$D270</f>
        <v/>
      </c>
      <c r="T270" s="3">
        <f>I270*$D270</f>
        <v/>
      </c>
      <c r="U270" s="3">
        <f>J270*$D270</f>
        <v/>
      </c>
      <c r="V270" s="3">
        <f>K270*$D270</f>
        <v/>
      </c>
      <c r="W270" s="3">
        <f>L270*$D270</f>
        <v/>
      </c>
      <c r="X270" s="3">
        <f>M270*$D270</f>
        <v/>
      </c>
      <c r="Y270" s="3">
        <f>N270*$D270</f>
        <v/>
      </c>
      <c r="Z270" s="3">
        <f>C270*$D270</f>
        <v/>
      </c>
      <c r="AA270" s="9">
        <f>$L978+$K978*E270+$J978*F270+$I978*G270+$H978*H270+$G978*I270+$F978*J270+$E978*K270+$D978*L270+$C978*M270+$B978*N270</f>
        <v/>
      </c>
      <c r="AB270" s="9">
        <f>C270-AA270</f>
        <v/>
      </c>
      <c r="AC270" s="4">
        <f>AB270^2</f>
        <v/>
      </c>
    </row>
    <row r="271">
      <c r="A271" t="inlineStr">
        <is>
          <t>BBG000BH6360</t>
        </is>
      </c>
      <c r="B271" t="inlineStr">
        <is>
          <t>dlx</t>
        </is>
      </c>
      <c r="C271" s="9" t="n">
        <v>0.02589558846464013</v>
      </c>
      <c r="D271" s="3">
        <f>EXP(0.25*'3b-d Exposures'!G326)</f>
        <v/>
      </c>
      <c r="E271" s="3">
        <f>IF('3b-d Exposures'!C326="",0,'3b-d Exposures'!C326)</f>
        <v/>
      </c>
      <c r="F271" s="3">
        <f>IF('3b-d Exposures'!E326="",0,'3b-d Exposures'!E326)</f>
        <v/>
      </c>
      <c r="G271" s="3">
        <f>IF('3b-d Exposures'!G326="",0,'3b-d Exposures'!G326)</f>
        <v/>
      </c>
      <c r="H271" s="3">
        <f>IF('3b-d Exposures'!I326="",0,'3b-d Exposures'!I326)</f>
        <v/>
      </c>
      <c r="I271" s="3">
        <f>IF('3b-d Exposures'!K326="",0,'3b-d Exposures'!K326)</f>
        <v/>
      </c>
      <c r="J271" s="3">
        <f>IF('3b-d Exposures'!M326="",0,'3b-d Exposures'!M326)</f>
        <v/>
      </c>
      <c r="K271" s="3">
        <f>IF('3b-d Exposures'!O326="",0,'3b-d Exposures'!O326)</f>
        <v/>
      </c>
      <c r="L271" s="3">
        <f>IF('3b-d Exposures'!Q326="",0,'3b-d Exposures'!Q326)</f>
        <v/>
      </c>
      <c r="M271" s="3">
        <f>IF('3b-d Exposures'!S326="",0,'3b-d Exposures'!S326)</f>
        <v/>
      </c>
      <c r="N271" s="3">
        <f>IF('3b-d Exposures'!Z326="",0,'3b-d Exposures'!Z326)</f>
        <v/>
      </c>
      <c r="O271" s="3">
        <f>$D271</f>
        <v/>
      </c>
      <c r="P271" s="3">
        <f>E271*$D271</f>
        <v/>
      </c>
      <c r="Q271" s="3">
        <f>F271*$D271</f>
        <v/>
      </c>
      <c r="R271" s="3">
        <f>G271*$D271</f>
        <v/>
      </c>
      <c r="S271" s="3">
        <f>H271*$D271</f>
        <v/>
      </c>
      <c r="T271" s="3">
        <f>I271*$D271</f>
        <v/>
      </c>
      <c r="U271" s="3">
        <f>J271*$D271</f>
        <v/>
      </c>
      <c r="V271" s="3">
        <f>K271*$D271</f>
        <v/>
      </c>
      <c r="W271" s="3">
        <f>L271*$D271</f>
        <v/>
      </c>
      <c r="X271" s="3">
        <f>M271*$D271</f>
        <v/>
      </c>
      <c r="Y271" s="3">
        <f>N271*$D271</f>
        <v/>
      </c>
      <c r="Z271" s="3">
        <f>C271*$D271</f>
        <v/>
      </c>
      <c r="AA271" s="9">
        <f>$L978+$K978*E271+$J978*F271+$I978*G271+$H978*H271+$G978*I271+$F978*J271+$E978*K271+$D978*L271+$C978*M271+$B978*N271</f>
        <v/>
      </c>
      <c r="AB271" s="9">
        <f>C271-AA271</f>
        <v/>
      </c>
      <c r="AC271" s="4">
        <f>AB271^2</f>
        <v/>
      </c>
    </row>
    <row r="272">
      <c r="A272" t="inlineStr">
        <is>
          <t>doc</t>
        </is>
      </c>
      <c r="B272" t="inlineStr">
        <is>
          <t>doc</t>
        </is>
      </c>
      <c r="C272" s="9" t="n">
        <v>-0.01546148513576062</v>
      </c>
      <c r="D272" s="3">
        <f>EXP(0.25*'3b-d Exposures'!G328)</f>
        <v/>
      </c>
      <c r="E272" s="3">
        <f>IF('3b-d Exposures'!C328="",0,'3b-d Exposures'!C328)</f>
        <v/>
      </c>
      <c r="F272" s="3">
        <f>IF('3b-d Exposures'!E328="",0,'3b-d Exposures'!E328)</f>
        <v/>
      </c>
      <c r="G272" s="3">
        <f>IF('3b-d Exposures'!G328="",0,'3b-d Exposures'!G328)</f>
        <v/>
      </c>
      <c r="H272" s="3">
        <f>IF('3b-d Exposures'!I328="",0,'3b-d Exposures'!I328)</f>
        <v/>
      </c>
      <c r="I272" s="3">
        <f>IF('3b-d Exposures'!K328="",0,'3b-d Exposures'!K328)</f>
        <v/>
      </c>
      <c r="J272" s="3">
        <f>IF('3b-d Exposures'!M328="",0,'3b-d Exposures'!M328)</f>
        <v/>
      </c>
      <c r="K272" s="3">
        <f>IF('3b-d Exposures'!O328="",0,'3b-d Exposures'!O328)</f>
        <v/>
      </c>
      <c r="L272" s="3">
        <f>IF('3b-d Exposures'!Q328="",0,'3b-d Exposures'!Q328)</f>
        <v/>
      </c>
      <c r="M272" s="3">
        <f>IF('3b-d Exposures'!S328="",0,'3b-d Exposures'!S328)</f>
        <v/>
      </c>
      <c r="N272" s="3">
        <f>IF('3b-d Exposures'!Z328="",0,'3b-d Exposures'!Z328)</f>
        <v/>
      </c>
      <c r="O272" s="3">
        <f>$D272</f>
        <v/>
      </c>
      <c r="P272" s="3">
        <f>E272*$D272</f>
        <v/>
      </c>
      <c r="Q272" s="3">
        <f>F272*$D272</f>
        <v/>
      </c>
      <c r="R272" s="3">
        <f>G272*$D272</f>
        <v/>
      </c>
      <c r="S272" s="3">
        <f>H272*$D272</f>
        <v/>
      </c>
      <c r="T272" s="3">
        <f>I272*$D272</f>
        <v/>
      </c>
      <c r="U272" s="3">
        <f>J272*$D272</f>
        <v/>
      </c>
      <c r="V272" s="3">
        <f>K272*$D272</f>
        <v/>
      </c>
      <c r="W272" s="3">
        <f>L272*$D272</f>
        <v/>
      </c>
      <c r="X272" s="3">
        <f>M272*$D272</f>
        <v/>
      </c>
      <c r="Y272" s="3">
        <f>N272*$D272</f>
        <v/>
      </c>
      <c r="Z272" s="3">
        <f>C272*$D272</f>
        <v/>
      </c>
      <c r="AA272" s="9">
        <f>$L978+$K978*E272+$J978*F272+$I978*G272+$H978*H272+$G978*I272+$F978*J272+$E978*K272+$D978*L272+$C978*M272+$B978*N272</f>
        <v/>
      </c>
      <c r="AB272" s="9">
        <f>C272-AA272</f>
        <v/>
      </c>
      <c r="AC272" s="4">
        <f>AB272^2</f>
        <v/>
      </c>
    </row>
    <row r="273">
      <c r="A273" t="inlineStr">
        <is>
          <t>BBG00ZGF6SS3</t>
        </is>
      </c>
      <c r="B273" t="inlineStr">
        <is>
          <t>docn</t>
        </is>
      </c>
      <c r="C273" s="9" t="n">
        <v>0.03098730130617322</v>
      </c>
      <c r="D273" s="3">
        <f>EXP(0.25*'3b-d Exposures'!G329)</f>
        <v/>
      </c>
      <c r="E273" s="3">
        <f>IF('3b-d Exposures'!C329="",0,'3b-d Exposures'!C329)</f>
        <v/>
      </c>
      <c r="F273" s="3">
        <f>IF('3b-d Exposures'!E329="",0,'3b-d Exposures'!E329)</f>
        <v/>
      </c>
      <c r="G273" s="3">
        <f>IF('3b-d Exposures'!G329="",0,'3b-d Exposures'!G329)</f>
        <v/>
      </c>
      <c r="H273" s="3">
        <f>IF('3b-d Exposures'!I329="",0,'3b-d Exposures'!I329)</f>
        <v/>
      </c>
      <c r="I273" s="3">
        <f>IF('3b-d Exposures'!K329="",0,'3b-d Exposures'!K329)</f>
        <v/>
      </c>
      <c r="J273" s="3">
        <f>IF('3b-d Exposures'!M329="",0,'3b-d Exposures'!M329)</f>
        <v/>
      </c>
      <c r="K273" s="3">
        <f>IF('3b-d Exposures'!O329="",0,'3b-d Exposures'!O329)</f>
        <v/>
      </c>
      <c r="L273" s="3">
        <f>IF('3b-d Exposures'!Q329="",0,'3b-d Exposures'!Q329)</f>
        <v/>
      </c>
      <c r="M273" s="3">
        <f>IF('3b-d Exposures'!S329="",0,'3b-d Exposures'!S329)</f>
        <v/>
      </c>
      <c r="N273" s="3">
        <f>IF('3b-d Exposures'!Z329="",0,'3b-d Exposures'!Z329)</f>
        <v/>
      </c>
      <c r="O273" s="3">
        <f>$D273</f>
        <v/>
      </c>
      <c r="P273" s="3">
        <f>E273*$D273</f>
        <v/>
      </c>
      <c r="Q273" s="3">
        <f>F273*$D273</f>
        <v/>
      </c>
      <c r="R273" s="3">
        <f>G273*$D273</f>
        <v/>
      </c>
      <c r="S273" s="3">
        <f>H273*$D273</f>
        <v/>
      </c>
      <c r="T273" s="3">
        <f>I273*$D273</f>
        <v/>
      </c>
      <c r="U273" s="3">
        <f>J273*$D273</f>
        <v/>
      </c>
      <c r="V273" s="3">
        <f>K273*$D273</f>
        <v/>
      </c>
      <c r="W273" s="3">
        <f>L273*$D273</f>
        <v/>
      </c>
      <c r="X273" s="3">
        <f>M273*$D273</f>
        <v/>
      </c>
      <c r="Y273" s="3">
        <f>N273*$D273</f>
        <v/>
      </c>
      <c r="Z273" s="3">
        <f>C273*$D273</f>
        <v/>
      </c>
      <c r="AA273" s="9">
        <f>$L978+$K978*E273+$J978*F273+$I978*G273+$H978*H273+$G978*I273+$F978*J273+$E978*K273+$D978*L273+$C978*M273+$B978*N273</f>
        <v/>
      </c>
      <c r="AB273" s="9">
        <f>C273-AA273</f>
        <v/>
      </c>
      <c r="AC273" s="4">
        <f>AB273^2</f>
        <v/>
      </c>
    </row>
    <row r="274">
      <c r="A274" t="inlineStr">
        <is>
          <t>dov</t>
        </is>
      </c>
      <c r="B274" t="inlineStr">
        <is>
          <t>dov</t>
        </is>
      </c>
      <c r="C274" s="9" t="n">
        <v>-0.005828027192239738</v>
      </c>
      <c r="D274" s="3">
        <f>EXP(0.25*'3b-d Exposures'!G331)</f>
        <v/>
      </c>
      <c r="E274" s="3">
        <f>IF('3b-d Exposures'!C331="",0,'3b-d Exposures'!C331)</f>
        <v/>
      </c>
      <c r="F274" s="3">
        <f>IF('3b-d Exposures'!E331="",0,'3b-d Exposures'!E331)</f>
        <v/>
      </c>
      <c r="G274" s="3">
        <f>IF('3b-d Exposures'!G331="",0,'3b-d Exposures'!G331)</f>
        <v/>
      </c>
      <c r="H274" s="3">
        <f>IF('3b-d Exposures'!I331="",0,'3b-d Exposures'!I331)</f>
        <v/>
      </c>
      <c r="I274" s="3">
        <f>IF('3b-d Exposures'!K331="",0,'3b-d Exposures'!K331)</f>
        <v/>
      </c>
      <c r="J274" s="3">
        <f>IF('3b-d Exposures'!M331="",0,'3b-d Exposures'!M331)</f>
        <v/>
      </c>
      <c r="K274" s="3">
        <f>IF('3b-d Exposures'!O331="",0,'3b-d Exposures'!O331)</f>
        <v/>
      </c>
      <c r="L274" s="3">
        <f>IF('3b-d Exposures'!Q331="",0,'3b-d Exposures'!Q331)</f>
        <v/>
      </c>
      <c r="M274" s="3">
        <f>IF('3b-d Exposures'!S331="",0,'3b-d Exposures'!S331)</f>
        <v/>
      </c>
      <c r="N274" s="3">
        <f>IF('3b-d Exposures'!Z331="",0,'3b-d Exposures'!Z331)</f>
        <v/>
      </c>
      <c r="O274" s="3">
        <f>$D274</f>
        <v/>
      </c>
      <c r="P274" s="3">
        <f>E274*$D274</f>
        <v/>
      </c>
      <c r="Q274" s="3">
        <f>F274*$D274</f>
        <v/>
      </c>
      <c r="R274" s="3">
        <f>G274*$D274</f>
        <v/>
      </c>
      <c r="S274" s="3">
        <f>H274*$D274</f>
        <v/>
      </c>
      <c r="T274" s="3">
        <f>I274*$D274</f>
        <v/>
      </c>
      <c r="U274" s="3">
        <f>J274*$D274</f>
        <v/>
      </c>
      <c r="V274" s="3">
        <f>K274*$D274</f>
        <v/>
      </c>
      <c r="W274" s="3">
        <f>L274*$D274</f>
        <v/>
      </c>
      <c r="X274" s="3">
        <f>M274*$D274</f>
        <v/>
      </c>
      <c r="Y274" s="3">
        <f>N274*$D274</f>
        <v/>
      </c>
      <c r="Z274" s="3">
        <f>C274*$D274</f>
        <v/>
      </c>
      <c r="AA274" s="9">
        <f>$L978+$K978*E274+$J978*F274+$I978*G274+$H978*H274+$G978*I274+$F978*J274+$E978*K274+$D978*L274+$C978*M274+$B978*N274</f>
        <v/>
      </c>
      <c r="AB274" s="9">
        <f>C274-AA274</f>
        <v/>
      </c>
      <c r="AC274" s="4">
        <f>AB274^2</f>
        <v/>
      </c>
    </row>
    <row r="275">
      <c r="A275" t="inlineStr">
        <is>
          <t>dow</t>
        </is>
      </c>
      <c r="B275" t="inlineStr">
        <is>
          <t>dow</t>
        </is>
      </c>
      <c r="C275" s="9" t="n">
        <v>0.003845287624518967</v>
      </c>
      <c r="D275" s="3">
        <f>EXP(0.25*'3b-d Exposures'!G332)</f>
        <v/>
      </c>
      <c r="E275" s="3">
        <f>IF('3b-d Exposures'!C332="",0,'3b-d Exposures'!C332)</f>
        <v/>
      </c>
      <c r="F275" s="3">
        <f>IF('3b-d Exposures'!E332="",0,'3b-d Exposures'!E332)</f>
        <v/>
      </c>
      <c r="G275" s="3">
        <f>IF('3b-d Exposures'!G332="",0,'3b-d Exposures'!G332)</f>
        <v/>
      </c>
      <c r="H275" s="3">
        <f>IF('3b-d Exposures'!I332="",0,'3b-d Exposures'!I332)</f>
        <v/>
      </c>
      <c r="I275" s="3">
        <f>IF('3b-d Exposures'!K332="",0,'3b-d Exposures'!K332)</f>
        <v/>
      </c>
      <c r="J275" s="3">
        <f>IF('3b-d Exposures'!M332="",0,'3b-d Exposures'!M332)</f>
        <v/>
      </c>
      <c r="K275" s="3">
        <f>IF('3b-d Exposures'!O332="",0,'3b-d Exposures'!O332)</f>
        <v/>
      </c>
      <c r="L275" s="3">
        <f>IF('3b-d Exposures'!Q332="",0,'3b-d Exposures'!Q332)</f>
        <v/>
      </c>
      <c r="M275" s="3">
        <f>IF('3b-d Exposures'!S332="",0,'3b-d Exposures'!S332)</f>
        <v/>
      </c>
      <c r="N275" s="3">
        <f>IF('3b-d Exposures'!Z332="",0,'3b-d Exposures'!Z332)</f>
        <v/>
      </c>
      <c r="O275" s="3">
        <f>$D275</f>
        <v/>
      </c>
      <c r="P275" s="3">
        <f>E275*$D275</f>
        <v/>
      </c>
      <c r="Q275" s="3">
        <f>F275*$D275</f>
        <v/>
      </c>
      <c r="R275" s="3">
        <f>G275*$D275</f>
        <v/>
      </c>
      <c r="S275" s="3">
        <f>H275*$D275</f>
        <v/>
      </c>
      <c r="T275" s="3">
        <f>I275*$D275</f>
        <v/>
      </c>
      <c r="U275" s="3">
        <f>J275*$D275</f>
        <v/>
      </c>
      <c r="V275" s="3">
        <f>K275*$D275</f>
        <v/>
      </c>
      <c r="W275" s="3">
        <f>L275*$D275</f>
        <v/>
      </c>
      <c r="X275" s="3">
        <f>M275*$D275</f>
        <v/>
      </c>
      <c r="Y275" s="3">
        <f>N275*$D275</f>
        <v/>
      </c>
      <c r="Z275" s="3">
        <f>C275*$D275</f>
        <v/>
      </c>
      <c r="AA275" s="9">
        <f>$L978+$K978*E275+$J978*F275+$I978*G275+$H978*H275+$G978*I275+$F978*J275+$E978*K275+$D978*L275+$C978*M275+$B978*N275</f>
        <v/>
      </c>
      <c r="AB275" s="9">
        <f>C275-AA275</f>
        <v/>
      </c>
      <c r="AC275" s="4">
        <f>AB275^2</f>
        <v/>
      </c>
    </row>
    <row r="276">
      <c r="A276" t="inlineStr">
        <is>
          <t>BBG000P458P3</t>
        </is>
      </c>
      <c r="B276" t="inlineStr">
        <is>
          <t>dpz</t>
        </is>
      </c>
      <c r="C276" s="9" t="n">
        <v>-0.02102110969263893</v>
      </c>
      <c r="D276" s="3">
        <f>EXP(0.25*'3b-d Exposures'!G333)</f>
        <v/>
      </c>
      <c r="E276" s="3">
        <f>IF('3b-d Exposures'!C333="",0,'3b-d Exposures'!C333)</f>
        <v/>
      </c>
      <c r="F276" s="3">
        <f>IF('3b-d Exposures'!E333="",0,'3b-d Exposures'!E333)</f>
        <v/>
      </c>
      <c r="G276" s="3">
        <f>IF('3b-d Exposures'!G333="",0,'3b-d Exposures'!G333)</f>
        <v/>
      </c>
      <c r="H276" s="3">
        <f>IF('3b-d Exposures'!I333="",0,'3b-d Exposures'!I333)</f>
        <v/>
      </c>
      <c r="I276" s="3">
        <f>IF('3b-d Exposures'!K333="",0,'3b-d Exposures'!K333)</f>
        <v/>
      </c>
      <c r="J276" s="3">
        <f>IF('3b-d Exposures'!M333="",0,'3b-d Exposures'!M333)</f>
        <v/>
      </c>
      <c r="K276" s="3">
        <f>IF('3b-d Exposures'!O333="",0,'3b-d Exposures'!O333)</f>
        <v/>
      </c>
      <c r="L276" s="3">
        <f>IF('3b-d Exposures'!Q333="",0,'3b-d Exposures'!Q333)</f>
        <v/>
      </c>
      <c r="M276" s="3">
        <f>IF('3b-d Exposures'!S333="",0,'3b-d Exposures'!S333)</f>
        <v/>
      </c>
      <c r="N276" s="3">
        <f>IF('3b-d Exposures'!Z333="",0,'3b-d Exposures'!Z333)</f>
        <v/>
      </c>
      <c r="O276" s="3">
        <f>$D276</f>
        <v/>
      </c>
      <c r="P276" s="3">
        <f>E276*$D276</f>
        <v/>
      </c>
      <c r="Q276" s="3">
        <f>F276*$D276</f>
        <v/>
      </c>
      <c r="R276" s="3">
        <f>G276*$D276</f>
        <v/>
      </c>
      <c r="S276" s="3">
        <f>H276*$D276</f>
        <v/>
      </c>
      <c r="T276" s="3">
        <f>I276*$D276</f>
        <v/>
      </c>
      <c r="U276" s="3">
        <f>J276*$D276</f>
        <v/>
      </c>
      <c r="V276" s="3">
        <f>K276*$D276</f>
        <v/>
      </c>
      <c r="W276" s="3">
        <f>L276*$D276</f>
        <v/>
      </c>
      <c r="X276" s="3">
        <f>M276*$D276</f>
        <v/>
      </c>
      <c r="Y276" s="3">
        <f>N276*$D276</f>
        <v/>
      </c>
      <c r="Z276" s="3">
        <f>C276*$D276</f>
        <v/>
      </c>
      <c r="AA276" s="9">
        <f>$L978+$K978*E276+$J978*F276+$I978*G276+$H978*H276+$G978*I276+$F978*J276+$E978*K276+$D978*L276+$C978*M276+$B978*N276</f>
        <v/>
      </c>
      <c r="AB276" s="9">
        <f>C276-AA276</f>
        <v/>
      </c>
      <c r="AC276" s="4">
        <f>AB276^2</f>
        <v/>
      </c>
    </row>
    <row r="277">
      <c r="A277" t="inlineStr">
        <is>
          <t>BBG000BBNYF6</t>
        </is>
      </c>
      <c r="B277" t="inlineStr">
        <is>
          <t>dri</t>
        </is>
      </c>
      <c r="C277" s="9" t="n">
        <v>-0.0242241627371752</v>
      </c>
      <c r="D277" s="3">
        <f>EXP(0.25*'3b-d Exposures'!G334)</f>
        <v/>
      </c>
      <c r="E277" s="3">
        <f>IF('3b-d Exposures'!C334="",0,'3b-d Exposures'!C334)</f>
        <v/>
      </c>
      <c r="F277" s="3">
        <f>IF('3b-d Exposures'!E334="",0,'3b-d Exposures'!E334)</f>
        <v/>
      </c>
      <c r="G277" s="3">
        <f>IF('3b-d Exposures'!G334="",0,'3b-d Exposures'!G334)</f>
        <v/>
      </c>
      <c r="H277" s="3">
        <f>IF('3b-d Exposures'!I334="",0,'3b-d Exposures'!I334)</f>
        <v/>
      </c>
      <c r="I277" s="3">
        <f>IF('3b-d Exposures'!K334="",0,'3b-d Exposures'!K334)</f>
        <v/>
      </c>
      <c r="J277" s="3">
        <f>IF('3b-d Exposures'!M334="",0,'3b-d Exposures'!M334)</f>
        <v/>
      </c>
      <c r="K277" s="3">
        <f>IF('3b-d Exposures'!O334="",0,'3b-d Exposures'!O334)</f>
        <v/>
      </c>
      <c r="L277" s="3">
        <f>IF('3b-d Exposures'!Q334="",0,'3b-d Exposures'!Q334)</f>
        <v/>
      </c>
      <c r="M277" s="3">
        <f>IF('3b-d Exposures'!S334="",0,'3b-d Exposures'!S334)</f>
        <v/>
      </c>
      <c r="N277" s="3">
        <f>IF('3b-d Exposures'!Z334="",0,'3b-d Exposures'!Z334)</f>
        <v/>
      </c>
      <c r="O277" s="3">
        <f>$D277</f>
        <v/>
      </c>
      <c r="P277" s="3">
        <f>E277*$D277</f>
        <v/>
      </c>
      <c r="Q277" s="3">
        <f>F277*$D277</f>
        <v/>
      </c>
      <c r="R277" s="3">
        <f>G277*$D277</f>
        <v/>
      </c>
      <c r="S277" s="3">
        <f>H277*$D277</f>
        <v/>
      </c>
      <c r="T277" s="3">
        <f>I277*$D277</f>
        <v/>
      </c>
      <c r="U277" s="3">
        <f>J277*$D277</f>
        <v/>
      </c>
      <c r="V277" s="3">
        <f>K277*$D277</f>
        <v/>
      </c>
      <c r="W277" s="3">
        <f>L277*$D277</f>
        <v/>
      </c>
      <c r="X277" s="3">
        <f>M277*$D277</f>
        <v/>
      </c>
      <c r="Y277" s="3">
        <f>N277*$D277</f>
        <v/>
      </c>
      <c r="Z277" s="3">
        <f>C277*$D277</f>
        <v/>
      </c>
      <c r="AA277" s="9">
        <f>$L978+$K978*E277+$J978*F277+$I978*G277+$H978*H277+$G978*I277+$F978*J277+$E978*K277+$D978*L277+$C978*M277+$B978*N277</f>
        <v/>
      </c>
      <c r="AB277" s="9">
        <f>C277-AA277</f>
        <v/>
      </c>
      <c r="AC277" s="4">
        <f>AB277^2</f>
        <v/>
      </c>
    </row>
    <row r="278">
      <c r="A278" t="inlineStr">
        <is>
          <t>BBG00PNN7C40</t>
        </is>
      </c>
      <c r="B278" t="inlineStr">
        <is>
          <t>dt</t>
        </is>
      </c>
      <c r="C278" s="9" t="n">
        <v>0.003025484744570983</v>
      </c>
      <c r="D278" s="3">
        <f>EXP(0.25*'3b-d Exposures'!G335)</f>
        <v/>
      </c>
      <c r="E278" s="3">
        <f>IF('3b-d Exposures'!C335="",0,'3b-d Exposures'!C335)</f>
        <v/>
      </c>
      <c r="F278" s="3">
        <f>IF('3b-d Exposures'!E335="",0,'3b-d Exposures'!E335)</f>
        <v/>
      </c>
      <c r="G278" s="3">
        <f>IF('3b-d Exposures'!G335="",0,'3b-d Exposures'!G335)</f>
        <v/>
      </c>
      <c r="H278" s="3">
        <f>IF('3b-d Exposures'!I335="",0,'3b-d Exposures'!I335)</f>
        <v/>
      </c>
      <c r="I278" s="3">
        <f>IF('3b-d Exposures'!K335="",0,'3b-d Exposures'!K335)</f>
        <v/>
      </c>
      <c r="J278" s="3">
        <f>IF('3b-d Exposures'!M335="",0,'3b-d Exposures'!M335)</f>
        <v/>
      </c>
      <c r="K278" s="3">
        <f>IF('3b-d Exposures'!O335="",0,'3b-d Exposures'!O335)</f>
        <v/>
      </c>
      <c r="L278" s="3">
        <f>IF('3b-d Exposures'!Q335="",0,'3b-d Exposures'!Q335)</f>
        <v/>
      </c>
      <c r="M278" s="3">
        <f>IF('3b-d Exposures'!S335="",0,'3b-d Exposures'!S335)</f>
        <v/>
      </c>
      <c r="N278" s="3">
        <f>IF('3b-d Exposures'!Z335="",0,'3b-d Exposures'!Z335)</f>
        <v/>
      </c>
      <c r="O278" s="3">
        <f>$D278</f>
        <v/>
      </c>
      <c r="P278" s="3">
        <f>E278*$D278</f>
        <v/>
      </c>
      <c r="Q278" s="3">
        <f>F278*$D278</f>
        <v/>
      </c>
      <c r="R278" s="3">
        <f>G278*$D278</f>
        <v/>
      </c>
      <c r="S278" s="3">
        <f>H278*$D278</f>
        <v/>
      </c>
      <c r="T278" s="3">
        <f>I278*$D278</f>
        <v/>
      </c>
      <c r="U278" s="3">
        <f>J278*$D278</f>
        <v/>
      </c>
      <c r="V278" s="3">
        <f>K278*$D278</f>
        <v/>
      </c>
      <c r="W278" s="3">
        <f>L278*$D278</f>
        <v/>
      </c>
      <c r="X278" s="3">
        <f>M278*$D278</f>
        <v/>
      </c>
      <c r="Y278" s="3">
        <f>N278*$D278</f>
        <v/>
      </c>
      <c r="Z278" s="3">
        <f>C278*$D278</f>
        <v/>
      </c>
      <c r="AA278" s="9">
        <f>$L978+$K978*E278+$J978*F278+$I978*G278+$H978*H278+$G978*I278+$F978*J278+$E978*K278+$D978*L278+$C978*M278+$B978*N278</f>
        <v/>
      </c>
      <c r="AB278" s="9">
        <f>C278-AA278</f>
        <v/>
      </c>
      <c r="AC278" s="4">
        <f>AB278^2</f>
        <v/>
      </c>
    </row>
    <row r="279">
      <c r="A279" t="inlineStr">
        <is>
          <t>BBG000BB29X4</t>
        </is>
      </c>
      <c r="B279" t="inlineStr">
        <is>
          <t>dte</t>
        </is>
      </c>
      <c r="C279" s="9" t="n">
        <v>-0.01733191331403283</v>
      </c>
      <c r="D279" s="3">
        <f>EXP(0.25*'3b-d Exposures'!G336)</f>
        <v/>
      </c>
      <c r="E279" s="3">
        <f>IF('3b-d Exposures'!C336="",0,'3b-d Exposures'!C336)</f>
        <v/>
      </c>
      <c r="F279" s="3">
        <f>IF('3b-d Exposures'!E336="",0,'3b-d Exposures'!E336)</f>
        <v/>
      </c>
      <c r="G279" s="3">
        <f>IF('3b-d Exposures'!G336="",0,'3b-d Exposures'!G336)</f>
        <v/>
      </c>
      <c r="H279" s="3">
        <f>IF('3b-d Exposures'!I336="",0,'3b-d Exposures'!I336)</f>
        <v/>
      </c>
      <c r="I279" s="3">
        <f>IF('3b-d Exposures'!K336="",0,'3b-d Exposures'!K336)</f>
        <v/>
      </c>
      <c r="J279" s="3">
        <f>IF('3b-d Exposures'!M336="",0,'3b-d Exposures'!M336)</f>
        <v/>
      </c>
      <c r="K279" s="3">
        <f>IF('3b-d Exposures'!O336="",0,'3b-d Exposures'!O336)</f>
        <v/>
      </c>
      <c r="L279" s="3">
        <f>IF('3b-d Exposures'!Q336="",0,'3b-d Exposures'!Q336)</f>
        <v/>
      </c>
      <c r="M279" s="3">
        <f>IF('3b-d Exposures'!S336="",0,'3b-d Exposures'!S336)</f>
        <v/>
      </c>
      <c r="N279" s="3">
        <f>IF('3b-d Exposures'!Z336="",0,'3b-d Exposures'!Z336)</f>
        <v/>
      </c>
      <c r="O279" s="3">
        <f>$D279</f>
        <v/>
      </c>
      <c r="P279" s="3">
        <f>E279*$D279</f>
        <v/>
      </c>
      <c r="Q279" s="3">
        <f>F279*$D279</f>
        <v/>
      </c>
      <c r="R279" s="3">
        <f>G279*$D279</f>
        <v/>
      </c>
      <c r="S279" s="3">
        <f>H279*$D279</f>
        <v/>
      </c>
      <c r="T279" s="3">
        <f>I279*$D279</f>
        <v/>
      </c>
      <c r="U279" s="3">
        <f>J279*$D279</f>
        <v/>
      </c>
      <c r="V279" s="3">
        <f>K279*$D279</f>
        <v/>
      </c>
      <c r="W279" s="3">
        <f>L279*$D279</f>
        <v/>
      </c>
      <c r="X279" s="3">
        <f>M279*$D279</f>
        <v/>
      </c>
      <c r="Y279" s="3">
        <f>N279*$D279</f>
        <v/>
      </c>
      <c r="Z279" s="3">
        <f>C279*$D279</f>
        <v/>
      </c>
      <c r="AA279" s="9">
        <f>$L978+$K978*E279+$J978*F279+$I978*G279+$H978*H279+$G978*I279+$F978*J279+$E978*K279+$D978*L279+$C978*M279+$B978*N279</f>
        <v/>
      </c>
      <c r="AB279" s="9">
        <f>C279-AA279</f>
        <v/>
      </c>
      <c r="AC279" s="4">
        <f>AB279^2</f>
        <v/>
      </c>
    </row>
    <row r="280">
      <c r="A280" t="inlineStr">
        <is>
          <t>BBG0112Z58J3</t>
        </is>
      </c>
      <c r="B280" t="inlineStr">
        <is>
          <t>dtm</t>
        </is>
      </c>
      <c r="C280" s="9" t="n">
        <v>-0.0372220580044178</v>
      </c>
      <c r="D280" s="3">
        <f>EXP(0.25*'3b-d Exposures'!G337)</f>
        <v/>
      </c>
      <c r="E280" s="3">
        <f>IF('3b-d Exposures'!C337="",0,'3b-d Exposures'!C337)</f>
        <v/>
      </c>
      <c r="F280" s="3">
        <f>IF('3b-d Exposures'!E337="",0,'3b-d Exposures'!E337)</f>
        <v/>
      </c>
      <c r="G280" s="3">
        <f>IF('3b-d Exposures'!G337="",0,'3b-d Exposures'!G337)</f>
        <v/>
      </c>
      <c r="H280" s="3">
        <f>IF('3b-d Exposures'!I337="",0,'3b-d Exposures'!I337)</f>
        <v/>
      </c>
      <c r="I280" s="3">
        <f>IF('3b-d Exposures'!K337="",0,'3b-d Exposures'!K337)</f>
        <v/>
      </c>
      <c r="J280" s="3">
        <f>IF('3b-d Exposures'!M337="",0,'3b-d Exposures'!M337)</f>
        <v/>
      </c>
      <c r="K280" s="3">
        <f>IF('3b-d Exposures'!O337="",0,'3b-d Exposures'!O337)</f>
        <v/>
      </c>
      <c r="L280" s="3">
        <f>IF('3b-d Exposures'!Q337="",0,'3b-d Exposures'!Q337)</f>
        <v/>
      </c>
      <c r="M280" s="3">
        <f>IF('3b-d Exposures'!S337="",0,'3b-d Exposures'!S337)</f>
        <v/>
      </c>
      <c r="N280" s="3">
        <f>IF('3b-d Exposures'!Z337="",0,'3b-d Exposures'!Z337)</f>
        <v/>
      </c>
      <c r="O280" s="3">
        <f>$D280</f>
        <v/>
      </c>
      <c r="P280" s="3">
        <f>E280*$D280</f>
        <v/>
      </c>
      <c r="Q280" s="3">
        <f>F280*$D280</f>
        <v/>
      </c>
      <c r="R280" s="3">
        <f>G280*$D280</f>
        <v/>
      </c>
      <c r="S280" s="3">
        <f>H280*$D280</f>
        <v/>
      </c>
      <c r="T280" s="3">
        <f>I280*$D280</f>
        <v/>
      </c>
      <c r="U280" s="3">
        <f>J280*$D280</f>
        <v/>
      </c>
      <c r="V280" s="3">
        <f>K280*$D280</f>
        <v/>
      </c>
      <c r="W280" s="3">
        <f>L280*$D280</f>
        <v/>
      </c>
      <c r="X280" s="3">
        <f>M280*$D280</f>
        <v/>
      </c>
      <c r="Y280" s="3">
        <f>N280*$D280</f>
        <v/>
      </c>
      <c r="Z280" s="3">
        <f>C280*$D280</f>
        <v/>
      </c>
      <c r="AA280" s="9">
        <f>$L978+$K978*E280+$J978*F280+$I978*G280+$H978*H280+$G978*I280+$F978*J280+$E978*K280+$D978*L280+$C978*M280+$B978*N280</f>
        <v/>
      </c>
      <c r="AB280" s="9">
        <f>C280-AA280</f>
        <v/>
      </c>
      <c r="AC280" s="4">
        <f>AB280^2</f>
        <v/>
      </c>
    </row>
    <row r="281">
      <c r="A281" t="inlineStr">
        <is>
          <t>BBG000BHGDH5</t>
        </is>
      </c>
      <c r="B281" t="inlineStr">
        <is>
          <t>duk</t>
        </is>
      </c>
      <c r="C281" s="9" t="n">
        <v>-0.01597601313690633</v>
      </c>
      <c r="D281" s="3">
        <f>EXP(0.25*'3b-d Exposures'!G338)</f>
        <v/>
      </c>
      <c r="E281" s="3">
        <f>IF('3b-d Exposures'!C338="",0,'3b-d Exposures'!C338)</f>
        <v/>
      </c>
      <c r="F281" s="3">
        <f>IF('3b-d Exposures'!E338="",0,'3b-d Exposures'!E338)</f>
        <v/>
      </c>
      <c r="G281" s="3">
        <f>IF('3b-d Exposures'!G338="",0,'3b-d Exposures'!G338)</f>
        <v/>
      </c>
      <c r="H281" s="3">
        <f>IF('3b-d Exposures'!I338="",0,'3b-d Exposures'!I338)</f>
        <v/>
      </c>
      <c r="I281" s="3">
        <f>IF('3b-d Exposures'!K338="",0,'3b-d Exposures'!K338)</f>
        <v/>
      </c>
      <c r="J281" s="3">
        <f>IF('3b-d Exposures'!M338="",0,'3b-d Exposures'!M338)</f>
        <v/>
      </c>
      <c r="K281" s="3">
        <f>IF('3b-d Exposures'!O338="",0,'3b-d Exposures'!O338)</f>
        <v/>
      </c>
      <c r="L281" s="3">
        <f>IF('3b-d Exposures'!Q338="",0,'3b-d Exposures'!Q338)</f>
        <v/>
      </c>
      <c r="M281" s="3">
        <f>IF('3b-d Exposures'!S338="",0,'3b-d Exposures'!S338)</f>
        <v/>
      </c>
      <c r="N281" s="3">
        <f>IF('3b-d Exposures'!Z338="",0,'3b-d Exposures'!Z338)</f>
        <v/>
      </c>
      <c r="O281" s="3">
        <f>$D281</f>
        <v/>
      </c>
      <c r="P281" s="3">
        <f>E281*$D281</f>
        <v/>
      </c>
      <c r="Q281" s="3">
        <f>F281*$D281</f>
        <v/>
      </c>
      <c r="R281" s="3">
        <f>G281*$D281</f>
        <v/>
      </c>
      <c r="S281" s="3">
        <f>H281*$D281</f>
        <v/>
      </c>
      <c r="T281" s="3">
        <f>I281*$D281</f>
        <v/>
      </c>
      <c r="U281" s="3">
        <f>J281*$D281</f>
        <v/>
      </c>
      <c r="V281" s="3">
        <f>K281*$D281</f>
        <v/>
      </c>
      <c r="W281" s="3">
        <f>L281*$D281</f>
        <v/>
      </c>
      <c r="X281" s="3">
        <f>M281*$D281</f>
        <v/>
      </c>
      <c r="Y281" s="3">
        <f>N281*$D281</f>
        <v/>
      </c>
      <c r="Z281" s="3">
        <f>C281*$D281</f>
        <v/>
      </c>
      <c r="AA281" s="9">
        <f>$L978+$K978*E281+$J978*F281+$I978*G281+$H978*H281+$G978*I281+$F978*J281+$E978*K281+$D978*L281+$C978*M281+$B978*N281</f>
        <v/>
      </c>
      <c r="AB281" s="9">
        <f>C281-AA281</f>
        <v/>
      </c>
      <c r="AC281" s="4">
        <f>AB281^2</f>
        <v/>
      </c>
    </row>
    <row r="282">
      <c r="A282" t="inlineStr">
        <is>
          <t>dva</t>
        </is>
      </c>
      <c r="B282" t="inlineStr">
        <is>
          <t>dva</t>
        </is>
      </c>
      <c r="C282" s="9" t="n">
        <v>-0.01462353434770258</v>
      </c>
      <c r="D282" s="3">
        <f>EXP(0.25*'3b-d Exposures'!G339)</f>
        <v/>
      </c>
      <c r="E282" s="3">
        <f>IF('3b-d Exposures'!C339="",0,'3b-d Exposures'!C339)</f>
        <v/>
      </c>
      <c r="F282" s="3">
        <f>IF('3b-d Exposures'!E339="",0,'3b-d Exposures'!E339)</f>
        <v/>
      </c>
      <c r="G282" s="3">
        <f>IF('3b-d Exposures'!G339="",0,'3b-d Exposures'!G339)</f>
        <v/>
      </c>
      <c r="H282" s="3">
        <f>IF('3b-d Exposures'!I339="",0,'3b-d Exposures'!I339)</f>
        <v/>
      </c>
      <c r="I282" s="3">
        <f>IF('3b-d Exposures'!K339="",0,'3b-d Exposures'!K339)</f>
        <v/>
      </c>
      <c r="J282" s="3">
        <f>IF('3b-d Exposures'!M339="",0,'3b-d Exposures'!M339)</f>
        <v/>
      </c>
      <c r="K282" s="3">
        <f>IF('3b-d Exposures'!O339="",0,'3b-d Exposures'!O339)</f>
        <v/>
      </c>
      <c r="L282" s="3">
        <f>IF('3b-d Exposures'!Q339="",0,'3b-d Exposures'!Q339)</f>
        <v/>
      </c>
      <c r="M282" s="3">
        <f>IF('3b-d Exposures'!S339="",0,'3b-d Exposures'!S339)</f>
        <v/>
      </c>
      <c r="N282" s="3">
        <f>IF('3b-d Exposures'!Z339="",0,'3b-d Exposures'!Z339)</f>
        <v/>
      </c>
      <c r="O282" s="3">
        <f>$D282</f>
        <v/>
      </c>
      <c r="P282" s="3">
        <f>E282*$D282</f>
        <v/>
      </c>
      <c r="Q282" s="3">
        <f>F282*$D282</f>
        <v/>
      </c>
      <c r="R282" s="3">
        <f>G282*$D282</f>
        <v/>
      </c>
      <c r="S282" s="3">
        <f>H282*$D282</f>
        <v/>
      </c>
      <c r="T282" s="3">
        <f>I282*$D282</f>
        <v/>
      </c>
      <c r="U282" s="3">
        <f>J282*$D282</f>
        <v/>
      </c>
      <c r="V282" s="3">
        <f>K282*$D282</f>
        <v/>
      </c>
      <c r="W282" s="3">
        <f>L282*$D282</f>
        <v/>
      </c>
      <c r="X282" s="3">
        <f>M282*$D282</f>
        <v/>
      </c>
      <c r="Y282" s="3">
        <f>N282*$D282</f>
        <v/>
      </c>
      <c r="Z282" s="3">
        <f>C282*$D282</f>
        <v/>
      </c>
      <c r="AA282" s="9">
        <f>$L978+$K978*E282+$J978*F282+$I978*G282+$H978*H282+$G978*I282+$F978*J282+$E978*K282+$D978*L282+$C978*M282+$B978*N282</f>
        <v/>
      </c>
      <c r="AB282" s="9">
        <f>C282-AA282</f>
        <v/>
      </c>
      <c r="AC282" s="4">
        <f>AB282^2</f>
        <v/>
      </c>
    </row>
    <row r="283">
      <c r="A283" t="inlineStr">
        <is>
          <t>BBG000BBVJZ8</t>
        </is>
      </c>
      <c r="B283" t="inlineStr">
        <is>
          <t>dvn</t>
        </is>
      </c>
      <c r="C283" s="9" t="n">
        <v>-0.008958994694233557</v>
      </c>
      <c r="D283" s="3">
        <f>EXP(0.25*'3b-d Exposures'!G340)</f>
        <v/>
      </c>
      <c r="E283" s="3">
        <f>IF('3b-d Exposures'!C340="",0,'3b-d Exposures'!C340)</f>
        <v/>
      </c>
      <c r="F283" s="3">
        <f>IF('3b-d Exposures'!E340="",0,'3b-d Exposures'!E340)</f>
        <v/>
      </c>
      <c r="G283" s="3">
        <f>IF('3b-d Exposures'!G340="",0,'3b-d Exposures'!G340)</f>
        <v/>
      </c>
      <c r="H283" s="3">
        <f>IF('3b-d Exposures'!I340="",0,'3b-d Exposures'!I340)</f>
        <v/>
      </c>
      <c r="I283" s="3">
        <f>IF('3b-d Exposures'!K340="",0,'3b-d Exposures'!K340)</f>
        <v/>
      </c>
      <c r="J283" s="3">
        <f>IF('3b-d Exposures'!M340="",0,'3b-d Exposures'!M340)</f>
        <v/>
      </c>
      <c r="K283" s="3">
        <f>IF('3b-d Exposures'!O340="",0,'3b-d Exposures'!O340)</f>
        <v/>
      </c>
      <c r="L283" s="3">
        <f>IF('3b-d Exposures'!Q340="",0,'3b-d Exposures'!Q340)</f>
        <v/>
      </c>
      <c r="M283" s="3">
        <f>IF('3b-d Exposures'!S340="",0,'3b-d Exposures'!S340)</f>
        <v/>
      </c>
      <c r="N283" s="3">
        <f>IF('3b-d Exposures'!Z340="",0,'3b-d Exposures'!Z340)</f>
        <v/>
      </c>
      <c r="O283" s="3">
        <f>$D283</f>
        <v/>
      </c>
      <c r="P283" s="3">
        <f>E283*$D283</f>
        <v/>
      </c>
      <c r="Q283" s="3">
        <f>F283*$D283</f>
        <v/>
      </c>
      <c r="R283" s="3">
        <f>G283*$D283</f>
        <v/>
      </c>
      <c r="S283" s="3">
        <f>H283*$D283</f>
        <v/>
      </c>
      <c r="T283" s="3">
        <f>I283*$D283</f>
        <v/>
      </c>
      <c r="U283" s="3">
        <f>J283*$D283</f>
        <v/>
      </c>
      <c r="V283" s="3">
        <f>K283*$D283</f>
        <v/>
      </c>
      <c r="W283" s="3">
        <f>L283*$D283</f>
        <v/>
      </c>
      <c r="X283" s="3">
        <f>M283*$D283</f>
        <v/>
      </c>
      <c r="Y283" s="3">
        <f>N283*$D283</f>
        <v/>
      </c>
      <c r="Z283" s="3">
        <f>C283*$D283</f>
        <v/>
      </c>
      <c r="AA283" s="9">
        <f>$L978+$K978*E283+$J978*F283+$I978*G283+$H978*H283+$G978*I283+$F978*J283+$E978*K283+$D978*L283+$C978*M283+$B978*N283</f>
        <v/>
      </c>
      <c r="AB283" s="9">
        <f>C283-AA283</f>
        <v/>
      </c>
      <c r="AC283" s="4">
        <f>AB283^2</f>
        <v/>
      </c>
    </row>
    <row r="284">
      <c r="A284" t="inlineStr">
        <is>
          <t>BBG000FBJQM6</t>
        </is>
      </c>
      <c r="B284" t="inlineStr">
        <is>
          <t>dx</t>
        </is>
      </c>
      <c r="C284" s="9" t="n">
        <v>-0.002390287004990554</v>
      </c>
      <c r="D284" s="3">
        <f>EXP(0.25*'3b-d Exposures'!G341)</f>
        <v/>
      </c>
      <c r="E284" s="3">
        <f>IF('3b-d Exposures'!C341="",0,'3b-d Exposures'!C341)</f>
        <v/>
      </c>
      <c r="F284" s="3">
        <f>IF('3b-d Exposures'!E341="",0,'3b-d Exposures'!E341)</f>
        <v/>
      </c>
      <c r="G284" s="3">
        <f>IF('3b-d Exposures'!G341="",0,'3b-d Exposures'!G341)</f>
        <v/>
      </c>
      <c r="H284" s="3">
        <f>IF('3b-d Exposures'!I341="",0,'3b-d Exposures'!I341)</f>
        <v/>
      </c>
      <c r="I284" s="3">
        <f>IF('3b-d Exposures'!K341="",0,'3b-d Exposures'!K341)</f>
        <v/>
      </c>
      <c r="J284" s="3">
        <f>IF('3b-d Exposures'!M341="",0,'3b-d Exposures'!M341)</f>
        <v/>
      </c>
      <c r="K284" s="3">
        <f>IF('3b-d Exposures'!O341="",0,'3b-d Exposures'!O341)</f>
        <v/>
      </c>
      <c r="L284" s="3">
        <f>IF('3b-d Exposures'!Q341="",0,'3b-d Exposures'!Q341)</f>
        <v/>
      </c>
      <c r="M284" s="3">
        <f>IF('3b-d Exposures'!S341="",0,'3b-d Exposures'!S341)</f>
        <v/>
      </c>
      <c r="N284" s="3">
        <f>IF('3b-d Exposures'!Z341="",0,'3b-d Exposures'!Z341)</f>
        <v/>
      </c>
      <c r="O284" s="3">
        <f>$D284</f>
        <v/>
      </c>
      <c r="P284" s="3">
        <f>E284*$D284</f>
        <v/>
      </c>
      <c r="Q284" s="3">
        <f>F284*$D284</f>
        <v/>
      </c>
      <c r="R284" s="3">
        <f>G284*$D284</f>
        <v/>
      </c>
      <c r="S284" s="3">
        <f>H284*$D284</f>
        <v/>
      </c>
      <c r="T284" s="3">
        <f>I284*$D284</f>
        <v/>
      </c>
      <c r="U284" s="3">
        <f>J284*$D284</f>
        <v/>
      </c>
      <c r="V284" s="3">
        <f>K284*$D284</f>
        <v/>
      </c>
      <c r="W284" s="3">
        <f>L284*$D284</f>
        <v/>
      </c>
      <c r="X284" s="3">
        <f>M284*$D284</f>
        <v/>
      </c>
      <c r="Y284" s="3">
        <f>N284*$D284</f>
        <v/>
      </c>
      <c r="Z284" s="3">
        <f>C284*$D284</f>
        <v/>
      </c>
      <c r="AA284" s="9">
        <f>$L978+$K978*E284+$J978*F284+$I978*G284+$H978*H284+$G978*I284+$F978*J284+$E978*K284+$D978*L284+$C978*M284+$B978*N284</f>
        <v/>
      </c>
      <c r="AB284" s="9">
        <f>C284-AA284</f>
        <v/>
      </c>
      <c r="AC284" s="4">
        <f>AB284^2</f>
        <v/>
      </c>
    </row>
    <row r="285">
      <c r="A285" t="inlineStr">
        <is>
          <t>BBG000QTF8K1</t>
        </is>
      </c>
      <c r="B285" t="inlineStr">
        <is>
          <t>dxcm</t>
        </is>
      </c>
      <c r="C285" s="9" t="n">
        <v>0.01692524337710521</v>
      </c>
      <c r="D285" s="3">
        <f>EXP(0.25*'3b-d Exposures'!G342)</f>
        <v/>
      </c>
      <c r="E285" s="3">
        <f>IF('3b-d Exposures'!C342="",0,'3b-d Exposures'!C342)</f>
        <v/>
      </c>
      <c r="F285" s="3">
        <f>IF('3b-d Exposures'!E342="",0,'3b-d Exposures'!E342)</f>
        <v/>
      </c>
      <c r="G285" s="3">
        <f>IF('3b-d Exposures'!G342="",0,'3b-d Exposures'!G342)</f>
        <v/>
      </c>
      <c r="H285" s="3">
        <f>IF('3b-d Exposures'!I342="",0,'3b-d Exposures'!I342)</f>
        <v/>
      </c>
      <c r="I285" s="3">
        <f>IF('3b-d Exposures'!K342="",0,'3b-d Exposures'!K342)</f>
        <v/>
      </c>
      <c r="J285" s="3">
        <f>IF('3b-d Exposures'!M342="",0,'3b-d Exposures'!M342)</f>
        <v/>
      </c>
      <c r="K285" s="3">
        <f>IF('3b-d Exposures'!O342="",0,'3b-d Exposures'!O342)</f>
        <v/>
      </c>
      <c r="L285" s="3">
        <f>IF('3b-d Exposures'!Q342="",0,'3b-d Exposures'!Q342)</f>
        <v/>
      </c>
      <c r="M285" s="3">
        <f>IF('3b-d Exposures'!S342="",0,'3b-d Exposures'!S342)</f>
        <v/>
      </c>
      <c r="N285" s="3">
        <f>IF('3b-d Exposures'!Z342="",0,'3b-d Exposures'!Z342)</f>
        <v/>
      </c>
      <c r="O285" s="3">
        <f>$D285</f>
        <v/>
      </c>
      <c r="P285" s="3">
        <f>E285*$D285</f>
        <v/>
      </c>
      <c r="Q285" s="3">
        <f>F285*$D285</f>
        <v/>
      </c>
      <c r="R285" s="3">
        <f>G285*$D285</f>
        <v/>
      </c>
      <c r="S285" s="3">
        <f>H285*$D285</f>
        <v/>
      </c>
      <c r="T285" s="3">
        <f>I285*$D285</f>
        <v/>
      </c>
      <c r="U285" s="3">
        <f>J285*$D285</f>
        <v/>
      </c>
      <c r="V285" s="3">
        <f>K285*$D285</f>
        <v/>
      </c>
      <c r="W285" s="3">
        <f>L285*$D285</f>
        <v/>
      </c>
      <c r="X285" s="3">
        <f>M285*$D285</f>
        <v/>
      </c>
      <c r="Y285" s="3">
        <f>N285*$D285</f>
        <v/>
      </c>
      <c r="Z285" s="3">
        <f>C285*$D285</f>
        <v/>
      </c>
      <c r="AA285" s="9">
        <f>$L978+$K978*E285+$J978*F285+$I978*G285+$H978*H285+$G978*I285+$F978*J285+$E978*K285+$D978*L285+$C978*M285+$B978*N285</f>
        <v/>
      </c>
      <c r="AB285" s="9">
        <f>C285-AA285</f>
        <v/>
      </c>
      <c r="AC285" s="4">
        <f>AB285^2</f>
        <v/>
      </c>
    </row>
    <row r="286">
      <c r="A286" t="inlineStr">
        <is>
          <t>BBG000C4SKT1</t>
        </is>
      </c>
      <c r="B286" t="inlineStr">
        <is>
          <t>dy</t>
        </is>
      </c>
      <c r="C286" s="9" t="n">
        <v>0.008887174750528581</v>
      </c>
      <c r="D286" s="3">
        <f>EXP(0.25*'3b-d Exposures'!G344)</f>
        <v/>
      </c>
      <c r="E286" s="3">
        <f>IF('3b-d Exposures'!C344="",0,'3b-d Exposures'!C344)</f>
        <v/>
      </c>
      <c r="F286" s="3">
        <f>IF('3b-d Exposures'!E344="",0,'3b-d Exposures'!E344)</f>
        <v/>
      </c>
      <c r="G286" s="3">
        <f>IF('3b-d Exposures'!G344="",0,'3b-d Exposures'!G344)</f>
        <v/>
      </c>
      <c r="H286" s="3">
        <f>IF('3b-d Exposures'!I344="",0,'3b-d Exposures'!I344)</f>
        <v/>
      </c>
      <c r="I286" s="3">
        <f>IF('3b-d Exposures'!K344="",0,'3b-d Exposures'!K344)</f>
        <v/>
      </c>
      <c r="J286" s="3">
        <f>IF('3b-d Exposures'!M344="",0,'3b-d Exposures'!M344)</f>
        <v/>
      </c>
      <c r="K286" s="3">
        <f>IF('3b-d Exposures'!O344="",0,'3b-d Exposures'!O344)</f>
        <v/>
      </c>
      <c r="L286" s="3">
        <f>IF('3b-d Exposures'!Q344="",0,'3b-d Exposures'!Q344)</f>
        <v/>
      </c>
      <c r="M286" s="3">
        <f>IF('3b-d Exposures'!S344="",0,'3b-d Exposures'!S344)</f>
        <v/>
      </c>
      <c r="N286" s="3">
        <f>IF('3b-d Exposures'!Z344="",0,'3b-d Exposures'!Z344)</f>
        <v/>
      </c>
      <c r="O286" s="3">
        <f>$D286</f>
        <v/>
      </c>
      <c r="P286" s="3">
        <f>E286*$D286</f>
        <v/>
      </c>
      <c r="Q286" s="3">
        <f>F286*$D286</f>
        <v/>
      </c>
      <c r="R286" s="3">
        <f>G286*$D286</f>
        <v/>
      </c>
      <c r="S286" s="3">
        <f>H286*$D286</f>
        <v/>
      </c>
      <c r="T286" s="3">
        <f>I286*$D286</f>
        <v/>
      </c>
      <c r="U286" s="3">
        <f>J286*$D286</f>
        <v/>
      </c>
      <c r="V286" s="3">
        <f>K286*$D286</f>
        <v/>
      </c>
      <c r="W286" s="3">
        <f>L286*$D286</f>
        <v/>
      </c>
      <c r="X286" s="3">
        <f>M286*$D286</f>
        <v/>
      </c>
      <c r="Y286" s="3">
        <f>N286*$D286</f>
        <v/>
      </c>
      <c r="Z286" s="3">
        <f>C286*$D286</f>
        <v/>
      </c>
      <c r="AA286" s="9">
        <f>$L978+$K978*E286+$J978*F286+$I978*G286+$H978*H286+$G978*I286+$F978*J286+$E978*K286+$D978*L286+$C978*M286+$B978*N286</f>
        <v/>
      </c>
      <c r="AB286" s="9">
        <f>C286-AA286</f>
        <v/>
      </c>
      <c r="AC286" s="4">
        <f>AB286^2</f>
        <v/>
      </c>
    </row>
    <row r="287">
      <c r="A287" t="inlineStr">
        <is>
          <t>BBG000BP0KQ8</t>
        </is>
      </c>
      <c r="B287" t="inlineStr">
        <is>
          <t>ea</t>
        </is>
      </c>
      <c r="C287" s="9" t="n">
        <v>0.01399174490616928</v>
      </c>
      <c r="D287" s="3">
        <f>EXP(0.25*'3b-d Exposures'!G345)</f>
        <v/>
      </c>
      <c r="E287" s="3">
        <f>IF('3b-d Exposures'!C345="",0,'3b-d Exposures'!C345)</f>
        <v/>
      </c>
      <c r="F287" s="3">
        <f>IF('3b-d Exposures'!E345="",0,'3b-d Exposures'!E345)</f>
        <v/>
      </c>
      <c r="G287" s="3">
        <f>IF('3b-d Exposures'!G345="",0,'3b-d Exposures'!G345)</f>
        <v/>
      </c>
      <c r="H287" s="3">
        <f>IF('3b-d Exposures'!I345="",0,'3b-d Exposures'!I345)</f>
        <v/>
      </c>
      <c r="I287" s="3">
        <f>IF('3b-d Exposures'!K345="",0,'3b-d Exposures'!K345)</f>
        <v/>
      </c>
      <c r="J287" s="3">
        <f>IF('3b-d Exposures'!M345="",0,'3b-d Exposures'!M345)</f>
        <v/>
      </c>
      <c r="K287" s="3">
        <f>IF('3b-d Exposures'!O345="",0,'3b-d Exposures'!O345)</f>
        <v/>
      </c>
      <c r="L287" s="3">
        <f>IF('3b-d Exposures'!Q345="",0,'3b-d Exposures'!Q345)</f>
        <v/>
      </c>
      <c r="M287" s="3">
        <f>IF('3b-d Exposures'!S345="",0,'3b-d Exposures'!S345)</f>
        <v/>
      </c>
      <c r="N287" s="3">
        <f>IF('3b-d Exposures'!Z345="",0,'3b-d Exposures'!Z345)</f>
        <v/>
      </c>
      <c r="O287" s="3">
        <f>$D287</f>
        <v/>
      </c>
      <c r="P287" s="3">
        <f>E287*$D287</f>
        <v/>
      </c>
      <c r="Q287" s="3">
        <f>F287*$D287</f>
        <v/>
      </c>
      <c r="R287" s="3">
        <f>G287*$D287</f>
        <v/>
      </c>
      <c r="S287" s="3">
        <f>H287*$D287</f>
        <v/>
      </c>
      <c r="T287" s="3">
        <f>I287*$D287</f>
        <v/>
      </c>
      <c r="U287" s="3">
        <f>J287*$D287</f>
        <v/>
      </c>
      <c r="V287" s="3">
        <f>K287*$D287</f>
        <v/>
      </c>
      <c r="W287" s="3">
        <f>L287*$D287</f>
        <v/>
      </c>
      <c r="X287" s="3">
        <f>M287*$D287</f>
        <v/>
      </c>
      <c r="Y287" s="3">
        <f>N287*$D287</f>
        <v/>
      </c>
      <c r="Z287" s="3">
        <f>C287*$D287</f>
        <v/>
      </c>
      <c r="AA287" s="9">
        <f>$L978+$K978*E287+$J978*F287+$I978*G287+$H978*H287+$G978*I287+$F978*J287+$E978*K287+$D978*L287+$C978*M287+$B978*N287</f>
        <v/>
      </c>
      <c r="AB287" s="9">
        <f>C287-AA287</f>
        <v/>
      </c>
      <c r="AC287" s="4">
        <f>AB287^2</f>
        <v/>
      </c>
    </row>
    <row r="288">
      <c r="A288" t="inlineStr">
        <is>
          <t>BBG000BK28N7</t>
        </is>
      </c>
      <c r="B288" t="inlineStr">
        <is>
          <t>eat</t>
        </is>
      </c>
      <c r="C288" s="9" t="n">
        <v>-0.015574185318316</v>
      </c>
      <c r="D288" s="3">
        <f>EXP(0.25*'3b-d Exposures'!G346)</f>
        <v/>
      </c>
      <c r="E288" s="3">
        <f>IF('3b-d Exposures'!C346="",0,'3b-d Exposures'!C346)</f>
        <v/>
      </c>
      <c r="F288" s="3">
        <f>IF('3b-d Exposures'!E346="",0,'3b-d Exposures'!E346)</f>
        <v/>
      </c>
      <c r="G288" s="3">
        <f>IF('3b-d Exposures'!G346="",0,'3b-d Exposures'!G346)</f>
        <v/>
      </c>
      <c r="H288" s="3">
        <f>IF('3b-d Exposures'!I346="",0,'3b-d Exposures'!I346)</f>
        <v/>
      </c>
      <c r="I288" s="3">
        <f>IF('3b-d Exposures'!K346="",0,'3b-d Exposures'!K346)</f>
        <v/>
      </c>
      <c r="J288" s="3">
        <f>IF('3b-d Exposures'!M346="",0,'3b-d Exposures'!M346)</f>
        <v/>
      </c>
      <c r="K288" s="3">
        <f>IF('3b-d Exposures'!O346="",0,'3b-d Exposures'!O346)</f>
        <v/>
      </c>
      <c r="L288" s="3">
        <f>IF('3b-d Exposures'!Q346="",0,'3b-d Exposures'!Q346)</f>
        <v/>
      </c>
      <c r="M288" s="3">
        <f>IF('3b-d Exposures'!S346="",0,'3b-d Exposures'!S346)</f>
        <v/>
      </c>
      <c r="N288" s="3">
        <f>IF('3b-d Exposures'!Z346="",0,'3b-d Exposures'!Z346)</f>
        <v/>
      </c>
      <c r="O288" s="3">
        <f>$D288</f>
        <v/>
      </c>
      <c r="P288" s="3">
        <f>E288*$D288</f>
        <v/>
      </c>
      <c r="Q288" s="3">
        <f>F288*$D288</f>
        <v/>
      </c>
      <c r="R288" s="3">
        <f>G288*$D288</f>
        <v/>
      </c>
      <c r="S288" s="3">
        <f>H288*$D288</f>
        <v/>
      </c>
      <c r="T288" s="3">
        <f>I288*$D288</f>
        <v/>
      </c>
      <c r="U288" s="3">
        <f>J288*$D288</f>
        <v/>
      </c>
      <c r="V288" s="3">
        <f>K288*$D288</f>
        <v/>
      </c>
      <c r="W288" s="3">
        <f>L288*$D288</f>
        <v/>
      </c>
      <c r="X288" s="3">
        <f>M288*$D288</f>
        <v/>
      </c>
      <c r="Y288" s="3">
        <f>N288*$D288</f>
        <v/>
      </c>
      <c r="Z288" s="3">
        <f>C288*$D288</f>
        <v/>
      </c>
      <c r="AA288" s="9">
        <f>$L978+$K978*E288+$J978*F288+$I978*G288+$H978*H288+$G978*I288+$F978*J288+$E978*K288+$D978*L288+$C978*M288+$B978*N288</f>
        <v/>
      </c>
      <c r="AB288" s="9">
        <f>C288-AA288</f>
        <v/>
      </c>
      <c r="AC288" s="4">
        <f>AB288^2</f>
        <v/>
      </c>
    </row>
    <row r="289">
      <c r="A289" t="inlineStr">
        <is>
          <t>BBG000C43RR5</t>
        </is>
      </c>
      <c r="B289" t="inlineStr">
        <is>
          <t>ebay</t>
        </is>
      </c>
      <c r="C289" s="9" t="n">
        <v>-0.001896092108357061</v>
      </c>
      <c r="D289" s="3">
        <f>EXP(0.25*'3b-d Exposures'!G347)</f>
        <v/>
      </c>
      <c r="E289" s="3">
        <f>IF('3b-d Exposures'!C347="",0,'3b-d Exposures'!C347)</f>
        <v/>
      </c>
      <c r="F289" s="3">
        <f>IF('3b-d Exposures'!E347="",0,'3b-d Exposures'!E347)</f>
        <v/>
      </c>
      <c r="G289" s="3">
        <f>IF('3b-d Exposures'!G347="",0,'3b-d Exposures'!G347)</f>
        <v/>
      </c>
      <c r="H289" s="3">
        <f>IF('3b-d Exposures'!I347="",0,'3b-d Exposures'!I347)</f>
        <v/>
      </c>
      <c r="I289" s="3">
        <f>IF('3b-d Exposures'!K347="",0,'3b-d Exposures'!K347)</f>
        <v/>
      </c>
      <c r="J289" s="3">
        <f>IF('3b-d Exposures'!M347="",0,'3b-d Exposures'!M347)</f>
        <v/>
      </c>
      <c r="K289" s="3">
        <f>IF('3b-d Exposures'!O347="",0,'3b-d Exposures'!O347)</f>
        <v/>
      </c>
      <c r="L289" s="3">
        <f>IF('3b-d Exposures'!Q347="",0,'3b-d Exposures'!Q347)</f>
        <v/>
      </c>
      <c r="M289" s="3">
        <f>IF('3b-d Exposures'!S347="",0,'3b-d Exposures'!S347)</f>
        <v/>
      </c>
      <c r="N289" s="3">
        <f>IF('3b-d Exposures'!Z347="",0,'3b-d Exposures'!Z347)</f>
        <v/>
      </c>
      <c r="O289" s="3">
        <f>$D289</f>
        <v/>
      </c>
      <c r="P289" s="3">
        <f>E289*$D289</f>
        <v/>
      </c>
      <c r="Q289" s="3">
        <f>F289*$D289</f>
        <v/>
      </c>
      <c r="R289" s="3">
        <f>G289*$D289</f>
        <v/>
      </c>
      <c r="S289" s="3">
        <f>H289*$D289</f>
        <v/>
      </c>
      <c r="T289" s="3">
        <f>I289*$D289</f>
        <v/>
      </c>
      <c r="U289" s="3">
        <f>J289*$D289</f>
        <v/>
      </c>
      <c r="V289" s="3">
        <f>K289*$D289</f>
        <v/>
      </c>
      <c r="W289" s="3">
        <f>L289*$D289</f>
        <v/>
      </c>
      <c r="X289" s="3">
        <f>M289*$D289</f>
        <v/>
      </c>
      <c r="Y289" s="3">
        <f>N289*$D289</f>
        <v/>
      </c>
      <c r="Z289" s="3">
        <f>C289*$D289</f>
        <v/>
      </c>
      <c r="AA289" s="9">
        <f>$L978+$K978*E289+$J978*F289+$I978*G289+$H978*H289+$G978*I289+$F978*J289+$E978*K289+$D978*L289+$C978*M289+$B978*N289</f>
        <v/>
      </c>
      <c r="AB289" s="9">
        <f>C289-AA289</f>
        <v/>
      </c>
      <c r="AC289" s="4">
        <f>AB289^2</f>
        <v/>
      </c>
    </row>
    <row r="290">
      <c r="A290" t="inlineStr">
        <is>
          <t>BBG000BHKYH4</t>
        </is>
      </c>
      <c r="B290" t="inlineStr">
        <is>
          <t>ecl</t>
        </is>
      </c>
      <c r="C290" s="9" t="n">
        <v>-0.001286369898906958</v>
      </c>
      <c r="D290" s="3">
        <f>EXP(0.25*'3b-d Exposures'!G348)</f>
        <v/>
      </c>
      <c r="E290" s="3">
        <f>IF('3b-d Exposures'!C348="",0,'3b-d Exposures'!C348)</f>
        <v/>
      </c>
      <c r="F290" s="3">
        <f>IF('3b-d Exposures'!E348="",0,'3b-d Exposures'!E348)</f>
        <v/>
      </c>
      <c r="G290" s="3">
        <f>IF('3b-d Exposures'!G348="",0,'3b-d Exposures'!G348)</f>
        <v/>
      </c>
      <c r="H290" s="3">
        <f>IF('3b-d Exposures'!I348="",0,'3b-d Exposures'!I348)</f>
        <v/>
      </c>
      <c r="I290" s="3">
        <f>IF('3b-d Exposures'!K348="",0,'3b-d Exposures'!K348)</f>
        <v/>
      </c>
      <c r="J290" s="3">
        <f>IF('3b-d Exposures'!M348="",0,'3b-d Exposures'!M348)</f>
        <v/>
      </c>
      <c r="K290" s="3">
        <f>IF('3b-d Exposures'!O348="",0,'3b-d Exposures'!O348)</f>
        <v/>
      </c>
      <c r="L290" s="3">
        <f>IF('3b-d Exposures'!Q348="",0,'3b-d Exposures'!Q348)</f>
        <v/>
      </c>
      <c r="M290" s="3">
        <f>IF('3b-d Exposures'!S348="",0,'3b-d Exposures'!S348)</f>
        <v/>
      </c>
      <c r="N290" s="3">
        <f>IF('3b-d Exposures'!Z348="",0,'3b-d Exposures'!Z348)</f>
        <v/>
      </c>
      <c r="O290" s="3">
        <f>$D290</f>
        <v/>
      </c>
      <c r="P290" s="3">
        <f>E290*$D290</f>
        <v/>
      </c>
      <c r="Q290" s="3">
        <f>F290*$D290</f>
        <v/>
      </c>
      <c r="R290" s="3">
        <f>G290*$D290</f>
        <v/>
      </c>
      <c r="S290" s="3">
        <f>H290*$D290</f>
        <v/>
      </c>
      <c r="T290" s="3">
        <f>I290*$D290</f>
        <v/>
      </c>
      <c r="U290" s="3">
        <f>J290*$D290</f>
        <v/>
      </c>
      <c r="V290" s="3">
        <f>K290*$D290</f>
        <v/>
      </c>
      <c r="W290" s="3">
        <f>L290*$D290</f>
        <v/>
      </c>
      <c r="X290" s="3">
        <f>M290*$D290</f>
        <v/>
      </c>
      <c r="Y290" s="3">
        <f>N290*$D290</f>
        <v/>
      </c>
      <c r="Z290" s="3">
        <f>C290*$D290</f>
        <v/>
      </c>
      <c r="AA290" s="9">
        <f>$L978+$K978*E290+$J978*F290+$I978*G290+$H978*H290+$G978*I290+$F978*J290+$E978*K290+$D978*L290+$C978*M290+$B978*N290</f>
        <v/>
      </c>
      <c r="AB290" s="9">
        <f>C290-AA290</f>
        <v/>
      </c>
      <c r="AC290" s="4">
        <f>AB290^2</f>
        <v/>
      </c>
    </row>
    <row r="291">
      <c r="A291" t="inlineStr">
        <is>
          <t>BBG00GX8YK99</t>
        </is>
      </c>
      <c r="B291" t="inlineStr">
        <is>
          <t>ecvt</t>
        </is>
      </c>
      <c r="C291" s="9" t="n">
        <v>0.08427674117842243</v>
      </c>
      <c r="D291" s="3">
        <f>EXP(0.25*'3b-d Exposures'!G349)</f>
        <v/>
      </c>
      <c r="E291" s="3">
        <f>IF('3b-d Exposures'!C349="",0,'3b-d Exposures'!C349)</f>
        <v/>
      </c>
      <c r="F291" s="3">
        <f>IF('3b-d Exposures'!E349="",0,'3b-d Exposures'!E349)</f>
        <v/>
      </c>
      <c r="G291" s="3">
        <f>IF('3b-d Exposures'!G349="",0,'3b-d Exposures'!G349)</f>
        <v/>
      </c>
      <c r="H291" s="3">
        <f>IF('3b-d Exposures'!I349="",0,'3b-d Exposures'!I349)</f>
        <v/>
      </c>
      <c r="I291" s="3">
        <f>IF('3b-d Exposures'!K349="",0,'3b-d Exposures'!K349)</f>
        <v/>
      </c>
      <c r="J291" s="3">
        <f>IF('3b-d Exposures'!M349="",0,'3b-d Exposures'!M349)</f>
        <v/>
      </c>
      <c r="K291" s="3">
        <f>IF('3b-d Exposures'!O349="",0,'3b-d Exposures'!O349)</f>
        <v/>
      </c>
      <c r="L291" s="3">
        <f>IF('3b-d Exposures'!Q349="",0,'3b-d Exposures'!Q349)</f>
        <v/>
      </c>
      <c r="M291" s="3">
        <f>IF('3b-d Exposures'!S349="",0,'3b-d Exposures'!S349)</f>
        <v/>
      </c>
      <c r="N291" s="3">
        <f>IF('3b-d Exposures'!Z349="",0,'3b-d Exposures'!Z349)</f>
        <v/>
      </c>
      <c r="O291" s="3">
        <f>$D291</f>
        <v/>
      </c>
      <c r="P291" s="3">
        <f>E291*$D291</f>
        <v/>
      </c>
      <c r="Q291" s="3">
        <f>F291*$D291</f>
        <v/>
      </c>
      <c r="R291" s="3">
        <f>G291*$D291</f>
        <v/>
      </c>
      <c r="S291" s="3">
        <f>H291*$D291</f>
        <v/>
      </c>
      <c r="T291" s="3">
        <f>I291*$D291</f>
        <v/>
      </c>
      <c r="U291" s="3">
        <f>J291*$D291</f>
        <v/>
      </c>
      <c r="V291" s="3">
        <f>K291*$D291</f>
        <v/>
      </c>
      <c r="W291" s="3">
        <f>L291*$D291</f>
        <v/>
      </c>
      <c r="X291" s="3">
        <f>M291*$D291</f>
        <v/>
      </c>
      <c r="Y291" s="3">
        <f>N291*$D291</f>
        <v/>
      </c>
      <c r="Z291" s="3">
        <f>C291*$D291</f>
        <v/>
      </c>
      <c r="AA291" s="9">
        <f>$L978+$K978*E291+$J978*F291+$I978*G291+$H978*H291+$G978*I291+$F978*J291+$E978*K291+$D978*L291+$C978*M291+$B978*N291</f>
        <v/>
      </c>
      <c r="AB291" s="9">
        <f>C291-AA291</f>
        <v/>
      </c>
      <c r="AC291" s="4">
        <f>AB291^2</f>
        <v/>
      </c>
    </row>
    <row r="292">
      <c r="A292" t="inlineStr">
        <is>
          <t>BBG000BHLYS1</t>
        </is>
      </c>
      <c r="B292" t="inlineStr">
        <is>
          <t>ed</t>
        </is>
      </c>
      <c r="C292" s="9" t="n">
        <v>-0.02077737716782713</v>
      </c>
      <c r="D292" s="3">
        <f>EXP(0.25*'3b-d Exposures'!G350)</f>
        <v/>
      </c>
      <c r="E292" s="3">
        <f>IF('3b-d Exposures'!C350="",0,'3b-d Exposures'!C350)</f>
        <v/>
      </c>
      <c r="F292" s="3">
        <f>IF('3b-d Exposures'!E350="",0,'3b-d Exposures'!E350)</f>
        <v/>
      </c>
      <c r="G292" s="3">
        <f>IF('3b-d Exposures'!G350="",0,'3b-d Exposures'!G350)</f>
        <v/>
      </c>
      <c r="H292" s="3">
        <f>IF('3b-d Exposures'!I350="",0,'3b-d Exposures'!I350)</f>
        <v/>
      </c>
      <c r="I292" s="3">
        <f>IF('3b-d Exposures'!K350="",0,'3b-d Exposures'!K350)</f>
        <v/>
      </c>
      <c r="J292" s="3">
        <f>IF('3b-d Exposures'!M350="",0,'3b-d Exposures'!M350)</f>
        <v/>
      </c>
      <c r="K292" s="3">
        <f>IF('3b-d Exposures'!O350="",0,'3b-d Exposures'!O350)</f>
        <v/>
      </c>
      <c r="L292" s="3">
        <f>IF('3b-d Exposures'!Q350="",0,'3b-d Exposures'!Q350)</f>
        <v/>
      </c>
      <c r="M292" s="3">
        <f>IF('3b-d Exposures'!S350="",0,'3b-d Exposures'!S350)</f>
        <v/>
      </c>
      <c r="N292" s="3">
        <f>IF('3b-d Exposures'!Z350="",0,'3b-d Exposures'!Z350)</f>
        <v/>
      </c>
      <c r="O292" s="3">
        <f>$D292</f>
        <v/>
      </c>
      <c r="P292" s="3">
        <f>E292*$D292</f>
        <v/>
      </c>
      <c r="Q292" s="3">
        <f>F292*$D292</f>
        <v/>
      </c>
      <c r="R292" s="3">
        <f>G292*$D292</f>
        <v/>
      </c>
      <c r="S292" s="3">
        <f>H292*$D292</f>
        <v/>
      </c>
      <c r="T292" s="3">
        <f>I292*$D292</f>
        <v/>
      </c>
      <c r="U292" s="3">
        <f>J292*$D292</f>
        <v/>
      </c>
      <c r="V292" s="3">
        <f>K292*$D292</f>
        <v/>
      </c>
      <c r="W292" s="3">
        <f>L292*$D292</f>
        <v/>
      </c>
      <c r="X292" s="3">
        <f>M292*$D292</f>
        <v/>
      </c>
      <c r="Y292" s="3">
        <f>N292*$D292</f>
        <v/>
      </c>
      <c r="Z292" s="3">
        <f>C292*$D292</f>
        <v/>
      </c>
      <c r="AA292" s="9">
        <f>$L978+$K978*E292+$J978*F292+$I978*G292+$H978*H292+$G978*I292+$F978*J292+$E978*K292+$D978*L292+$C978*M292+$B978*N292</f>
        <v/>
      </c>
      <c r="AB292" s="9">
        <f>C292-AA292</f>
        <v/>
      </c>
      <c r="AC292" s="4">
        <f>AB292^2</f>
        <v/>
      </c>
    </row>
    <row r="293">
      <c r="A293" t="inlineStr">
        <is>
          <t>BBG000BMNBY1</t>
        </is>
      </c>
      <c r="B293" t="inlineStr">
        <is>
          <t>eeft</t>
        </is>
      </c>
      <c r="C293" s="9" t="n">
        <v>0.001521960109289067</v>
      </c>
      <c r="D293" s="3">
        <f>EXP(0.25*'3b-d Exposures'!G351)</f>
        <v/>
      </c>
      <c r="E293" s="3">
        <f>IF('3b-d Exposures'!C351="",0,'3b-d Exposures'!C351)</f>
        <v/>
      </c>
      <c r="F293" s="3">
        <f>IF('3b-d Exposures'!E351="",0,'3b-d Exposures'!E351)</f>
        <v/>
      </c>
      <c r="G293" s="3">
        <f>IF('3b-d Exposures'!G351="",0,'3b-d Exposures'!G351)</f>
        <v/>
      </c>
      <c r="H293" s="3">
        <f>IF('3b-d Exposures'!I351="",0,'3b-d Exposures'!I351)</f>
        <v/>
      </c>
      <c r="I293" s="3">
        <f>IF('3b-d Exposures'!K351="",0,'3b-d Exposures'!K351)</f>
        <v/>
      </c>
      <c r="J293" s="3">
        <f>IF('3b-d Exposures'!M351="",0,'3b-d Exposures'!M351)</f>
        <v/>
      </c>
      <c r="K293" s="3">
        <f>IF('3b-d Exposures'!O351="",0,'3b-d Exposures'!O351)</f>
        <v/>
      </c>
      <c r="L293" s="3">
        <f>IF('3b-d Exposures'!Q351="",0,'3b-d Exposures'!Q351)</f>
        <v/>
      </c>
      <c r="M293" s="3">
        <f>IF('3b-d Exposures'!S351="",0,'3b-d Exposures'!S351)</f>
        <v/>
      </c>
      <c r="N293" s="3">
        <f>IF('3b-d Exposures'!Z351="",0,'3b-d Exposures'!Z351)</f>
        <v/>
      </c>
      <c r="O293" s="3">
        <f>$D293</f>
        <v/>
      </c>
      <c r="P293" s="3">
        <f>E293*$D293</f>
        <v/>
      </c>
      <c r="Q293" s="3">
        <f>F293*$D293</f>
        <v/>
      </c>
      <c r="R293" s="3">
        <f>G293*$D293</f>
        <v/>
      </c>
      <c r="S293" s="3">
        <f>H293*$D293</f>
        <v/>
      </c>
      <c r="T293" s="3">
        <f>I293*$D293</f>
        <v/>
      </c>
      <c r="U293" s="3">
        <f>J293*$D293</f>
        <v/>
      </c>
      <c r="V293" s="3">
        <f>K293*$D293</f>
        <v/>
      </c>
      <c r="W293" s="3">
        <f>L293*$D293</f>
        <v/>
      </c>
      <c r="X293" s="3">
        <f>M293*$D293</f>
        <v/>
      </c>
      <c r="Y293" s="3">
        <f>N293*$D293</f>
        <v/>
      </c>
      <c r="Z293" s="3">
        <f>C293*$D293</f>
        <v/>
      </c>
      <c r="AA293" s="9">
        <f>$L978+$K978*E293+$J978*F293+$I978*G293+$H978*H293+$G978*I293+$F978*J293+$E978*K293+$D978*L293+$C978*M293+$B978*N293</f>
        <v/>
      </c>
      <c r="AB293" s="9">
        <f>C293-AA293</f>
        <v/>
      </c>
      <c r="AC293" s="4">
        <f>AB293^2</f>
        <v/>
      </c>
    </row>
    <row r="294">
      <c r="A294" t="inlineStr">
        <is>
          <t>BBG000FC4FJ8</t>
        </is>
      </c>
      <c r="B294" t="inlineStr">
        <is>
          <t>efsi</t>
        </is>
      </c>
      <c r="C294" s="9" t="n">
        <v>0.008450736784944235</v>
      </c>
      <c r="D294" s="3">
        <f>EXP(0.25*'3b-d Exposures'!G352)</f>
        <v/>
      </c>
      <c r="E294" s="3">
        <f>IF('3b-d Exposures'!C352="",0,'3b-d Exposures'!C352)</f>
        <v/>
      </c>
      <c r="F294" s="3">
        <f>IF('3b-d Exposures'!E352="",0,'3b-d Exposures'!E352)</f>
        <v/>
      </c>
      <c r="G294" s="3">
        <f>IF('3b-d Exposures'!G352="",0,'3b-d Exposures'!G352)</f>
        <v/>
      </c>
      <c r="H294" s="3">
        <f>IF('3b-d Exposures'!I352="",0,'3b-d Exposures'!I352)</f>
        <v/>
      </c>
      <c r="I294" s="3">
        <f>IF('3b-d Exposures'!K352="",0,'3b-d Exposures'!K352)</f>
        <v/>
      </c>
      <c r="J294" s="3">
        <f>IF('3b-d Exposures'!M352="",0,'3b-d Exposures'!M352)</f>
        <v/>
      </c>
      <c r="K294" s="3">
        <f>IF('3b-d Exposures'!O352="",0,'3b-d Exposures'!O352)</f>
        <v/>
      </c>
      <c r="L294" s="3">
        <f>IF('3b-d Exposures'!Q352="",0,'3b-d Exposures'!Q352)</f>
        <v/>
      </c>
      <c r="M294" s="3">
        <f>IF('3b-d Exposures'!S352="",0,'3b-d Exposures'!S352)</f>
        <v/>
      </c>
      <c r="N294" s="3">
        <f>IF('3b-d Exposures'!Z352="",0,'3b-d Exposures'!Z352)</f>
        <v/>
      </c>
      <c r="O294" s="3">
        <f>$D294</f>
        <v/>
      </c>
      <c r="P294" s="3">
        <f>E294*$D294</f>
        <v/>
      </c>
      <c r="Q294" s="3">
        <f>F294*$D294</f>
        <v/>
      </c>
      <c r="R294" s="3">
        <f>G294*$D294</f>
        <v/>
      </c>
      <c r="S294" s="3">
        <f>H294*$D294</f>
        <v/>
      </c>
      <c r="T294" s="3">
        <f>I294*$D294</f>
        <v/>
      </c>
      <c r="U294" s="3">
        <f>J294*$D294</f>
        <v/>
      </c>
      <c r="V294" s="3">
        <f>K294*$D294</f>
        <v/>
      </c>
      <c r="W294" s="3">
        <f>L294*$D294</f>
        <v/>
      </c>
      <c r="X294" s="3">
        <f>M294*$D294</f>
        <v/>
      </c>
      <c r="Y294" s="3">
        <f>N294*$D294</f>
        <v/>
      </c>
      <c r="Z294" s="3">
        <f>C294*$D294</f>
        <v/>
      </c>
      <c r="AA294" s="9">
        <f>$L978+$K978*E294+$J978*F294+$I978*G294+$H978*H294+$G978*I294+$F978*J294+$E978*K294+$D978*L294+$C978*M294+$B978*N294</f>
        <v/>
      </c>
      <c r="AB294" s="9">
        <f>C294-AA294</f>
        <v/>
      </c>
      <c r="AC294" s="4">
        <f>AB294^2</f>
        <v/>
      </c>
    </row>
    <row r="295">
      <c r="A295" t="inlineStr">
        <is>
          <t>BBG000BHPL78</t>
        </is>
      </c>
      <c r="B295" t="inlineStr">
        <is>
          <t>efx</t>
        </is>
      </c>
      <c r="C295" s="9" t="n">
        <v>-0.01093435388328379</v>
      </c>
      <c r="D295" s="3">
        <f>EXP(0.25*'3b-d Exposures'!G353)</f>
        <v/>
      </c>
      <c r="E295" s="3">
        <f>IF('3b-d Exposures'!C353="",0,'3b-d Exposures'!C353)</f>
        <v/>
      </c>
      <c r="F295" s="3">
        <f>IF('3b-d Exposures'!E353="",0,'3b-d Exposures'!E353)</f>
        <v/>
      </c>
      <c r="G295" s="3">
        <f>IF('3b-d Exposures'!G353="",0,'3b-d Exposures'!G353)</f>
        <v/>
      </c>
      <c r="H295" s="3">
        <f>IF('3b-d Exposures'!I353="",0,'3b-d Exposures'!I353)</f>
        <v/>
      </c>
      <c r="I295" s="3">
        <f>IF('3b-d Exposures'!K353="",0,'3b-d Exposures'!K353)</f>
        <v/>
      </c>
      <c r="J295" s="3">
        <f>IF('3b-d Exposures'!M353="",0,'3b-d Exposures'!M353)</f>
        <v/>
      </c>
      <c r="K295" s="3">
        <f>IF('3b-d Exposures'!O353="",0,'3b-d Exposures'!O353)</f>
        <v/>
      </c>
      <c r="L295" s="3">
        <f>IF('3b-d Exposures'!Q353="",0,'3b-d Exposures'!Q353)</f>
        <v/>
      </c>
      <c r="M295" s="3">
        <f>IF('3b-d Exposures'!S353="",0,'3b-d Exposures'!S353)</f>
        <v/>
      </c>
      <c r="N295" s="3">
        <f>IF('3b-d Exposures'!Z353="",0,'3b-d Exposures'!Z353)</f>
        <v/>
      </c>
      <c r="O295" s="3">
        <f>$D295</f>
        <v/>
      </c>
      <c r="P295" s="3">
        <f>E295*$D295</f>
        <v/>
      </c>
      <c r="Q295" s="3">
        <f>F295*$D295</f>
        <v/>
      </c>
      <c r="R295" s="3">
        <f>G295*$D295</f>
        <v/>
      </c>
      <c r="S295" s="3">
        <f>H295*$D295</f>
        <v/>
      </c>
      <c r="T295" s="3">
        <f>I295*$D295</f>
        <v/>
      </c>
      <c r="U295" s="3">
        <f>J295*$D295</f>
        <v/>
      </c>
      <c r="V295" s="3">
        <f>K295*$D295</f>
        <v/>
      </c>
      <c r="W295" s="3">
        <f>L295*$D295</f>
        <v/>
      </c>
      <c r="X295" s="3">
        <f>M295*$D295</f>
        <v/>
      </c>
      <c r="Y295" s="3">
        <f>N295*$D295</f>
        <v/>
      </c>
      <c r="Z295" s="3">
        <f>C295*$D295</f>
        <v/>
      </c>
      <c r="AA295" s="9">
        <f>$L978+$K978*E295+$J978*F295+$I978*G295+$H978*H295+$G978*I295+$F978*J295+$E978*K295+$D978*L295+$C978*M295+$B978*N295</f>
        <v/>
      </c>
      <c r="AB295" s="9">
        <f>C295-AA295</f>
        <v/>
      </c>
      <c r="AC295" s="4">
        <f>AB295^2</f>
        <v/>
      </c>
    </row>
    <row r="296">
      <c r="A296" t="inlineStr">
        <is>
          <t>eg</t>
        </is>
      </c>
      <c r="B296" t="inlineStr">
        <is>
          <t>eg</t>
        </is>
      </c>
      <c r="C296" s="9" t="n">
        <v>-0.009882320311920489</v>
      </c>
      <c r="D296" s="3">
        <f>EXP(0.25*'3b-d Exposures'!G354)</f>
        <v/>
      </c>
      <c r="E296" s="3">
        <f>IF('3b-d Exposures'!C354="",0,'3b-d Exposures'!C354)</f>
        <v/>
      </c>
      <c r="F296" s="3">
        <f>IF('3b-d Exposures'!E354="",0,'3b-d Exposures'!E354)</f>
        <v/>
      </c>
      <c r="G296" s="3">
        <f>IF('3b-d Exposures'!G354="",0,'3b-d Exposures'!G354)</f>
        <v/>
      </c>
      <c r="H296" s="3">
        <f>IF('3b-d Exposures'!I354="",0,'3b-d Exposures'!I354)</f>
        <v/>
      </c>
      <c r="I296" s="3">
        <f>IF('3b-d Exposures'!K354="",0,'3b-d Exposures'!K354)</f>
        <v/>
      </c>
      <c r="J296" s="3">
        <f>IF('3b-d Exposures'!M354="",0,'3b-d Exposures'!M354)</f>
        <v/>
      </c>
      <c r="K296" s="3">
        <f>IF('3b-d Exposures'!O354="",0,'3b-d Exposures'!O354)</f>
        <v/>
      </c>
      <c r="L296" s="3">
        <f>IF('3b-d Exposures'!Q354="",0,'3b-d Exposures'!Q354)</f>
        <v/>
      </c>
      <c r="M296" s="3">
        <f>IF('3b-d Exposures'!S354="",0,'3b-d Exposures'!S354)</f>
        <v/>
      </c>
      <c r="N296" s="3">
        <f>IF('3b-d Exposures'!Z354="",0,'3b-d Exposures'!Z354)</f>
        <v/>
      </c>
      <c r="O296" s="3">
        <f>$D296</f>
        <v/>
      </c>
      <c r="P296" s="3">
        <f>E296*$D296</f>
        <v/>
      </c>
      <c r="Q296" s="3">
        <f>F296*$D296</f>
        <v/>
      </c>
      <c r="R296" s="3">
        <f>G296*$D296</f>
        <v/>
      </c>
      <c r="S296" s="3">
        <f>H296*$D296</f>
        <v/>
      </c>
      <c r="T296" s="3">
        <f>I296*$D296</f>
        <v/>
      </c>
      <c r="U296" s="3">
        <f>J296*$D296</f>
        <v/>
      </c>
      <c r="V296" s="3">
        <f>K296*$D296</f>
        <v/>
      </c>
      <c r="W296" s="3">
        <f>L296*$D296</f>
        <v/>
      </c>
      <c r="X296" s="3">
        <f>M296*$D296</f>
        <v/>
      </c>
      <c r="Y296" s="3">
        <f>N296*$D296</f>
        <v/>
      </c>
      <c r="Z296" s="3">
        <f>C296*$D296</f>
        <v/>
      </c>
      <c r="AA296" s="9">
        <f>$L978+$K978*E296+$J978*F296+$I978*G296+$H978*H296+$G978*I296+$F978*J296+$E978*K296+$D978*L296+$C978*M296+$B978*N296</f>
        <v/>
      </c>
      <c r="AB296" s="9">
        <f>C296-AA296</f>
        <v/>
      </c>
      <c r="AC296" s="4">
        <f>AB296^2</f>
        <v/>
      </c>
    </row>
    <row r="297">
      <c r="A297" t="inlineStr">
        <is>
          <t>BBG000BCGHH7</t>
        </is>
      </c>
      <c r="B297" t="inlineStr">
        <is>
          <t>eght</t>
        </is>
      </c>
      <c r="C297" s="9" t="n">
        <v>0.02903230817955715</v>
      </c>
      <c r="D297" s="3">
        <f>EXP(0.25*'3b-d Exposures'!G355)</f>
        <v/>
      </c>
      <c r="E297" s="3">
        <f>IF('3b-d Exposures'!C355="",0,'3b-d Exposures'!C355)</f>
        <v/>
      </c>
      <c r="F297" s="3">
        <f>IF('3b-d Exposures'!E355="",0,'3b-d Exposures'!E355)</f>
        <v/>
      </c>
      <c r="G297" s="3">
        <f>IF('3b-d Exposures'!G355="",0,'3b-d Exposures'!G355)</f>
        <v/>
      </c>
      <c r="H297" s="3">
        <f>IF('3b-d Exposures'!I355="",0,'3b-d Exposures'!I355)</f>
        <v/>
      </c>
      <c r="I297" s="3">
        <f>IF('3b-d Exposures'!K355="",0,'3b-d Exposures'!K355)</f>
        <v/>
      </c>
      <c r="J297" s="3">
        <f>IF('3b-d Exposures'!M355="",0,'3b-d Exposures'!M355)</f>
        <v/>
      </c>
      <c r="K297" s="3">
        <f>IF('3b-d Exposures'!O355="",0,'3b-d Exposures'!O355)</f>
        <v/>
      </c>
      <c r="L297" s="3">
        <f>IF('3b-d Exposures'!Q355="",0,'3b-d Exposures'!Q355)</f>
        <v/>
      </c>
      <c r="M297" s="3">
        <f>IF('3b-d Exposures'!S355="",0,'3b-d Exposures'!S355)</f>
        <v/>
      </c>
      <c r="N297" s="3">
        <f>IF('3b-d Exposures'!Z355="",0,'3b-d Exposures'!Z355)</f>
        <v/>
      </c>
      <c r="O297" s="3">
        <f>$D297</f>
        <v/>
      </c>
      <c r="P297" s="3">
        <f>E297*$D297</f>
        <v/>
      </c>
      <c r="Q297" s="3">
        <f>F297*$D297</f>
        <v/>
      </c>
      <c r="R297" s="3">
        <f>G297*$D297</f>
        <v/>
      </c>
      <c r="S297" s="3">
        <f>H297*$D297</f>
        <v/>
      </c>
      <c r="T297" s="3">
        <f>I297*$D297</f>
        <v/>
      </c>
      <c r="U297" s="3">
        <f>J297*$D297</f>
        <v/>
      </c>
      <c r="V297" s="3">
        <f>K297*$D297</f>
        <v/>
      </c>
      <c r="W297" s="3">
        <f>L297*$D297</f>
        <v/>
      </c>
      <c r="X297" s="3">
        <f>M297*$D297</f>
        <v/>
      </c>
      <c r="Y297" s="3">
        <f>N297*$D297</f>
        <v/>
      </c>
      <c r="Z297" s="3">
        <f>C297*$D297</f>
        <v/>
      </c>
      <c r="AA297" s="9">
        <f>$L978+$K978*E297+$J978*F297+$I978*G297+$H978*H297+$G978*I297+$F978*J297+$E978*K297+$D978*L297+$C978*M297+$B978*N297</f>
        <v/>
      </c>
      <c r="AB297" s="9">
        <f>C297-AA297</f>
        <v/>
      </c>
      <c r="AC297" s="4">
        <f>AB297^2</f>
        <v/>
      </c>
    </row>
    <row r="298">
      <c r="A298" t="inlineStr">
        <is>
          <t>BBG000BTBH21</t>
        </is>
      </c>
      <c r="B298" t="inlineStr">
        <is>
          <t>egy</t>
        </is>
      </c>
      <c r="C298" s="9" t="n">
        <v>0.005859445245498529</v>
      </c>
      <c r="D298" s="3">
        <f>EXP(0.25*'3b-d Exposures'!G356)</f>
        <v/>
      </c>
      <c r="E298" s="3">
        <f>IF('3b-d Exposures'!C356="",0,'3b-d Exposures'!C356)</f>
        <v/>
      </c>
      <c r="F298" s="3">
        <f>IF('3b-d Exposures'!E356="",0,'3b-d Exposures'!E356)</f>
        <v/>
      </c>
      <c r="G298" s="3">
        <f>IF('3b-d Exposures'!G356="",0,'3b-d Exposures'!G356)</f>
        <v/>
      </c>
      <c r="H298" s="3">
        <f>IF('3b-d Exposures'!I356="",0,'3b-d Exposures'!I356)</f>
        <v/>
      </c>
      <c r="I298" s="3">
        <f>IF('3b-d Exposures'!K356="",0,'3b-d Exposures'!K356)</f>
        <v/>
      </c>
      <c r="J298" s="3">
        <f>IF('3b-d Exposures'!M356="",0,'3b-d Exposures'!M356)</f>
        <v/>
      </c>
      <c r="K298" s="3">
        <f>IF('3b-d Exposures'!O356="",0,'3b-d Exposures'!O356)</f>
        <v/>
      </c>
      <c r="L298" s="3">
        <f>IF('3b-d Exposures'!Q356="",0,'3b-d Exposures'!Q356)</f>
        <v/>
      </c>
      <c r="M298" s="3">
        <f>IF('3b-d Exposures'!S356="",0,'3b-d Exposures'!S356)</f>
        <v/>
      </c>
      <c r="N298" s="3">
        <f>IF('3b-d Exposures'!Z356="",0,'3b-d Exposures'!Z356)</f>
        <v/>
      </c>
      <c r="O298" s="3">
        <f>$D298</f>
        <v/>
      </c>
      <c r="P298" s="3">
        <f>E298*$D298</f>
        <v/>
      </c>
      <c r="Q298" s="3">
        <f>F298*$D298</f>
        <v/>
      </c>
      <c r="R298" s="3">
        <f>G298*$D298</f>
        <v/>
      </c>
      <c r="S298" s="3">
        <f>H298*$D298</f>
        <v/>
      </c>
      <c r="T298" s="3">
        <f>I298*$D298</f>
        <v/>
      </c>
      <c r="U298" s="3">
        <f>J298*$D298</f>
        <v/>
      </c>
      <c r="V298" s="3">
        <f>K298*$D298</f>
        <v/>
      </c>
      <c r="W298" s="3">
        <f>L298*$D298</f>
        <v/>
      </c>
      <c r="X298" s="3">
        <f>M298*$D298</f>
        <v/>
      </c>
      <c r="Y298" s="3">
        <f>N298*$D298</f>
        <v/>
      </c>
      <c r="Z298" s="3">
        <f>C298*$D298</f>
        <v/>
      </c>
      <c r="AA298" s="9">
        <f>$L978+$K978*E298+$J978*F298+$I978*G298+$H978*H298+$G978*I298+$F978*J298+$E978*K298+$D978*L298+$C978*M298+$B978*N298</f>
        <v/>
      </c>
      <c r="AB298" s="9">
        <f>C298-AA298</f>
        <v/>
      </c>
      <c r="AC298" s="4">
        <f>AB298^2</f>
        <v/>
      </c>
    </row>
    <row r="299">
      <c r="A299" t="inlineStr">
        <is>
          <t>BBG000P5JQX6</t>
        </is>
      </c>
      <c r="B299" t="inlineStr">
        <is>
          <t>ehth</t>
        </is>
      </c>
      <c r="C299" s="9" t="n">
        <v>0.001769867588653051</v>
      </c>
      <c r="D299" s="3">
        <f>EXP(0.25*'3b-d Exposures'!G357)</f>
        <v/>
      </c>
      <c r="E299" s="3">
        <f>IF('3b-d Exposures'!C357="",0,'3b-d Exposures'!C357)</f>
        <v/>
      </c>
      <c r="F299" s="3">
        <f>IF('3b-d Exposures'!E357="",0,'3b-d Exposures'!E357)</f>
        <v/>
      </c>
      <c r="G299" s="3">
        <f>IF('3b-d Exposures'!G357="",0,'3b-d Exposures'!G357)</f>
        <v/>
      </c>
      <c r="H299" s="3">
        <f>IF('3b-d Exposures'!I357="",0,'3b-d Exposures'!I357)</f>
        <v/>
      </c>
      <c r="I299" s="3">
        <f>IF('3b-d Exposures'!K357="",0,'3b-d Exposures'!K357)</f>
        <v/>
      </c>
      <c r="J299" s="3">
        <f>IF('3b-d Exposures'!M357="",0,'3b-d Exposures'!M357)</f>
        <v/>
      </c>
      <c r="K299" s="3">
        <f>IF('3b-d Exposures'!O357="",0,'3b-d Exposures'!O357)</f>
        <v/>
      </c>
      <c r="L299" s="3">
        <f>IF('3b-d Exposures'!Q357="",0,'3b-d Exposures'!Q357)</f>
        <v/>
      </c>
      <c r="M299" s="3">
        <f>IF('3b-d Exposures'!S357="",0,'3b-d Exposures'!S357)</f>
        <v/>
      </c>
      <c r="N299" s="3">
        <f>IF('3b-d Exposures'!Z357="",0,'3b-d Exposures'!Z357)</f>
        <v/>
      </c>
      <c r="O299" s="3">
        <f>$D299</f>
        <v/>
      </c>
      <c r="P299" s="3">
        <f>E299*$D299</f>
        <v/>
      </c>
      <c r="Q299" s="3">
        <f>F299*$D299</f>
        <v/>
      </c>
      <c r="R299" s="3">
        <f>G299*$D299</f>
        <v/>
      </c>
      <c r="S299" s="3">
        <f>H299*$D299</f>
        <v/>
      </c>
      <c r="T299" s="3">
        <f>I299*$D299</f>
        <v/>
      </c>
      <c r="U299" s="3">
        <f>J299*$D299</f>
        <v/>
      </c>
      <c r="V299" s="3">
        <f>K299*$D299</f>
        <v/>
      </c>
      <c r="W299" s="3">
        <f>L299*$D299</f>
        <v/>
      </c>
      <c r="X299" s="3">
        <f>M299*$D299</f>
        <v/>
      </c>
      <c r="Y299" s="3">
        <f>N299*$D299</f>
        <v/>
      </c>
      <c r="Z299" s="3">
        <f>C299*$D299</f>
        <v/>
      </c>
      <c r="AA299" s="9">
        <f>$L978+$K978*E299+$J978*F299+$I978*G299+$H978*H299+$G978*I299+$F978*J299+$E978*K299+$D978*L299+$C978*M299+$B978*N299</f>
        <v/>
      </c>
      <c r="AB299" s="9">
        <f>C299-AA299</f>
        <v/>
      </c>
      <c r="AC299" s="4">
        <f>AB299^2</f>
        <v/>
      </c>
    </row>
    <row r="300">
      <c r="A300" t="inlineStr">
        <is>
          <t>eix</t>
        </is>
      </c>
      <c r="B300" t="inlineStr">
        <is>
          <t>eix</t>
        </is>
      </c>
      <c r="C300" s="9" t="n">
        <v>-0.02245017926852244</v>
      </c>
      <c r="D300" s="3">
        <f>EXP(0.25*'3b-d Exposures'!G358)</f>
        <v/>
      </c>
      <c r="E300" s="3">
        <f>IF('3b-d Exposures'!C358="",0,'3b-d Exposures'!C358)</f>
        <v/>
      </c>
      <c r="F300" s="3">
        <f>IF('3b-d Exposures'!E358="",0,'3b-d Exposures'!E358)</f>
        <v/>
      </c>
      <c r="G300" s="3">
        <f>IF('3b-d Exposures'!G358="",0,'3b-d Exposures'!G358)</f>
        <v/>
      </c>
      <c r="H300" s="3">
        <f>IF('3b-d Exposures'!I358="",0,'3b-d Exposures'!I358)</f>
        <v/>
      </c>
      <c r="I300" s="3">
        <f>IF('3b-d Exposures'!K358="",0,'3b-d Exposures'!K358)</f>
        <v/>
      </c>
      <c r="J300" s="3">
        <f>IF('3b-d Exposures'!M358="",0,'3b-d Exposures'!M358)</f>
        <v/>
      </c>
      <c r="K300" s="3">
        <f>IF('3b-d Exposures'!O358="",0,'3b-d Exposures'!O358)</f>
        <v/>
      </c>
      <c r="L300" s="3">
        <f>IF('3b-d Exposures'!Q358="",0,'3b-d Exposures'!Q358)</f>
        <v/>
      </c>
      <c r="M300" s="3">
        <f>IF('3b-d Exposures'!S358="",0,'3b-d Exposures'!S358)</f>
        <v/>
      </c>
      <c r="N300" s="3">
        <f>IF('3b-d Exposures'!Z358="",0,'3b-d Exposures'!Z358)</f>
        <v/>
      </c>
      <c r="O300" s="3">
        <f>$D300</f>
        <v/>
      </c>
      <c r="P300" s="3">
        <f>E300*$D300</f>
        <v/>
      </c>
      <c r="Q300" s="3">
        <f>F300*$D300</f>
        <v/>
      </c>
      <c r="R300" s="3">
        <f>G300*$D300</f>
        <v/>
      </c>
      <c r="S300" s="3">
        <f>H300*$D300</f>
        <v/>
      </c>
      <c r="T300" s="3">
        <f>I300*$D300</f>
        <v/>
      </c>
      <c r="U300" s="3">
        <f>J300*$D300</f>
        <v/>
      </c>
      <c r="V300" s="3">
        <f>K300*$D300</f>
        <v/>
      </c>
      <c r="W300" s="3">
        <f>L300*$D300</f>
        <v/>
      </c>
      <c r="X300" s="3">
        <f>M300*$D300</f>
        <v/>
      </c>
      <c r="Y300" s="3">
        <f>N300*$D300</f>
        <v/>
      </c>
      <c r="Z300" s="3">
        <f>C300*$D300</f>
        <v/>
      </c>
      <c r="AA300" s="9">
        <f>$L978+$K978*E300+$J978*F300+$I978*G300+$H978*H300+$G978*I300+$F978*J300+$E978*K300+$D978*L300+$C978*M300+$B978*N300</f>
        <v/>
      </c>
      <c r="AB300" s="9">
        <f>C300-AA300</f>
        <v/>
      </c>
      <c r="AC300" s="4">
        <f>AB300^2</f>
        <v/>
      </c>
    </row>
    <row r="301">
      <c r="A301" t="inlineStr">
        <is>
          <t>BBG00LJYS1P8</t>
        </is>
      </c>
      <c r="B301" t="inlineStr">
        <is>
          <t>elan</t>
        </is>
      </c>
      <c r="C301" s="9" t="n">
        <v>0.02043902371761308</v>
      </c>
      <c r="D301" s="3">
        <f>EXP(0.25*'3b-d Exposures'!G360)</f>
        <v/>
      </c>
      <c r="E301" s="3">
        <f>IF('3b-d Exposures'!C360="",0,'3b-d Exposures'!C360)</f>
        <v/>
      </c>
      <c r="F301" s="3">
        <f>IF('3b-d Exposures'!E360="",0,'3b-d Exposures'!E360)</f>
        <v/>
      </c>
      <c r="G301" s="3">
        <f>IF('3b-d Exposures'!G360="",0,'3b-d Exposures'!G360)</f>
        <v/>
      </c>
      <c r="H301" s="3">
        <f>IF('3b-d Exposures'!I360="",0,'3b-d Exposures'!I360)</f>
        <v/>
      </c>
      <c r="I301" s="3">
        <f>IF('3b-d Exposures'!K360="",0,'3b-d Exposures'!K360)</f>
        <v/>
      </c>
      <c r="J301" s="3">
        <f>IF('3b-d Exposures'!M360="",0,'3b-d Exposures'!M360)</f>
        <v/>
      </c>
      <c r="K301" s="3">
        <f>IF('3b-d Exposures'!O360="",0,'3b-d Exposures'!O360)</f>
        <v/>
      </c>
      <c r="L301" s="3">
        <f>IF('3b-d Exposures'!Q360="",0,'3b-d Exposures'!Q360)</f>
        <v/>
      </c>
      <c r="M301" s="3">
        <f>IF('3b-d Exposures'!S360="",0,'3b-d Exposures'!S360)</f>
        <v/>
      </c>
      <c r="N301" s="3">
        <f>IF('3b-d Exposures'!Z360="",0,'3b-d Exposures'!Z360)</f>
        <v/>
      </c>
      <c r="O301" s="3">
        <f>$D301</f>
        <v/>
      </c>
      <c r="P301" s="3">
        <f>E301*$D301</f>
        <v/>
      </c>
      <c r="Q301" s="3">
        <f>F301*$D301</f>
        <v/>
      </c>
      <c r="R301" s="3">
        <f>G301*$D301</f>
        <v/>
      </c>
      <c r="S301" s="3">
        <f>H301*$D301</f>
        <v/>
      </c>
      <c r="T301" s="3">
        <f>I301*$D301</f>
        <v/>
      </c>
      <c r="U301" s="3">
        <f>J301*$D301</f>
        <v/>
      </c>
      <c r="V301" s="3">
        <f>K301*$D301</f>
        <v/>
      </c>
      <c r="W301" s="3">
        <f>L301*$D301</f>
        <v/>
      </c>
      <c r="X301" s="3">
        <f>M301*$D301</f>
        <v/>
      </c>
      <c r="Y301" s="3">
        <f>N301*$D301</f>
        <v/>
      </c>
      <c r="Z301" s="3">
        <f>C301*$D301</f>
        <v/>
      </c>
      <c r="AA301" s="9">
        <f>$L978+$K978*E301+$J978*F301+$I978*G301+$H978*H301+$G978*I301+$F978*J301+$E978*K301+$D978*L301+$C978*M301+$B978*N301</f>
        <v/>
      </c>
      <c r="AB301" s="9">
        <f>C301-AA301</f>
        <v/>
      </c>
      <c r="AC301" s="4">
        <f>AB301^2</f>
        <v/>
      </c>
    </row>
    <row r="302">
      <c r="A302" t="inlineStr">
        <is>
          <t>BBG000BCG930</t>
        </is>
      </c>
      <c r="B302" t="inlineStr">
        <is>
          <t>elv</t>
        </is>
      </c>
      <c r="C302" s="9" t="n">
        <v>0.008428320851541438</v>
      </c>
      <c r="D302" s="3">
        <f>EXP(0.25*'3b-d Exposures'!G361)</f>
        <v/>
      </c>
      <c r="E302" s="3">
        <f>IF('3b-d Exposures'!C361="",0,'3b-d Exposures'!C361)</f>
        <v/>
      </c>
      <c r="F302" s="3">
        <f>IF('3b-d Exposures'!E361="",0,'3b-d Exposures'!E361)</f>
        <v/>
      </c>
      <c r="G302" s="3">
        <f>IF('3b-d Exposures'!G361="",0,'3b-d Exposures'!G361)</f>
        <v/>
      </c>
      <c r="H302" s="3">
        <f>IF('3b-d Exposures'!I361="",0,'3b-d Exposures'!I361)</f>
        <v/>
      </c>
      <c r="I302" s="3">
        <f>IF('3b-d Exposures'!K361="",0,'3b-d Exposures'!K361)</f>
        <v/>
      </c>
      <c r="J302" s="3">
        <f>IF('3b-d Exposures'!M361="",0,'3b-d Exposures'!M361)</f>
        <v/>
      </c>
      <c r="K302" s="3">
        <f>IF('3b-d Exposures'!O361="",0,'3b-d Exposures'!O361)</f>
        <v/>
      </c>
      <c r="L302" s="3">
        <f>IF('3b-d Exposures'!Q361="",0,'3b-d Exposures'!Q361)</f>
        <v/>
      </c>
      <c r="M302" s="3">
        <f>IF('3b-d Exposures'!S361="",0,'3b-d Exposures'!S361)</f>
        <v/>
      </c>
      <c r="N302" s="3">
        <f>IF('3b-d Exposures'!Z361="",0,'3b-d Exposures'!Z361)</f>
        <v/>
      </c>
      <c r="O302" s="3">
        <f>$D302</f>
        <v/>
      </c>
      <c r="P302" s="3">
        <f>E302*$D302</f>
        <v/>
      </c>
      <c r="Q302" s="3">
        <f>F302*$D302</f>
        <v/>
      </c>
      <c r="R302" s="3">
        <f>G302*$D302</f>
        <v/>
      </c>
      <c r="S302" s="3">
        <f>H302*$D302</f>
        <v/>
      </c>
      <c r="T302" s="3">
        <f>I302*$D302</f>
        <v/>
      </c>
      <c r="U302" s="3">
        <f>J302*$D302</f>
        <v/>
      </c>
      <c r="V302" s="3">
        <f>K302*$D302</f>
        <v/>
      </c>
      <c r="W302" s="3">
        <f>L302*$D302</f>
        <v/>
      </c>
      <c r="X302" s="3">
        <f>M302*$D302</f>
        <v/>
      </c>
      <c r="Y302" s="3">
        <f>N302*$D302</f>
        <v/>
      </c>
      <c r="Z302" s="3">
        <f>C302*$D302</f>
        <v/>
      </c>
      <c r="AA302" s="9">
        <f>$L978+$K978*E302+$J978*F302+$I978*G302+$H978*H302+$G978*I302+$F978*J302+$E978*K302+$D978*L302+$C978*M302+$B978*N302</f>
        <v/>
      </c>
      <c r="AB302" s="9">
        <f>C302-AA302</f>
        <v/>
      </c>
      <c r="AC302" s="4">
        <f>AB302^2</f>
        <v/>
      </c>
    </row>
    <row r="303">
      <c r="A303" t="inlineStr">
        <is>
          <t>BBG000BBRPL4</t>
        </is>
      </c>
      <c r="B303" t="inlineStr">
        <is>
          <t>eme</t>
        </is>
      </c>
      <c r="C303" s="9" t="n">
        <v>-0.009860343849765307</v>
      </c>
      <c r="D303" s="3">
        <f>EXP(0.25*'3b-d Exposures'!G363)</f>
        <v/>
      </c>
      <c r="E303" s="3">
        <f>IF('3b-d Exposures'!C363="",0,'3b-d Exposures'!C363)</f>
        <v/>
      </c>
      <c r="F303" s="3">
        <f>IF('3b-d Exposures'!E363="",0,'3b-d Exposures'!E363)</f>
        <v/>
      </c>
      <c r="G303" s="3">
        <f>IF('3b-d Exposures'!G363="",0,'3b-d Exposures'!G363)</f>
        <v/>
      </c>
      <c r="H303" s="3">
        <f>IF('3b-d Exposures'!I363="",0,'3b-d Exposures'!I363)</f>
        <v/>
      </c>
      <c r="I303" s="3">
        <f>IF('3b-d Exposures'!K363="",0,'3b-d Exposures'!K363)</f>
        <v/>
      </c>
      <c r="J303" s="3">
        <f>IF('3b-d Exposures'!M363="",0,'3b-d Exposures'!M363)</f>
        <v/>
      </c>
      <c r="K303" s="3">
        <f>IF('3b-d Exposures'!O363="",0,'3b-d Exposures'!O363)</f>
        <v/>
      </c>
      <c r="L303" s="3">
        <f>IF('3b-d Exposures'!Q363="",0,'3b-d Exposures'!Q363)</f>
        <v/>
      </c>
      <c r="M303" s="3">
        <f>IF('3b-d Exposures'!S363="",0,'3b-d Exposures'!S363)</f>
        <v/>
      </c>
      <c r="N303" s="3">
        <f>IF('3b-d Exposures'!Z363="",0,'3b-d Exposures'!Z363)</f>
        <v/>
      </c>
      <c r="O303" s="3">
        <f>$D303</f>
        <v/>
      </c>
      <c r="P303" s="3">
        <f>E303*$D303</f>
        <v/>
      </c>
      <c r="Q303" s="3">
        <f>F303*$D303</f>
        <v/>
      </c>
      <c r="R303" s="3">
        <f>G303*$D303</f>
        <v/>
      </c>
      <c r="S303" s="3">
        <f>H303*$D303</f>
        <v/>
      </c>
      <c r="T303" s="3">
        <f>I303*$D303</f>
        <v/>
      </c>
      <c r="U303" s="3">
        <f>J303*$D303</f>
        <v/>
      </c>
      <c r="V303" s="3">
        <f>K303*$D303</f>
        <v/>
      </c>
      <c r="W303" s="3">
        <f>L303*$D303</f>
        <v/>
      </c>
      <c r="X303" s="3">
        <f>M303*$D303</f>
        <v/>
      </c>
      <c r="Y303" s="3">
        <f>N303*$D303</f>
        <v/>
      </c>
      <c r="Z303" s="3">
        <f>C303*$D303</f>
        <v/>
      </c>
      <c r="AA303" s="9">
        <f>$L978+$K978*E303+$J978*F303+$I978*G303+$H978*H303+$G978*I303+$F978*J303+$E978*K303+$D978*L303+$C978*M303+$B978*N303</f>
        <v/>
      </c>
      <c r="AB303" s="9">
        <f>C303-AA303</f>
        <v/>
      </c>
      <c r="AC303" s="4">
        <f>AB303^2</f>
        <v/>
      </c>
    </row>
    <row r="304">
      <c r="A304" t="inlineStr">
        <is>
          <t>BBG000BLW530</t>
        </is>
      </c>
      <c r="B304" t="inlineStr">
        <is>
          <t>emn</t>
        </is>
      </c>
      <c r="C304" s="9" t="n">
        <v>-0.004297185645909862</v>
      </c>
      <c r="D304" s="3">
        <f>EXP(0.25*'3b-d Exposures'!G364)</f>
        <v/>
      </c>
      <c r="E304" s="3">
        <f>IF('3b-d Exposures'!C364="",0,'3b-d Exposures'!C364)</f>
        <v/>
      </c>
      <c r="F304" s="3">
        <f>IF('3b-d Exposures'!E364="",0,'3b-d Exposures'!E364)</f>
        <v/>
      </c>
      <c r="G304" s="3">
        <f>IF('3b-d Exposures'!G364="",0,'3b-d Exposures'!G364)</f>
        <v/>
      </c>
      <c r="H304" s="3">
        <f>IF('3b-d Exposures'!I364="",0,'3b-d Exposures'!I364)</f>
        <v/>
      </c>
      <c r="I304" s="3">
        <f>IF('3b-d Exposures'!K364="",0,'3b-d Exposures'!K364)</f>
        <v/>
      </c>
      <c r="J304" s="3">
        <f>IF('3b-d Exposures'!M364="",0,'3b-d Exposures'!M364)</f>
        <v/>
      </c>
      <c r="K304" s="3">
        <f>IF('3b-d Exposures'!O364="",0,'3b-d Exposures'!O364)</f>
        <v/>
      </c>
      <c r="L304" s="3">
        <f>IF('3b-d Exposures'!Q364="",0,'3b-d Exposures'!Q364)</f>
        <v/>
      </c>
      <c r="M304" s="3">
        <f>IF('3b-d Exposures'!S364="",0,'3b-d Exposures'!S364)</f>
        <v/>
      </c>
      <c r="N304" s="3">
        <f>IF('3b-d Exposures'!Z364="",0,'3b-d Exposures'!Z364)</f>
        <v/>
      </c>
      <c r="O304" s="3">
        <f>$D304</f>
        <v/>
      </c>
      <c r="P304" s="3">
        <f>E304*$D304</f>
        <v/>
      </c>
      <c r="Q304" s="3">
        <f>F304*$D304</f>
        <v/>
      </c>
      <c r="R304" s="3">
        <f>G304*$D304</f>
        <v/>
      </c>
      <c r="S304" s="3">
        <f>H304*$D304</f>
        <v/>
      </c>
      <c r="T304" s="3">
        <f>I304*$D304</f>
        <v/>
      </c>
      <c r="U304" s="3">
        <f>J304*$D304</f>
        <v/>
      </c>
      <c r="V304" s="3">
        <f>K304*$D304</f>
        <v/>
      </c>
      <c r="W304" s="3">
        <f>L304*$D304</f>
        <v/>
      </c>
      <c r="X304" s="3">
        <f>M304*$D304</f>
        <v/>
      </c>
      <c r="Y304" s="3">
        <f>N304*$D304</f>
        <v/>
      </c>
      <c r="Z304" s="3">
        <f>C304*$D304</f>
        <v/>
      </c>
      <c r="AA304" s="9">
        <f>$L978+$K978*E304+$J978*F304+$I978*G304+$H978*H304+$G978*I304+$F978*J304+$E978*K304+$D978*L304+$C978*M304+$B978*N304</f>
        <v/>
      </c>
      <c r="AB304" s="9">
        <f>C304-AA304</f>
        <v/>
      </c>
      <c r="AC304" s="4">
        <f>AB304^2</f>
        <v/>
      </c>
    </row>
    <row r="305">
      <c r="A305" t="inlineStr">
        <is>
          <t>BBG000BHX7N2</t>
        </is>
      </c>
      <c r="B305" t="inlineStr">
        <is>
          <t>emr</t>
        </is>
      </c>
      <c r="C305" s="9" t="n">
        <v>0.008823650492706836</v>
      </c>
      <c r="D305" s="3">
        <f>EXP(0.25*'3b-d Exposures'!G365)</f>
        <v/>
      </c>
      <c r="E305" s="3">
        <f>IF('3b-d Exposures'!C365="",0,'3b-d Exposures'!C365)</f>
        <v/>
      </c>
      <c r="F305" s="3">
        <f>IF('3b-d Exposures'!E365="",0,'3b-d Exposures'!E365)</f>
        <v/>
      </c>
      <c r="G305" s="3">
        <f>IF('3b-d Exposures'!G365="",0,'3b-d Exposures'!G365)</f>
        <v/>
      </c>
      <c r="H305" s="3">
        <f>IF('3b-d Exposures'!I365="",0,'3b-d Exposures'!I365)</f>
        <v/>
      </c>
      <c r="I305" s="3">
        <f>IF('3b-d Exposures'!K365="",0,'3b-d Exposures'!K365)</f>
        <v/>
      </c>
      <c r="J305" s="3">
        <f>IF('3b-d Exposures'!M365="",0,'3b-d Exposures'!M365)</f>
        <v/>
      </c>
      <c r="K305" s="3">
        <f>IF('3b-d Exposures'!O365="",0,'3b-d Exposures'!O365)</f>
        <v/>
      </c>
      <c r="L305" s="3">
        <f>IF('3b-d Exposures'!Q365="",0,'3b-d Exposures'!Q365)</f>
        <v/>
      </c>
      <c r="M305" s="3">
        <f>IF('3b-d Exposures'!S365="",0,'3b-d Exposures'!S365)</f>
        <v/>
      </c>
      <c r="N305" s="3">
        <f>IF('3b-d Exposures'!Z365="",0,'3b-d Exposures'!Z365)</f>
        <v/>
      </c>
      <c r="O305" s="3">
        <f>$D305</f>
        <v/>
      </c>
      <c r="P305" s="3">
        <f>E305*$D305</f>
        <v/>
      </c>
      <c r="Q305" s="3">
        <f>F305*$D305</f>
        <v/>
      </c>
      <c r="R305" s="3">
        <f>G305*$D305</f>
        <v/>
      </c>
      <c r="S305" s="3">
        <f>H305*$D305</f>
        <v/>
      </c>
      <c r="T305" s="3">
        <f>I305*$D305</f>
        <v/>
      </c>
      <c r="U305" s="3">
        <f>J305*$D305</f>
        <v/>
      </c>
      <c r="V305" s="3">
        <f>K305*$D305</f>
        <v/>
      </c>
      <c r="W305" s="3">
        <f>L305*$D305</f>
        <v/>
      </c>
      <c r="X305" s="3">
        <f>M305*$D305</f>
        <v/>
      </c>
      <c r="Y305" s="3">
        <f>N305*$D305</f>
        <v/>
      </c>
      <c r="Z305" s="3">
        <f>C305*$D305</f>
        <v/>
      </c>
      <c r="AA305" s="9">
        <f>$L978+$K978*E305+$J978*F305+$I978*G305+$H978*H305+$G978*I305+$F978*J305+$E978*K305+$D978*L305+$C978*M305+$B978*N305</f>
        <v/>
      </c>
      <c r="AB305" s="9">
        <f>C305-AA305</f>
        <v/>
      </c>
      <c r="AC305" s="4">
        <f>AB305^2</f>
        <v/>
      </c>
    </row>
    <row r="306">
      <c r="A306" t="inlineStr">
        <is>
          <t>BBG001R3MNY9</t>
        </is>
      </c>
      <c r="B306" t="inlineStr">
        <is>
          <t>enph</t>
        </is>
      </c>
      <c r="C306" s="9" t="n">
        <v>0.05283818294443732</v>
      </c>
      <c r="D306" s="3">
        <f>EXP(0.25*'3b-d Exposures'!G366)</f>
        <v/>
      </c>
      <c r="E306" s="3">
        <f>IF('3b-d Exposures'!C366="",0,'3b-d Exposures'!C366)</f>
        <v/>
      </c>
      <c r="F306" s="3">
        <f>IF('3b-d Exposures'!E366="",0,'3b-d Exposures'!E366)</f>
        <v/>
      </c>
      <c r="G306" s="3">
        <f>IF('3b-d Exposures'!G366="",0,'3b-d Exposures'!G366)</f>
        <v/>
      </c>
      <c r="H306" s="3">
        <f>IF('3b-d Exposures'!I366="",0,'3b-d Exposures'!I366)</f>
        <v/>
      </c>
      <c r="I306" s="3">
        <f>IF('3b-d Exposures'!K366="",0,'3b-d Exposures'!K366)</f>
        <v/>
      </c>
      <c r="J306" s="3">
        <f>IF('3b-d Exposures'!M366="",0,'3b-d Exposures'!M366)</f>
        <v/>
      </c>
      <c r="K306" s="3">
        <f>IF('3b-d Exposures'!O366="",0,'3b-d Exposures'!O366)</f>
        <v/>
      </c>
      <c r="L306" s="3">
        <f>IF('3b-d Exposures'!Q366="",0,'3b-d Exposures'!Q366)</f>
        <v/>
      </c>
      <c r="M306" s="3">
        <f>IF('3b-d Exposures'!S366="",0,'3b-d Exposures'!S366)</f>
        <v/>
      </c>
      <c r="N306" s="3">
        <f>IF('3b-d Exposures'!Z366="",0,'3b-d Exposures'!Z366)</f>
        <v/>
      </c>
      <c r="O306" s="3">
        <f>$D306</f>
        <v/>
      </c>
      <c r="P306" s="3">
        <f>E306*$D306</f>
        <v/>
      </c>
      <c r="Q306" s="3">
        <f>F306*$D306</f>
        <v/>
      </c>
      <c r="R306" s="3">
        <f>G306*$D306</f>
        <v/>
      </c>
      <c r="S306" s="3">
        <f>H306*$D306</f>
        <v/>
      </c>
      <c r="T306" s="3">
        <f>I306*$D306</f>
        <v/>
      </c>
      <c r="U306" s="3">
        <f>J306*$D306</f>
        <v/>
      </c>
      <c r="V306" s="3">
        <f>K306*$D306</f>
        <v/>
      </c>
      <c r="W306" s="3">
        <f>L306*$D306</f>
        <v/>
      </c>
      <c r="X306" s="3">
        <f>M306*$D306</f>
        <v/>
      </c>
      <c r="Y306" s="3">
        <f>N306*$D306</f>
        <v/>
      </c>
      <c r="Z306" s="3">
        <f>C306*$D306</f>
        <v/>
      </c>
      <c r="AA306" s="9">
        <f>$L978+$K978*E306+$J978*F306+$I978*G306+$H978*H306+$G978*I306+$F978*J306+$E978*K306+$D978*L306+$C978*M306+$B978*N306</f>
        <v/>
      </c>
      <c r="AB306" s="9">
        <f>C306-AA306</f>
        <v/>
      </c>
      <c r="AC306" s="4">
        <f>AB306^2</f>
        <v/>
      </c>
    </row>
    <row r="307">
      <c r="A307" t="inlineStr">
        <is>
          <t>BBG006FCB019</t>
        </is>
      </c>
      <c r="B307" t="inlineStr">
        <is>
          <t>enr</t>
        </is>
      </c>
      <c r="C307" s="9" t="n">
        <v>0.0335868321087347</v>
      </c>
      <c r="D307" s="3">
        <f>EXP(0.25*'3b-d Exposures'!G367)</f>
        <v/>
      </c>
      <c r="E307" s="3">
        <f>IF('3b-d Exposures'!C367="",0,'3b-d Exposures'!C367)</f>
        <v/>
      </c>
      <c r="F307" s="3">
        <f>IF('3b-d Exposures'!E367="",0,'3b-d Exposures'!E367)</f>
        <v/>
      </c>
      <c r="G307" s="3">
        <f>IF('3b-d Exposures'!G367="",0,'3b-d Exposures'!G367)</f>
        <v/>
      </c>
      <c r="H307" s="3">
        <f>IF('3b-d Exposures'!I367="",0,'3b-d Exposures'!I367)</f>
        <v/>
      </c>
      <c r="I307" s="3">
        <f>IF('3b-d Exposures'!K367="",0,'3b-d Exposures'!K367)</f>
        <v/>
      </c>
      <c r="J307" s="3">
        <f>IF('3b-d Exposures'!M367="",0,'3b-d Exposures'!M367)</f>
        <v/>
      </c>
      <c r="K307" s="3">
        <f>IF('3b-d Exposures'!O367="",0,'3b-d Exposures'!O367)</f>
        <v/>
      </c>
      <c r="L307" s="3">
        <f>IF('3b-d Exposures'!Q367="",0,'3b-d Exposures'!Q367)</f>
        <v/>
      </c>
      <c r="M307" s="3">
        <f>IF('3b-d Exposures'!S367="",0,'3b-d Exposures'!S367)</f>
        <v/>
      </c>
      <c r="N307" s="3">
        <f>IF('3b-d Exposures'!Z367="",0,'3b-d Exposures'!Z367)</f>
        <v/>
      </c>
      <c r="O307" s="3">
        <f>$D307</f>
        <v/>
      </c>
      <c r="P307" s="3">
        <f>E307*$D307</f>
        <v/>
      </c>
      <c r="Q307" s="3">
        <f>F307*$D307</f>
        <v/>
      </c>
      <c r="R307" s="3">
        <f>G307*$D307</f>
        <v/>
      </c>
      <c r="S307" s="3">
        <f>H307*$D307</f>
        <v/>
      </c>
      <c r="T307" s="3">
        <f>I307*$D307</f>
        <v/>
      </c>
      <c r="U307" s="3">
        <f>J307*$D307</f>
        <v/>
      </c>
      <c r="V307" s="3">
        <f>K307*$D307</f>
        <v/>
      </c>
      <c r="W307" s="3">
        <f>L307*$D307</f>
        <v/>
      </c>
      <c r="X307" s="3">
        <f>M307*$D307</f>
        <v/>
      </c>
      <c r="Y307" s="3">
        <f>N307*$D307</f>
        <v/>
      </c>
      <c r="Z307" s="3">
        <f>C307*$D307</f>
        <v/>
      </c>
      <c r="AA307" s="9">
        <f>$L978+$K978*E307+$J978*F307+$I978*G307+$H978*H307+$G978*I307+$F978*J307+$E978*K307+$D978*L307+$C978*M307+$B978*N307</f>
        <v/>
      </c>
      <c r="AB307" s="9">
        <f>C307-AA307</f>
        <v/>
      </c>
      <c r="AC307" s="4">
        <f>AB307^2</f>
        <v/>
      </c>
    </row>
    <row r="308">
      <c r="A308" t="inlineStr">
        <is>
          <t>BBG000PWTD92</t>
        </is>
      </c>
      <c r="B308" t="inlineStr">
        <is>
          <t>ens</t>
        </is>
      </c>
      <c r="C308" s="9" t="n">
        <v>0.01034550716501625</v>
      </c>
      <c r="D308" s="3">
        <f>EXP(0.25*'3b-d Exposures'!G368)</f>
        <v/>
      </c>
      <c r="E308" s="3">
        <f>IF('3b-d Exposures'!C368="",0,'3b-d Exposures'!C368)</f>
        <v/>
      </c>
      <c r="F308" s="3">
        <f>IF('3b-d Exposures'!E368="",0,'3b-d Exposures'!E368)</f>
        <v/>
      </c>
      <c r="G308" s="3">
        <f>IF('3b-d Exposures'!G368="",0,'3b-d Exposures'!G368)</f>
        <v/>
      </c>
      <c r="H308" s="3">
        <f>IF('3b-d Exposures'!I368="",0,'3b-d Exposures'!I368)</f>
        <v/>
      </c>
      <c r="I308" s="3">
        <f>IF('3b-d Exposures'!K368="",0,'3b-d Exposures'!K368)</f>
        <v/>
      </c>
      <c r="J308" s="3">
        <f>IF('3b-d Exposures'!M368="",0,'3b-d Exposures'!M368)</f>
        <v/>
      </c>
      <c r="K308" s="3">
        <f>IF('3b-d Exposures'!O368="",0,'3b-d Exposures'!O368)</f>
        <v/>
      </c>
      <c r="L308" s="3">
        <f>IF('3b-d Exposures'!Q368="",0,'3b-d Exposures'!Q368)</f>
        <v/>
      </c>
      <c r="M308" s="3">
        <f>IF('3b-d Exposures'!S368="",0,'3b-d Exposures'!S368)</f>
        <v/>
      </c>
      <c r="N308" s="3">
        <f>IF('3b-d Exposures'!Z368="",0,'3b-d Exposures'!Z368)</f>
        <v/>
      </c>
      <c r="O308" s="3">
        <f>$D308</f>
        <v/>
      </c>
      <c r="P308" s="3">
        <f>E308*$D308</f>
        <v/>
      </c>
      <c r="Q308" s="3">
        <f>F308*$D308</f>
        <v/>
      </c>
      <c r="R308" s="3">
        <f>G308*$D308</f>
        <v/>
      </c>
      <c r="S308" s="3">
        <f>H308*$D308</f>
        <v/>
      </c>
      <c r="T308" s="3">
        <f>I308*$D308</f>
        <v/>
      </c>
      <c r="U308" s="3">
        <f>J308*$D308</f>
        <v/>
      </c>
      <c r="V308" s="3">
        <f>K308*$D308</f>
        <v/>
      </c>
      <c r="W308" s="3">
        <f>L308*$D308</f>
        <v/>
      </c>
      <c r="X308" s="3">
        <f>M308*$D308</f>
        <v/>
      </c>
      <c r="Y308" s="3">
        <f>N308*$D308</f>
        <v/>
      </c>
      <c r="Z308" s="3">
        <f>C308*$D308</f>
        <v/>
      </c>
      <c r="AA308" s="9">
        <f>$L978+$K978*E308+$J978*F308+$I978*G308+$H978*H308+$G978*I308+$F978*J308+$E978*K308+$D978*L308+$C978*M308+$B978*N308</f>
        <v/>
      </c>
      <c r="AB308" s="9">
        <f>C308-AA308</f>
        <v/>
      </c>
      <c r="AC308" s="4">
        <f>AB308^2</f>
        <v/>
      </c>
    </row>
    <row r="309">
      <c r="A309" t="inlineStr">
        <is>
          <t>eog</t>
        </is>
      </c>
      <c r="B309" t="inlineStr">
        <is>
          <t>eog</t>
        </is>
      </c>
      <c r="C309" s="9" t="n">
        <v>-0.01515835383504915</v>
      </c>
      <c r="D309" s="3">
        <f>EXP(0.25*'3b-d Exposures'!G369)</f>
        <v/>
      </c>
      <c r="E309" s="3">
        <f>IF('3b-d Exposures'!C369="",0,'3b-d Exposures'!C369)</f>
        <v/>
      </c>
      <c r="F309" s="3">
        <f>IF('3b-d Exposures'!E369="",0,'3b-d Exposures'!E369)</f>
        <v/>
      </c>
      <c r="G309" s="3">
        <f>IF('3b-d Exposures'!G369="",0,'3b-d Exposures'!G369)</f>
        <v/>
      </c>
      <c r="H309" s="3">
        <f>IF('3b-d Exposures'!I369="",0,'3b-d Exposures'!I369)</f>
        <v/>
      </c>
      <c r="I309" s="3">
        <f>IF('3b-d Exposures'!K369="",0,'3b-d Exposures'!K369)</f>
        <v/>
      </c>
      <c r="J309" s="3">
        <f>IF('3b-d Exposures'!M369="",0,'3b-d Exposures'!M369)</f>
        <v/>
      </c>
      <c r="K309" s="3">
        <f>IF('3b-d Exposures'!O369="",0,'3b-d Exposures'!O369)</f>
        <v/>
      </c>
      <c r="L309" s="3">
        <f>IF('3b-d Exposures'!Q369="",0,'3b-d Exposures'!Q369)</f>
        <v/>
      </c>
      <c r="M309" s="3">
        <f>IF('3b-d Exposures'!S369="",0,'3b-d Exposures'!S369)</f>
        <v/>
      </c>
      <c r="N309" s="3">
        <f>IF('3b-d Exposures'!Z369="",0,'3b-d Exposures'!Z369)</f>
        <v/>
      </c>
      <c r="O309" s="3">
        <f>$D309</f>
        <v/>
      </c>
      <c r="P309" s="3">
        <f>E309*$D309</f>
        <v/>
      </c>
      <c r="Q309" s="3">
        <f>F309*$D309</f>
        <v/>
      </c>
      <c r="R309" s="3">
        <f>G309*$D309</f>
        <v/>
      </c>
      <c r="S309" s="3">
        <f>H309*$D309</f>
        <v/>
      </c>
      <c r="T309" s="3">
        <f>I309*$D309</f>
        <v/>
      </c>
      <c r="U309" s="3">
        <f>J309*$D309</f>
        <v/>
      </c>
      <c r="V309" s="3">
        <f>K309*$D309</f>
        <v/>
      </c>
      <c r="W309" s="3">
        <f>L309*$D309</f>
        <v/>
      </c>
      <c r="X309" s="3">
        <f>M309*$D309</f>
        <v/>
      </c>
      <c r="Y309" s="3">
        <f>N309*$D309</f>
        <v/>
      </c>
      <c r="Z309" s="3">
        <f>C309*$D309</f>
        <v/>
      </c>
      <c r="AA309" s="9">
        <f>$L978+$K978*E309+$J978*F309+$I978*G309+$H978*H309+$G978*I309+$F978*J309+$E978*K309+$D978*L309+$C978*M309+$B978*N309</f>
        <v/>
      </c>
      <c r="AB309" s="9">
        <f>C309-AA309</f>
        <v/>
      </c>
      <c r="AC309" s="4">
        <f>AB309^2</f>
        <v/>
      </c>
    </row>
    <row r="310">
      <c r="A310" t="inlineStr">
        <is>
          <t>BBG005CX4HK8</t>
        </is>
      </c>
      <c r="B310" t="inlineStr">
        <is>
          <t>eols</t>
        </is>
      </c>
      <c r="C310" s="9" t="n">
        <v>-0.01314823645132834</v>
      </c>
      <c r="D310" s="3">
        <f>EXP(0.25*'3b-d Exposures'!G370)</f>
        <v/>
      </c>
      <c r="E310" s="3">
        <f>IF('3b-d Exposures'!C370="",0,'3b-d Exposures'!C370)</f>
        <v/>
      </c>
      <c r="F310" s="3">
        <f>IF('3b-d Exposures'!E370="",0,'3b-d Exposures'!E370)</f>
        <v/>
      </c>
      <c r="G310" s="3">
        <f>IF('3b-d Exposures'!G370="",0,'3b-d Exposures'!G370)</f>
        <v/>
      </c>
      <c r="H310" s="3">
        <f>IF('3b-d Exposures'!I370="",0,'3b-d Exposures'!I370)</f>
        <v/>
      </c>
      <c r="I310" s="3">
        <f>IF('3b-d Exposures'!K370="",0,'3b-d Exposures'!K370)</f>
        <v/>
      </c>
      <c r="J310" s="3">
        <f>IF('3b-d Exposures'!M370="",0,'3b-d Exposures'!M370)</f>
        <v/>
      </c>
      <c r="K310" s="3">
        <f>IF('3b-d Exposures'!O370="",0,'3b-d Exposures'!O370)</f>
        <v/>
      </c>
      <c r="L310" s="3">
        <f>IF('3b-d Exposures'!Q370="",0,'3b-d Exposures'!Q370)</f>
        <v/>
      </c>
      <c r="M310" s="3">
        <f>IF('3b-d Exposures'!S370="",0,'3b-d Exposures'!S370)</f>
        <v/>
      </c>
      <c r="N310" s="3">
        <f>IF('3b-d Exposures'!Z370="",0,'3b-d Exposures'!Z370)</f>
        <v/>
      </c>
      <c r="O310" s="3">
        <f>$D310</f>
        <v/>
      </c>
      <c r="P310" s="3">
        <f>E310*$D310</f>
        <v/>
      </c>
      <c r="Q310" s="3">
        <f>F310*$D310</f>
        <v/>
      </c>
      <c r="R310" s="3">
        <f>G310*$D310</f>
        <v/>
      </c>
      <c r="S310" s="3">
        <f>H310*$D310</f>
        <v/>
      </c>
      <c r="T310" s="3">
        <f>I310*$D310</f>
        <v/>
      </c>
      <c r="U310" s="3">
        <f>J310*$D310</f>
        <v/>
      </c>
      <c r="V310" s="3">
        <f>K310*$D310</f>
        <v/>
      </c>
      <c r="W310" s="3">
        <f>L310*$D310</f>
        <v/>
      </c>
      <c r="X310" s="3">
        <f>M310*$D310</f>
        <v/>
      </c>
      <c r="Y310" s="3">
        <f>N310*$D310</f>
        <v/>
      </c>
      <c r="Z310" s="3">
        <f>C310*$D310</f>
        <v/>
      </c>
      <c r="AA310" s="9">
        <f>$L978+$K978*E310+$J978*F310+$I978*G310+$H978*H310+$G978*I310+$F978*J310+$E978*K310+$D978*L310+$C978*M310+$B978*N310</f>
        <v/>
      </c>
      <c r="AB310" s="9">
        <f>C310-AA310</f>
        <v/>
      </c>
      <c r="AC310" s="4">
        <f>AB310^2</f>
        <v/>
      </c>
    </row>
    <row r="311">
      <c r="A311" t="inlineStr">
        <is>
          <t>BBG000BRW644</t>
        </is>
      </c>
      <c r="B311" t="inlineStr">
        <is>
          <t>epc</t>
        </is>
      </c>
      <c r="C311" s="9" t="n">
        <v>0.03225787824070081</v>
      </c>
      <c r="D311" s="3">
        <f>EXP(0.25*'3b-d Exposures'!G371)</f>
        <v/>
      </c>
      <c r="E311" s="3">
        <f>IF('3b-d Exposures'!C371="",0,'3b-d Exposures'!C371)</f>
        <v/>
      </c>
      <c r="F311" s="3">
        <f>IF('3b-d Exposures'!E371="",0,'3b-d Exposures'!E371)</f>
        <v/>
      </c>
      <c r="G311" s="3">
        <f>IF('3b-d Exposures'!G371="",0,'3b-d Exposures'!G371)</f>
        <v/>
      </c>
      <c r="H311" s="3">
        <f>IF('3b-d Exposures'!I371="",0,'3b-d Exposures'!I371)</f>
        <v/>
      </c>
      <c r="I311" s="3">
        <f>IF('3b-d Exposures'!K371="",0,'3b-d Exposures'!K371)</f>
        <v/>
      </c>
      <c r="J311" s="3">
        <f>IF('3b-d Exposures'!M371="",0,'3b-d Exposures'!M371)</f>
        <v/>
      </c>
      <c r="K311" s="3">
        <f>IF('3b-d Exposures'!O371="",0,'3b-d Exposures'!O371)</f>
        <v/>
      </c>
      <c r="L311" s="3">
        <f>IF('3b-d Exposures'!Q371="",0,'3b-d Exposures'!Q371)</f>
        <v/>
      </c>
      <c r="M311" s="3">
        <f>IF('3b-d Exposures'!S371="",0,'3b-d Exposures'!S371)</f>
        <v/>
      </c>
      <c r="N311" s="3">
        <f>IF('3b-d Exposures'!Z371="",0,'3b-d Exposures'!Z371)</f>
        <v/>
      </c>
      <c r="O311" s="3">
        <f>$D311</f>
        <v/>
      </c>
      <c r="P311" s="3">
        <f>E311*$D311</f>
        <v/>
      </c>
      <c r="Q311" s="3">
        <f>F311*$D311</f>
        <v/>
      </c>
      <c r="R311" s="3">
        <f>G311*$D311</f>
        <v/>
      </c>
      <c r="S311" s="3">
        <f>H311*$D311</f>
        <v/>
      </c>
      <c r="T311" s="3">
        <f>I311*$D311</f>
        <v/>
      </c>
      <c r="U311" s="3">
        <f>J311*$D311</f>
        <v/>
      </c>
      <c r="V311" s="3">
        <f>K311*$D311</f>
        <v/>
      </c>
      <c r="W311" s="3">
        <f>L311*$D311</f>
        <v/>
      </c>
      <c r="X311" s="3">
        <f>M311*$D311</f>
        <v/>
      </c>
      <c r="Y311" s="3">
        <f>N311*$D311</f>
        <v/>
      </c>
      <c r="Z311" s="3">
        <f>C311*$D311</f>
        <v/>
      </c>
      <c r="AA311" s="9">
        <f>$L978+$K978*E311+$J978*F311+$I978*G311+$H978*H311+$G978*I311+$F978*J311+$E978*K311+$D978*L311+$C978*M311+$B978*N311</f>
        <v/>
      </c>
      <c r="AB311" s="9">
        <f>C311-AA311</f>
        <v/>
      </c>
      <c r="AC311" s="4">
        <f>AB311^2</f>
        <v/>
      </c>
    </row>
    <row r="312">
      <c r="A312" t="inlineStr">
        <is>
          <t>BBG00J7CBVW8</t>
        </is>
      </c>
      <c r="B312" t="inlineStr">
        <is>
          <t>eqh</t>
        </is>
      </c>
      <c r="C312" s="9" t="n">
        <v>-0.018245886979673</v>
      </c>
      <c r="D312" s="3">
        <f>EXP(0.25*'3b-d Exposures'!G373)</f>
        <v/>
      </c>
      <c r="E312" s="3">
        <f>IF('3b-d Exposures'!C373="",0,'3b-d Exposures'!C373)</f>
        <v/>
      </c>
      <c r="F312" s="3">
        <f>IF('3b-d Exposures'!E373="",0,'3b-d Exposures'!E373)</f>
        <v/>
      </c>
      <c r="G312" s="3">
        <f>IF('3b-d Exposures'!G373="",0,'3b-d Exposures'!G373)</f>
        <v/>
      </c>
      <c r="H312" s="3">
        <f>IF('3b-d Exposures'!I373="",0,'3b-d Exposures'!I373)</f>
        <v/>
      </c>
      <c r="I312" s="3">
        <f>IF('3b-d Exposures'!K373="",0,'3b-d Exposures'!K373)</f>
        <v/>
      </c>
      <c r="J312" s="3">
        <f>IF('3b-d Exposures'!M373="",0,'3b-d Exposures'!M373)</f>
        <v/>
      </c>
      <c r="K312" s="3">
        <f>IF('3b-d Exposures'!O373="",0,'3b-d Exposures'!O373)</f>
        <v/>
      </c>
      <c r="L312" s="3">
        <f>IF('3b-d Exposures'!Q373="",0,'3b-d Exposures'!Q373)</f>
        <v/>
      </c>
      <c r="M312" s="3">
        <f>IF('3b-d Exposures'!S373="",0,'3b-d Exposures'!S373)</f>
        <v/>
      </c>
      <c r="N312" s="3">
        <f>IF('3b-d Exposures'!Z373="",0,'3b-d Exposures'!Z373)</f>
        <v/>
      </c>
      <c r="O312" s="3">
        <f>$D312</f>
        <v/>
      </c>
      <c r="P312" s="3">
        <f>E312*$D312</f>
        <v/>
      </c>
      <c r="Q312" s="3">
        <f>F312*$D312</f>
        <v/>
      </c>
      <c r="R312" s="3">
        <f>G312*$D312</f>
        <v/>
      </c>
      <c r="S312" s="3">
        <f>H312*$D312</f>
        <v/>
      </c>
      <c r="T312" s="3">
        <f>I312*$D312</f>
        <v/>
      </c>
      <c r="U312" s="3">
        <f>J312*$D312</f>
        <v/>
      </c>
      <c r="V312" s="3">
        <f>K312*$D312</f>
        <v/>
      </c>
      <c r="W312" s="3">
        <f>L312*$D312</f>
        <v/>
      </c>
      <c r="X312" s="3">
        <f>M312*$D312</f>
        <v/>
      </c>
      <c r="Y312" s="3">
        <f>N312*$D312</f>
        <v/>
      </c>
      <c r="Z312" s="3">
        <f>C312*$D312</f>
        <v/>
      </c>
      <c r="AA312" s="9">
        <f>$L978+$K978*E312+$J978*F312+$I978*G312+$H978*H312+$G978*I312+$F978*J312+$E978*K312+$D978*L312+$C978*M312+$B978*N312</f>
        <v/>
      </c>
      <c r="AB312" s="9">
        <f>C312-AA312</f>
        <v/>
      </c>
      <c r="AC312" s="4">
        <f>AB312^2</f>
        <v/>
      </c>
    </row>
    <row r="313">
      <c r="A313" t="inlineStr">
        <is>
          <t>BBG000MBDGM6</t>
        </is>
      </c>
      <c r="B313" t="inlineStr">
        <is>
          <t>eqix</t>
        </is>
      </c>
      <c r="C313" s="9" t="n">
        <v>-0.01695391006207403</v>
      </c>
      <c r="D313" s="3">
        <f>EXP(0.25*'3b-d Exposures'!G374)</f>
        <v/>
      </c>
      <c r="E313" s="3">
        <f>IF('3b-d Exposures'!C374="",0,'3b-d Exposures'!C374)</f>
        <v/>
      </c>
      <c r="F313" s="3">
        <f>IF('3b-d Exposures'!E374="",0,'3b-d Exposures'!E374)</f>
        <v/>
      </c>
      <c r="G313" s="3">
        <f>IF('3b-d Exposures'!G374="",0,'3b-d Exposures'!G374)</f>
        <v/>
      </c>
      <c r="H313" s="3">
        <f>IF('3b-d Exposures'!I374="",0,'3b-d Exposures'!I374)</f>
        <v/>
      </c>
      <c r="I313" s="3">
        <f>IF('3b-d Exposures'!K374="",0,'3b-d Exposures'!K374)</f>
        <v/>
      </c>
      <c r="J313" s="3">
        <f>IF('3b-d Exposures'!M374="",0,'3b-d Exposures'!M374)</f>
        <v/>
      </c>
      <c r="K313" s="3">
        <f>IF('3b-d Exposures'!O374="",0,'3b-d Exposures'!O374)</f>
        <v/>
      </c>
      <c r="L313" s="3">
        <f>IF('3b-d Exposures'!Q374="",0,'3b-d Exposures'!Q374)</f>
        <v/>
      </c>
      <c r="M313" s="3">
        <f>IF('3b-d Exposures'!S374="",0,'3b-d Exposures'!S374)</f>
        <v/>
      </c>
      <c r="N313" s="3">
        <f>IF('3b-d Exposures'!Z374="",0,'3b-d Exposures'!Z374)</f>
        <v/>
      </c>
      <c r="O313" s="3">
        <f>$D313</f>
        <v/>
      </c>
      <c r="P313" s="3">
        <f>E313*$D313</f>
        <v/>
      </c>
      <c r="Q313" s="3">
        <f>F313*$D313</f>
        <v/>
      </c>
      <c r="R313" s="3">
        <f>G313*$D313</f>
        <v/>
      </c>
      <c r="S313" s="3">
        <f>H313*$D313</f>
        <v/>
      </c>
      <c r="T313" s="3">
        <f>I313*$D313</f>
        <v/>
      </c>
      <c r="U313" s="3">
        <f>J313*$D313</f>
        <v/>
      </c>
      <c r="V313" s="3">
        <f>K313*$D313</f>
        <v/>
      </c>
      <c r="W313" s="3">
        <f>L313*$D313</f>
        <v/>
      </c>
      <c r="X313" s="3">
        <f>M313*$D313</f>
        <v/>
      </c>
      <c r="Y313" s="3">
        <f>N313*$D313</f>
        <v/>
      </c>
      <c r="Z313" s="3">
        <f>C313*$D313</f>
        <v/>
      </c>
      <c r="AA313" s="9">
        <f>$L978+$K978*E313+$J978*F313+$I978*G313+$H978*H313+$G978*I313+$F978*J313+$E978*K313+$D978*L313+$C978*M313+$B978*N313</f>
        <v/>
      </c>
      <c r="AB313" s="9">
        <f>C313-AA313</f>
        <v/>
      </c>
      <c r="AC313" s="4">
        <f>AB313^2</f>
        <v/>
      </c>
    </row>
    <row r="314">
      <c r="A314" t="inlineStr">
        <is>
          <t>BBG000BG8M31</t>
        </is>
      </c>
      <c r="B314" t="inlineStr">
        <is>
          <t>eqr</t>
        </is>
      </c>
      <c r="C314" s="9" t="n">
        <v>-0.01852346921620451</v>
      </c>
      <c r="D314" s="3">
        <f>EXP(0.25*'3b-d Exposures'!G377)</f>
        <v/>
      </c>
      <c r="E314" s="3">
        <f>IF('3b-d Exposures'!C377="",0,'3b-d Exposures'!C377)</f>
        <v/>
      </c>
      <c r="F314" s="3">
        <f>IF('3b-d Exposures'!E377="",0,'3b-d Exposures'!E377)</f>
        <v/>
      </c>
      <c r="G314" s="3">
        <f>IF('3b-d Exposures'!G377="",0,'3b-d Exposures'!G377)</f>
        <v/>
      </c>
      <c r="H314" s="3">
        <f>IF('3b-d Exposures'!I377="",0,'3b-d Exposures'!I377)</f>
        <v/>
      </c>
      <c r="I314" s="3">
        <f>IF('3b-d Exposures'!K377="",0,'3b-d Exposures'!K377)</f>
        <v/>
      </c>
      <c r="J314" s="3">
        <f>IF('3b-d Exposures'!M377="",0,'3b-d Exposures'!M377)</f>
        <v/>
      </c>
      <c r="K314" s="3">
        <f>IF('3b-d Exposures'!O377="",0,'3b-d Exposures'!O377)</f>
        <v/>
      </c>
      <c r="L314" s="3">
        <f>IF('3b-d Exposures'!Q377="",0,'3b-d Exposures'!Q377)</f>
        <v/>
      </c>
      <c r="M314" s="3">
        <f>IF('3b-d Exposures'!S377="",0,'3b-d Exposures'!S377)</f>
        <v/>
      </c>
      <c r="N314" s="3">
        <f>IF('3b-d Exposures'!Z377="",0,'3b-d Exposures'!Z377)</f>
        <v/>
      </c>
      <c r="O314" s="3">
        <f>$D314</f>
        <v/>
      </c>
      <c r="P314" s="3">
        <f>E314*$D314</f>
        <v/>
      </c>
      <c r="Q314" s="3">
        <f>F314*$D314</f>
        <v/>
      </c>
      <c r="R314" s="3">
        <f>G314*$D314</f>
        <v/>
      </c>
      <c r="S314" s="3">
        <f>H314*$D314</f>
        <v/>
      </c>
      <c r="T314" s="3">
        <f>I314*$D314</f>
        <v/>
      </c>
      <c r="U314" s="3">
        <f>J314*$D314</f>
        <v/>
      </c>
      <c r="V314" s="3">
        <f>K314*$D314</f>
        <v/>
      </c>
      <c r="W314" s="3">
        <f>L314*$D314</f>
        <v/>
      </c>
      <c r="X314" s="3">
        <f>M314*$D314</f>
        <v/>
      </c>
      <c r="Y314" s="3">
        <f>N314*$D314</f>
        <v/>
      </c>
      <c r="Z314" s="3">
        <f>C314*$D314</f>
        <v/>
      </c>
      <c r="AA314" s="9">
        <f>$L978+$K978*E314+$J978*F314+$I978*G314+$H978*H314+$G978*I314+$F978*J314+$E978*K314+$D978*L314+$C978*M314+$B978*N314</f>
        <v/>
      </c>
      <c r="AB314" s="9">
        <f>C314-AA314</f>
        <v/>
      </c>
      <c r="AC314" s="4">
        <f>AB314^2</f>
        <v/>
      </c>
    </row>
    <row r="315">
      <c r="A315" t="inlineStr">
        <is>
          <t>BBG000BHZ5J9</t>
        </is>
      </c>
      <c r="B315" t="inlineStr">
        <is>
          <t>eqt</t>
        </is>
      </c>
      <c r="C315" s="9" t="n">
        <v>-0.02002648416815256</v>
      </c>
      <c r="D315" s="3">
        <f>EXP(0.25*'3b-d Exposures'!G378)</f>
        <v/>
      </c>
      <c r="E315" s="3">
        <f>IF('3b-d Exposures'!C378="",0,'3b-d Exposures'!C378)</f>
        <v/>
      </c>
      <c r="F315" s="3">
        <f>IF('3b-d Exposures'!E378="",0,'3b-d Exposures'!E378)</f>
        <v/>
      </c>
      <c r="G315" s="3">
        <f>IF('3b-d Exposures'!G378="",0,'3b-d Exposures'!G378)</f>
        <v/>
      </c>
      <c r="H315" s="3">
        <f>IF('3b-d Exposures'!I378="",0,'3b-d Exposures'!I378)</f>
        <v/>
      </c>
      <c r="I315" s="3">
        <f>IF('3b-d Exposures'!K378="",0,'3b-d Exposures'!K378)</f>
        <v/>
      </c>
      <c r="J315" s="3">
        <f>IF('3b-d Exposures'!M378="",0,'3b-d Exposures'!M378)</f>
        <v/>
      </c>
      <c r="K315" s="3">
        <f>IF('3b-d Exposures'!O378="",0,'3b-d Exposures'!O378)</f>
        <v/>
      </c>
      <c r="L315" s="3">
        <f>IF('3b-d Exposures'!Q378="",0,'3b-d Exposures'!Q378)</f>
        <v/>
      </c>
      <c r="M315" s="3">
        <f>IF('3b-d Exposures'!S378="",0,'3b-d Exposures'!S378)</f>
        <v/>
      </c>
      <c r="N315" s="3">
        <f>IF('3b-d Exposures'!Z378="",0,'3b-d Exposures'!Z378)</f>
        <v/>
      </c>
      <c r="O315" s="3">
        <f>$D315</f>
        <v/>
      </c>
      <c r="P315" s="3">
        <f>E315*$D315</f>
        <v/>
      </c>
      <c r="Q315" s="3">
        <f>F315*$D315</f>
        <v/>
      </c>
      <c r="R315" s="3">
        <f>G315*$D315</f>
        <v/>
      </c>
      <c r="S315" s="3">
        <f>H315*$D315</f>
        <v/>
      </c>
      <c r="T315" s="3">
        <f>I315*$D315</f>
        <v/>
      </c>
      <c r="U315" s="3">
        <f>J315*$D315</f>
        <v/>
      </c>
      <c r="V315" s="3">
        <f>K315*$D315</f>
        <v/>
      </c>
      <c r="W315" s="3">
        <f>L315*$D315</f>
        <v/>
      </c>
      <c r="X315" s="3">
        <f>M315*$D315</f>
        <v/>
      </c>
      <c r="Y315" s="3">
        <f>N315*$D315</f>
        <v/>
      </c>
      <c r="Z315" s="3">
        <f>C315*$D315</f>
        <v/>
      </c>
      <c r="AA315" s="9">
        <f>$L978+$K978*E315+$J978*F315+$I978*G315+$H978*H315+$G978*I315+$F978*J315+$E978*K315+$D978*L315+$C978*M315+$B978*N315</f>
        <v/>
      </c>
      <c r="AB315" s="9">
        <f>C315-AA315</f>
        <v/>
      </c>
      <c r="AC315" s="4">
        <f>AB315^2</f>
        <v/>
      </c>
    </row>
    <row r="316">
      <c r="A316" t="inlineStr">
        <is>
          <t>BBG000BQ87N0</t>
        </is>
      </c>
      <c r="B316" t="inlineStr">
        <is>
          <t>es</t>
        </is>
      </c>
      <c r="C316" s="9" t="n">
        <v>-0.01271511971444517</v>
      </c>
      <c r="D316" s="3">
        <f>EXP(0.25*'3b-d Exposures'!G381)</f>
        <v/>
      </c>
      <c r="E316" s="3">
        <f>IF('3b-d Exposures'!C381="",0,'3b-d Exposures'!C381)</f>
        <v/>
      </c>
      <c r="F316" s="3">
        <f>IF('3b-d Exposures'!E381="",0,'3b-d Exposures'!E381)</f>
        <v/>
      </c>
      <c r="G316" s="3">
        <f>IF('3b-d Exposures'!G381="",0,'3b-d Exposures'!G381)</f>
        <v/>
      </c>
      <c r="H316" s="3">
        <f>IF('3b-d Exposures'!I381="",0,'3b-d Exposures'!I381)</f>
        <v/>
      </c>
      <c r="I316" s="3">
        <f>IF('3b-d Exposures'!K381="",0,'3b-d Exposures'!K381)</f>
        <v/>
      </c>
      <c r="J316" s="3">
        <f>IF('3b-d Exposures'!M381="",0,'3b-d Exposures'!M381)</f>
        <v/>
      </c>
      <c r="K316" s="3">
        <f>IF('3b-d Exposures'!O381="",0,'3b-d Exposures'!O381)</f>
        <v/>
      </c>
      <c r="L316" s="3">
        <f>IF('3b-d Exposures'!Q381="",0,'3b-d Exposures'!Q381)</f>
        <v/>
      </c>
      <c r="M316" s="3">
        <f>IF('3b-d Exposures'!S381="",0,'3b-d Exposures'!S381)</f>
        <v/>
      </c>
      <c r="N316" s="3">
        <f>IF('3b-d Exposures'!Z381="",0,'3b-d Exposures'!Z381)</f>
        <v/>
      </c>
      <c r="O316" s="3">
        <f>$D316</f>
        <v/>
      </c>
      <c r="P316" s="3">
        <f>E316*$D316</f>
        <v/>
      </c>
      <c r="Q316" s="3">
        <f>F316*$D316</f>
        <v/>
      </c>
      <c r="R316" s="3">
        <f>G316*$D316</f>
        <v/>
      </c>
      <c r="S316" s="3">
        <f>H316*$D316</f>
        <v/>
      </c>
      <c r="T316" s="3">
        <f>I316*$D316</f>
        <v/>
      </c>
      <c r="U316" s="3">
        <f>J316*$D316</f>
        <v/>
      </c>
      <c r="V316" s="3">
        <f>K316*$D316</f>
        <v/>
      </c>
      <c r="W316" s="3">
        <f>L316*$D316</f>
        <v/>
      </c>
      <c r="X316" s="3">
        <f>M316*$D316</f>
        <v/>
      </c>
      <c r="Y316" s="3">
        <f>N316*$D316</f>
        <v/>
      </c>
      <c r="Z316" s="3">
        <f>C316*$D316</f>
        <v/>
      </c>
      <c r="AA316" s="9">
        <f>$L978+$K978*E316+$J978*F316+$I978*G316+$H978*H316+$G978*I316+$F978*J316+$E978*K316+$D978*L316+$C978*M316+$B978*N316</f>
        <v/>
      </c>
      <c r="AB316" s="9">
        <f>C316-AA316</f>
        <v/>
      </c>
      <c r="AC316" s="4">
        <f>AB316^2</f>
        <v/>
      </c>
    </row>
    <row r="317">
      <c r="A317" t="inlineStr">
        <is>
          <t>BBG000CGJMB9</t>
        </is>
      </c>
      <c r="B317" t="inlineStr">
        <is>
          <t>ess</t>
        </is>
      </c>
      <c r="C317" s="9" t="n">
        <v>-0.02051805685933095</v>
      </c>
      <c r="D317" s="3">
        <f>EXP(0.25*'3b-d Exposures'!G382)</f>
        <v/>
      </c>
      <c r="E317" s="3">
        <f>IF('3b-d Exposures'!C382="",0,'3b-d Exposures'!C382)</f>
        <v/>
      </c>
      <c r="F317" s="3">
        <f>IF('3b-d Exposures'!E382="",0,'3b-d Exposures'!E382)</f>
        <v/>
      </c>
      <c r="G317" s="3">
        <f>IF('3b-d Exposures'!G382="",0,'3b-d Exposures'!G382)</f>
        <v/>
      </c>
      <c r="H317" s="3">
        <f>IF('3b-d Exposures'!I382="",0,'3b-d Exposures'!I382)</f>
        <v/>
      </c>
      <c r="I317" s="3">
        <f>IF('3b-d Exposures'!K382="",0,'3b-d Exposures'!K382)</f>
        <v/>
      </c>
      <c r="J317" s="3">
        <f>IF('3b-d Exposures'!M382="",0,'3b-d Exposures'!M382)</f>
        <v/>
      </c>
      <c r="K317" s="3">
        <f>IF('3b-d Exposures'!O382="",0,'3b-d Exposures'!O382)</f>
        <v/>
      </c>
      <c r="L317" s="3">
        <f>IF('3b-d Exposures'!Q382="",0,'3b-d Exposures'!Q382)</f>
        <v/>
      </c>
      <c r="M317" s="3">
        <f>IF('3b-d Exposures'!S382="",0,'3b-d Exposures'!S382)</f>
        <v/>
      </c>
      <c r="N317" s="3">
        <f>IF('3b-d Exposures'!Z382="",0,'3b-d Exposures'!Z382)</f>
        <v/>
      </c>
      <c r="O317" s="3">
        <f>$D317</f>
        <v/>
      </c>
      <c r="P317" s="3">
        <f>E317*$D317</f>
        <v/>
      </c>
      <c r="Q317" s="3">
        <f>F317*$D317</f>
        <v/>
      </c>
      <c r="R317" s="3">
        <f>G317*$D317</f>
        <v/>
      </c>
      <c r="S317" s="3">
        <f>H317*$D317</f>
        <v/>
      </c>
      <c r="T317" s="3">
        <f>I317*$D317</f>
        <v/>
      </c>
      <c r="U317" s="3">
        <f>J317*$D317</f>
        <v/>
      </c>
      <c r="V317" s="3">
        <f>K317*$D317</f>
        <v/>
      </c>
      <c r="W317" s="3">
        <f>L317*$D317</f>
        <v/>
      </c>
      <c r="X317" s="3">
        <f>M317*$D317</f>
        <v/>
      </c>
      <c r="Y317" s="3">
        <f>N317*$D317</f>
        <v/>
      </c>
      <c r="Z317" s="3">
        <f>C317*$D317</f>
        <v/>
      </c>
      <c r="AA317" s="9">
        <f>$L978+$K978*E317+$J978*F317+$I978*G317+$H978*H317+$G978*I317+$F978*J317+$E978*K317+$D978*L317+$C978*M317+$B978*N317</f>
        <v/>
      </c>
      <c r="AB317" s="9">
        <f>C317-AA317</f>
        <v/>
      </c>
      <c r="AC317" s="4">
        <f>AB317^2</f>
        <v/>
      </c>
    </row>
    <row r="318">
      <c r="A318" t="inlineStr">
        <is>
          <t>etn</t>
        </is>
      </c>
      <c r="B318" t="inlineStr">
        <is>
          <t>etn</t>
        </is>
      </c>
      <c r="C318" s="9" t="n">
        <v>-0.008523865357066174</v>
      </c>
      <c r="D318" s="3">
        <f>EXP(0.25*'3b-d Exposures'!G384)</f>
        <v/>
      </c>
      <c r="E318" s="3">
        <f>IF('3b-d Exposures'!C384="",0,'3b-d Exposures'!C384)</f>
        <v/>
      </c>
      <c r="F318" s="3">
        <f>IF('3b-d Exposures'!E384="",0,'3b-d Exposures'!E384)</f>
        <v/>
      </c>
      <c r="G318" s="3">
        <f>IF('3b-d Exposures'!G384="",0,'3b-d Exposures'!G384)</f>
        <v/>
      </c>
      <c r="H318" s="3">
        <f>IF('3b-d Exposures'!I384="",0,'3b-d Exposures'!I384)</f>
        <v/>
      </c>
      <c r="I318" s="3">
        <f>IF('3b-d Exposures'!K384="",0,'3b-d Exposures'!K384)</f>
        <v/>
      </c>
      <c r="J318" s="3">
        <f>IF('3b-d Exposures'!M384="",0,'3b-d Exposures'!M384)</f>
        <v/>
      </c>
      <c r="K318" s="3">
        <f>IF('3b-d Exposures'!O384="",0,'3b-d Exposures'!O384)</f>
        <v/>
      </c>
      <c r="L318" s="3">
        <f>IF('3b-d Exposures'!Q384="",0,'3b-d Exposures'!Q384)</f>
        <v/>
      </c>
      <c r="M318" s="3">
        <f>IF('3b-d Exposures'!S384="",0,'3b-d Exposures'!S384)</f>
        <v/>
      </c>
      <c r="N318" s="3">
        <f>IF('3b-d Exposures'!Z384="",0,'3b-d Exposures'!Z384)</f>
        <v/>
      </c>
      <c r="O318" s="3">
        <f>$D318</f>
        <v/>
      </c>
      <c r="P318" s="3">
        <f>E318*$D318</f>
        <v/>
      </c>
      <c r="Q318" s="3">
        <f>F318*$D318</f>
        <v/>
      </c>
      <c r="R318" s="3">
        <f>G318*$D318</f>
        <v/>
      </c>
      <c r="S318" s="3">
        <f>H318*$D318</f>
        <v/>
      </c>
      <c r="T318" s="3">
        <f>I318*$D318</f>
        <v/>
      </c>
      <c r="U318" s="3">
        <f>J318*$D318</f>
        <v/>
      </c>
      <c r="V318" s="3">
        <f>K318*$D318</f>
        <v/>
      </c>
      <c r="W318" s="3">
        <f>L318*$D318</f>
        <v/>
      </c>
      <c r="X318" s="3">
        <f>M318*$D318</f>
        <v/>
      </c>
      <c r="Y318" s="3">
        <f>N318*$D318</f>
        <v/>
      </c>
      <c r="Z318" s="3">
        <f>C318*$D318</f>
        <v/>
      </c>
      <c r="AA318" s="9">
        <f>$L978+$K978*E318+$J978*F318+$I978*G318+$H978*H318+$G978*I318+$F978*J318+$E978*K318+$D978*L318+$C978*M318+$B978*N318</f>
        <v/>
      </c>
      <c r="AB318" s="9">
        <f>C318-AA318</f>
        <v/>
      </c>
      <c r="AC318" s="4">
        <f>AB318^2</f>
        <v/>
      </c>
    </row>
    <row r="319">
      <c r="A319" t="inlineStr">
        <is>
          <t>BBG000C1FQS9</t>
        </is>
      </c>
      <c r="B319" t="inlineStr">
        <is>
          <t>etr</t>
        </is>
      </c>
      <c r="C319" s="9" t="n">
        <v>-0.01869749441353674</v>
      </c>
      <c r="D319" s="3">
        <f>EXP(0.25*'3b-d Exposures'!G385)</f>
        <v/>
      </c>
      <c r="E319" s="3">
        <f>IF('3b-d Exposures'!C385="",0,'3b-d Exposures'!C385)</f>
        <v/>
      </c>
      <c r="F319" s="3">
        <f>IF('3b-d Exposures'!E385="",0,'3b-d Exposures'!E385)</f>
        <v/>
      </c>
      <c r="G319" s="3">
        <f>IF('3b-d Exposures'!G385="",0,'3b-d Exposures'!G385)</f>
        <v/>
      </c>
      <c r="H319" s="3">
        <f>IF('3b-d Exposures'!I385="",0,'3b-d Exposures'!I385)</f>
        <v/>
      </c>
      <c r="I319" s="3">
        <f>IF('3b-d Exposures'!K385="",0,'3b-d Exposures'!K385)</f>
        <v/>
      </c>
      <c r="J319" s="3">
        <f>IF('3b-d Exposures'!M385="",0,'3b-d Exposures'!M385)</f>
        <v/>
      </c>
      <c r="K319" s="3">
        <f>IF('3b-d Exposures'!O385="",0,'3b-d Exposures'!O385)</f>
        <v/>
      </c>
      <c r="L319" s="3">
        <f>IF('3b-d Exposures'!Q385="",0,'3b-d Exposures'!Q385)</f>
        <v/>
      </c>
      <c r="M319" s="3">
        <f>IF('3b-d Exposures'!S385="",0,'3b-d Exposures'!S385)</f>
        <v/>
      </c>
      <c r="N319" s="3">
        <f>IF('3b-d Exposures'!Z385="",0,'3b-d Exposures'!Z385)</f>
        <v/>
      </c>
      <c r="O319" s="3">
        <f>$D319</f>
        <v/>
      </c>
      <c r="P319" s="3">
        <f>E319*$D319</f>
        <v/>
      </c>
      <c r="Q319" s="3">
        <f>F319*$D319</f>
        <v/>
      </c>
      <c r="R319" s="3">
        <f>G319*$D319</f>
        <v/>
      </c>
      <c r="S319" s="3">
        <f>H319*$D319</f>
        <v/>
      </c>
      <c r="T319" s="3">
        <f>I319*$D319</f>
        <v/>
      </c>
      <c r="U319" s="3">
        <f>J319*$D319</f>
        <v/>
      </c>
      <c r="V319" s="3">
        <f>K319*$D319</f>
        <v/>
      </c>
      <c r="W319" s="3">
        <f>L319*$D319</f>
        <v/>
      </c>
      <c r="X319" s="3">
        <f>M319*$D319</f>
        <v/>
      </c>
      <c r="Y319" s="3">
        <f>N319*$D319</f>
        <v/>
      </c>
      <c r="Z319" s="3">
        <f>C319*$D319</f>
        <v/>
      </c>
      <c r="AA319" s="9">
        <f>$L978+$K978*E319+$J978*F319+$I978*G319+$H978*H319+$G978*I319+$F978*J319+$E978*K319+$D978*L319+$C978*M319+$B978*N319</f>
        <v/>
      </c>
      <c r="AB319" s="9">
        <f>C319-AA319</f>
        <v/>
      </c>
      <c r="AC319" s="4">
        <f>AB319^2</f>
        <v/>
      </c>
    </row>
    <row r="320">
      <c r="A320" t="inlineStr">
        <is>
          <t>BBG000N7MXL8</t>
        </is>
      </c>
      <c r="B320" t="inlineStr">
        <is>
          <t>etsy</t>
        </is>
      </c>
      <c r="C320" s="9" t="n">
        <v>0.01093690243247791</v>
      </c>
      <c r="D320" s="3">
        <f>EXP(0.25*'3b-d Exposures'!G386)</f>
        <v/>
      </c>
      <c r="E320" s="3">
        <f>IF('3b-d Exposures'!C386="",0,'3b-d Exposures'!C386)</f>
        <v/>
      </c>
      <c r="F320" s="3">
        <f>IF('3b-d Exposures'!E386="",0,'3b-d Exposures'!E386)</f>
        <v/>
      </c>
      <c r="G320" s="3">
        <f>IF('3b-d Exposures'!G386="",0,'3b-d Exposures'!G386)</f>
        <v/>
      </c>
      <c r="H320" s="3">
        <f>IF('3b-d Exposures'!I386="",0,'3b-d Exposures'!I386)</f>
        <v/>
      </c>
      <c r="I320" s="3">
        <f>IF('3b-d Exposures'!K386="",0,'3b-d Exposures'!K386)</f>
        <v/>
      </c>
      <c r="J320" s="3">
        <f>IF('3b-d Exposures'!M386="",0,'3b-d Exposures'!M386)</f>
        <v/>
      </c>
      <c r="K320" s="3">
        <f>IF('3b-d Exposures'!O386="",0,'3b-d Exposures'!O386)</f>
        <v/>
      </c>
      <c r="L320" s="3">
        <f>IF('3b-d Exposures'!Q386="",0,'3b-d Exposures'!Q386)</f>
        <v/>
      </c>
      <c r="M320" s="3">
        <f>IF('3b-d Exposures'!S386="",0,'3b-d Exposures'!S386)</f>
        <v/>
      </c>
      <c r="N320" s="3">
        <f>IF('3b-d Exposures'!Z386="",0,'3b-d Exposures'!Z386)</f>
        <v/>
      </c>
      <c r="O320" s="3">
        <f>$D320</f>
        <v/>
      </c>
      <c r="P320" s="3">
        <f>E320*$D320</f>
        <v/>
      </c>
      <c r="Q320" s="3">
        <f>F320*$D320</f>
        <v/>
      </c>
      <c r="R320" s="3">
        <f>G320*$D320</f>
        <v/>
      </c>
      <c r="S320" s="3">
        <f>H320*$D320</f>
        <v/>
      </c>
      <c r="T320" s="3">
        <f>I320*$D320</f>
        <v/>
      </c>
      <c r="U320" s="3">
        <f>J320*$D320</f>
        <v/>
      </c>
      <c r="V320" s="3">
        <f>K320*$D320</f>
        <v/>
      </c>
      <c r="W320" s="3">
        <f>L320*$D320</f>
        <v/>
      </c>
      <c r="X320" s="3">
        <f>M320*$D320</f>
        <v/>
      </c>
      <c r="Y320" s="3">
        <f>N320*$D320</f>
        <v/>
      </c>
      <c r="Z320" s="3">
        <f>C320*$D320</f>
        <v/>
      </c>
      <c r="AA320" s="9">
        <f>$L978+$K978*E320+$J978*F320+$I978*G320+$H978*H320+$G978*I320+$F978*J320+$E978*K320+$D978*L320+$C978*M320+$B978*N320</f>
        <v/>
      </c>
      <c r="AB320" s="9">
        <f>C320-AA320</f>
        <v/>
      </c>
      <c r="AC320" s="4">
        <f>AB320^2</f>
        <v/>
      </c>
    </row>
    <row r="321">
      <c r="A321" t="inlineStr">
        <is>
          <t>BBG00W1PPKX4</t>
        </is>
      </c>
      <c r="B321" t="inlineStr">
        <is>
          <t>evlv</t>
        </is>
      </c>
      <c r="C321" s="9" t="n">
        <v>-0.02222225885168672</v>
      </c>
      <c r="D321" s="3">
        <f>EXP(0.25*'3b-d Exposures'!G388)</f>
        <v/>
      </c>
      <c r="E321" s="3">
        <f>IF('3b-d Exposures'!C388="",0,'3b-d Exposures'!C388)</f>
        <v/>
      </c>
      <c r="F321" s="3">
        <f>IF('3b-d Exposures'!E388="",0,'3b-d Exposures'!E388)</f>
        <v/>
      </c>
      <c r="G321" s="3">
        <f>IF('3b-d Exposures'!G388="",0,'3b-d Exposures'!G388)</f>
        <v/>
      </c>
      <c r="H321" s="3">
        <f>IF('3b-d Exposures'!I388="",0,'3b-d Exposures'!I388)</f>
        <v/>
      </c>
      <c r="I321" s="3">
        <f>IF('3b-d Exposures'!K388="",0,'3b-d Exposures'!K388)</f>
        <v/>
      </c>
      <c r="J321" s="3">
        <f>IF('3b-d Exposures'!M388="",0,'3b-d Exposures'!M388)</f>
        <v/>
      </c>
      <c r="K321" s="3">
        <f>IF('3b-d Exposures'!O388="",0,'3b-d Exposures'!O388)</f>
        <v/>
      </c>
      <c r="L321" s="3">
        <f>IF('3b-d Exposures'!Q388="",0,'3b-d Exposures'!Q388)</f>
        <v/>
      </c>
      <c r="M321" s="3">
        <f>IF('3b-d Exposures'!S388="",0,'3b-d Exposures'!S388)</f>
        <v/>
      </c>
      <c r="N321" s="3">
        <f>IF('3b-d Exposures'!Z388="",0,'3b-d Exposures'!Z388)</f>
        <v/>
      </c>
      <c r="O321" s="3">
        <f>$D321</f>
        <v/>
      </c>
      <c r="P321" s="3">
        <f>E321*$D321</f>
        <v/>
      </c>
      <c r="Q321" s="3">
        <f>F321*$D321</f>
        <v/>
      </c>
      <c r="R321" s="3">
        <f>G321*$D321</f>
        <v/>
      </c>
      <c r="S321" s="3">
        <f>H321*$D321</f>
        <v/>
      </c>
      <c r="T321" s="3">
        <f>I321*$D321</f>
        <v/>
      </c>
      <c r="U321" s="3">
        <f>J321*$D321</f>
        <v/>
      </c>
      <c r="V321" s="3">
        <f>K321*$D321</f>
        <v/>
      </c>
      <c r="W321" s="3">
        <f>L321*$D321</f>
        <v/>
      </c>
      <c r="X321" s="3">
        <f>M321*$D321</f>
        <v/>
      </c>
      <c r="Y321" s="3">
        <f>N321*$D321</f>
        <v/>
      </c>
      <c r="Z321" s="3">
        <f>C321*$D321</f>
        <v/>
      </c>
      <c r="AA321" s="9">
        <f>$L978+$K978*E321+$J978*F321+$I978*G321+$H978*H321+$G978*I321+$F978*J321+$E978*K321+$D978*L321+$C978*M321+$B978*N321</f>
        <v/>
      </c>
      <c r="AB321" s="9">
        <f>C321-AA321</f>
        <v/>
      </c>
      <c r="AC321" s="4">
        <f>AB321^2</f>
        <v/>
      </c>
    </row>
    <row r="322">
      <c r="A322" t="inlineStr">
        <is>
          <t>BBG000BP30Y0</t>
        </is>
      </c>
      <c r="B322" t="inlineStr">
        <is>
          <t>evr</t>
        </is>
      </c>
      <c r="C322" s="9" t="n">
        <v>-0.00756720321264015</v>
      </c>
      <c r="D322" s="3">
        <f>EXP(0.25*'3b-d Exposures'!G389)</f>
        <v/>
      </c>
      <c r="E322" s="3">
        <f>IF('3b-d Exposures'!C389="",0,'3b-d Exposures'!C389)</f>
        <v/>
      </c>
      <c r="F322" s="3">
        <f>IF('3b-d Exposures'!E389="",0,'3b-d Exposures'!E389)</f>
        <v/>
      </c>
      <c r="G322" s="3">
        <f>IF('3b-d Exposures'!G389="",0,'3b-d Exposures'!G389)</f>
        <v/>
      </c>
      <c r="H322" s="3">
        <f>IF('3b-d Exposures'!I389="",0,'3b-d Exposures'!I389)</f>
        <v/>
      </c>
      <c r="I322" s="3">
        <f>IF('3b-d Exposures'!K389="",0,'3b-d Exposures'!K389)</f>
        <v/>
      </c>
      <c r="J322" s="3">
        <f>IF('3b-d Exposures'!M389="",0,'3b-d Exposures'!M389)</f>
        <v/>
      </c>
      <c r="K322" s="3">
        <f>IF('3b-d Exposures'!O389="",0,'3b-d Exposures'!O389)</f>
        <v/>
      </c>
      <c r="L322" s="3">
        <f>IF('3b-d Exposures'!Q389="",0,'3b-d Exposures'!Q389)</f>
        <v/>
      </c>
      <c r="M322" s="3">
        <f>IF('3b-d Exposures'!S389="",0,'3b-d Exposures'!S389)</f>
        <v/>
      </c>
      <c r="N322" s="3">
        <f>IF('3b-d Exposures'!Z389="",0,'3b-d Exposures'!Z389)</f>
        <v/>
      </c>
      <c r="O322" s="3">
        <f>$D322</f>
        <v/>
      </c>
      <c r="P322" s="3">
        <f>E322*$D322</f>
        <v/>
      </c>
      <c r="Q322" s="3">
        <f>F322*$D322</f>
        <v/>
      </c>
      <c r="R322" s="3">
        <f>G322*$D322</f>
        <v/>
      </c>
      <c r="S322" s="3">
        <f>H322*$D322</f>
        <v/>
      </c>
      <c r="T322" s="3">
        <f>I322*$D322</f>
        <v/>
      </c>
      <c r="U322" s="3">
        <f>J322*$D322</f>
        <v/>
      </c>
      <c r="V322" s="3">
        <f>K322*$D322</f>
        <v/>
      </c>
      <c r="W322" s="3">
        <f>L322*$D322</f>
        <v/>
      </c>
      <c r="X322" s="3">
        <f>M322*$D322</f>
        <v/>
      </c>
      <c r="Y322" s="3">
        <f>N322*$D322</f>
        <v/>
      </c>
      <c r="Z322" s="3">
        <f>C322*$D322</f>
        <v/>
      </c>
      <c r="AA322" s="9">
        <f>$L978+$K978*E322+$J978*F322+$I978*G322+$H978*H322+$G978*I322+$F978*J322+$E978*K322+$D978*L322+$C978*M322+$B978*N322</f>
        <v/>
      </c>
      <c r="AB322" s="9">
        <f>C322-AA322</f>
        <v/>
      </c>
      <c r="AC322" s="4">
        <f>AB322^2</f>
        <v/>
      </c>
    </row>
    <row r="323">
      <c r="A323" t="inlineStr">
        <is>
          <t>BBG00H433CR2</t>
        </is>
      </c>
      <c r="B323" t="inlineStr">
        <is>
          <t>evrg</t>
        </is>
      </c>
      <c r="C323" s="9" t="n">
        <v>-0.01578215206490319</v>
      </c>
      <c r="D323" s="3">
        <f>EXP(0.25*'3b-d Exposures'!G390)</f>
        <v/>
      </c>
      <c r="E323" s="3">
        <f>IF('3b-d Exposures'!C390="",0,'3b-d Exposures'!C390)</f>
        <v/>
      </c>
      <c r="F323" s="3">
        <f>IF('3b-d Exposures'!E390="",0,'3b-d Exposures'!E390)</f>
        <v/>
      </c>
      <c r="G323" s="3">
        <f>IF('3b-d Exposures'!G390="",0,'3b-d Exposures'!G390)</f>
        <v/>
      </c>
      <c r="H323" s="3">
        <f>IF('3b-d Exposures'!I390="",0,'3b-d Exposures'!I390)</f>
        <v/>
      </c>
      <c r="I323" s="3">
        <f>IF('3b-d Exposures'!K390="",0,'3b-d Exposures'!K390)</f>
        <v/>
      </c>
      <c r="J323" s="3">
        <f>IF('3b-d Exposures'!M390="",0,'3b-d Exposures'!M390)</f>
        <v/>
      </c>
      <c r="K323" s="3">
        <f>IF('3b-d Exposures'!O390="",0,'3b-d Exposures'!O390)</f>
        <v/>
      </c>
      <c r="L323" s="3">
        <f>IF('3b-d Exposures'!Q390="",0,'3b-d Exposures'!Q390)</f>
        <v/>
      </c>
      <c r="M323" s="3">
        <f>IF('3b-d Exposures'!S390="",0,'3b-d Exposures'!S390)</f>
        <v/>
      </c>
      <c r="N323" s="3">
        <f>IF('3b-d Exposures'!Z390="",0,'3b-d Exposures'!Z390)</f>
        <v/>
      </c>
      <c r="O323" s="3">
        <f>$D323</f>
        <v/>
      </c>
      <c r="P323" s="3">
        <f>E323*$D323</f>
        <v/>
      </c>
      <c r="Q323" s="3">
        <f>F323*$D323</f>
        <v/>
      </c>
      <c r="R323" s="3">
        <f>G323*$D323</f>
        <v/>
      </c>
      <c r="S323" s="3">
        <f>H323*$D323</f>
        <v/>
      </c>
      <c r="T323" s="3">
        <f>I323*$D323</f>
        <v/>
      </c>
      <c r="U323" s="3">
        <f>J323*$D323</f>
        <v/>
      </c>
      <c r="V323" s="3">
        <f>K323*$D323</f>
        <v/>
      </c>
      <c r="W323" s="3">
        <f>L323*$D323</f>
        <v/>
      </c>
      <c r="X323" s="3">
        <f>M323*$D323</f>
        <v/>
      </c>
      <c r="Y323" s="3">
        <f>N323*$D323</f>
        <v/>
      </c>
      <c r="Z323" s="3">
        <f>C323*$D323</f>
        <v/>
      </c>
      <c r="AA323" s="9">
        <f>$L978+$K978*E323+$J978*F323+$I978*G323+$H978*H323+$G978*I323+$F978*J323+$E978*K323+$D978*L323+$C978*M323+$B978*N323</f>
        <v/>
      </c>
      <c r="AB323" s="9">
        <f>C323-AA323</f>
        <v/>
      </c>
      <c r="AC323" s="4">
        <f>AB323^2</f>
        <v/>
      </c>
    </row>
    <row r="324">
      <c r="A324" t="inlineStr">
        <is>
          <t>BBG000BRXP69</t>
        </is>
      </c>
      <c r="B324" t="inlineStr">
        <is>
          <t>ew</t>
        </is>
      </c>
      <c r="C324" s="9" t="n">
        <v>-0.01149263787471044</v>
      </c>
      <c r="D324" s="3">
        <f>EXP(0.25*'3b-d Exposures'!G391)</f>
        <v/>
      </c>
      <c r="E324" s="3">
        <f>IF('3b-d Exposures'!C391="",0,'3b-d Exposures'!C391)</f>
        <v/>
      </c>
      <c r="F324" s="3">
        <f>IF('3b-d Exposures'!E391="",0,'3b-d Exposures'!E391)</f>
        <v/>
      </c>
      <c r="G324" s="3">
        <f>IF('3b-d Exposures'!G391="",0,'3b-d Exposures'!G391)</f>
        <v/>
      </c>
      <c r="H324" s="3">
        <f>IF('3b-d Exposures'!I391="",0,'3b-d Exposures'!I391)</f>
        <v/>
      </c>
      <c r="I324" s="3">
        <f>IF('3b-d Exposures'!K391="",0,'3b-d Exposures'!K391)</f>
        <v/>
      </c>
      <c r="J324" s="3">
        <f>IF('3b-d Exposures'!M391="",0,'3b-d Exposures'!M391)</f>
        <v/>
      </c>
      <c r="K324" s="3">
        <f>IF('3b-d Exposures'!O391="",0,'3b-d Exposures'!O391)</f>
        <v/>
      </c>
      <c r="L324" s="3">
        <f>IF('3b-d Exposures'!Q391="",0,'3b-d Exposures'!Q391)</f>
        <v/>
      </c>
      <c r="M324" s="3">
        <f>IF('3b-d Exposures'!S391="",0,'3b-d Exposures'!S391)</f>
        <v/>
      </c>
      <c r="N324" s="3">
        <f>IF('3b-d Exposures'!Z391="",0,'3b-d Exposures'!Z391)</f>
        <v/>
      </c>
      <c r="O324" s="3">
        <f>$D324</f>
        <v/>
      </c>
      <c r="P324" s="3">
        <f>E324*$D324</f>
        <v/>
      </c>
      <c r="Q324" s="3">
        <f>F324*$D324</f>
        <v/>
      </c>
      <c r="R324" s="3">
        <f>G324*$D324</f>
        <v/>
      </c>
      <c r="S324" s="3">
        <f>H324*$D324</f>
        <v/>
      </c>
      <c r="T324" s="3">
        <f>I324*$D324</f>
        <v/>
      </c>
      <c r="U324" s="3">
        <f>J324*$D324</f>
        <v/>
      </c>
      <c r="V324" s="3">
        <f>K324*$D324</f>
        <v/>
      </c>
      <c r="W324" s="3">
        <f>L324*$D324</f>
        <v/>
      </c>
      <c r="X324" s="3">
        <f>M324*$D324</f>
        <v/>
      </c>
      <c r="Y324" s="3">
        <f>N324*$D324</f>
        <v/>
      </c>
      <c r="Z324" s="3">
        <f>C324*$D324</f>
        <v/>
      </c>
      <c r="AA324" s="9">
        <f>$L978+$K978*E324+$J978*F324+$I978*G324+$H978*H324+$G978*I324+$F978*J324+$E978*K324+$D978*L324+$C978*M324+$B978*N324</f>
        <v/>
      </c>
      <c r="AB324" s="9">
        <f>C324-AA324</f>
        <v/>
      </c>
      <c r="AC324" s="4">
        <f>AB324^2</f>
        <v/>
      </c>
    </row>
    <row r="325">
      <c r="A325" t="inlineStr">
        <is>
          <t>BBG000CR20B1</t>
        </is>
      </c>
      <c r="B325" t="inlineStr">
        <is>
          <t>ewbc</t>
        </is>
      </c>
      <c r="C325" s="9" t="n">
        <v>-0.01531739070515292</v>
      </c>
      <c r="D325" s="3">
        <f>EXP(0.25*'3b-d Exposures'!G392)</f>
        <v/>
      </c>
      <c r="E325" s="3">
        <f>IF('3b-d Exposures'!C392="",0,'3b-d Exposures'!C392)</f>
        <v/>
      </c>
      <c r="F325" s="3">
        <f>IF('3b-d Exposures'!E392="",0,'3b-d Exposures'!E392)</f>
        <v/>
      </c>
      <c r="G325" s="3">
        <f>IF('3b-d Exposures'!G392="",0,'3b-d Exposures'!G392)</f>
        <v/>
      </c>
      <c r="H325" s="3">
        <f>IF('3b-d Exposures'!I392="",0,'3b-d Exposures'!I392)</f>
        <v/>
      </c>
      <c r="I325" s="3">
        <f>IF('3b-d Exposures'!K392="",0,'3b-d Exposures'!K392)</f>
        <v/>
      </c>
      <c r="J325" s="3">
        <f>IF('3b-d Exposures'!M392="",0,'3b-d Exposures'!M392)</f>
        <v/>
      </c>
      <c r="K325" s="3">
        <f>IF('3b-d Exposures'!O392="",0,'3b-d Exposures'!O392)</f>
        <v/>
      </c>
      <c r="L325" s="3">
        <f>IF('3b-d Exposures'!Q392="",0,'3b-d Exposures'!Q392)</f>
        <v/>
      </c>
      <c r="M325" s="3">
        <f>IF('3b-d Exposures'!S392="",0,'3b-d Exposures'!S392)</f>
        <v/>
      </c>
      <c r="N325" s="3">
        <f>IF('3b-d Exposures'!Z392="",0,'3b-d Exposures'!Z392)</f>
        <v/>
      </c>
      <c r="O325" s="3">
        <f>$D325</f>
        <v/>
      </c>
      <c r="P325" s="3">
        <f>E325*$D325</f>
        <v/>
      </c>
      <c r="Q325" s="3">
        <f>F325*$D325</f>
        <v/>
      </c>
      <c r="R325" s="3">
        <f>G325*$D325</f>
        <v/>
      </c>
      <c r="S325" s="3">
        <f>H325*$D325</f>
        <v/>
      </c>
      <c r="T325" s="3">
        <f>I325*$D325</f>
        <v/>
      </c>
      <c r="U325" s="3">
        <f>J325*$D325</f>
        <v/>
      </c>
      <c r="V325" s="3">
        <f>K325*$D325</f>
        <v/>
      </c>
      <c r="W325" s="3">
        <f>L325*$D325</f>
        <v/>
      </c>
      <c r="X325" s="3">
        <f>M325*$D325</f>
        <v/>
      </c>
      <c r="Y325" s="3">
        <f>N325*$D325</f>
        <v/>
      </c>
      <c r="Z325" s="3">
        <f>C325*$D325</f>
        <v/>
      </c>
      <c r="AA325" s="9">
        <f>$L978+$K978*E325+$J978*F325+$I978*G325+$H978*H325+$G978*I325+$F978*J325+$E978*K325+$D978*L325+$C978*M325+$B978*N325</f>
        <v/>
      </c>
      <c r="AB325" s="9">
        <f>C325-AA325</f>
        <v/>
      </c>
      <c r="AC325" s="4">
        <f>AB325^2</f>
        <v/>
      </c>
    </row>
    <row r="326">
      <c r="A326" t="inlineStr">
        <is>
          <t>BBG000J6XT05</t>
        </is>
      </c>
      <c r="B326" t="inlineStr">
        <is>
          <t>exc</t>
        </is>
      </c>
      <c r="C326" s="9" t="n">
        <v>-0.0300810214081354</v>
      </c>
      <c r="D326" s="3">
        <f>EXP(0.25*'3b-d Exposures'!G393)</f>
        <v/>
      </c>
      <c r="E326" s="3">
        <f>IF('3b-d Exposures'!C393="",0,'3b-d Exposures'!C393)</f>
        <v/>
      </c>
      <c r="F326" s="3">
        <f>IF('3b-d Exposures'!E393="",0,'3b-d Exposures'!E393)</f>
        <v/>
      </c>
      <c r="G326" s="3">
        <f>IF('3b-d Exposures'!G393="",0,'3b-d Exposures'!G393)</f>
        <v/>
      </c>
      <c r="H326" s="3">
        <f>IF('3b-d Exposures'!I393="",0,'3b-d Exposures'!I393)</f>
        <v/>
      </c>
      <c r="I326" s="3">
        <f>IF('3b-d Exposures'!K393="",0,'3b-d Exposures'!K393)</f>
        <v/>
      </c>
      <c r="J326" s="3">
        <f>IF('3b-d Exposures'!M393="",0,'3b-d Exposures'!M393)</f>
        <v/>
      </c>
      <c r="K326" s="3">
        <f>IF('3b-d Exposures'!O393="",0,'3b-d Exposures'!O393)</f>
        <v/>
      </c>
      <c r="L326" s="3">
        <f>IF('3b-d Exposures'!Q393="",0,'3b-d Exposures'!Q393)</f>
        <v/>
      </c>
      <c r="M326" s="3">
        <f>IF('3b-d Exposures'!S393="",0,'3b-d Exposures'!S393)</f>
        <v/>
      </c>
      <c r="N326" s="3">
        <f>IF('3b-d Exposures'!Z393="",0,'3b-d Exposures'!Z393)</f>
        <v/>
      </c>
      <c r="O326" s="3">
        <f>$D326</f>
        <v/>
      </c>
      <c r="P326" s="3">
        <f>E326*$D326</f>
        <v/>
      </c>
      <c r="Q326" s="3">
        <f>F326*$D326</f>
        <v/>
      </c>
      <c r="R326" s="3">
        <f>G326*$D326</f>
        <v/>
      </c>
      <c r="S326" s="3">
        <f>H326*$D326</f>
        <v/>
      </c>
      <c r="T326" s="3">
        <f>I326*$D326</f>
        <v/>
      </c>
      <c r="U326" s="3">
        <f>J326*$D326</f>
        <v/>
      </c>
      <c r="V326" s="3">
        <f>K326*$D326</f>
        <v/>
      </c>
      <c r="W326" s="3">
        <f>L326*$D326</f>
        <v/>
      </c>
      <c r="X326" s="3">
        <f>M326*$D326</f>
        <v/>
      </c>
      <c r="Y326" s="3">
        <f>N326*$D326</f>
        <v/>
      </c>
      <c r="Z326" s="3">
        <f>C326*$D326</f>
        <v/>
      </c>
      <c r="AA326" s="9">
        <f>$L978+$K978*E326+$J978*F326+$I978*G326+$H978*H326+$G978*I326+$F978*J326+$E978*K326+$D978*L326+$C978*M326+$B978*N326</f>
        <v/>
      </c>
      <c r="AB326" s="9">
        <f>C326-AA326</f>
        <v/>
      </c>
      <c r="AC326" s="4">
        <f>AB326^2</f>
        <v/>
      </c>
    </row>
    <row r="327">
      <c r="A327" t="inlineStr">
        <is>
          <t>exe</t>
        </is>
      </c>
      <c r="B327" t="inlineStr">
        <is>
          <t>exe</t>
        </is>
      </c>
      <c r="C327" s="9" t="n">
        <v>-0.01131780622218703</v>
      </c>
      <c r="D327" s="3">
        <f>EXP(0.25*'3b-d Exposures'!G394)</f>
        <v/>
      </c>
      <c r="E327" s="3">
        <f>IF('3b-d Exposures'!C394="",0,'3b-d Exposures'!C394)</f>
        <v/>
      </c>
      <c r="F327" s="3">
        <f>IF('3b-d Exposures'!E394="",0,'3b-d Exposures'!E394)</f>
        <v/>
      </c>
      <c r="G327" s="3">
        <f>IF('3b-d Exposures'!G394="",0,'3b-d Exposures'!G394)</f>
        <v/>
      </c>
      <c r="H327" s="3">
        <f>IF('3b-d Exposures'!I394="",0,'3b-d Exposures'!I394)</f>
        <v/>
      </c>
      <c r="I327" s="3">
        <f>IF('3b-d Exposures'!K394="",0,'3b-d Exposures'!K394)</f>
        <v/>
      </c>
      <c r="J327" s="3">
        <f>IF('3b-d Exposures'!M394="",0,'3b-d Exposures'!M394)</f>
        <v/>
      </c>
      <c r="K327" s="3">
        <f>IF('3b-d Exposures'!O394="",0,'3b-d Exposures'!O394)</f>
        <v/>
      </c>
      <c r="L327" s="3">
        <f>IF('3b-d Exposures'!Q394="",0,'3b-d Exposures'!Q394)</f>
        <v/>
      </c>
      <c r="M327" s="3">
        <f>IF('3b-d Exposures'!S394="",0,'3b-d Exposures'!S394)</f>
        <v/>
      </c>
      <c r="N327" s="3">
        <f>IF('3b-d Exposures'!Z394="",0,'3b-d Exposures'!Z394)</f>
        <v/>
      </c>
      <c r="O327" s="3">
        <f>$D327</f>
        <v/>
      </c>
      <c r="P327" s="3">
        <f>E327*$D327</f>
        <v/>
      </c>
      <c r="Q327" s="3">
        <f>F327*$D327</f>
        <v/>
      </c>
      <c r="R327" s="3">
        <f>G327*$D327</f>
        <v/>
      </c>
      <c r="S327" s="3">
        <f>H327*$D327</f>
        <v/>
      </c>
      <c r="T327" s="3">
        <f>I327*$D327</f>
        <v/>
      </c>
      <c r="U327" s="3">
        <f>J327*$D327</f>
        <v/>
      </c>
      <c r="V327" s="3">
        <f>K327*$D327</f>
        <v/>
      </c>
      <c r="W327" s="3">
        <f>L327*$D327</f>
        <v/>
      </c>
      <c r="X327" s="3">
        <f>M327*$D327</f>
        <v/>
      </c>
      <c r="Y327" s="3">
        <f>N327*$D327</f>
        <v/>
      </c>
      <c r="Z327" s="3">
        <f>C327*$D327</f>
        <v/>
      </c>
      <c r="AA327" s="9">
        <f>$L978+$K978*E327+$J978*F327+$I978*G327+$H978*H327+$G978*I327+$F978*J327+$E978*K327+$D978*L327+$C978*M327+$B978*N327</f>
        <v/>
      </c>
      <c r="AB327" s="9">
        <f>C327-AA327</f>
        <v/>
      </c>
      <c r="AC327" s="4">
        <f>AB327^2</f>
        <v/>
      </c>
    </row>
    <row r="328">
      <c r="A328" t="inlineStr">
        <is>
          <t>BBG000BJW241</t>
        </is>
      </c>
      <c r="B328" t="inlineStr">
        <is>
          <t>exp</t>
        </is>
      </c>
      <c r="C328" s="9" t="n">
        <v>-0.01705954423765232</v>
      </c>
      <c r="D328" s="3">
        <f>EXP(0.25*'3b-d Exposures'!G395)</f>
        <v/>
      </c>
      <c r="E328" s="3">
        <f>IF('3b-d Exposures'!C395="",0,'3b-d Exposures'!C395)</f>
        <v/>
      </c>
      <c r="F328" s="3">
        <f>IF('3b-d Exposures'!E395="",0,'3b-d Exposures'!E395)</f>
        <v/>
      </c>
      <c r="G328" s="3">
        <f>IF('3b-d Exposures'!G395="",0,'3b-d Exposures'!G395)</f>
        <v/>
      </c>
      <c r="H328" s="3">
        <f>IF('3b-d Exposures'!I395="",0,'3b-d Exposures'!I395)</f>
        <v/>
      </c>
      <c r="I328" s="3">
        <f>IF('3b-d Exposures'!K395="",0,'3b-d Exposures'!K395)</f>
        <v/>
      </c>
      <c r="J328" s="3">
        <f>IF('3b-d Exposures'!M395="",0,'3b-d Exposures'!M395)</f>
        <v/>
      </c>
      <c r="K328" s="3">
        <f>IF('3b-d Exposures'!O395="",0,'3b-d Exposures'!O395)</f>
        <v/>
      </c>
      <c r="L328" s="3">
        <f>IF('3b-d Exposures'!Q395="",0,'3b-d Exposures'!Q395)</f>
        <v/>
      </c>
      <c r="M328" s="3">
        <f>IF('3b-d Exposures'!S395="",0,'3b-d Exposures'!S395)</f>
        <v/>
      </c>
      <c r="N328" s="3">
        <f>IF('3b-d Exposures'!Z395="",0,'3b-d Exposures'!Z395)</f>
        <v/>
      </c>
      <c r="O328" s="3">
        <f>$D328</f>
        <v/>
      </c>
      <c r="P328" s="3">
        <f>E328*$D328</f>
        <v/>
      </c>
      <c r="Q328" s="3">
        <f>F328*$D328</f>
        <v/>
      </c>
      <c r="R328" s="3">
        <f>G328*$D328</f>
        <v/>
      </c>
      <c r="S328" s="3">
        <f>H328*$D328</f>
        <v/>
      </c>
      <c r="T328" s="3">
        <f>I328*$D328</f>
        <v/>
      </c>
      <c r="U328" s="3">
        <f>J328*$D328</f>
        <v/>
      </c>
      <c r="V328" s="3">
        <f>K328*$D328</f>
        <v/>
      </c>
      <c r="W328" s="3">
        <f>L328*$D328</f>
        <v/>
      </c>
      <c r="X328" s="3">
        <f>M328*$D328</f>
        <v/>
      </c>
      <c r="Y328" s="3">
        <f>N328*$D328</f>
        <v/>
      </c>
      <c r="Z328" s="3">
        <f>C328*$D328</f>
        <v/>
      </c>
      <c r="AA328" s="9">
        <f>$L978+$K978*E328+$J978*F328+$I978*G328+$H978*H328+$G978*I328+$F978*J328+$E978*K328+$D978*L328+$C978*M328+$B978*N328</f>
        <v/>
      </c>
      <c r="AB328" s="9">
        <f>C328-AA328</f>
        <v/>
      </c>
      <c r="AC328" s="4">
        <f>AB328^2</f>
        <v/>
      </c>
    </row>
    <row r="329">
      <c r="A329" t="inlineStr">
        <is>
          <t>BBG000BJ5GK2</t>
        </is>
      </c>
      <c r="B329" t="inlineStr">
        <is>
          <t>expd</t>
        </is>
      </c>
      <c r="C329" s="9" t="n">
        <v>0.004631539807071983</v>
      </c>
      <c r="D329" s="3">
        <f>EXP(0.25*'3b-d Exposures'!G396)</f>
        <v/>
      </c>
      <c r="E329" s="3">
        <f>IF('3b-d Exposures'!C396="",0,'3b-d Exposures'!C396)</f>
        <v/>
      </c>
      <c r="F329" s="3">
        <f>IF('3b-d Exposures'!E396="",0,'3b-d Exposures'!E396)</f>
        <v/>
      </c>
      <c r="G329" s="3">
        <f>IF('3b-d Exposures'!G396="",0,'3b-d Exposures'!G396)</f>
        <v/>
      </c>
      <c r="H329" s="3">
        <f>IF('3b-d Exposures'!I396="",0,'3b-d Exposures'!I396)</f>
        <v/>
      </c>
      <c r="I329" s="3">
        <f>IF('3b-d Exposures'!K396="",0,'3b-d Exposures'!K396)</f>
        <v/>
      </c>
      <c r="J329" s="3">
        <f>IF('3b-d Exposures'!M396="",0,'3b-d Exposures'!M396)</f>
        <v/>
      </c>
      <c r="K329" s="3">
        <f>IF('3b-d Exposures'!O396="",0,'3b-d Exposures'!O396)</f>
        <v/>
      </c>
      <c r="L329" s="3">
        <f>IF('3b-d Exposures'!Q396="",0,'3b-d Exposures'!Q396)</f>
        <v/>
      </c>
      <c r="M329" s="3">
        <f>IF('3b-d Exposures'!S396="",0,'3b-d Exposures'!S396)</f>
        <v/>
      </c>
      <c r="N329" s="3">
        <f>IF('3b-d Exposures'!Z396="",0,'3b-d Exposures'!Z396)</f>
        <v/>
      </c>
      <c r="O329" s="3">
        <f>$D329</f>
        <v/>
      </c>
      <c r="P329" s="3">
        <f>E329*$D329</f>
        <v/>
      </c>
      <c r="Q329" s="3">
        <f>F329*$D329</f>
        <v/>
      </c>
      <c r="R329" s="3">
        <f>G329*$D329</f>
        <v/>
      </c>
      <c r="S329" s="3">
        <f>H329*$D329</f>
        <v/>
      </c>
      <c r="T329" s="3">
        <f>I329*$D329</f>
        <v/>
      </c>
      <c r="U329" s="3">
        <f>J329*$D329</f>
        <v/>
      </c>
      <c r="V329" s="3">
        <f>K329*$D329</f>
        <v/>
      </c>
      <c r="W329" s="3">
        <f>L329*$D329</f>
        <v/>
      </c>
      <c r="X329" s="3">
        <f>M329*$D329</f>
        <v/>
      </c>
      <c r="Y329" s="3">
        <f>N329*$D329</f>
        <v/>
      </c>
      <c r="Z329" s="3">
        <f>C329*$D329</f>
        <v/>
      </c>
      <c r="AA329" s="9">
        <f>$L978+$K978*E329+$J978*F329+$I978*G329+$H978*H329+$G978*I329+$F978*J329+$E978*K329+$D978*L329+$C978*M329+$B978*N329</f>
        <v/>
      </c>
      <c r="AB329" s="9">
        <f>C329-AA329</f>
        <v/>
      </c>
      <c r="AC329" s="4">
        <f>AB329^2</f>
        <v/>
      </c>
    </row>
    <row r="330">
      <c r="A330" t="inlineStr">
        <is>
          <t>BBG000QY3XZ2</t>
        </is>
      </c>
      <c r="B330" t="inlineStr">
        <is>
          <t>expe</t>
        </is>
      </c>
      <c r="C330" s="9" t="n">
        <v>0.002112456026758469</v>
      </c>
      <c r="D330" s="3">
        <f>EXP(0.25*'3b-d Exposures'!G397)</f>
        <v/>
      </c>
      <c r="E330" s="3">
        <f>IF('3b-d Exposures'!C397="",0,'3b-d Exposures'!C397)</f>
        <v/>
      </c>
      <c r="F330" s="3">
        <f>IF('3b-d Exposures'!E397="",0,'3b-d Exposures'!E397)</f>
        <v/>
      </c>
      <c r="G330" s="3">
        <f>IF('3b-d Exposures'!G397="",0,'3b-d Exposures'!G397)</f>
        <v/>
      </c>
      <c r="H330" s="3">
        <f>IF('3b-d Exposures'!I397="",0,'3b-d Exposures'!I397)</f>
        <v/>
      </c>
      <c r="I330" s="3">
        <f>IF('3b-d Exposures'!K397="",0,'3b-d Exposures'!K397)</f>
        <v/>
      </c>
      <c r="J330" s="3">
        <f>IF('3b-d Exposures'!M397="",0,'3b-d Exposures'!M397)</f>
        <v/>
      </c>
      <c r="K330" s="3">
        <f>IF('3b-d Exposures'!O397="",0,'3b-d Exposures'!O397)</f>
        <v/>
      </c>
      <c r="L330" s="3">
        <f>IF('3b-d Exposures'!Q397="",0,'3b-d Exposures'!Q397)</f>
        <v/>
      </c>
      <c r="M330" s="3">
        <f>IF('3b-d Exposures'!S397="",0,'3b-d Exposures'!S397)</f>
        <v/>
      </c>
      <c r="N330" s="3">
        <f>IF('3b-d Exposures'!Z397="",0,'3b-d Exposures'!Z397)</f>
        <v/>
      </c>
      <c r="O330" s="3">
        <f>$D330</f>
        <v/>
      </c>
      <c r="P330" s="3">
        <f>E330*$D330</f>
        <v/>
      </c>
      <c r="Q330" s="3">
        <f>F330*$D330</f>
        <v/>
      </c>
      <c r="R330" s="3">
        <f>G330*$D330</f>
        <v/>
      </c>
      <c r="S330" s="3">
        <f>H330*$D330</f>
        <v/>
      </c>
      <c r="T330" s="3">
        <f>I330*$D330</f>
        <v/>
      </c>
      <c r="U330" s="3">
        <f>J330*$D330</f>
        <v/>
      </c>
      <c r="V330" s="3">
        <f>K330*$D330</f>
        <v/>
      </c>
      <c r="W330" s="3">
        <f>L330*$D330</f>
        <v/>
      </c>
      <c r="X330" s="3">
        <f>M330*$D330</f>
        <v/>
      </c>
      <c r="Y330" s="3">
        <f>N330*$D330</f>
        <v/>
      </c>
      <c r="Z330" s="3">
        <f>C330*$D330</f>
        <v/>
      </c>
      <c r="AA330" s="9">
        <f>$L978+$K978*E330+$J978*F330+$I978*G330+$H978*H330+$G978*I330+$F978*J330+$E978*K330+$D978*L330+$C978*M330+$B978*N330</f>
        <v/>
      </c>
      <c r="AB330" s="9">
        <f>C330-AA330</f>
        <v/>
      </c>
      <c r="AC330" s="4">
        <f>AB330^2</f>
        <v/>
      </c>
    </row>
    <row r="331">
      <c r="A331" t="inlineStr">
        <is>
          <t>BBG000PV27K3</t>
        </is>
      </c>
      <c r="B331" t="inlineStr">
        <is>
          <t>exr</t>
        </is>
      </c>
      <c r="C331" s="9" t="n">
        <v>-0.007194686804559147</v>
      </c>
      <c r="D331" s="3">
        <f>EXP(0.25*'3b-d Exposures'!G398)</f>
        <v/>
      </c>
      <c r="E331" s="3">
        <f>IF('3b-d Exposures'!C398="",0,'3b-d Exposures'!C398)</f>
        <v/>
      </c>
      <c r="F331" s="3">
        <f>IF('3b-d Exposures'!E398="",0,'3b-d Exposures'!E398)</f>
        <v/>
      </c>
      <c r="G331" s="3">
        <f>IF('3b-d Exposures'!G398="",0,'3b-d Exposures'!G398)</f>
        <v/>
      </c>
      <c r="H331" s="3">
        <f>IF('3b-d Exposures'!I398="",0,'3b-d Exposures'!I398)</f>
        <v/>
      </c>
      <c r="I331" s="3">
        <f>IF('3b-d Exposures'!K398="",0,'3b-d Exposures'!K398)</f>
        <v/>
      </c>
      <c r="J331" s="3">
        <f>IF('3b-d Exposures'!M398="",0,'3b-d Exposures'!M398)</f>
        <v/>
      </c>
      <c r="K331" s="3">
        <f>IF('3b-d Exposures'!O398="",0,'3b-d Exposures'!O398)</f>
        <v/>
      </c>
      <c r="L331" s="3">
        <f>IF('3b-d Exposures'!Q398="",0,'3b-d Exposures'!Q398)</f>
        <v/>
      </c>
      <c r="M331" s="3">
        <f>IF('3b-d Exposures'!S398="",0,'3b-d Exposures'!S398)</f>
        <v/>
      </c>
      <c r="N331" s="3">
        <f>IF('3b-d Exposures'!Z398="",0,'3b-d Exposures'!Z398)</f>
        <v/>
      </c>
      <c r="O331" s="3">
        <f>$D331</f>
        <v/>
      </c>
      <c r="P331" s="3">
        <f>E331*$D331</f>
        <v/>
      </c>
      <c r="Q331" s="3">
        <f>F331*$D331</f>
        <v/>
      </c>
      <c r="R331" s="3">
        <f>G331*$D331</f>
        <v/>
      </c>
      <c r="S331" s="3">
        <f>H331*$D331</f>
        <v/>
      </c>
      <c r="T331" s="3">
        <f>I331*$D331</f>
        <v/>
      </c>
      <c r="U331" s="3">
        <f>J331*$D331</f>
        <v/>
      </c>
      <c r="V331" s="3">
        <f>K331*$D331</f>
        <v/>
      </c>
      <c r="W331" s="3">
        <f>L331*$D331</f>
        <v/>
      </c>
      <c r="X331" s="3">
        <f>M331*$D331</f>
        <v/>
      </c>
      <c r="Y331" s="3">
        <f>N331*$D331</f>
        <v/>
      </c>
      <c r="Z331" s="3">
        <f>C331*$D331</f>
        <v/>
      </c>
      <c r="AA331" s="9">
        <f>$L978+$K978*E331+$J978*F331+$I978*G331+$H978*H331+$G978*I331+$F978*J331+$E978*K331+$D978*L331+$C978*M331+$B978*N331</f>
        <v/>
      </c>
      <c r="AB331" s="9">
        <f>C331-AA331</f>
        <v/>
      </c>
      <c r="AC331" s="4">
        <f>AB331^2</f>
        <v/>
      </c>
    </row>
    <row r="332">
      <c r="A332" t="inlineStr">
        <is>
          <t>BBG000BFR0T2</t>
        </is>
      </c>
      <c r="B332" t="inlineStr">
        <is>
          <t>extr</t>
        </is>
      </c>
      <c r="C332" s="9" t="n">
        <v>0.05481926665663961</v>
      </c>
      <c r="D332" s="3">
        <f>EXP(0.25*'3b-d Exposures'!G399)</f>
        <v/>
      </c>
      <c r="E332" s="3">
        <f>IF('3b-d Exposures'!C399="",0,'3b-d Exposures'!C399)</f>
        <v/>
      </c>
      <c r="F332" s="3">
        <f>IF('3b-d Exposures'!E399="",0,'3b-d Exposures'!E399)</f>
        <v/>
      </c>
      <c r="G332" s="3">
        <f>IF('3b-d Exposures'!G399="",0,'3b-d Exposures'!G399)</f>
        <v/>
      </c>
      <c r="H332" s="3">
        <f>IF('3b-d Exposures'!I399="",0,'3b-d Exposures'!I399)</f>
        <v/>
      </c>
      <c r="I332" s="3">
        <f>IF('3b-d Exposures'!K399="",0,'3b-d Exposures'!K399)</f>
        <v/>
      </c>
      <c r="J332" s="3">
        <f>IF('3b-d Exposures'!M399="",0,'3b-d Exposures'!M399)</f>
        <v/>
      </c>
      <c r="K332" s="3">
        <f>IF('3b-d Exposures'!O399="",0,'3b-d Exposures'!O399)</f>
        <v/>
      </c>
      <c r="L332" s="3">
        <f>IF('3b-d Exposures'!Q399="",0,'3b-d Exposures'!Q399)</f>
        <v/>
      </c>
      <c r="M332" s="3">
        <f>IF('3b-d Exposures'!S399="",0,'3b-d Exposures'!S399)</f>
        <v/>
      </c>
      <c r="N332" s="3">
        <f>IF('3b-d Exposures'!Z399="",0,'3b-d Exposures'!Z399)</f>
        <v/>
      </c>
      <c r="O332" s="3">
        <f>$D332</f>
        <v/>
      </c>
      <c r="P332" s="3">
        <f>E332*$D332</f>
        <v/>
      </c>
      <c r="Q332" s="3">
        <f>F332*$D332</f>
        <v/>
      </c>
      <c r="R332" s="3">
        <f>G332*$D332</f>
        <v/>
      </c>
      <c r="S332" s="3">
        <f>H332*$D332</f>
        <v/>
      </c>
      <c r="T332" s="3">
        <f>I332*$D332</f>
        <v/>
      </c>
      <c r="U332" s="3">
        <f>J332*$D332</f>
        <v/>
      </c>
      <c r="V332" s="3">
        <f>K332*$D332</f>
        <v/>
      </c>
      <c r="W332" s="3">
        <f>L332*$D332</f>
        <v/>
      </c>
      <c r="X332" s="3">
        <f>M332*$D332</f>
        <v/>
      </c>
      <c r="Y332" s="3">
        <f>N332*$D332</f>
        <v/>
      </c>
      <c r="Z332" s="3">
        <f>C332*$D332</f>
        <v/>
      </c>
      <c r="AA332" s="9">
        <f>$L978+$K978*E332+$J978*F332+$I978*G332+$H978*H332+$G978*I332+$F978*J332+$E978*K332+$D978*L332+$C978*M332+$B978*N332</f>
        <v/>
      </c>
      <c r="AB332" s="9">
        <f>C332-AA332</f>
        <v/>
      </c>
      <c r="AC332" s="4">
        <f>AB332^2</f>
        <v/>
      </c>
    </row>
    <row r="333">
      <c r="A333" t="inlineStr">
        <is>
          <t>BBG000BQPC32</t>
        </is>
      </c>
      <c r="B333" t="inlineStr">
        <is>
          <t>f</t>
        </is>
      </c>
      <c r="C333" s="9" t="n">
        <v>-0.01347713693927577</v>
      </c>
      <c r="D333" s="3">
        <f>EXP(0.25*'3b-d Exposures'!G400)</f>
        <v/>
      </c>
      <c r="E333" s="3">
        <f>IF('3b-d Exposures'!C400="",0,'3b-d Exposures'!C400)</f>
        <v/>
      </c>
      <c r="F333" s="3">
        <f>IF('3b-d Exposures'!E400="",0,'3b-d Exposures'!E400)</f>
        <v/>
      </c>
      <c r="G333" s="3">
        <f>IF('3b-d Exposures'!G400="",0,'3b-d Exposures'!G400)</f>
        <v/>
      </c>
      <c r="H333" s="3">
        <f>IF('3b-d Exposures'!I400="",0,'3b-d Exposures'!I400)</f>
        <v/>
      </c>
      <c r="I333" s="3">
        <f>IF('3b-d Exposures'!K400="",0,'3b-d Exposures'!K400)</f>
        <v/>
      </c>
      <c r="J333" s="3">
        <f>IF('3b-d Exposures'!M400="",0,'3b-d Exposures'!M400)</f>
        <v/>
      </c>
      <c r="K333" s="3">
        <f>IF('3b-d Exposures'!O400="",0,'3b-d Exposures'!O400)</f>
        <v/>
      </c>
      <c r="L333" s="3">
        <f>IF('3b-d Exposures'!Q400="",0,'3b-d Exposures'!Q400)</f>
        <v/>
      </c>
      <c r="M333" s="3">
        <f>IF('3b-d Exposures'!S400="",0,'3b-d Exposures'!S400)</f>
        <v/>
      </c>
      <c r="N333" s="3">
        <f>IF('3b-d Exposures'!Z400="",0,'3b-d Exposures'!Z400)</f>
        <v/>
      </c>
      <c r="O333" s="3">
        <f>$D333</f>
        <v/>
      </c>
      <c r="P333" s="3">
        <f>E333*$D333</f>
        <v/>
      </c>
      <c r="Q333" s="3">
        <f>F333*$D333</f>
        <v/>
      </c>
      <c r="R333" s="3">
        <f>G333*$D333</f>
        <v/>
      </c>
      <c r="S333" s="3">
        <f>H333*$D333</f>
        <v/>
      </c>
      <c r="T333" s="3">
        <f>I333*$D333</f>
        <v/>
      </c>
      <c r="U333" s="3">
        <f>J333*$D333</f>
        <v/>
      </c>
      <c r="V333" s="3">
        <f>K333*$D333</f>
        <v/>
      </c>
      <c r="W333" s="3">
        <f>L333*$D333</f>
        <v/>
      </c>
      <c r="X333" s="3">
        <f>M333*$D333</f>
        <v/>
      </c>
      <c r="Y333" s="3">
        <f>N333*$D333</f>
        <v/>
      </c>
      <c r="Z333" s="3">
        <f>C333*$D333</f>
        <v/>
      </c>
      <c r="AA333" s="9">
        <f>$L978+$K978*E333+$J978*F333+$I978*G333+$H978*H333+$G978*I333+$F978*J333+$E978*K333+$D978*L333+$C978*M333+$B978*N333</f>
        <v/>
      </c>
      <c r="AB333" s="9">
        <f>C333-AA333</f>
        <v/>
      </c>
      <c r="AC333" s="4">
        <f>AB333^2</f>
        <v/>
      </c>
    </row>
    <row r="334">
      <c r="A334" t="inlineStr">
        <is>
          <t>BBG002PHSYX9</t>
        </is>
      </c>
      <c r="B334" t="inlineStr">
        <is>
          <t>fang</t>
        </is>
      </c>
      <c r="C334" s="9" t="n">
        <v>-0.009910494248395407</v>
      </c>
      <c r="D334" s="3">
        <f>EXP(0.25*'3b-d Exposures'!G401)</f>
        <v/>
      </c>
      <c r="E334" s="3">
        <f>IF('3b-d Exposures'!C401="",0,'3b-d Exposures'!C401)</f>
        <v/>
      </c>
      <c r="F334" s="3">
        <f>IF('3b-d Exposures'!E401="",0,'3b-d Exposures'!E401)</f>
        <v/>
      </c>
      <c r="G334" s="3">
        <f>IF('3b-d Exposures'!G401="",0,'3b-d Exposures'!G401)</f>
        <v/>
      </c>
      <c r="H334" s="3">
        <f>IF('3b-d Exposures'!I401="",0,'3b-d Exposures'!I401)</f>
        <v/>
      </c>
      <c r="I334" s="3">
        <f>IF('3b-d Exposures'!K401="",0,'3b-d Exposures'!K401)</f>
        <v/>
      </c>
      <c r="J334" s="3">
        <f>IF('3b-d Exposures'!M401="",0,'3b-d Exposures'!M401)</f>
        <v/>
      </c>
      <c r="K334" s="3">
        <f>IF('3b-d Exposures'!O401="",0,'3b-d Exposures'!O401)</f>
        <v/>
      </c>
      <c r="L334" s="3">
        <f>IF('3b-d Exposures'!Q401="",0,'3b-d Exposures'!Q401)</f>
        <v/>
      </c>
      <c r="M334" s="3">
        <f>IF('3b-d Exposures'!S401="",0,'3b-d Exposures'!S401)</f>
        <v/>
      </c>
      <c r="N334" s="3">
        <f>IF('3b-d Exposures'!Z401="",0,'3b-d Exposures'!Z401)</f>
        <v/>
      </c>
      <c r="O334" s="3">
        <f>$D334</f>
        <v/>
      </c>
      <c r="P334" s="3">
        <f>E334*$D334</f>
        <v/>
      </c>
      <c r="Q334" s="3">
        <f>F334*$D334</f>
        <v/>
      </c>
      <c r="R334" s="3">
        <f>G334*$D334</f>
        <v/>
      </c>
      <c r="S334" s="3">
        <f>H334*$D334</f>
        <v/>
      </c>
      <c r="T334" s="3">
        <f>I334*$D334</f>
        <v/>
      </c>
      <c r="U334" s="3">
        <f>J334*$D334</f>
        <v/>
      </c>
      <c r="V334" s="3">
        <f>K334*$D334</f>
        <v/>
      </c>
      <c r="W334" s="3">
        <f>L334*$D334</f>
        <v/>
      </c>
      <c r="X334" s="3">
        <f>M334*$D334</f>
        <v/>
      </c>
      <c r="Y334" s="3">
        <f>N334*$D334</f>
        <v/>
      </c>
      <c r="Z334" s="3">
        <f>C334*$D334</f>
        <v/>
      </c>
      <c r="AA334" s="9">
        <f>$L978+$K978*E334+$J978*F334+$I978*G334+$H978*H334+$G978*I334+$F978*J334+$E978*K334+$D978*L334+$C978*M334+$B978*N334</f>
        <v/>
      </c>
      <c r="AB334" s="9">
        <f>C334-AA334</f>
        <v/>
      </c>
      <c r="AC334" s="4">
        <f>AB334^2</f>
        <v/>
      </c>
    </row>
    <row r="335">
      <c r="A335" t="inlineStr">
        <is>
          <t>fast</t>
        </is>
      </c>
      <c r="B335" t="inlineStr">
        <is>
          <t>fast</t>
        </is>
      </c>
      <c r="C335" s="9" t="n">
        <v>-0.01065105099443864</v>
      </c>
      <c r="D335" s="3">
        <f>EXP(0.25*'3b-d Exposures'!G402)</f>
        <v/>
      </c>
      <c r="E335" s="3">
        <f>IF('3b-d Exposures'!C402="",0,'3b-d Exposures'!C402)</f>
        <v/>
      </c>
      <c r="F335" s="3">
        <f>IF('3b-d Exposures'!E402="",0,'3b-d Exposures'!E402)</f>
        <v/>
      </c>
      <c r="G335" s="3">
        <f>IF('3b-d Exposures'!G402="",0,'3b-d Exposures'!G402)</f>
        <v/>
      </c>
      <c r="H335" s="3">
        <f>IF('3b-d Exposures'!I402="",0,'3b-d Exposures'!I402)</f>
        <v/>
      </c>
      <c r="I335" s="3">
        <f>IF('3b-d Exposures'!K402="",0,'3b-d Exposures'!K402)</f>
        <v/>
      </c>
      <c r="J335" s="3">
        <f>IF('3b-d Exposures'!M402="",0,'3b-d Exposures'!M402)</f>
        <v/>
      </c>
      <c r="K335" s="3">
        <f>IF('3b-d Exposures'!O402="",0,'3b-d Exposures'!O402)</f>
        <v/>
      </c>
      <c r="L335" s="3">
        <f>IF('3b-d Exposures'!Q402="",0,'3b-d Exposures'!Q402)</f>
        <v/>
      </c>
      <c r="M335" s="3">
        <f>IF('3b-d Exposures'!S402="",0,'3b-d Exposures'!S402)</f>
        <v/>
      </c>
      <c r="N335" s="3">
        <f>IF('3b-d Exposures'!Z402="",0,'3b-d Exposures'!Z402)</f>
        <v/>
      </c>
      <c r="O335" s="3">
        <f>$D335</f>
        <v/>
      </c>
      <c r="P335" s="3">
        <f>E335*$D335</f>
        <v/>
      </c>
      <c r="Q335" s="3">
        <f>F335*$D335</f>
        <v/>
      </c>
      <c r="R335" s="3">
        <f>G335*$D335</f>
        <v/>
      </c>
      <c r="S335" s="3">
        <f>H335*$D335</f>
        <v/>
      </c>
      <c r="T335" s="3">
        <f>I335*$D335</f>
        <v/>
      </c>
      <c r="U335" s="3">
        <f>J335*$D335</f>
        <v/>
      </c>
      <c r="V335" s="3">
        <f>K335*$D335</f>
        <v/>
      </c>
      <c r="W335" s="3">
        <f>L335*$D335</f>
        <v/>
      </c>
      <c r="X335" s="3">
        <f>M335*$D335</f>
        <v/>
      </c>
      <c r="Y335" s="3">
        <f>N335*$D335</f>
        <v/>
      </c>
      <c r="Z335" s="3">
        <f>C335*$D335</f>
        <v/>
      </c>
      <c r="AA335" s="9">
        <f>$L978+$K978*E335+$J978*F335+$I978*G335+$H978*H335+$G978*I335+$F978*J335+$E978*K335+$D978*L335+$C978*M335+$B978*N335</f>
        <v/>
      </c>
      <c r="AB335" s="9">
        <f>C335-AA335</f>
        <v/>
      </c>
      <c r="AC335" s="4">
        <f>AB335^2</f>
        <v/>
      </c>
    </row>
    <row r="336">
      <c r="A336" t="inlineStr">
        <is>
          <t>BBG000BJDB15</t>
        </is>
      </c>
      <c r="B336" t="inlineStr">
        <is>
          <t>fcx</t>
        </is>
      </c>
      <c r="C336" s="9" t="n">
        <v>-0.01266971337238421</v>
      </c>
      <c r="D336" s="3">
        <f>EXP(0.25*'3b-d Exposures'!G404)</f>
        <v/>
      </c>
      <c r="E336" s="3">
        <f>IF('3b-d Exposures'!C404="",0,'3b-d Exposures'!C404)</f>
        <v/>
      </c>
      <c r="F336" s="3">
        <f>IF('3b-d Exposures'!E404="",0,'3b-d Exposures'!E404)</f>
        <v/>
      </c>
      <c r="G336" s="3">
        <f>IF('3b-d Exposures'!G404="",0,'3b-d Exposures'!G404)</f>
        <v/>
      </c>
      <c r="H336" s="3">
        <f>IF('3b-d Exposures'!I404="",0,'3b-d Exposures'!I404)</f>
        <v/>
      </c>
      <c r="I336" s="3">
        <f>IF('3b-d Exposures'!K404="",0,'3b-d Exposures'!K404)</f>
        <v/>
      </c>
      <c r="J336" s="3">
        <f>IF('3b-d Exposures'!M404="",0,'3b-d Exposures'!M404)</f>
        <v/>
      </c>
      <c r="K336" s="3">
        <f>IF('3b-d Exposures'!O404="",0,'3b-d Exposures'!O404)</f>
        <v/>
      </c>
      <c r="L336" s="3">
        <f>IF('3b-d Exposures'!Q404="",0,'3b-d Exposures'!Q404)</f>
        <v/>
      </c>
      <c r="M336" s="3">
        <f>IF('3b-d Exposures'!S404="",0,'3b-d Exposures'!S404)</f>
        <v/>
      </c>
      <c r="N336" s="3">
        <f>IF('3b-d Exposures'!Z404="",0,'3b-d Exposures'!Z404)</f>
        <v/>
      </c>
      <c r="O336" s="3">
        <f>$D336</f>
        <v/>
      </c>
      <c r="P336" s="3">
        <f>E336*$D336</f>
        <v/>
      </c>
      <c r="Q336" s="3">
        <f>F336*$D336</f>
        <v/>
      </c>
      <c r="R336" s="3">
        <f>G336*$D336</f>
        <v/>
      </c>
      <c r="S336" s="3">
        <f>H336*$D336</f>
        <v/>
      </c>
      <c r="T336" s="3">
        <f>I336*$D336</f>
        <v/>
      </c>
      <c r="U336" s="3">
        <f>J336*$D336</f>
        <v/>
      </c>
      <c r="V336" s="3">
        <f>K336*$D336</f>
        <v/>
      </c>
      <c r="W336" s="3">
        <f>L336*$D336</f>
        <v/>
      </c>
      <c r="X336" s="3">
        <f>M336*$D336</f>
        <v/>
      </c>
      <c r="Y336" s="3">
        <f>N336*$D336</f>
        <v/>
      </c>
      <c r="Z336" s="3">
        <f>C336*$D336</f>
        <v/>
      </c>
      <c r="AA336" s="9">
        <f>$L978+$K978*E336+$J978*F336+$I978*G336+$H978*H336+$G978*I336+$F978*J336+$E978*K336+$D978*L336+$C978*M336+$B978*N336</f>
        <v/>
      </c>
      <c r="AB336" s="9">
        <f>C336-AA336</f>
        <v/>
      </c>
      <c r="AC336" s="4">
        <f>AB336^2</f>
        <v/>
      </c>
    </row>
    <row r="337">
      <c r="A337" t="inlineStr">
        <is>
          <t>BBG00QG40R88</t>
        </is>
      </c>
      <c r="B337" t="inlineStr">
        <is>
          <t>fdmt</t>
        </is>
      </c>
      <c r="C337" s="9" t="n">
        <v>-0.03188775448141767</v>
      </c>
      <c r="D337" s="3">
        <f>EXP(0.25*'3b-d Exposures'!G405)</f>
        <v/>
      </c>
      <c r="E337" s="3">
        <f>IF('3b-d Exposures'!C405="",0,'3b-d Exposures'!C405)</f>
        <v/>
      </c>
      <c r="F337" s="3">
        <f>IF('3b-d Exposures'!E405="",0,'3b-d Exposures'!E405)</f>
        <v/>
      </c>
      <c r="G337" s="3">
        <f>IF('3b-d Exposures'!G405="",0,'3b-d Exposures'!G405)</f>
        <v/>
      </c>
      <c r="H337" s="3">
        <f>IF('3b-d Exposures'!I405="",0,'3b-d Exposures'!I405)</f>
        <v/>
      </c>
      <c r="I337" s="3">
        <f>IF('3b-d Exposures'!K405="",0,'3b-d Exposures'!K405)</f>
        <v/>
      </c>
      <c r="J337" s="3">
        <f>IF('3b-d Exposures'!M405="",0,'3b-d Exposures'!M405)</f>
        <v/>
      </c>
      <c r="K337" s="3">
        <f>IF('3b-d Exposures'!O405="",0,'3b-d Exposures'!O405)</f>
        <v/>
      </c>
      <c r="L337" s="3">
        <f>IF('3b-d Exposures'!Q405="",0,'3b-d Exposures'!Q405)</f>
        <v/>
      </c>
      <c r="M337" s="3">
        <f>IF('3b-d Exposures'!S405="",0,'3b-d Exposures'!S405)</f>
        <v/>
      </c>
      <c r="N337" s="3">
        <f>IF('3b-d Exposures'!Z405="",0,'3b-d Exposures'!Z405)</f>
        <v/>
      </c>
      <c r="O337" s="3">
        <f>$D337</f>
        <v/>
      </c>
      <c r="P337" s="3">
        <f>E337*$D337</f>
        <v/>
      </c>
      <c r="Q337" s="3">
        <f>F337*$D337</f>
        <v/>
      </c>
      <c r="R337" s="3">
        <f>G337*$D337</f>
        <v/>
      </c>
      <c r="S337" s="3">
        <f>H337*$D337</f>
        <v/>
      </c>
      <c r="T337" s="3">
        <f>I337*$D337</f>
        <v/>
      </c>
      <c r="U337" s="3">
        <f>J337*$D337</f>
        <v/>
      </c>
      <c r="V337" s="3">
        <f>K337*$D337</f>
        <v/>
      </c>
      <c r="W337" s="3">
        <f>L337*$D337</f>
        <v/>
      </c>
      <c r="X337" s="3">
        <f>M337*$D337</f>
        <v/>
      </c>
      <c r="Y337" s="3">
        <f>N337*$D337</f>
        <v/>
      </c>
      <c r="Z337" s="3">
        <f>C337*$D337</f>
        <v/>
      </c>
      <c r="AA337" s="9">
        <f>$L978+$K978*E337+$J978*F337+$I978*G337+$H978*H337+$G978*I337+$F978*J337+$E978*K337+$D978*L337+$C978*M337+$B978*N337</f>
        <v/>
      </c>
      <c r="AB337" s="9">
        <f>C337-AA337</f>
        <v/>
      </c>
      <c r="AC337" s="4">
        <f>AB337^2</f>
        <v/>
      </c>
    </row>
    <row r="338">
      <c r="A338" t="inlineStr">
        <is>
          <t>fds</t>
        </is>
      </c>
      <c r="B338" t="inlineStr">
        <is>
          <t>fds</t>
        </is>
      </c>
      <c r="C338" s="9" t="n">
        <v>-0.002445676903983895</v>
      </c>
      <c r="D338" s="3">
        <f>EXP(0.25*'3b-d Exposures'!G406)</f>
        <v/>
      </c>
      <c r="E338" s="3">
        <f>IF('3b-d Exposures'!C406="",0,'3b-d Exposures'!C406)</f>
        <v/>
      </c>
      <c r="F338" s="3">
        <f>IF('3b-d Exposures'!E406="",0,'3b-d Exposures'!E406)</f>
        <v/>
      </c>
      <c r="G338" s="3">
        <f>IF('3b-d Exposures'!G406="",0,'3b-d Exposures'!G406)</f>
        <v/>
      </c>
      <c r="H338" s="3">
        <f>IF('3b-d Exposures'!I406="",0,'3b-d Exposures'!I406)</f>
        <v/>
      </c>
      <c r="I338" s="3">
        <f>IF('3b-d Exposures'!K406="",0,'3b-d Exposures'!K406)</f>
        <v/>
      </c>
      <c r="J338" s="3">
        <f>IF('3b-d Exposures'!M406="",0,'3b-d Exposures'!M406)</f>
        <v/>
      </c>
      <c r="K338" s="3">
        <f>IF('3b-d Exposures'!O406="",0,'3b-d Exposures'!O406)</f>
        <v/>
      </c>
      <c r="L338" s="3">
        <f>IF('3b-d Exposures'!Q406="",0,'3b-d Exposures'!Q406)</f>
        <v/>
      </c>
      <c r="M338" s="3">
        <f>IF('3b-d Exposures'!S406="",0,'3b-d Exposures'!S406)</f>
        <v/>
      </c>
      <c r="N338" s="3">
        <f>IF('3b-d Exposures'!Z406="",0,'3b-d Exposures'!Z406)</f>
        <v/>
      </c>
      <c r="O338" s="3">
        <f>$D338</f>
        <v/>
      </c>
      <c r="P338" s="3">
        <f>E338*$D338</f>
        <v/>
      </c>
      <c r="Q338" s="3">
        <f>F338*$D338</f>
        <v/>
      </c>
      <c r="R338" s="3">
        <f>G338*$D338</f>
        <v/>
      </c>
      <c r="S338" s="3">
        <f>H338*$D338</f>
        <v/>
      </c>
      <c r="T338" s="3">
        <f>I338*$D338</f>
        <v/>
      </c>
      <c r="U338" s="3">
        <f>J338*$D338</f>
        <v/>
      </c>
      <c r="V338" s="3">
        <f>K338*$D338</f>
        <v/>
      </c>
      <c r="W338" s="3">
        <f>L338*$D338</f>
        <v/>
      </c>
      <c r="X338" s="3">
        <f>M338*$D338</f>
        <v/>
      </c>
      <c r="Y338" s="3">
        <f>N338*$D338</f>
        <v/>
      </c>
      <c r="Z338" s="3">
        <f>C338*$D338</f>
        <v/>
      </c>
      <c r="AA338" s="9">
        <f>$L978+$K978*E338+$J978*F338+$I978*G338+$H978*H338+$G978*I338+$F978*J338+$E978*K338+$D978*L338+$C978*M338+$B978*N338</f>
        <v/>
      </c>
      <c r="AB338" s="9">
        <f>C338-AA338</f>
        <v/>
      </c>
      <c r="AC338" s="4">
        <f>AB338^2</f>
        <v/>
      </c>
    </row>
    <row r="339">
      <c r="A339" t="inlineStr">
        <is>
          <t>BBG000BJF1Z8</t>
        </is>
      </c>
      <c r="B339" t="inlineStr">
        <is>
          <t>fdx</t>
        </is>
      </c>
      <c r="C339" s="9" t="n">
        <v>-0.01975760130064763</v>
      </c>
      <c r="D339" s="3">
        <f>EXP(0.25*'3b-d Exposures'!G407)</f>
        <v/>
      </c>
      <c r="E339" s="3">
        <f>IF('3b-d Exposures'!C407="",0,'3b-d Exposures'!C407)</f>
        <v/>
      </c>
      <c r="F339" s="3">
        <f>IF('3b-d Exposures'!E407="",0,'3b-d Exposures'!E407)</f>
        <v/>
      </c>
      <c r="G339" s="3">
        <f>IF('3b-d Exposures'!G407="",0,'3b-d Exposures'!G407)</f>
        <v/>
      </c>
      <c r="H339" s="3">
        <f>IF('3b-d Exposures'!I407="",0,'3b-d Exposures'!I407)</f>
        <v/>
      </c>
      <c r="I339" s="3">
        <f>IF('3b-d Exposures'!K407="",0,'3b-d Exposures'!K407)</f>
        <v/>
      </c>
      <c r="J339" s="3">
        <f>IF('3b-d Exposures'!M407="",0,'3b-d Exposures'!M407)</f>
        <v/>
      </c>
      <c r="K339" s="3">
        <f>IF('3b-d Exposures'!O407="",0,'3b-d Exposures'!O407)</f>
        <v/>
      </c>
      <c r="L339" s="3">
        <f>IF('3b-d Exposures'!Q407="",0,'3b-d Exposures'!Q407)</f>
        <v/>
      </c>
      <c r="M339" s="3">
        <f>IF('3b-d Exposures'!S407="",0,'3b-d Exposures'!S407)</f>
        <v/>
      </c>
      <c r="N339" s="3">
        <f>IF('3b-d Exposures'!Z407="",0,'3b-d Exposures'!Z407)</f>
        <v/>
      </c>
      <c r="O339" s="3">
        <f>$D339</f>
        <v/>
      </c>
      <c r="P339" s="3">
        <f>E339*$D339</f>
        <v/>
      </c>
      <c r="Q339" s="3">
        <f>F339*$D339</f>
        <v/>
      </c>
      <c r="R339" s="3">
        <f>G339*$D339</f>
        <v/>
      </c>
      <c r="S339" s="3">
        <f>H339*$D339</f>
        <v/>
      </c>
      <c r="T339" s="3">
        <f>I339*$D339</f>
        <v/>
      </c>
      <c r="U339" s="3">
        <f>J339*$D339</f>
        <v/>
      </c>
      <c r="V339" s="3">
        <f>K339*$D339</f>
        <v/>
      </c>
      <c r="W339" s="3">
        <f>L339*$D339</f>
        <v/>
      </c>
      <c r="X339" s="3">
        <f>M339*$D339</f>
        <v/>
      </c>
      <c r="Y339" s="3">
        <f>N339*$D339</f>
        <v/>
      </c>
      <c r="Z339" s="3">
        <f>C339*$D339</f>
        <v/>
      </c>
      <c r="AA339" s="9">
        <f>$L978+$K978*E339+$J978*F339+$I978*G339+$H978*H339+$G978*I339+$F978*J339+$E978*K339+$D978*L339+$C978*M339+$B978*N339</f>
        <v/>
      </c>
      <c r="AB339" s="9">
        <f>C339-AA339</f>
        <v/>
      </c>
      <c r="AC339" s="4">
        <f>AB339^2</f>
        <v/>
      </c>
    </row>
    <row r="340">
      <c r="A340" t="inlineStr">
        <is>
          <t>BBG000BB6M98</t>
        </is>
      </c>
      <c r="B340" t="inlineStr">
        <is>
          <t>fe</t>
        </is>
      </c>
      <c r="C340" s="9" t="n">
        <v>-0.02256158955237531</v>
      </c>
      <c r="D340" s="3">
        <f>EXP(0.25*'3b-d Exposures'!G408)</f>
        <v/>
      </c>
      <c r="E340" s="3">
        <f>IF('3b-d Exposures'!C408="",0,'3b-d Exposures'!C408)</f>
        <v/>
      </c>
      <c r="F340" s="3">
        <f>IF('3b-d Exposures'!E408="",0,'3b-d Exposures'!E408)</f>
        <v/>
      </c>
      <c r="G340" s="3">
        <f>IF('3b-d Exposures'!G408="",0,'3b-d Exposures'!G408)</f>
        <v/>
      </c>
      <c r="H340" s="3">
        <f>IF('3b-d Exposures'!I408="",0,'3b-d Exposures'!I408)</f>
        <v/>
      </c>
      <c r="I340" s="3">
        <f>IF('3b-d Exposures'!K408="",0,'3b-d Exposures'!K408)</f>
        <v/>
      </c>
      <c r="J340" s="3">
        <f>IF('3b-d Exposures'!M408="",0,'3b-d Exposures'!M408)</f>
        <v/>
      </c>
      <c r="K340" s="3">
        <f>IF('3b-d Exposures'!O408="",0,'3b-d Exposures'!O408)</f>
        <v/>
      </c>
      <c r="L340" s="3">
        <f>IF('3b-d Exposures'!Q408="",0,'3b-d Exposures'!Q408)</f>
        <v/>
      </c>
      <c r="M340" s="3">
        <f>IF('3b-d Exposures'!S408="",0,'3b-d Exposures'!S408)</f>
        <v/>
      </c>
      <c r="N340" s="3">
        <f>IF('3b-d Exposures'!Z408="",0,'3b-d Exposures'!Z408)</f>
        <v/>
      </c>
      <c r="O340" s="3">
        <f>$D340</f>
        <v/>
      </c>
      <c r="P340" s="3">
        <f>E340*$D340</f>
        <v/>
      </c>
      <c r="Q340" s="3">
        <f>F340*$D340</f>
        <v/>
      </c>
      <c r="R340" s="3">
        <f>G340*$D340</f>
        <v/>
      </c>
      <c r="S340" s="3">
        <f>H340*$D340</f>
        <v/>
      </c>
      <c r="T340" s="3">
        <f>I340*$D340</f>
        <v/>
      </c>
      <c r="U340" s="3">
        <f>J340*$D340</f>
        <v/>
      </c>
      <c r="V340" s="3">
        <f>K340*$D340</f>
        <v/>
      </c>
      <c r="W340" s="3">
        <f>L340*$D340</f>
        <v/>
      </c>
      <c r="X340" s="3">
        <f>M340*$D340</f>
        <v/>
      </c>
      <c r="Y340" s="3">
        <f>N340*$D340</f>
        <v/>
      </c>
      <c r="Z340" s="3">
        <f>C340*$D340</f>
        <v/>
      </c>
      <c r="AA340" s="9">
        <f>$L978+$K978*E340+$J978*F340+$I978*G340+$H978*H340+$G978*I340+$F978*J340+$E978*K340+$D978*L340+$C978*M340+$B978*N340</f>
        <v/>
      </c>
      <c r="AB340" s="9">
        <f>C340-AA340</f>
        <v/>
      </c>
      <c r="AC340" s="4">
        <f>AB340^2</f>
        <v/>
      </c>
    </row>
    <row r="341">
      <c r="A341" t="inlineStr">
        <is>
          <t>BBG01BGVGG87</t>
        </is>
      </c>
      <c r="B341" t="inlineStr">
        <is>
          <t>fg</t>
        </is>
      </c>
      <c r="C341" s="9" t="n">
        <v>0.008897119873478188</v>
      </c>
      <c r="D341" s="3">
        <f>EXP(0.25*'3b-d Exposures'!G410)</f>
        <v/>
      </c>
      <c r="E341" s="3">
        <f>IF('3b-d Exposures'!C410="",0,'3b-d Exposures'!C410)</f>
        <v/>
      </c>
      <c r="F341" s="3">
        <f>IF('3b-d Exposures'!E410="",0,'3b-d Exposures'!E410)</f>
        <v/>
      </c>
      <c r="G341" s="3">
        <f>IF('3b-d Exposures'!G410="",0,'3b-d Exposures'!G410)</f>
        <v/>
      </c>
      <c r="H341" s="3">
        <f>IF('3b-d Exposures'!I410="",0,'3b-d Exposures'!I410)</f>
        <v/>
      </c>
      <c r="I341" s="3">
        <f>IF('3b-d Exposures'!K410="",0,'3b-d Exposures'!K410)</f>
        <v/>
      </c>
      <c r="J341" s="3">
        <f>IF('3b-d Exposures'!M410="",0,'3b-d Exposures'!M410)</f>
        <v/>
      </c>
      <c r="K341" s="3">
        <f>IF('3b-d Exposures'!O410="",0,'3b-d Exposures'!O410)</f>
        <v/>
      </c>
      <c r="L341" s="3">
        <f>IF('3b-d Exposures'!Q410="",0,'3b-d Exposures'!Q410)</f>
        <v/>
      </c>
      <c r="M341" s="3">
        <f>IF('3b-d Exposures'!S410="",0,'3b-d Exposures'!S410)</f>
        <v/>
      </c>
      <c r="N341" s="3">
        <f>IF('3b-d Exposures'!Z410="",0,'3b-d Exposures'!Z410)</f>
        <v/>
      </c>
      <c r="O341" s="3">
        <f>$D341</f>
        <v/>
      </c>
      <c r="P341" s="3">
        <f>E341*$D341</f>
        <v/>
      </c>
      <c r="Q341" s="3">
        <f>F341*$D341</f>
        <v/>
      </c>
      <c r="R341" s="3">
        <f>G341*$D341</f>
        <v/>
      </c>
      <c r="S341" s="3">
        <f>H341*$D341</f>
        <v/>
      </c>
      <c r="T341" s="3">
        <f>I341*$D341</f>
        <v/>
      </c>
      <c r="U341" s="3">
        <f>J341*$D341</f>
        <v/>
      </c>
      <c r="V341" s="3">
        <f>K341*$D341</f>
        <v/>
      </c>
      <c r="W341" s="3">
        <f>L341*$D341</f>
        <v/>
      </c>
      <c r="X341" s="3">
        <f>M341*$D341</f>
        <v/>
      </c>
      <c r="Y341" s="3">
        <f>N341*$D341</f>
        <v/>
      </c>
      <c r="Z341" s="3">
        <f>C341*$D341</f>
        <v/>
      </c>
      <c r="AA341" s="9">
        <f>$L978+$K978*E341+$J978*F341+$I978*G341+$H978*H341+$G978*I341+$F978*J341+$E978*K341+$D978*L341+$C978*M341+$B978*N341</f>
        <v/>
      </c>
      <c r="AB341" s="9">
        <f>C341-AA341</f>
        <v/>
      </c>
      <c r="AC341" s="4">
        <f>AB341^2</f>
        <v/>
      </c>
    </row>
    <row r="342">
      <c r="A342" t="inlineStr">
        <is>
          <t>BBG0046LJYT2</t>
        </is>
      </c>
      <c r="B342" t="inlineStr">
        <is>
          <t>fhb</t>
        </is>
      </c>
      <c r="C342" s="9" t="n">
        <v>-0.007605934555212857</v>
      </c>
      <c r="D342" s="3">
        <f>EXP(0.25*'3b-d Exposures'!G411)</f>
        <v/>
      </c>
      <c r="E342" s="3">
        <f>IF('3b-d Exposures'!C411="",0,'3b-d Exposures'!C411)</f>
        <v/>
      </c>
      <c r="F342" s="3">
        <f>IF('3b-d Exposures'!E411="",0,'3b-d Exposures'!E411)</f>
        <v/>
      </c>
      <c r="G342" s="3">
        <f>IF('3b-d Exposures'!G411="",0,'3b-d Exposures'!G411)</f>
        <v/>
      </c>
      <c r="H342" s="3">
        <f>IF('3b-d Exposures'!I411="",0,'3b-d Exposures'!I411)</f>
        <v/>
      </c>
      <c r="I342" s="3">
        <f>IF('3b-d Exposures'!K411="",0,'3b-d Exposures'!K411)</f>
        <v/>
      </c>
      <c r="J342" s="3">
        <f>IF('3b-d Exposures'!M411="",0,'3b-d Exposures'!M411)</f>
        <v/>
      </c>
      <c r="K342" s="3">
        <f>IF('3b-d Exposures'!O411="",0,'3b-d Exposures'!O411)</f>
        <v/>
      </c>
      <c r="L342" s="3">
        <f>IF('3b-d Exposures'!Q411="",0,'3b-d Exposures'!Q411)</f>
        <v/>
      </c>
      <c r="M342" s="3">
        <f>IF('3b-d Exposures'!S411="",0,'3b-d Exposures'!S411)</f>
        <v/>
      </c>
      <c r="N342" s="3">
        <f>IF('3b-d Exposures'!Z411="",0,'3b-d Exposures'!Z411)</f>
        <v/>
      </c>
      <c r="O342" s="3">
        <f>$D342</f>
        <v/>
      </c>
      <c r="P342" s="3">
        <f>E342*$D342</f>
        <v/>
      </c>
      <c r="Q342" s="3">
        <f>F342*$D342</f>
        <v/>
      </c>
      <c r="R342" s="3">
        <f>G342*$D342</f>
        <v/>
      </c>
      <c r="S342" s="3">
        <f>H342*$D342</f>
        <v/>
      </c>
      <c r="T342" s="3">
        <f>I342*$D342</f>
        <v/>
      </c>
      <c r="U342" s="3">
        <f>J342*$D342</f>
        <v/>
      </c>
      <c r="V342" s="3">
        <f>K342*$D342</f>
        <v/>
      </c>
      <c r="W342" s="3">
        <f>L342*$D342</f>
        <v/>
      </c>
      <c r="X342" s="3">
        <f>M342*$D342</f>
        <v/>
      </c>
      <c r="Y342" s="3">
        <f>N342*$D342</f>
        <v/>
      </c>
      <c r="Z342" s="3">
        <f>C342*$D342</f>
        <v/>
      </c>
      <c r="AA342" s="9">
        <f>$L978+$K978*E342+$J978*F342+$I978*G342+$H978*H342+$G978*I342+$F978*J342+$E978*K342+$D978*L342+$C978*M342+$B978*N342</f>
        <v/>
      </c>
      <c r="AB342" s="9">
        <f>C342-AA342</f>
        <v/>
      </c>
      <c r="AC342" s="4">
        <f>AB342^2</f>
        <v/>
      </c>
    </row>
    <row r="343">
      <c r="A343" t="inlineStr">
        <is>
          <t>BBG000GHZSZ6</t>
        </is>
      </c>
      <c r="B343" t="inlineStr">
        <is>
          <t>fhn</t>
        </is>
      </c>
      <c r="C343" s="9" t="n">
        <v>-0.01893034771783908</v>
      </c>
      <c r="D343" s="3">
        <f>EXP(0.25*'3b-d Exposures'!G412)</f>
        <v/>
      </c>
      <c r="E343" s="3">
        <f>IF('3b-d Exposures'!C412="",0,'3b-d Exposures'!C412)</f>
        <v/>
      </c>
      <c r="F343" s="3">
        <f>IF('3b-d Exposures'!E412="",0,'3b-d Exposures'!E412)</f>
        <v/>
      </c>
      <c r="G343" s="3">
        <f>IF('3b-d Exposures'!G412="",0,'3b-d Exposures'!G412)</f>
        <v/>
      </c>
      <c r="H343" s="3">
        <f>IF('3b-d Exposures'!I412="",0,'3b-d Exposures'!I412)</f>
        <v/>
      </c>
      <c r="I343" s="3">
        <f>IF('3b-d Exposures'!K412="",0,'3b-d Exposures'!K412)</f>
        <v/>
      </c>
      <c r="J343" s="3">
        <f>IF('3b-d Exposures'!M412="",0,'3b-d Exposures'!M412)</f>
        <v/>
      </c>
      <c r="K343" s="3">
        <f>IF('3b-d Exposures'!O412="",0,'3b-d Exposures'!O412)</f>
        <v/>
      </c>
      <c r="L343" s="3">
        <f>IF('3b-d Exposures'!Q412="",0,'3b-d Exposures'!Q412)</f>
        <v/>
      </c>
      <c r="M343" s="3">
        <f>IF('3b-d Exposures'!S412="",0,'3b-d Exposures'!S412)</f>
        <v/>
      </c>
      <c r="N343" s="3">
        <f>IF('3b-d Exposures'!Z412="",0,'3b-d Exposures'!Z412)</f>
        <v/>
      </c>
      <c r="O343" s="3">
        <f>$D343</f>
        <v/>
      </c>
      <c r="P343" s="3">
        <f>E343*$D343</f>
        <v/>
      </c>
      <c r="Q343" s="3">
        <f>F343*$D343</f>
        <v/>
      </c>
      <c r="R343" s="3">
        <f>G343*$D343</f>
        <v/>
      </c>
      <c r="S343" s="3">
        <f>H343*$D343</f>
        <v/>
      </c>
      <c r="T343" s="3">
        <f>I343*$D343</f>
        <v/>
      </c>
      <c r="U343" s="3">
        <f>J343*$D343</f>
        <v/>
      </c>
      <c r="V343" s="3">
        <f>K343*$D343</f>
        <v/>
      </c>
      <c r="W343" s="3">
        <f>L343*$D343</f>
        <v/>
      </c>
      <c r="X343" s="3">
        <f>M343*$D343</f>
        <v/>
      </c>
      <c r="Y343" s="3">
        <f>N343*$D343</f>
        <v/>
      </c>
      <c r="Z343" s="3">
        <f>C343*$D343</f>
        <v/>
      </c>
      <c r="AA343" s="9">
        <f>$L978+$K978*E343+$J978*F343+$I978*G343+$H978*H343+$G978*I343+$F978*J343+$E978*K343+$D978*L343+$C978*M343+$B978*N343</f>
        <v/>
      </c>
      <c r="AB343" s="9">
        <f>C343-AA343</f>
        <v/>
      </c>
      <c r="AC343" s="4">
        <f>AB343^2</f>
        <v/>
      </c>
    </row>
    <row r="344">
      <c r="A344" t="inlineStr">
        <is>
          <t>BBG000DW76Y6</t>
        </is>
      </c>
      <c r="B344" t="inlineStr">
        <is>
          <t>fico</t>
        </is>
      </c>
      <c r="C344" s="9" t="n">
        <v>-0.01807131756043789</v>
      </c>
      <c r="D344" s="3">
        <f>EXP(0.25*'3b-d Exposures'!G413)</f>
        <v/>
      </c>
      <c r="E344" s="3">
        <f>IF('3b-d Exposures'!C413="",0,'3b-d Exposures'!C413)</f>
        <v/>
      </c>
      <c r="F344" s="3">
        <f>IF('3b-d Exposures'!E413="",0,'3b-d Exposures'!E413)</f>
        <v/>
      </c>
      <c r="G344" s="3">
        <f>IF('3b-d Exposures'!G413="",0,'3b-d Exposures'!G413)</f>
        <v/>
      </c>
      <c r="H344" s="3">
        <f>IF('3b-d Exposures'!I413="",0,'3b-d Exposures'!I413)</f>
        <v/>
      </c>
      <c r="I344" s="3">
        <f>IF('3b-d Exposures'!K413="",0,'3b-d Exposures'!K413)</f>
        <v/>
      </c>
      <c r="J344" s="3">
        <f>IF('3b-d Exposures'!M413="",0,'3b-d Exposures'!M413)</f>
        <v/>
      </c>
      <c r="K344" s="3">
        <f>IF('3b-d Exposures'!O413="",0,'3b-d Exposures'!O413)</f>
        <v/>
      </c>
      <c r="L344" s="3">
        <f>IF('3b-d Exposures'!Q413="",0,'3b-d Exposures'!Q413)</f>
        <v/>
      </c>
      <c r="M344" s="3">
        <f>IF('3b-d Exposures'!S413="",0,'3b-d Exposures'!S413)</f>
        <v/>
      </c>
      <c r="N344" s="3">
        <f>IF('3b-d Exposures'!Z413="",0,'3b-d Exposures'!Z413)</f>
        <v/>
      </c>
      <c r="O344" s="3">
        <f>$D344</f>
        <v/>
      </c>
      <c r="P344" s="3">
        <f>E344*$D344</f>
        <v/>
      </c>
      <c r="Q344" s="3">
        <f>F344*$D344</f>
        <v/>
      </c>
      <c r="R344" s="3">
        <f>G344*$D344</f>
        <v/>
      </c>
      <c r="S344" s="3">
        <f>H344*$D344</f>
        <v/>
      </c>
      <c r="T344" s="3">
        <f>I344*$D344</f>
        <v/>
      </c>
      <c r="U344" s="3">
        <f>J344*$D344</f>
        <v/>
      </c>
      <c r="V344" s="3">
        <f>K344*$D344</f>
        <v/>
      </c>
      <c r="W344" s="3">
        <f>L344*$D344</f>
        <v/>
      </c>
      <c r="X344" s="3">
        <f>M344*$D344</f>
        <v/>
      </c>
      <c r="Y344" s="3">
        <f>N344*$D344</f>
        <v/>
      </c>
      <c r="Z344" s="3">
        <f>C344*$D344</f>
        <v/>
      </c>
      <c r="AA344" s="9">
        <f>$L978+$K978*E344+$J978*F344+$I978*G344+$H978*H344+$G978*I344+$F978*J344+$E978*K344+$D978*L344+$C978*M344+$B978*N344</f>
        <v/>
      </c>
      <c r="AB344" s="9">
        <f>C344-AA344</f>
        <v/>
      </c>
      <c r="AC344" s="4">
        <f>AB344^2</f>
        <v/>
      </c>
    </row>
    <row r="345">
      <c r="A345" t="inlineStr">
        <is>
          <t>fis</t>
        </is>
      </c>
      <c r="B345" t="inlineStr">
        <is>
          <t>fis</t>
        </is>
      </c>
      <c r="C345" s="9" t="n">
        <v>-0.001992927716426451</v>
      </c>
      <c r="D345" s="3">
        <f>EXP(0.25*'3b-d Exposures'!G417)</f>
        <v/>
      </c>
      <c r="E345" s="3">
        <f>IF('3b-d Exposures'!C417="",0,'3b-d Exposures'!C417)</f>
        <v/>
      </c>
      <c r="F345" s="3">
        <f>IF('3b-d Exposures'!E417="",0,'3b-d Exposures'!E417)</f>
        <v/>
      </c>
      <c r="G345" s="3">
        <f>IF('3b-d Exposures'!G417="",0,'3b-d Exposures'!G417)</f>
        <v/>
      </c>
      <c r="H345" s="3">
        <f>IF('3b-d Exposures'!I417="",0,'3b-d Exposures'!I417)</f>
        <v/>
      </c>
      <c r="I345" s="3">
        <f>IF('3b-d Exposures'!K417="",0,'3b-d Exposures'!K417)</f>
        <v/>
      </c>
      <c r="J345" s="3">
        <f>IF('3b-d Exposures'!M417="",0,'3b-d Exposures'!M417)</f>
        <v/>
      </c>
      <c r="K345" s="3">
        <f>IF('3b-d Exposures'!O417="",0,'3b-d Exposures'!O417)</f>
        <v/>
      </c>
      <c r="L345" s="3">
        <f>IF('3b-d Exposures'!Q417="",0,'3b-d Exposures'!Q417)</f>
        <v/>
      </c>
      <c r="M345" s="3">
        <f>IF('3b-d Exposures'!S417="",0,'3b-d Exposures'!S417)</f>
        <v/>
      </c>
      <c r="N345" s="3">
        <f>IF('3b-d Exposures'!Z417="",0,'3b-d Exposures'!Z417)</f>
        <v/>
      </c>
      <c r="O345" s="3">
        <f>$D345</f>
        <v/>
      </c>
      <c r="P345" s="3">
        <f>E345*$D345</f>
        <v/>
      </c>
      <c r="Q345" s="3">
        <f>F345*$D345</f>
        <v/>
      </c>
      <c r="R345" s="3">
        <f>G345*$D345</f>
        <v/>
      </c>
      <c r="S345" s="3">
        <f>H345*$D345</f>
        <v/>
      </c>
      <c r="T345" s="3">
        <f>I345*$D345</f>
        <v/>
      </c>
      <c r="U345" s="3">
        <f>J345*$D345</f>
        <v/>
      </c>
      <c r="V345" s="3">
        <f>K345*$D345</f>
        <v/>
      </c>
      <c r="W345" s="3">
        <f>L345*$D345</f>
        <v/>
      </c>
      <c r="X345" s="3">
        <f>M345*$D345</f>
        <v/>
      </c>
      <c r="Y345" s="3">
        <f>N345*$D345</f>
        <v/>
      </c>
      <c r="Z345" s="3">
        <f>C345*$D345</f>
        <v/>
      </c>
      <c r="AA345" s="9">
        <f>$L978+$K978*E345+$J978*F345+$I978*G345+$H978*H345+$G978*I345+$F978*J345+$E978*K345+$D978*L345+$C978*M345+$B978*N345</f>
        <v/>
      </c>
      <c r="AB345" s="9">
        <f>C345-AA345</f>
        <v/>
      </c>
      <c r="AC345" s="4">
        <f>AB345^2</f>
        <v/>
      </c>
    </row>
    <row r="346">
      <c r="A346" t="inlineStr">
        <is>
          <t>fisv</t>
        </is>
      </c>
      <c r="B346" t="inlineStr">
        <is>
          <t>fisv</t>
        </is>
      </c>
      <c r="C346" s="9" t="n">
        <v>-0.01108803463336194</v>
      </c>
      <c r="D346" s="3">
        <f>EXP(0.25*'3b-d Exposures'!G418)</f>
        <v/>
      </c>
      <c r="E346" s="3">
        <f>IF('3b-d Exposures'!C418="",0,'3b-d Exposures'!C418)</f>
        <v/>
      </c>
      <c r="F346" s="3">
        <f>IF('3b-d Exposures'!E418="",0,'3b-d Exposures'!E418)</f>
        <v/>
      </c>
      <c r="G346" s="3">
        <f>IF('3b-d Exposures'!G418="",0,'3b-d Exposures'!G418)</f>
        <v/>
      </c>
      <c r="H346" s="3">
        <f>IF('3b-d Exposures'!I418="",0,'3b-d Exposures'!I418)</f>
        <v/>
      </c>
      <c r="I346" s="3">
        <f>IF('3b-d Exposures'!K418="",0,'3b-d Exposures'!K418)</f>
        <v/>
      </c>
      <c r="J346" s="3">
        <f>IF('3b-d Exposures'!M418="",0,'3b-d Exposures'!M418)</f>
        <v/>
      </c>
      <c r="K346" s="3">
        <f>IF('3b-d Exposures'!O418="",0,'3b-d Exposures'!O418)</f>
        <v/>
      </c>
      <c r="L346" s="3">
        <f>IF('3b-d Exposures'!Q418="",0,'3b-d Exposures'!Q418)</f>
        <v/>
      </c>
      <c r="M346" s="3">
        <f>IF('3b-d Exposures'!S418="",0,'3b-d Exposures'!S418)</f>
        <v/>
      </c>
      <c r="N346" s="3">
        <f>IF('3b-d Exposures'!Z418="",0,'3b-d Exposures'!Z418)</f>
        <v/>
      </c>
      <c r="O346" s="3">
        <f>$D346</f>
        <v/>
      </c>
      <c r="P346" s="3">
        <f>E346*$D346</f>
        <v/>
      </c>
      <c r="Q346" s="3">
        <f>F346*$D346</f>
        <v/>
      </c>
      <c r="R346" s="3">
        <f>G346*$D346</f>
        <v/>
      </c>
      <c r="S346" s="3">
        <f>H346*$D346</f>
        <v/>
      </c>
      <c r="T346" s="3">
        <f>I346*$D346</f>
        <v/>
      </c>
      <c r="U346" s="3">
        <f>J346*$D346</f>
        <v/>
      </c>
      <c r="V346" s="3">
        <f>K346*$D346</f>
        <v/>
      </c>
      <c r="W346" s="3">
        <f>L346*$D346</f>
        <v/>
      </c>
      <c r="X346" s="3">
        <f>M346*$D346</f>
        <v/>
      </c>
      <c r="Y346" s="3">
        <f>N346*$D346</f>
        <v/>
      </c>
      <c r="Z346" s="3">
        <f>C346*$D346</f>
        <v/>
      </c>
      <c r="AA346" s="9">
        <f>$L978+$K978*E346+$J978*F346+$I978*G346+$H978*H346+$G978*I346+$F978*J346+$E978*K346+$D978*L346+$C978*M346+$B978*N346</f>
        <v/>
      </c>
      <c r="AB346" s="9">
        <f>C346-AA346</f>
        <v/>
      </c>
      <c r="AC346" s="4">
        <f>AB346^2</f>
        <v/>
      </c>
    </row>
    <row r="347">
      <c r="A347" t="inlineStr">
        <is>
          <t>BBG000BJL3N0</t>
        </is>
      </c>
      <c r="B347" t="inlineStr">
        <is>
          <t>fitb</t>
        </is>
      </c>
      <c r="C347" s="9" t="n">
        <v>-0.01019575911085091</v>
      </c>
      <c r="D347" s="3">
        <f>EXP(0.25*'3b-d Exposures'!G419)</f>
        <v/>
      </c>
      <c r="E347" s="3">
        <f>IF('3b-d Exposures'!C419="",0,'3b-d Exposures'!C419)</f>
        <v/>
      </c>
      <c r="F347" s="3">
        <f>IF('3b-d Exposures'!E419="",0,'3b-d Exposures'!E419)</f>
        <v/>
      </c>
      <c r="G347" s="3">
        <f>IF('3b-d Exposures'!G419="",0,'3b-d Exposures'!G419)</f>
        <v/>
      </c>
      <c r="H347" s="3">
        <f>IF('3b-d Exposures'!I419="",0,'3b-d Exposures'!I419)</f>
        <v/>
      </c>
      <c r="I347" s="3">
        <f>IF('3b-d Exposures'!K419="",0,'3b-d Exposures'!K419)</f>
        <v/>
      </c>
      <c r="J347" s="3">
        <f>IF('3b-d Exposures'!M419="",0,'3b-d Exposures'!M419)</f>
        <v/>
      </c>
      <c r="K347" s="3">
        <f>IF('3b-d Exposures'!O419="",0,'3b-d Exposures'!O419)</f>
        <v/>
      </c>
      <c r="L347" s="3">
        <f>IF('3b-d Exposures'!Q419="",0,'3b-d Exposures'!Q419)</f>
        <v/>
      </c>
      <c r="M347" s="3">
        <f>IF('3b-d Exposures'!S419="",0,'3b-d Exposures'!S419)</f>
        <v/>
      </c>
      <c r="N347" s="3">
        <f>IF('3b-d Exposures'!Z419="",0,'3b-d Exposures'!Z419)</f>
        <v/>
      </c>
      <c r="O347" s="3">
        <f>$D347</f>
        <v/>
      </c>
      <c r="P347" s="3">
        <f>E347*$D347</f>
        <v/>
      </c>
      <c r="Q347" s="3">
        <f>F347*$D347</f>
        <v/>
      </c>
      <c r="R347" s="3">
        <f>G347*$D347</f>
        <v/>
      </c>
      <c r="S347" s="3">
        <f>H347*$D347</f>
        <v/>
      </c>
      <c r="T347" s="3">
        <f>I347*$D347</f>
        <v/>
      </c>
      <c r="U347" s="3">
        <f>J347*$D347</f>
        <v/>
      </c>
      <c r="V347" s="3">
        <f>K347*$D347</f>
        <v/>
      </c>
      <c r="W347" s="3">
        <f>L347*$D347</f>
        <v/>
      </c>
      <c r="X347" s="3">
        <f>M347*$D347</f>
        <v/>
      </c>
      <c r="Y347" s="3">
        <f>N347*$D347</f>
        <v/>
      </c>
      <c r="Z347" s="3">
        <f>C347*$D347</f>
        <v/>
      </c>
      <c r="AA347" s="9">
        <f>$L978+$K978*E347+$J978*F347+$I978*G347+$H978*H347+$G978*I347+$F978*J347+$E978*K347+$D978*L347+$C978*M347+$B978*N347</f>
        <v/>
      </c>
      <c r="AB347" s="9">
        <f>C347-AA347</f>
        <v/>
      </c>
      <c r="AC347" s="4">
        <f>AB347^2</f>
        <v/>
      </c>
    </row>
    <row r="348">
      <c r="A348" t="inlineStr">
        <is>
          <t>BBG001636CR2</t>
        </is>
      </c>
      <c r="B348" t="inlineStr">
        <is>
          <t>five</t>
        </is>
      </c>
      <c r="C348" s="9" t="n">
        <v>0.07011866466003425</v>
      </c>
      <c r="D348" s="3">
        <f>EXP(0.25*'3b-d Exposures'!G420)</f>
        <v/>
      </c>
      <c r="E348" s="3">
        <f>IF('3b-d Exposures'!C420="",0,'3b-d Exposures'!C420)</f>
        <v/>
      </c>
      <c r="F348" s="3">
        <f>IF('3b-d Exposures'!E420="",0,'3b-d Exposures'!E420)</f>
        <v/>
      </c>
      <c r="G348" s="3">
        <f>IF('3b-d Exposures'!G420="",0,'3b-d Exposures'!G420)</f>
        <v/>
      </c>
      <c r="H348" s="3">
        <f>IF('3b-d Exposures'!I420="",0,'3b-d Exposures'!I420)</f>
        <v/>
      </c>
      <c r="I348" s="3">
        <f>IF('3b-d Exposures'!K420="",0,'3b-d Exposures'!K420)</f>
        <v/>
      </c>
      <c r="J348" s="3">
        <f>IF('3b-d Exposures'!M420="",0,'3b-d Exposures'!M420)</f>
        <v/>
      </c>
      <c r="K348" s="3">
        <f>IF('3b-d Exposures'!O420="",0,'3b-d Exposures'!O420)</f>
        <v/>
      </c>
      <c r="L348" s="3">
        <f>IF('3b-d Exposures'!Q420="",0,'3b-d Exposures'!Q420)</f>
        <v/>
      </c>
      <c r="M348" s="3">
        <f>IF('3b-d Exposures'!S420="",0,'3b-d Exposures'!S420)</f>
        <v/>
      </c>
      <c r="N348" s="3">
        <f>IF('3b-d Exposures'!Z420="",0,'3b-d Exposures'!Z420)</f>
        <v/>
      </c>
      <c r="O348" s="3">
        <f>$D348</f>
        <v/>
      </c>
      <c r="P348" s="3">
        <f>E348*$D348</f>
        <v/>
      </c>
      <c r="Q348" s="3">
        <f>F348*$D348</f>
        <v/>
      </c>
      <c r="R348" s="3">
        <f>G348*$D348</f>
        <v/>
      </c>
      <c r="S348" s="3">
        <f>H348*$D348</f>
        <v/>
      </c>
      <c r="T348" s="3">
        <f>I348*$D348</f>
        <v/>
      </c>
      <c r="U348" s="3">
        <f>J348*$D348</f>
        <v/>
      </c>
      <c r="V348" s="3">
        <f>K348*$D348</f>
        <v/>
      </c>
      <c r="W348" s="3">
        <f>L348*$D348</f>
        <v/>
      </c>
      <c r="X348" s="3">
        <f>M348*$D348</f>
        <v/>
      </c>
      <c r="Y348" s="3">
        <f>N348*$D348</f>
        <v/>
      </c>
      <c r="Z348" s="3">
        <f>C348*$D348</f>
        <v/>
      </c>
      <c r="AA348" s="9">
        <f>$L978+$K978*E348+$J978*F348+$I978*G348+$H978*H348+$G978*I348+$F978*J348+$E978*K348+$D978*L348+$C978*M348+$B978*N348</f>
        <v/>
      </c>
      <c r="AB348" s="9">
        <f>C348-AA348</f>
        <v/>
      </c>
      <c r="AC348" s="4">
        <f>AB348^2</f>
        <v/>
      </c>
    </row>
    <row r="349">
      <c r="A349" t="inlineStr">
        <is>
          <t>BBG001KHJM17</t>
        </is>
      </c>
      <c r="B349" t="inlineStr">
        <is>
          <t>fivn</t>
        </is>
      </c>
      <c r="C349" s="9" t="n">
        <v>0.007025216184666894</v>
      </c>
      <c r="D349" s="3">
        <f>EXP(0.25*'3b-d Exposures'!G421)</f>
        <v/>
      </c>
      <c r="E349" s="3">
        <f>IF('3b-d Exposures'!C421="",0,'3b-d Exposures'!C421)</f>
        <v/>
      </c>
      <c r="F349" s="3">
        <f>IF('3b-d Exposures'!E421="",0,'3b-d Exposures'!E421)</f>
        <v/>
      </c>
      <c r="G349" s="3">
        <f>IF('3b-d Exposures'!G421="",0,'3b-d Exposures'!G421)</f>
        <v/>
      </c>
      <c r="H349" s="3">
        <f>IF('3b-d Exposures'!I421="",0,'3b-d Exposures'!I421)</f>
        <v/>
      </c>
      <c r="I349" s="3">
        <f>IF('3b-d Exposures'!K421="",0,'3b-d Exposures'!K421)</f>
        <v/>
      </c>
      <c r="J349" s="3">
        <f>IF('3b-d Exposures'!M421="",0,'3b-d Exposures'!M421)</f>
        <v/>
      </c>
      <c r="K349" s="3">
        <f>IF('3b-d Exposures'!O421="",0,'3b-d Exposures'!O421)</f>
        <v/>
      </c>
      <c r="L349" s="3">
        <f>IF('3b-d Exposures'!Q421="",0,'3b-d Exposures'!Q421)</f>
        <v/>
      </c>
      <c r="M349" s="3">
        <f>IF('3b-d Exposures'!S421="",0,'3b-d Exposures'!S421)</f>
        <v/>
      </c>
      <c r="N349" s="3">
        <f>IF('3b-d Exposures'!Z421="",0,'3b-d Exposures'!Z421)</f>
        <v/>
      </c>
      <c r="O349" s="3">
        <f>$D349</f>
        <v/>
      </c>
      <c r="P349" s="3">
        <f>E349*$D349</f>
        <v/>
      </c>
      <c r="Q349" s="3">
        <f>F349*$D349</f>
        <v/>
      </c>
      <c r="R349" s="3">
        <f>G349*$D349</f>
        <v/>
      </c>
      <c r="S349" s="3">
        <f>H349*$D349</f>
        <v/>
      </c>
      <c r="T349" s="3">
        <f>I349*$D349</f>
        <v/>
      </c>
      <c r="U349" s="3">
        <f>J349*$D349</f>
        <v/>
      </c>
      <c r="V349" s="3">
        <f>K349*$D349</f>
        <v/>
      </c>
      <c r="W349" s="3">
        <f>L349*$D349</f>
        <v/>
      </c>
      <c r="X349" s="3">
        <f>M349*$D349</f>
        <v/>
      </c>
      <c r="Y349" s="3">
        <f>N349*$D349</f>
        <v/>
      </c>
      <c r="Z349" s="3">
        <f>C349*$D349</f>
        <v/>
      </c>
      <c r="AA349" s="9">
        <f>$L978+$K978*E349+$J978*F349+$I978*G349+$H978*H349+$G978*I349+$F978*J349+$E978*K349+$D978*L349+$C978*M349+$B978*N349</f>
        <v/>
      </c>
      <c r="AB349" s="9">
        <f>C349-AA349</f>
        <v/>
      </c>
      <c r="AC349" s="4">
        <f>AB349^2</f>
        <v/>
      </c>
    </row>
    <row r="350">
      <c r="A350" t="inlineStr">
        <is>
          <t>fix</t>
        </is>
      </c>
      <c r="B350" t="inlineStr">
        <is>
          <t>fix</t>
        </is>
      </c>
      <c r="C350" s="9" t="n">
        <v>-0.007581953574633205</v>
      </c>
      <c r="D350" s="3">
        <f>EXP(0.25*'3b-d Exposures'!G422)</f>
        <v/>
      </c>
      <c r="E350" s="3">
        <f>IF('3b-d Exposures'!C422="",0,'3b-d Exposures'!C422)</f>
        <v/>
      </c>
      <c r="F350" s="3">
        <f>IF('3b-d Exposures'!E422="",0,'3b-d Exposures'!E422)</f>
        <v/>
      </c>
      <c r="G350" s="3">
        <f>IF('3b-d Exposures'!G422="",0,'3b-d Exposures'!G422)</f>
        <v/>
      </c>
      <c r="H350" s="3">
        <f>IF('3b-d Exposures'!I422="",0,'3b-d Exposures'!I422)</f>
        <v/>
      </c>
      <c r="I350" s="3">
        <f>IF('3b-d Exposures'!K422="",0,'3b-d Exposures'!K422)</f>
        <v/>
      </c>
      <c r="J350" s="3">
        <f>IF('3b-d Exposures'!M422="",0,'3b-d Exposures'!M422)</f>
        <v/>
      </c>
      <c r="K350" s="3">
        <f>IF('3b-d Exposures'!O422="",0,'3b-d Exposures'!O422)</f>
        <v/>
      </c>
      <c r="L350" s="3">
        <f>IF('3b-d Exposures'!Q422="",0,'3b-d Exposures'!Q422)</f>
        <v/>
      </c>
      <c r="M350" s="3">
        <f>IF('3b-d Exposures'!S422="",0,'3b-d Exposures'!S422)</f>
        <v/>
      </c>
      <c r="N350" s="3">
        <f>IF('3b-d Exposures'!Z422="",0,'3b-d Exposures'!Z422)</f>
        <v/>
      </c>
      <c r="O350" s="3">
        <f>$D350</f>
        <v/>
      </c>
      <c r="P350" s="3">
        <f>E350*$D350</f>
        <v/>
      </c>
      <c r="Q350" s="3">
        <f>F350*$D350</f>
        <v/>
      </c>
      <c r="R350" s="3">
        <f>G350*$D350</f>
        <v/>
      </c>
      <c r="S350" s="3">
        <f>H350*$D350</f>
        <v/>
      </c>
      <c r="T350" s="3">
        <f>I350*$D350</f>
        <v/>
      </c>
      <c r="U350" s="3">
        <f>J350*$D350</f>
        <v/>
      </c>
      <c r="V350" s="3">
        <f>K350*$D350</f>
        <v/>
      </c>
      <c r="W350" s="3">
        <f>L350*$D350</f>
        <v/>
      </c>
      <c r="X350" s="3">
        <f>M350*$D350</f>
        <v/>
      </c>
      <c r="Y350" s="3">
        <f>N350*$D350</f>
        <v/>
      </c>
      <c r="Z350" s="3">
        <f>C350*$D350</f>
        <v/>
      </c>
      <c r="AA350" s="9">
        <f>$L978+$K978*E350+$J978*F350+$I978*G350+$H978*H350+$G978*I350+$F978*J350+$E978*K350+$D978*L350+$C978*M350+$B978*N350</f>
        <v/>
      </c>
      <c r="AB350" s="9">
        <f>C350-AA350</f>
        <v/>
      </c>
      <c r="AC350" s="4">
        <f>AB350^2</f>
        <v/>
      </c>
    </row>
    <row r="351">
      <c r="A351" t="inlineStr">
        <is>
          <t>BBG000BF8CB6</t>
        </is>
      </c>
      <c r="B351" t="inlineStr">
        <is>
          <t>fizz</t>
        </is>
      </c>
      <c r="C351" s="9" t="n">
        <v>0.01052845645251521</v>
      </c>
      <c r="D351" s="3">
        <f>EXP(0.25*'3b-d Exposures'!G423)</f>
        <v/>
      </c>
      <c r="E351" s="3">
        <f>IF('3b-d Exposures'!C423="",0,'3b-d Exposures'!C423)</f>
        <v/>
      </c>
      <c r="F351" s="3">
        <f>IF('3b-d Exposures'!E423="",0,'3b-d Exposures'!E423)</f>
        <v/>
      </c>
      <c r="G351" s="3">
        <f>IF('3b-d Exposures'!G423="",0,'3b-d Exposures'!G423)</f>
        <v/>
      </c>
      <c r="H351" s="3">
        <f>IF('3b-d Exposures'!I423="",0,'3b-d Exposures'!I423)</f>
        <v/>
      </c>
      <c r="I351" s="3">
        <f>IF('3b-d Exposures'!K423="",0,'3b-d Exposures'!K423)</f>
        <v/>
      </c>
      <c r="J351" s="3">
        <f>IF('3b-d Exposures'!M423="",0,'3b-d Exposures'!M423)</f>
        <v/>
      </c>
      <c r="K351" s="3">
        <f>IF('3b-d Exposures'!O423="",0,'3b-d Exposures'!O423)</f>
        <v/>
      </c>
      <c r="L351" s="3">
        <f>IF('3b-d Exposures'!Q423="",0,'3b-d Exposures'!Q423)</f>
        <v/>
      </c>
      <c r="M351" s="3">
        <f>IF('3b-d Exposures'!S423="",0,'3b-d Exposures'!S423)</f>
        <v/>
      </c>
      <c r="N351" s="3">
        <f>IF('3b-d Exposures'!Z423="",0,'3b-d Exposures'!Z423)</f>
        <v/>
      </c>
      <c r="O351" s="3">
        <f>$D351</f>
        <v/>
      </c>
      <c r="P351" s="3">
        <f>E351*$D351</f>
        <v/>
      </c>
      <c r="Q351" s="3">
        <f>F351*$D351</f>
        <v/>
      </c>
      <c r="R351" s="3">
        <f>G351*$D351</f>
        <v/>
      </c>
      <c r="S351" s="3">
        <f>H351*$D351</f>
        <v/>
      </c>
      <c r="T351" s="3">
        <f>I351*$D351</f>
        <v/>
      </c>
      <c r="U351" s="3">
        <f>J351*$D351</f>
        <v/>
      </c>
      <c r="V351" s="3">
        <f>K351*$D351</f>
        <v/>
      </c>
      <c r="W351" s="3">
        <f>L351*$D351</f>
        <v/>
      </c>
      <c r="X351" s="3">
        <f>M351*$D351</f>
        <v/>
      </c>
      <c r="Y351" s="3">
        <f>N351*$D351</f>
        <v/>
      </c>
      <c r="Z351" s="3">
        <f>C351*$D351</f>
        <v/>
      </c>
      <c r="AA351" s="9">
        <f>$L978+$K978*E351+$J978*F351+$I978*G351+$H978*H351+$G978*I351+$F978*J351+$E978*K351+$D978*L351+$C978*M351+$B978*N351</f>
        <v/>
      </c>
      <c r="AB351" s="9">
        <f>C351-AA351</f>
        <v/>
      </c>
      <c r="AC351" s="4">
        <f>AB351^2</f>
        <v/>
      </c>
    </row>
    <row r="352">
      <c r="A352" t="inlineStr">
        <is>
          <t>BBG000BB1TH9</t>
        </is>
      </c>
      <c r="B352" t="inlineStr">
        <is>
          <t>flr</t>
        </is>
      </c>
      <c r="C352" s="9" t="n">
        <v>-0.01817210829064253</v>
      </c>
      <c r="D352" s="3">
        <f>EXP(0.25*'3b-d Exposures'!G425)</f>
        <v/>
      </c>
      <c r="E352" s="3">
        <f>IF('3b-d Exposures'!C425="",0,'3b-d Exposures'!C425)</f>
        <v/>
      </c>
      <c r="F352" s="3">
        <f>IF('3b-d Exposures'!E425="",0,'3b-d Exposures'!E425)</f>
        <v/>
      </c>
      <c r="G352" s="3">
        <f>IF('3b-d Exposures'!G425="",0,'3b-d Exposures'!G425)</f>
        <v/>
      </c>
      <c r="H352" s="3">
        <f>IF('3b-d Exposures'!I425="",0,'3b-d Exposures'!I425)</f>
        <v/>
      </c>
      <c r="I352" s="3">
        <f>IF('3b-d Exposures'!K425="",0,'3b-d Exposures'!K425)</f>
        <v/>
      </c>
      <c r="J352" s="3">
        <f>IF('3b-d Exposures'!M425="",0,'3b-d Exposures'!M425)</f>
        <v/>
      </c>
      <c r="K352" s="3">
        <f>IF('3b-d Exposures'!O425="",0,'3b-d Exposures'!O425)</f>
        <v/>
      </c>
      <c r="L352" s="3">
        <f>IF('3b-d Exposures'!Q425="",0,'3b-d Exposures'!Q425)</f>
        <v/>
      </c>
      <c r="M352" s="3">
        <f>IF('3b-d Exposures'!S425="",0,'3b-d Exposures'!S425)</f>
        <v/>
      </c>
      <c r="N352" s="3">
        <f>IF('3b-d Exposures'!Z425="",0,'3b-d Exposures'!Z425)</f>
        <v/>
      </c>
      <c r="O352" s="3">
        <f>$D352</f>
        <v/>
      </c>
      <c r="P352" s="3">
        <f>E352*$D352</f>
        <v/>
      </c>
      <c r="Q352" s="3">
        <f>F352*$D352</f>
        <v/>
      </c>
      <c r="R352" s="3">
        <f>G352*$D352</f>
        <v/>
      </c>
      <c r="S352" s="3">
        <f>H352*$D352</f>
        <v/>
      </c>
      <c r="T352" s="3">
        <f>I352*$D352</f>
        <v/>
      </c>
      <c r="U352" s="3">
        <f>J352*$D352</f>
        <v/>
      </c>
      <c r="V352" s="3">
        <f>K352*$D352</f>
        <v/>
      </c>
      <c r="W352" s="3">
        <f>L352*$D352</f>
        <v/>
      </c>
      <c r="X352" s="3">
        <f>M352*$D352</f>
        <v/>
      </c>
      <c r="Y352" s="3">
        <f>N352*$D352</f>
        <v/>
      </c>
      <c r="Z352" s="3">
        <f>C352*$D352</f>
        <v/>
      </c>
      <c r="AA352" s="9">
        <f>$L978+$K978*E352+$J978*F352+$I978*G352+$H978*H352+$G978*I352+$F978*J352+$E978*K352+$D978*L352+$C978*M352+$B978*N352</f>
        <v/>
      </c>
      <c r="AB352" s="9">
        <f>C352-AA352</f>
        <v/>
      </c>
      <c r="AC352" s="4">
        <f>AB352^2</f>
        <v/>
      </c>
    </row>
    <row r="353">
      <c r="A353" t="inlineStr">
        <is>
          <t>BBG000BJP882</t>
        </is>
      </c>
      <c r="B353" t="inlineStr">
        <is>
          <t>fmc</t>
        </is>
      </c>
      <c r="C353" s="9" t="n">
        <v>0.004907790813177382</v>
      </c>
      <c r="D353" s="3">
        <f>EXP(0.25*'3b-d Exposures'!G426)</f>
        <v/>
      </c>
      <c r="E353" s="3">
        <f>IF('3b-d Exposures'!C426="",0,'3b-d Exposures'!C426)</f>
        <v/>
      </c>
      <c r="F353" s="3">
        <f>IF('3b-d Exposures'!E426="",0,'3b-d Exposures'!E426)</f>
        <v/>
      </c>
      <c r="G353" s="3">
        <f>IF('3b-d Exposures'!G426="",0,'3b-d Exposures'!G426)</f>
        <v/>
      </c>
      <c r="H353" s="3">
        <f>IF('3b-d Exposures'!I426="",0,'3b-d Exposures'!I426)</f>
        <v/>
      </c>
      <c r="I353" s="3">
        <f>IF('3b-d Exposures'!K426="",0,'3b-d Exposures'!K426)</f>
        <v/>
      </c>
      <c r="J353" s="3">
        <f>IF('3b-d Exposures'!M426="",0,'3b-d Exposures'!M426)</f>
        <v/>
      </c>
      <c r="K353" s="3">
        <f>IF('3b-d Exposures'!O426="",0,'3b-d Exposures'!O426)</f>
        <v/>
      </c>
      <c r="L353" s="3">
        <f>IF('3b-d Exposures'!Q426="",0,'3b-d Exposures'!Q426)</f>
        <v/>
      </c>
      <c r="M353" s="3">
        <f>IF('3b-d Exposures'!S426="",0,'3b-d Exposures'!S426)</f>
        <v/>
      </c>
      <c r="N353" s="3">
        <f>IF('3b-d Exposures'!Z426="",0,'3b-d Exposures'!Z426)</f>
        <v/>
      </c>
      <c r="O353" s="3">
        <f>$D353</f>
        <v/>
      </c>
      <c r="P353" s="3">
        <f>E353*$D353</f>
        <v/>
      </c>
      <c r="Q353" s="3">
        <f>F353*$D353</f>
        <v/>
      </c>
      <c r="R353" s="3">
        <f>G353*$D353</f>
        <v/>
      </c>
      <c r="S353" s="3">
        <f>H353*$D353</f>
        <v/>
      </c>
      <c r="T353" s="3">
        <f>I353*$D353</f>
        <v/>
      </c>
      <c r="U353" s="3">
        <f>J353*$D353</f>
        <v/>
      </c>
      <c r="V353" s="3">
        <f>K353*$D353</f>
        <v/>
      </c>
      <c r="W353" s="3">
        <f>L353*$D353</f>
        <v/>
      </c>
      <c r="X353" s="3">
        <f>M353*$D353</f>
        <v/>
      </c>
      <c r="Y353" s="3">
        <f>N353*$D353</f>
        <v/>
      </c>
      <c r="Z353" s="3">
        <f>C353*$D353</f>
        <v/>
      </c>
      <c r="AA353" s="9">
        <f>$L978+$K978*E353+$J978*F353+$I978*G353+$H978*H353+$G978*I353+$F978*J353+$E978*K353+$D978*L353+$C978*M353+$B978*N353</f>
        <v/>
      </c>
      <c r="AB353" s="9">
        <f>C353-AA353</f>
        <v/>
      </c>
      <c r="AC353" s="4">
        <f>AB353^2</f>
        <v/>
      </c>
    </row>
    <row r="354">
      <c r="A354" t="inlineStr">
        <is>
          <t>BBG007GJ2F81</t>
        </is>
      </c>
      <c r="B354" t="inlineStr">
        <is>
          <t>fnd</t>
        </is>
      </c>
      <c r="C354" s="9" t="n">
        <v>-0.00204969012936107</v>
      </c>
      <c r="D354" s="3">
        <f>EXP(0.25*'3b-d Exposures'!G427)</f>
        <v/>
      </c>
      <c r="E354" s="3">
        <f>IF('3b-d Exposures'!C427="",0,'3b-d Exposures'!C427)</f>
        <v/>
      </c>
      <c r="F354" s="3">
        <f>IF('3b-d Exposures'!E427="",0,'3b-d Exposures'!E427)</f>
        <v/>
      </c>
      <c r="G354" s="3">
        <f>IF('3b-d Exposures'!G427="",0,'3b-d Exposures'!G427)</f>
        <v/>
      </c>
      <c r="H354" s="3">
        <f>IF('3b-d Exposures'!I427="",0,'3b-d Exposures'!I427)</f>
        <v/>
      </c>
      <c r="I354" s="3">
        <f>IF('3b-d Exposures'!K427="",0,'3b-d Exposures'!K427)</f>
        <v/>
      </c>
      <c r="J354" s="3">
        <f>IF('3b-d Exposures'!M427="",0,'3b-d Exposures'!M427)</f>
        <v/>
      </c>
      <c r="K354" s="3">
        <f>IF('3b-d Exposures'!O427="",0,'3b-d Exposures'!O427)</f>
        <v/>
      </c>
      <c r="L354" s="3">
        <f>IF('3b-d Exposures'!Q427="",0,'3b-d Exposures'!Q427)</f>
        <v/>
      </c>
      <c r="M354" s="3">
        <f>IF('3b-d Exposures'!S427="",0,'3b-d Exposures'!S427)</f>
        <v/>
      </c>
      <c r="N354" s="3">
        <f>IF('3b-d Exposures'!Z427="",0,'3b-d Exposures'!Z427)</f>
        <v/>
      </c>
      <c r="O354" s="3">
        <f>$D354</f>
        <v/>
      </c>
      <c r="P354" s="3">
        <f>E354*$D354</f>
        <v/>
      </c>
      <c r="Q354" s="3">
        <f>F354*$D354</f>
        <v/>
      </c>
      <c r="R354" s="3">
        <f>G354*$D354</f>
        <v/>
      </c>
      <c r="S354" s="3">
        <f>H354*$D354</f>
        <v/>
      </c>
      <c r="T354" s="3">
        <f>I354*$D354</f>
        <v/>
      </c>
      <c r="U354" s="3">
        <f>J354*$D354</f>
        <v/>
      </c>
      <c r="V354" s="3">
        <f>K354*$D354</f>
        <v/>
      </c>
      <c r="W354" s="3">
        <f>L354*$D354</f>
        <v/>
      </c>
      <c r="X354" s="3">
        <f>M354*$D354</f>
        <v/>
      </c>
      <c r="Y354" s="3">
        <f>N354*$D354</f>
        <v/>
      </c>
      <c r="Z354" s="3">
        <f>C354*$D354</f>
        <v/>
      </c>
      <c r="AA354" s="9">
        <f>$L978+$K978*E354+$J978*F354+$I978*G354+$H978*H354+$G978*I354+$F978*J354+$E978*K354+$D978*L354+$C978*M354+$B978*N354</f>
        <v/>
      </c>
      <c r="AB354" s="9">
        <f>C354-AA354</f>
        <v/>
      </c>
      <c r="AC354" s="4">
        <f>AB354^2</f>
        <v/>
      </c>
    </row>
    <row r="355">
      <c r="A355" t="inlineStr">
        <is>
          <t>BBG000CKGDS5</t>
        </is>
      </c>
      <c r="B355" t="inlineStr">
        <is>
          <t>fr</t>
        </is>
      </c>
      <c r="C355" s="9" t="n">
        <v>-0.008793319661055121</v>
      </c>
      <c r="D355" s="3">
        <f>EXP(0.25*'3b-d Exposures'!G432)</f>
        <v/>
      </c>
      <c r="E355" s="3">
        <f>IF('3b-d Exposures'!C432="",0,'3b-d Exposures'!C432)</f>
        <v/>
      </c>
      <c r="F355" s="3">
        <f>IF('3b-d Exposures'!E432="",0,'3b-d Exposures'!E432)</f>
        <v/>
      </c>
      <c r="G355" s="3">
        <f>IF('3b-d Exposures'!G432="",0,'3b-d Exposures'!G432)</f>
        <v/>
      </c>
      <c r="H355" s="3">
        <f>IF('3b-d Exposures'!I432="",0,'3b-d Exposures'!I432)</f>
        <v/>
      </c>
      <c r="I355" s="3">
        <f>IF('3b-d Exposures'!K432="",0,'3b-d Exposures'!K432)</f>
        <v/>
      </c>
      <c r="J355" s="3">
        <f>IF('3b-d Exposures'!M432="",0,'3b-d Exposures'!M432)</f>
        <v/>
      </c>
      <c r="K355" s="3">
        <f>IF('3b-d Exposures'!O432="",0,'3b-d Exposures'!O432)</f>
        <v/>
      </c>
      <c r="L355" s="3">
        <f>IF('3b-d Exposures'!Q432="",0,'3b-d Exposures'!Q432)</f>
        <v/>
      </c>
      <c r="M355" s="3">
        <f>IF('3b-d Exposures'!S432="",0,'3b-d Exposures'!S432)</f>
        <v/>
      </c>
      <c r="N355" s="3">
        <f>IF('3b-d Exposures'!Z432="",0,'3b-d Exposures'!Z432)</f>
        <v/>
      </c>
      <c r="O355" s="3">
        <f>$D355</f>
        <v/>
      </c>
      <c r="P355" s="3">
        <f>E355*$D355</f>
        <v/>
      </c>
      <c r="Q355" s="3">
        <f>F355*$D355</f>
        <v/>
      </c>
      <c r="R355" s="3">
        <f>G355*$D355</f>
        <v/>
      </c>
      <c r="S355" s="3">
        <f>H355*$D355</f>
        <v/>
      </c>
      <c r="T355" s="3">
        <f>I355*$D355</f>
        <v/>
      </c>
      <c r="U355" s="3">
        <f>J355*$D355</f>
        <v/>
      </c>
      <c r="V355" s="3">
        <f>K355*$D355</f>
        <v/>
      </c>
      <c r="W355" s="3">
        <f>L355*$D355</f>
        <v/>
      </c>
      <c r="X355" s="3">
        <f>M355*$D355</f>
        <v/>
      </c>
      <c r="Y355" s="3">
        <f>N355*$D355</f>
        <v/>
      </c>
      <c r="Z355" s="3">
        <f>C355*$D355</f>
        <v/>
      </c>
      <c r="AA355" s="9">
        <f>$L978+$K978*E355+$J978*F355+$I978*G355+$H978*H355+$G978*I355+$F978*J355+$E978*K355+$D978*L355+$C978*M355+$B978*N355</f>
        <v/>
      </c>
      <c r="AB355" s="9">
        <f>C355-AA355</f>
        <v/>
      </c>
      <c r="AC355" s="4">
        <f>AB355^2</f>
        <v/>
      </c>
    </row>
    <row r="356">
      <c r="A356" t="inlineStr">
        <is>
          <t>BBG00H1CP0B4</t>
        </is>
      </c>
      <c r="B356" t="inlineStr">
        <is>
          <t>frmm</t>
        </is>
      </c>
      <c r="C356" s="9" t="n">
        <v>0.06726457629232274</v>
      </c>
      <c r="D356" s="3">
        <f>EXP(0.25*'3b-d Exposures'!G434)</f>
        <v/>
      </c>
      <c r="E356" s="3">
        <f>IF('3b-d Exposures'!C434="",0,'3b-d Exposures'!C434)</f>
        <v/>
      </c>
      <c r="F356" s="3">
        <f>IF('3b-d Exposures'!E434="",0,'3b-d Exposures'!E434)</f>
        <v/>
      </c>
      <c r="G356" s="3">
        <f>IF('3b-d Exposures'!G434="",0,'3b-d Exposures'!G434)</f>
        <v/>
      </c>
      <c r="H356" s="3">
        <f>IF('3b-d Exposures'!I434="",0,'3b-d Exposures'!I434)</f>
        <v/>
      </c>
      <c r="I356" s="3">
        <f>IF('3b-d Exposures'!K434="",0,'3b-d Exposures'!K434)</f>
        <v/>
      </c>
      <c r="J356" s="3">
        <f>IF('3b-d Exposures'!M434="",0,'3b-d Exposures'!M434)</f>
        <v/>
      </c>
      <c r="K356" s="3">
        <f>IF('3b-d Exposures'!O434="",0,'3b-d Exposures'!O434)</f>
        <v/>
      </c>
      <c r="L356" s="3">
        <f>IF('3b-d Exposures'!Q434="",0,'3b-d Exposures'!Q434)</f>
        <v/>
      </c>
      <c r="M356" s="3">
        <f>IF('3b-d Exposures'!S434="",0,'3b-d Exposures'!S434)</f>
        <v/>
      </c>
      <c r="N356" s="3">
        <f>IF('3b-d Exposures'!Z434="",0,'3b-d Exposures'!Z434)</f>
        <v/>
      </c>
      <c r="O356" s="3">
        <f>$D356</f>
        <v/>
      </c>
      <c r="P356" s="3">
        <f>E356*$D356</f>
        <v/>
      </c>
      <c r="Q356" s="3">
        <f>F356*$D356</f>
        <v/>
      </c>
      <c r="R356" s="3">
        <f>G356*$D356</f>
        <v/>
      </c>
      <c r="S356" s="3">
        <f>H356*$D356</f>
        <v/>
      </c>
      <c r="T356" s="3">
        <f>I356*$D356</f>
        <v/>
      </c>
      <c r="U356" s="3">
        <f>J356*$D356</f>
        <v/>
      </c>
      <c r="V356" s="3">
        <f>K356*$D356</f>
        <v/>
      </c>
      <c r="W356" s="3">
        <f>L356*$D356</f>
        <v/>
      </c>
      <c r="X356" s="3">
        <f>M356*$D356</f>
        <v/>
      </c>
      <c r="Y356" s="3">
        <f>N356*$D356</f>
        <v/>
      </c>
      <c r="Z356" s="3">
        <f>C356*$D356</f>
        <v/>
      </c>
      <c r="AA356" s="9">
        <f>$L978+$K978*E356+$J978*F356+$I978*G356+$H978*H356+$G978*I356+$F978*J356+$E978*K356+$D978*L356+$C978*M356+$B978*N356</f>
        <v/>
      </c>
      <c r="AB356" s="9">
        <f>C356-AA356</f>
        <v/>
      </c>
      <c r="AC356" s="4">
        <f>AB356^2</f>
        <v/>
      </c>
    </row>
    <row r="357">
      <c r="A357" t="inlineStr">
        <is>
          <t>BBG001D0HB36</t>
        </is>
      </c>
      <c r="B357" t="inlineStr">
        <is>
          <t>frpt</t>
        </is>
      </c>
      <c r="C357" s="9" t="n">
        <v>0.007840554879547268</v>
      </c>
      <c r="D357" s="3">
        <f>EXP(0.25*'3b-d Exposures'!G435)</f>
        <v/>
      </c>
      <c r="E357" s="3">
        <f>IF('3b-d Exposures'!C435="",0,'3b-d Exposures'!C435)</f>
        <v/>
      </c>
      <c r="F357" s="3">
        <f>IF('3b-d Exposures'!E435="",0,'3b-d Exposures'!E435)</f>
        <v/>
      </c>
      <c r="G357" s="3">
        <f>IF('3b-d Exposures'!G435="",0,'3b-d Exposures'!G435)</f>
        <v/>
      </c>
      <c r="H357" s="3">
        <f>IF('3b-d Exposures'!I435="",0,'3b-d Exposures'!I435)</f>
        <v/>
      </c>
      <c r="I357" s="3">
        <f>IF('3b-d Exposures'!K435="",0,'3b-d Exposures'!K435)</f>
        <v/>
      </c>
      <c r="J357" s="3">
        <f>IF('3b-d Exposures'!M435="",0,'3b-d Exposures'!M435)</f>
        <v/>
      </c>
      <c r="K357" s="3">
        <f>IF('3b-d Exposures'!O435="",0,'3b-d Exposures'!O435)</f>
        <v/>
      </c>
      <c r="L357" s="3">
        <f>IF('3b-d Exposures'!Q435="",0,'3b-d Exposures'!Q435)</f>
        <v/>
      </c>
      <c r="M357" s="3">
        <f>IF('3b-d Exposures'!S435="",0,'3b-d Exposures'!S435)</f>
        <v/>
      </c>
      <c r="N357" s="3">
        <f>IF('3b-d Exposures'!Z435="",0,'3b-d Exposures'!Z435)</f>
        <v/>
      </c>
      <c r="O357" s="3">
        <f>$D357</f>
        <v/>
      </c>
      <c r="P357" s="3">
        <f>E357*$D357</f>
        <v/>
      </c>
      <c r="Q357" s="3">
        <f>F357*$D357</f>
        <v/>
      </c>
      <c r="R357" s="3">
        <f>G357*$D357</f>
        <v/>
      </c>
      <c r="S357" s="3">
        <f>H357*$D357</f>
        <v/>
      </c>
      <c r="T357" s="3">
        <f>I357*$D357</f>
        <v/>
      </c>
      <c r="U357" s="3">
        <f>J357*$D357</f>
        <v/>
      </c>
      <c r="V357" s="3">
        <f>K357*$D357</f>
        <v/>
      </c>
      <c r="W357" s="3">
        <f>L357*$D357</f>
        <v/>
      </c>
      <c r="X357" s="3">
        <f>M357*$D357</f>
        <v/>
      </c>
      <c r="Y357" s="3">
        <f>N357*$D357</f>
        <v/>
      </c>
      <c r="Z357" s="3">
        <f>C357*$D357</f>
        <v/>
      </c>
      <c r="AA357" s="9">
        <f>$L978+$K978*E357+$J978*F357+$I978*G357+$H978*H357+$G978*I357+$F978*J357+$E978*K357+$D978*L357+$C978*M357+$B978*N357</f>
        <v/>
      </c>
      <c r="AB357" s="9">
        <f>C357-AA357</f>
        <v/>
      </c>
      <c r="AC357" s="4">
        <f>AB357^2</f>
        <v/>
      </c>
    </row>
    <row r="358">
      <c r="A358" t="inlineStr">
        <is>
          <t>BBG0029KYGL5</t>
        </is>
      </c>
      <c r="B358" t="inlineStr">
        <is>
          <t>frsh</t>
        </is>
      </c>
      <c r="C358" s="9" t="n">
        <v>0.006879337831527055</v>
      </c>
      <c r="D358" s="3">
        <f>EXP(0.25*'3b-d Exposures'!G436)</f>
        <v/>
      </c>
      <c r="E358" s="3">
        <f>IF('3b-d Exposures'!C436="",0,'3b-d Exposures'!C436)</f>
        <v/>
      </c>
      <c r="F358" s="3">
        <f>IF('3b-d Exposures'!E436="",0,'3b-d Exposures'!E436)</f>
        <v/>
      </c>
      <c r="G358" s="3">
        <f>IF('3b-d Exposures'!G436="",0,'3b-d Exposures'!G436)</f>
        <v/>
      </c>
      <c r="H358" s="3">
        <f>IF('3b-d Exposures'!I436="",0,'3b-d Exposures'!I436)</f>
        <v/>
      </c>
      <c r="I358" s="3">
        <f>IF('3b-d Exposures'!K436="",0,'3b-d Exposures'!K436)</f>
        <v/>
      </c>
      <c r="J358" s="3">
        <f>IF('3b-d Exposures'!M436="",0,'3b-d Exposures'!M436)</f>
        <v/>
      </c>
      <c r="K358" s="3">
        <f>IF('3b-d Exposures'!O436="",0,'3b-d Exposures'!O436)</f>
        <v/>
      </c>
      <c r="L358" s="3">
        <f>IF('3b-d Exposures'!Q436="",0,'3b-d Exposures'!Q436)</f>
        <v/>
      </c>
      <c r="M358" s="3">
        <f>IF('3b-d Exposures'!S436="",0,'3b-d Exposures'!S436)</f>
        <v/>
      </c>
      <c r="N358" s="3">
        <f>IF('3b-d Exposures'!Z436="",0,'3b-d Exposures'!Z436)</f>
        <v/>
      </c>
      <c r="O358" s="3">
        <f>$D358</f>
        <v/>
      </c>
      <c r="P358" s="3">
        <f>E358*$D358</f>
        <v/>
      </c>
      <c r="Q358" s="3">
        <f>F358*$D358</f>
        <v/>
      </c>
      <c r="R358" s="3">
        <f>G358*$D358</f>
        <v/>
      </c>
      <c r="S358" s="3">
        <f>H358*$D358</f>
        <v/>
      </c>
      <c r="T358" s="3">
        <f>I358*$D358</f>
        <v/>
      </c>
      <c r="U358" s="3">
        <f>J358*$D358</f>
        <v/>
      </c>
      <c r="V358" s="3">
        <f>K358*$D358</f>
        <v/>
      </c>
      <c r="W358" s="3">
        <f>L358*$D358</f>
        <v/>
      </c>
      <c r="X358" s="3">
        <f>M358*$D358</f>
        <v/>
      </c>
      <c r="Y358" s="3">
        <f>N358*$D358</f>
        <v/>
      </c>
      <c r="Z358" s="3">
        <f>C358*$D358</f>
        <v/>
      </c>
      <c r="AA358" s="9">
        <f>$L978+$K978*E358+$J978*F358+$I978*G358+$H978*H358+$G978*I358+$F978*J358+$E978*K358+$D978*L358+$C978*M358+$B978*N358</f>
        <v/>
      </c>
      <c r="AB358" s="9">
        <f>C358-AA358</f>
        <v/>
      </c>
      <c r="AC358" s="4">
        <f>AB358^2</f>
        <v/>
      </c>
    </row>
    <row r="359">
      <c r="A359" t="inlineStr">
        <is>
          <t>frt</t>
        </is>
      </c>
      <c r="B359" t="inlineStr">
        <is>
          <t>frt</t>
        </is>
      </c>
      <c r="C359" s="9" t="n">
        <v>-0.02057442553568778</v>
      </c>
      <c r="D359" s="3">
        <f>EXP(0.25*'3b-d Exposures'!G437)</f>
        <v/>
      </c>
      <c r="E359" s="3">
        <f>IF('3b-d Exposures'!C437="",0,'3b-d Exposures'!C437)</f>
        <v/>
      </c>
      <c r="F359" s="3">
        <f>IF('3b-d Exposures'!E437="",0,'3b-d Exposures'!E437)</f>
        <v/>
      </c>
      <c r="G359" s="3">
        <f>IF('3b-d Exposures'!G437="",0,'3b-d Exposures'!G437)</f>
        <v/>
      </c>
      <c r="H359" s="3">
        <f>IF('3b-d Exposures'!I437="",0,'3b-d Exposures'!I437)</f>
        <v/>
      </c>
      <c r="I359" s="3">
        <f>IF('3b-d Exposures'!K437="",0,'3b-d Exposures'!K437)</f>
        <v/>
      </c>
      <c r="J359" s="3">
        <f>IF('3b-d Exposures'!M437="",0,'3b-d Exposures'!M437)</f>
        <v/>
      </c>
      <c r="K359" s="3">
        <f>IF('3b-d Exposures'!O437="",0,'3b-d Exposures'!O437)</f>
        <v/>
      </c>
      <c r="L359" s="3">
        <f>IF('3b-d Exposures'!Q437="",0,'3b-d Exposures'!Q437)</f>
        <v/>
      </c>
      <c r="M359" s="3">
        <f>IF('3b-d Exposures'!S437="",0,'3b-d Exposures'!S437)</f>
        <v/>
      </c>
      <c r="N359" s="3">
        <f>IF('3b-d Exposures'!Z437="",0,'3b-d Exposures'!Z437)</f>
        <v/>
      </c>
      <c r="O359" s="3">
        <f>$D359</f>
        <v/>
      </c>
      <c r="P359" s="3">
        <f>E359*$D359</f>
        <v/>
      </c>
      <c r="Q359" s="3">
        <f>F359*$D359</f>
        <v/>
      </c>
      <c r="R359" s="3">
        <f>G359*$D359</f>
        <v/>
      </c>
      <c r="S359" s="3">
        <f>H359*$D359</f>
        <v/>
      </c>
      <c r="T359" s="3">
        <f>I359*$D359</f>
        <v/>
      </c>
      <c r="U359" s="3">
        <f>J359*$D359</f>
        <v/>
      </c>
      <c r="V359" s="3">
        <f>K359*$D359</f>
        <v/>
      </c>
      <c r="W359" s="3">
        <f>L359*$D359</f>
        <v/>
      </c>
      <c r="X359" s="3">
        <f>M359*$D359</f>
        <v/>
      </c>
      <c r="Y359" s="3">
        <f>N359*$D359</f>
        <v/>
      </c>
      <c r="Z359" s="3">
        <f>C359*$D359</f>
        <v/>
      </c>
      <c r="AA359" s="9">
        <f>$L978+$K978*E359+$J978*F359+$I978*G359+$H978*H359+$G978*I359+$F978*J359+$E978*K359+$D978*L359+$C978*M359+$B978*N359</f>
        <v/>
      </c>
      <c r="AB359" s="9">
        <f>C359-AA359</f>
        <v/>
      </c>
      <c r="AC359" s="4">
        <f>AB359^2</f>
        <v/>
      </c>
    </row>
    <row r="360">
      <c r="A360" t="inlineStr">
        <is>
          <t>BBG000BFL116</t>
        </is>
      </c>
      <c r="B360" t="inlineStr">
        <is>
          <t>fslr</t>
        </is>
      </c>
      <c r="C360" s="9" t="n">
        <v>0.04340840924887668</v>
      </c>
      <c r="D360" s="3">
        <f>EXP(0.25*'3b-d Exposures'!G438)</f>
        <v/>
      </c>
      <c r="E360" s="3">
        <f>IF('3b-d Exposures'!C438="",0,'3b-d Exposures'!C438)</f>
        <v/>
      </c>
      <c r="F360" s="3">
        <f>IF('3b-d Exposures'!E438="",0,'3b-d Exposures'!E438)</f>
        <v/>
      </c>
      <c r="G360" s="3">
        <f>IF('3b-d Exposures'!G438="",0,'3b-d Exposures'!G438)</f>
        <v/>
      </c>
      <c r="H360" s="3">
        <f>IF('3b-d Exposures'!I438="",0,'3b-d Exposures'!I438)</f>
        <v/>
      </c>
      <c r="I360" s="3">
        <f>IF('3b-d Exposures'!K438="",0,'3b-d Exposures'!K438)</f>
        <v/>
      </c>
      <c r="J360" s="3">
        <f>IF('3b-d Exposures'!M438="",0,'3b-d Exposures'!M438)</f>
        <v/>
      </c>
      <c r="K360" s="3">
        <f>IF('3b-d Exposures'!O438="",0,'3b-d Exposures'!O438)</f>
        <v/>
      </c>
      <c r="L360" s="3">
        <f>IF('3b-d Exposures'!Q438="",0,'3b-d Exposures'!Q438)</f>
        <v/>
      </c>
      <c r="M360" s="3">
        <f>IF('3b-d Exposures'!S438="",0,'3b-d Exposures'!S438)</f>
        <v/>
      </c>
      <c r="N360" s="3">
        <f>IF('3b-d Exposures'!Z438="",0,'3b-d Exposures'!Z438)</f>
        <v/>
      </c>
      <c r="O360" s="3">
        <f>$D360</f>
        <v/>
      </c>
      <c r="P360" s="3">
        <f>E360*$D360</f>
        <v/>
      </c>
      <c r="Q360" s="3">
        <f>F360*$D360</f>
        <v/>
      </c>
      <c r="R360" s="3">
        <f>G360*$D360</f>
        <v/>
      </c>
      <c r="S360" s="3">
        <f>H360*$D360</f>
        <v/>
      </c>
      <c r="T360" s="3">
        <f>I360*$D360</f>
        <v/>
      </c>
      <c r="U360" s="3">
        <f>J360*$D360</f>
        <v/>
      </c>
      <c r="V360" s="3">
        <f>K360*$D360</f>
        <v/>
      </c>
      <c r="W360" s="3">
        <f>L360*$D360</f>
        <v/>
      </c>
      <c r="X360" s="3">
        <f>M360*$D360</f>
        <v/>
      </c>
      <c r="Y360" s="3">
        <f>N360*$D360</f>
        <v/>
      </c>
      <c r="Z360" s="3">
        <f>C360*$D360</f>
        <v/>
      </c>
      <c r="AA360" s="9">
        <f>$L978+$K978*E360+$J978*F360+$I978*G360+$H978*H360+$G978*I360+$F978*J360+$E978*K360+$D978*L360+$C978*M360+$B978*N360</f>
        <v/>
      </c>
      <c r="AB360" s="9">
        <f>C360-AA360</f>
        <v/>
      </c>
      <c r="AC360" s="4">
        <f>AB360^2</f>
        <v/>
      </c>
    </row>
    <row r="361">
      <c r="A361" t="inlineStr">
        <is>
          <t>BBG004NLQHL0</t>
        </is>
      </c>
      <c r="B361" t="inlineStr">
        <is>
          <t>fsly</t>
        </is>
      </c>
      <c r="C361" s="9" t="n">
        <v>0.1639151436741924</v>
      </c>
      <c r="D361" s="3">
        <f>EXP(0.25*'3b-d Exposures'!G439)</f>
        <v/>
      </c>
      <c r="E361" s="3">
        <f>IF('3b-d Exposures'!C439="",0,'3b-d Exposures'!C439)</f>
        <v/>
      </c>
      <c r="F361" s="3">
        <f>IF('3b-d Exposures'!E439="",0,'3b-d Exposures'!E439)</f>
        <v/>
      </c>
      <c r="G361" s="3">
        <f>IF('3b-d Exposures'!G439="",0,'3b-d Exposures'!G439)</f>
        <v/>
      </c>
      <c r="H361" s="3">
        <f>IF('3b-d Exposures'!I439="",0,'3b-d Exposures'!I439)</f>
        <v/>
      </c>
      <c r="I361" s="3">
        <f>IF('3b-d Exposures'!K439="",0,'3b-d Exposures'!K439)</f>
        <v/>
      </c>
      <c r="J361" s="3">
        <f>IF('3b-d Exposures'!M439="",0,'3b-d Exposures'!M439)</f>
        <v/>
      </c>
      <c r="K361" s="3">
        <f>IF('3b-d Exposures'!O439="",0,'3b-d Exposures'!O439)</f>
        <v/>
      </c>
      <c r="L361" s="3">
        <f>IF('3b-d Exposures'!Q439="",0,'3b-d Exposures'!Q439)</f>
        <v/>
      </c>
      <c r="M361" s="3">
        <f>IF('3b-d Exposures'!S439="",0,'3b-d Exposures'!S439)</f>
        <v/>
      </c>
      <c r="N361" s="3">
        <f>IF('3b-d Exposures'!Z439="",0,'3b-d Exposures'!Z439)</f>
        <v/>
      </c>
      <c r="O361" s="3">
        <f>$D361</f>
        <v/>
      </c>
      <c r="P361" s="3">
        <f>E361*$D361</f>
        <v/>
      </c>
      <c r="Q361" s="3">
        <f>F361*$D361</f>
        <v/>
      </c>
      <c r="R361" s="3">
        <f>G361*$D361</f>
        <v/>
      </c>
      <c r="S361" s="3">
        <f>H361*$D361</f>
        <v/>
      </c>
      <c r="T361" s="3">
        <f>I361*$D361</f>
        <v/>
      </c>
      <c r="U361" s="3">
        <f>J361*$D361</f>
        <v/>
      </c>
      <c r="V361" s="3">
        <f>K361*$D361</f>
        <v/>
      </c>
      <c r="W361" s="3">
        <f>L361*$D361</f>
        <v/>
      </c>
      <c r="X361" s="3">
        <f>M361*$D361</f>
        <v/>
      </c>
      <c r="Y361" s="3">
        <f>N361*$D361</f>
        <v/>
      </c>
      <c r="Z361" s="3">
        <f>C361*$D361</f>
        <v/>
      </c>
      <c r="AA361" s="9">
        <f>$L978+$K978*E361+$J978*F361+$I978*G361+$H978*H361+$G978*I361+$F978*J361+$E978*K361+$D978*L361+$C978*M361+$B978*N361</f>
        <v/>
      </c>
      <c r="AB361" s="9">
        <f>C361-AA361</f>
        <v/>
      </c>
      <c r="AC361" s="4">
        <f>AB361^2</f>
        <v/>
      </c>
    </row>
    <row r="362">
      <c r="A362" t="inlineStr">
        <is>
          <t>BBG000QJGX36</t>
        </is>
      </c>
      <c r="B362" t="inlineStr">
        <is>
          <t>fsun</t>
        </is>
      </c>
      <c r="C362" s="9" t="n">
        <v>-0.008812859939115181</v>
      </c>
      <c r="D362" s="3">
        <f>EXP(0.25*'3b-d Exposures'!G440)</f>
        <v/>
      </c>
      <c r="E362" s="3">
        <f>IF('3b-d Exposures'!C440="",0,'3b-d Exposures'!C440)</f>
        <v/>
      </c>
      <c r="F362" s="3">
        <f>IF('3b-d Exposures'!E440="",0,'3b-d Exposures'!E440)</f>
        <v/>
      </c>
      <c r="G362" s="3">
        <f>IF('3b-d Exposures'!G440="",0,'3b-d Exposures'!G440)</f>
        <v/>
      </c>
      <c r="H362" s="3">
        <f>IF('3b-d Exposures'!I440="",0,'3b-d Exposures'!I440)</f>
        <v/>
      </c>
      <c r="I362" s="3">
        <f>IF('3b-d Exposures'!K440="",0,'3b-d Exposures'!K440)</f>
        <v/>
      </c>
      <c r="J362" s="3">
        <f>IF('3b-d Exposures'!M440="",0,'3b-d Exposures'!M440)</f>
        <v/>
      </c>
      <c r="K362" s="3">
        <f>IF('3b-d Exposures'!O440="",0,'3b-d Exposures'!O440)</f>
        <v/>
      </c>
      <c r="L362" s="3">
        <f>IF('3b-d Exposures'!Q440="",0,'3b-d Exposures'!Q440)</f>
        <v/>
      </c>
      <c r="M362" s="3">
        <f>IF('3b-d Exposures'!S440="",0,'3b-d Exposures'!S440)</f>
        <v/>
      </c>
      <c r="N362" s="3">
        <f>IF('3b-d Exposures'!Z440="",0,'3b-d Exposures'!Z440)</f>
        <v/>
      </c>
      <c r="O362" s="3">
        <f>$D362</f>
        <v/>
      </c>
      <c r="P362" s="3">
        <f>E362*$D362</f>
        <v/>
      </c>
      <c r="Q362" s="3">
        <f>F362*$D362</f>
        <v/>
      </c>
      <c r="R362" s="3">
        <f>G362*$D362</f>
        <v/>
      </c>
      <c r="S362" s="3">
        <f>H362*$D362</f>
        <v/>
      </c>
      <c r="T362" s="3">
        <f>I362*$D362</f>
        <v/>
      </c>
      <c r="U362" s="3">
        <f>J362*$D362</f>
        <v/>
      </c>
      <c r="V362" s="3">
        <f>K362*$D362</f>
        <v/>
      </c>
      <c r="W362" s="3">
        <f>L362*$D362</f>
        <v/>
      </c>
      <c r="X362" s="3">
        <f>M362*$D362</f>
        <v/>
      </c>
      <c r="Y362" s="3">
        <f>N362*$D362</f>
        <v/>
      </c>
      <c r="Z362" s="3">
        <f>C362*$D362</f>
        <v/>
      </c>
      <c r="AA362" s="9">
        <f>$L978+$K978*E362+$J978*F362+$I978*G362+$H978*H362+$G978*I362+$F978*J362+$E978*K362+$D978*L362+$C978*M362+$B978*N362</f>
        <v/>
      </c>
      <c r="AB362" s="9">
        <f>C362-AA362</f>
        <v/>
      </c>
      <c r="AC362" s="4">
        <f>AB362^2</f>
        <v/>
      </c>
    </row>
    <row r="363">
      <c r="A363" t="inlineStr">
        <is>
          <t>BBG000BCMBG4</t>
        </is>
      </c>
      <c r="B363" t="inlineStr">
        <is>
          <t>ftnt</t>
        </is>
      </c>
      <c r="C363" s="9" t="n">
        <v>0.00284057479639821</v>
      </c>
      <c r="D363" s="3">
        <f>EXP(0.25*'3b-d Exposures'!G441)</f>
        <v/>
      </c>
      <c r="E363" s="3">
        <f>IF('3b-d Exposures'!C441="",0,'3b-d Exposures'!C441)</f>
        <v/>
      </c>
      <c r="F363" s="3">
        <f>IF('3b-d Exposures'!E441="",0,'3b-d Exposures'!E441)</f>
        <v/>
      </c>
      <c r="G363" s="3">
        <f>IF('3b-d Exposures'!G441="",0,'3b-d Exposures'!G441)</f>
        <v/>
      </c>
      <c r="H363" s="3">
        <f>IF('3b-d Exposures'!I441="",0,'3b-d Exposures'!I441)</f>
        <v/>
      </c>
      <c r="I363" s="3">
        <f>IF('3b-d Exposures'!K441="",0,'3b-d Exposures'!K441)</f>
        <v/>
      </c>
      <c r="J363" s="3">
        <f>IF('3b-d Exposures'!M441="",0,'3b-d Exposures'!M441)</f>
        <v/>
      </c>
      <c r="K363" s="3">
        <f>IF('3b-d Exposures'!O441="",0,'3b-d Exposures'!O441)</f>
        <v/>
      </c>
      <c r="L363" s="3">
        <f>IF('3b-d Exposures'!Q441="",0,'3b-d Exposures'!Q441)</f>
        <v/>
      </c>
      <c r="M363" s="3">
        <f>IF('3b-d Exposures'!S441="",0,'3b-d Exposures'!S441)</f>
        <v/>
      </c>
      <c r="N363" s="3">
        <f>IF('3b-d Exposures'!Z441="",0,'3b-d Exposures'!Z441)</f>
        <v/>
      </c>
      <c r="O363" s="3">
        <f>$D363</f>
        <v/>
      </c>
      <c r="P363" s="3">
        <f>E363*$D363</f>
        <v/>
      </c>
      <c r="Q363" s="3">
        <f>F363*$D363</f>
        <v/>
      </c>
      <c r="R363" s="3">
        <f>G363*$D363</f>
        <v/>
      </c>
      <c r="S363" s="3">
        <f>H363*$D363</f>
        <v/>
      </c>
      <c r="T363" s="3">
        <f>I363*$D363</f>
        <v/>
      </c>
      <c r="U363" s="3">
        <f>J363*$D363</f>
        <v/>
      </c>
      <c r="V363" s="3">
        <f>K363*$D363</f>
        <v/>
      </c>
      <c r="W363" s="3">
        <f>L363*$D363</f>
        <v/>
      </c>
      <c r="X363" s="3">
        <f>M363*$D363</f>
        <v/>
      </c>
      <c r="Y363" s="3">
        <f>N363*$D363</f>
        <v/>
      </c>
      <c r="Z363" s="3">
        <f>C363*$D363</f>
        <v/>
      </c>
      <c r="AA363" s="9">
        <f>$L978+$K978*E363+$J978*F363+$I978*G363+$H978*H363+$G978*I363+$F978*J363+$E978*K363+$D978*L363+$C978*M363+$B978*N363</f>
        <v/>
      </c>
      <c r="AB363" s="9">
        <f>C363-AA363</f>
        <v/>
      </c>
      <c r="AC363" s="4">
        <f>AB363^2</f>
        <v/>
      </c>
    </row>
    <row r="364">
      <c r="A364" t="inlineStr">
        <is>
          <t>BBG01GZF9VY6</t>
        </is>
      </c>
      <c r="B364" t="inlineStr">
        <is>
          <t>ftre</t>
        </is>
      </c>
      <c r="C364" s="9" t="n">
        <v>0.03325419421902098</v>
      </c>
      <c r="D364" s="3">
        <f>EXP(0.25*'3b-d Exposures'!G442)</f>
        <v/>
      </c>
      <c r="E364" s="3">
        <f>IF('3b-d Exposures'!C442="",0,'3b-d Exposures'!C442)</f>
        <v/>
      </c>
      <c r="F364" s="3">
        <f>IF('3b-d Exposures'!E442="",0,'3b-d Exposures'!E442)</f>
        <v/>
      </c>
      <c r="G364" s="3">
        <f>IF('3b-d Exposures'!G442="",0,'3b-d Exposures'!G442)</f>
        <v/>
      </c>
      <c r="H364" s="3">
        <f>IF('3b-d Exposures'!I442="",0,'3b-d Exposures'!I442)</f>
        <v/>
      </c>
      <c r="I364" s="3">
        <f>IF('3b-d Exposures'!K442="",0,'3b-d Exposures'!K442)</f>
        <v/>
      </c>
      <c r="J364" s="3">
        <f>IF('3b-d Exposures'!M442="",0,'3b-d Exposures'!M442)</f>
        <v/>
      </c>
      <c r="K364" s="3">
        <f>IF('3b-d Exposures'!O442="",0,'3b-d Exposures'!O442)</f>
        <v/>
      </c>
      <c r="L364" s="3">
        <f>IF('3b-d Exposures'!Q442="",0,'3b-d Exposures'!Q442)</f>
        <v/>
      </c>
      <c r="M364" s="3">
        <f>IF('3b-d Exposures'!S442="",0,'3b-d Exposures'!S442)</f>
        <v/>
      </c>
      <c r="N364" s="3">
        <f>IF('3b-d Exposures'!Z442="",0,'3b-d Exposures'!Z442)</f>
        <v/>
      </c>
      <c r="O364" s="3">
        <f>$D364</f>
        <v/>
      </c>
      <c r="P364" s="3">
        <f>E364*$D364</f>
        <v/>
      </c>
      <c r="Q364" s="3">
        <f>F364*$D364</f>
        <v/>
      </c>
      <c r="R364" s="3">
        <f>G364*$D364</f>
        <v/>
      </c>
      <c r="S364" s="3">
        <f>H364*$D364</f>
        <v/>
      </c>
      <c r="T364" s="3">
        <f>I364*$D364</f>
        <v/>
      </c>
      <c r="U364" s="3">
        <f>J364*$D364</f>
        <v/>
      </c>
      <c r="V364" s="3">
        <f>K364*$D364</f>
        <v/>
      </c>
      <c r="W364" s="3">
        <f>L364*$D364</f>
        <v/>
      </c>
      <c r="X364" s="3">
        <f>M364*$D364</f>
        <v/>
      </c>
      <c r="Y364" s="3">
        <f>N364*$D364</f>
        <v/>
      </c>
      <c r="Z364" s="3">
        <f>C364*$D364</f>
        <v/>
      </c>
      <c r="AA364" s="9">
        <f>$L978+$K978*E364+$J978*F364+$I978*G364+$H978*H364+$G978*I364+$F978*J364+$E978*K364+$D978*L364+$C978*M364+$B978*N364</f>
        <v/>
      </c>
      <c r="AB364" s="9">
        <f>C364-AA364</f>
        <v/>
      </c>
      <c r="AC364" s="4">
        <f>AB364^2</f>
        <v/>
      </c>
    </row>
    <row r="365">
      <c r="A365" t="inlineStr">
        <is>
          <t>BBG00BLVZ228</t>
        </is>
      </c>
      <c r="B365" t="inlineStr">
        <is>
          <t>ftv</t>
        </is>
      </c>
      <c r="C365" s="9" t="n">
        <v>-0.004664089259042714</v>
      </c>
      <c r="D365" s="3">
        <f>EXP(0.25*'3b-d Exposures'!G443)</f>
        <v/>
      </c>
      <c r="E365" s="3">
        <f>IF('3b-d Exposures'!C443="",0,'3b-d Exposures'!C443)</f>
        <v/>
      </c>
      <c r="F365" s="3">
        <f>IF('3b-d Exposures'!E443="",0,'3b-d Exposures'!E443)</f>
        <v/>
      </c>
      <c r="G365" s="3">
        <f>IF('3b-d Exposures'!G443="",0,'3b-d Exposures'!G443)</f>
        <v/>
      </c>
      <c r="H365" s="3">
        <f>IF('3b-d Exposures'!I443="",0,'3b-d Exposures'!I443)</f>
        <v/>
      </c>
      <c r="I365" s="3">
        <f>IF('3b-d Exposures'!K443="",0,'3b-d Exposures'!K443)</f>
        <v/>
      </c>
      <c r="J365" s="3">
        <f>IF('3b-d Exposures'!M443="",0,'3b-d Exposures'!M443)</f>
        <v/>
      </c>
      <c r="K365" s="3">
        <f>IF('3b-d Exposures'!O443="",0,'3b-d Exposures'!O443)</f>
        <v/>
      </c>
      <c r="L365" s="3">
        <f>IF('3b-d Exposures'!Q443="",0,'3b-d Exposures'!Q443)</f>
        <v/>
      </c>
      <c r="M365" s="3">
        <f>IF('3b-d Exposures'!S443="",0,'3b-d Exposures'!S443)</f>
        <v/>
      </c>
      <c r="N365" s="3">
        <f>IF('3b-d Exposures'!Z443="",0,'3b-d Exposures'!Z443)</f>
        <v/>
      </c>
      <c r="O365" s="3">
        <f>$D365</f>
        <v/>
      </c>
      <c r="P365" s="3">
        <f>E365*$D365</f>
        <v/>
      </c>
      <c r="Q365" s="3">
        <f>F365*$D365</f>
        <v/>
      </c>
      <c r="R365" s="3">
        <f>G365*$D365</f>
        <v/>
      </c>
      <c r="S365" s="3">
        <f>H365*$D365</f>
        <v/>
      </c>
      <c r="T365" s="3">
        <f>I365*$D365</f>
        <v/>
      </c>
      <c r="U365" s="3">
        <f>J365*$D365</f>
        <v/>
      </c>
      <c r="V365" s="3">
        <f>K365*$D365</f>
        <v/>
      </c>
      <c r="W365" s="3">
        <f>L365*$D365</f>
        <v/>
      </c>
      <c r="X365" s="3">
        <f>M365*$D365</f>
        <v/>
      </c>
      <c r="Y365" s="3">
        <f>N365*$D365</f>
        <v/>
      </c>
      <c r="Z365" s="3">
        <f>C365*$D365</f>
        <v/>
      </c>
      <c r="AA365" s="9">
        <f>$L978+$K978*E365+$J978*F365+$I978*G365+$H978*H365+$G978*I365+$F978*J365+$E978*K365+$D978*L365+$C978*M365+$B978*N365</f>
        <v/>
      </c>
      <c r="AB365" s="9">
        <f>C365-AA365</f>
        <v/>
      </c>
      <c r="AC365" s="4">
        <f>AB365^2</f>
        <v/>
      </c>
    </row>
    <row r="366">
      <c r="A366" t="inlineStr">
        <is>
          <t>BBG01K8GRMX6</t>
        </is>
      </c>
      <c r="B366" t="inlineStr">
        <is>
          <t>fun</t>
        </is>
      </c>
      <c r="C366" s="9" t="n">
        <v>0.04676336678137738</v>
      </c>
      <c r="D366" s="3">
        <f>EXP(0.25*'3b-d Exposures'!G444)</f>
        <v/>
      </c>
      <c r="E366" s="3">
        <f>IF('3b-d Exposures'!C444="",0,'3b-d Exposures'!C444)</f>
        <v/>
      </c>
      <c r="F366" s="3">
        <f>IF('3b-d Exposures'!E444="",0,'3b-d Exposures'!E444)</f>
        <v/>
      </c>
      <c r="G366" s="3">
        <f>IF('3b-d Exposures'!G444="",0,'3b-d Exposures'!G444)</f>
        <v/>
      </c>
      <c r="H366" s="3">
        <f>IF('3b-d Exposures'!I444="",0,'3b-d Exposures'!I444)</f>
        <v/>
      </c>
      <c r="I366" s="3">
        <f>IF('3b-d Exposures'!K444="",0,'3b-d Exposures'!K444)</f>
        <v/>
      </c>
      <c r="J366" s="3">
        <f>IF('3b-d Exposures'!M444="",0,'3b-d Exposures'!M444)</f>
        <v/>
      </c>
      <c r="K366" s="3">
        <f>IF('3b-d Exposures'!O444="",0,'3b-d Exposures'!O444)</f>
        <v/>
      </c>
      <c r="L366" s="3">
        <f>IF('3b-d Exposures'!Q444="",0,'3b-d Exposures'!Q444)</f>
        <v/>
      </c>
      <c r="M366" s="3">
        <f>IF('3b-d Exposures'!S444="",0,'3b-d Exposures'!S444)</f>
        <v/>
      </c>
      <c r="N366" s="3">
        <f>IF('3b-d Exposures'!Z444="",0,'3b-d Exposures'!Z444)</f>
        <v/>
      </c>
      <c r="O366" s="3">
        <f>$D366</f>
        <v/>
      </c>
      <c r="P366" s="3">
        <f>E366*$D366</f>
        <v/>
      </c>
      <c r="Q366" s="3">
        <f>F366*$D366</f>
        <v/>
      </c>
      <c r="R366" s="3">
        <f>G366*$D366</f>
        <v/>
      </c>
      <c r="S366" s="3">
        <f>H366*$D366</f>
        <v/>
      </c>
      <c r="T366" s="3">
        <f>I366*$D366</f>
        <v/>
      </c>
      <c r="U366" s="3">
        <f>J366*$D366</f>
        <v/>
      </c>
      <c r="V366" s="3">
        <f>K366*$D366</f>
        <v/>
      </c>
      <c r="W366" s="3">
        <f>L366*$D366</f>
        <v/>
      </c>
      <c r="X366" s="3">
        <f>M366*$D366</f>
        <v/>
      </c>
      <c r="Y366" s="3">
        <f>N366*$D366</f>
        <v/>
      </c>
      <c r="Z366" s="3">
        <f>C366*$D366</f>
        <v/>
      </c>
      <c r="AA366" s="9">
        <f>$L978+$K978*E366+$J978*F366+$I978*G366+$H978*H366+$G978*I366+$F978*J366+$E978*K366+$D978*L366+$C978*M366+$B978*N366</f>
        <v/>
      </c>
      <c r="AB366" s="9">
        <f>C366-AA366</f>
        <v/>
      </c>
      <c r="AC366" s="4">
        <f>AB366^2</f>
        <v/>
      </c>
    </row>
    <row r="367">
      <c r="A367" t="inlineStr">
        <is>
          <t>BBG000C32KN7</t>
        </is>
      </c>
      <c r="B367" t="inlineStr">
        <is>
          <t>gain</t>
        </is>
      </c>
      <c r="C367" s="9" t="n">
        <v>0.006588659677022823</v>
      </c>
      <c r="D367" s="3">
        <f>EXP(0.25*'3b-d Exposures'!G448)</f>
        <v/>
      </c>
      <c r="E367" s="3">
        <f>IF('3b-d Exposures'!C448="",0,'3b-d Exposures'!C448)</f>
        <v/>
      </c>
      <c r="F367" s="3">
        <f>IF('3b-d Exposures'!E448="",0,'3b-d Exposures'!E448)</f>
        <v/>
      </c>
      <c r="G367" s="3">
        <f>IF('3b-d Exposures'!G448="",0,'3b-d Exposures'!G448)</f>
        <v/>
      </c>
      <c r="H367" s="3">
        <f>IF('3b-d Exposures'!I448="",0,'3b-d Exposures'!I448)</f>
        <v/>
      </c>
      <c r="I367" s="3">
        <f>IF('3b-d Exposures'!K448="",0,'3b-d Exposures'!K448)</f>
        <v/>
      </c>
      <c r="J367" s="3">
        <f>IF('3b-d Exposures'!M448="",0,'3b-d Exposures'!M448)</f>
        <v/>
      </c>
      <c r="K367" s="3">
        <f>IF('3b-d Exposures'!O448="",0,'3b-d Exposures'!O448)</f>
        <v/>
      </c>
      <c r="L367" s="3">
        <f>IF('3b-d Exposures'!Q448="",0,'3b-d Exposures'!Q448)</f>
        <v/>
      </c>
      <c r="M367" s="3">
        <f>IF('3b-d Exposures'!S448="",0,'3b-d Exposures'!S448)</f>
        <v/>
      </c>
      <c r="N367" s="3">
        <f>IF('3b-d Exposures'!Z448="",0,'3b-d Exposures'!Z448)</f>
        <v/>
      </c>
      <c r="O367" s="3">
        <f>$D367</f>
        <v/>
      </c>
      <c r="P367" s="3">
        <f>E367*$D367</f>
        <v/>
      </c>
      <c r="Q367" s="3">
        <f>F367*$D367</f>
        <v/>
      </c>
      <c r="R367" s="3">
        <f>G367*$D367</f>
        <v/>
      </c>
      <c r="S367" s="3">
        <f>H367*$D367</f>
        <v/>
      </c>
      <c r="T367" s="3">
        <f>I367*$D367</f>
        <v/>
      </c>
      <c r="U367" s="3">
        <f>J367*$D367</f>
        <v/>
      </c>
      <c r="V367" s="3">
        <f>K367*$D367</f>
        <v/>
      </c>
      <c r="W367" s="3">
        <f>L367*$D367</f>
        <v/>
      </c>
      <c r="X367" s="3">
        <f>M367*$D367</f>
        <v/>
      </c>
      <c r="Y367" s="3">
        <f>N367*$D367</f>
        <v/>
      </c>
      <c r="Z367" s="3">
        <f>C367*$D367</f>
        <v/>
      </c>
      <c r="AA367" s="9">
        <f>$L978+$K978*E367+$J978*F367+$I978*G367+$H978*H367+$G978*I367+$F978*J367+$E978*K367+$D978*L367+$C978*M367+$B978*N367</f>
        <v/>
      </c>
      <c r="AB367" s="9">
        <f>C367-AA367</f>
        <v/>
      </c>
      <c r="AC367" s="4">
        <f>AB367^2</f>
        <v/>
      </c>
    </row>
    <row r="368">
      <c r="A368" t="inlineStr">
        <is>
          <t>BBG000BK6FP5</t>
        </is>
      </c>
      <c r="B368" t="inlineStr">
        <is>
          <t>galt</t>
        </is>
      </c>
      <c r="C368" s="9" t="n">
        <v>-0.03114192018026751</v>
      </c>
      <c r="D368" s="3">
        <f>EXP(0.25*'3b-d Exposures'!G449)</f>
        <v/>
      </c>
      <c r="E368" s="3">
        <f>IF('3b-d Exposures'!C449="",0,'3b-d Exposures'!C449)</f>
        <v/>
      </c>
      <c r="F368" s="3">
        <f>IF('3b-d Exposures'!E449="",0,'3b-d Exposures'!E449)</f>
        <v/>
      </c>
      <c r="G368" s="3">
        <f>IF('3b-d Exposures'!G449="",0,'3b-d Exposures'!G449)</f>
        <v/>
      </c>
      <c r="H368" s="3">
        <f>IF('3b-d Exposures'!I449="",0,'3b-d Exposures'!I449)</f>
        <v/>
      </c>
      <c r="I368" s="3">
        <f>IF('3b-d Exposures'!K449="",0,'3b-d Exposures'!K449)</f>
        <v/>
      </c>
      <c r="J368" s="3">
        <f>IF('3b-d Exposures'!M449="",0,'3b-d Exposures'!M449)</f>
        <v/>
      </c>
      <c r="K368" s="3">
        <f>IF('3b-d Exposures'!O449="",0,'3b-d Exposures'!O449)</f>
        <v/>
      </c>
      <c r="L368" s="3">
        <f>IF('3b-d Exposures'!Q449="",0,'3b-d Exposures'!Q449)</f>
        <v/>
      </c>
      <c r="M368" s="3">
        <f>IF('3b-d Exposures'!S449="",0,'3b-d Exposures'!S449)</f>
        <v/>
      </c>
      <c r="N368" s="3">
        <f>IF('3b-d Exposures'!Z449="",0,'3b-d Exposures'!Z449)</f>
        <v/>
      </c>
      <c r="O368" s="3">
        <f>$D368</f>
        <v/>
      </c>
      <c r="P368" s="3">
        <f>E368*$D368</f>
        <v/>
      </c>
      <c r="Q368" s="3">
        <f>F368*$D368</f>
        <v/>
      </c>
      <c r="R368" s="3">
        <f>G368*$D368</f>
        <v/>
      </c>
      <c r="S368" s="3">
        <f>H368*$D368</f>
        <v/>
      </c>
      <c r="T368" s="3">
        <f>I368*$D368</f>
        <v/>
      </c>
      <c r="U368" s="3">
        <f>J368*$D368</f>
        <v/>
      </c>
      <c r="V368" s="3">
        <f>K368*$D368</f>
        <v/>
      </c>
      <c r="W368" s="3">
        <f>L368*$D368</f>
        <v/>
      </c>
      <c r="X368" s="3">
        <f>M368*$D368</f>
        <v/>
      </c>
      <c r="Y368" s="3">
        <f>N368*$D368</f>
        <v/>
      </c>
      <c r="Z368" s="3">
        <f>C368*$D368</f>
        <v/>
      </c>
      <c r="AA368" s="9">
        <f>$L978+$K978*E368+$J978*F368+$I978*G368+$H978*H368+$G978*I368+$F978*J368+$E978*K368+$D978*L368+$C978*M368+$B978*N368</f>
        <v/>
      </c>
      <c r="AB368" s="9">
        <f>C368-AA368</f>
        <v/>
      </c>
      <c r="AC368" s="4">
        <f>AB368^2</f>
        <v/>
      </c>
    </row>
    <row r="369">
      <c r="A369" t="inlineStr">
        <is>
          <t>BBG000BKLH74</t>
        </is>
      </c>
      <c r="B369" t="inlineStr">
        <is>
          <t>gap</t>
        </is>
      </c>
      <c r="C369" s="9" t="n">
        <v>0.06432979999447608</v>
      </c>
      <c r="D369" s="3">
        <f>EXP(0.25*'3b-d Exposures'!G450)</f>
        <v/>
      </c>
      <c r="E369" s="3">
        <f>IF('3b-d Exposures'!C450="",0,'3b-d Exposures'!C450)</f>
        <v/>
      </c>
      <c r="F369" s="3">
        <f>IF('3b-d Exposures'!E450="",0,'3b-d Exposures'!E450)</f>
        <v/>
      </c>
      <c r="G369" s="3">
        <f>IF('3b-d Exposures'!G450="",0,'3b-d Exposures'!G450)</f>
        <v/>
      </c>
      <c r="H369" s="3">
        <f>IF('3b-d Exposures'!I450="",0,'3b-d Exposures'!I450)</f>
        <v/>
      </c>
      <c r="I369" s="3">
        <f>IF('3b-d Exposures'!K450="",0,'3b-d Exposures'!K450)</f>
        <v/>
      </c>
      <c r="J369" s="3">
        <f>IF('3b-d Exposures'!M450="",0,'3b-d Exposures'!M450)</f>
        <v/>
      </c>
      <c r="K369" s="3">
        <f>IF('3b-d Exposures'!O450="",0,'3b-d Exposures'!O450)</f>
        <v/>
      </c>
      <c r="L369" s="3">
        <f>IF('3b-d Exposures'!Q450="",0,'3b-d Exposures'!Q450)</f>
        <v/>
      </c>
      <c r="M369" s="3">
        <f>IF('3b-d Exposures'!S450="",0,'3b-d Exposures'!S450)</f>
        <v/>
      </c>
      <c r="N369" s="3">
        <f>IF('3b-d Exposures'!Z450="",0,'3b-d Exposures'!Z450)</f>
        <v/>
      </c>
      <c r="O369" s="3">
        <f>$D369</f>
        <v/>
      </c>
      <c r="P369" s="3">
        <f>E369*$D369</f>
        <v/>
      </c>
      <c r="Q369" s="3">
        <f>F369*$D369</f>
        <v/>
      </c>
      <c r="R369" s="3">
        <f>G369*$D369</f>
        <v/>
      </c>
      <c r="S369" s="3">
        <f>H369*$D369</f>
        <v/>
      </c>
      <c r="T369" s="3">
        <f>I369*$D369</f>
        <v/>
      </c>
      <c r="U369" s="3">
        <f>J369*$D369</f>
        <v/>
      </c>
      <c r="V369" s="3">
        <f>K369*$D369</f>
        <v/>
      </c>
      <c r="W369" s="3">
        <f>L369*$D369</f>
        <v/>
      </c>
      <c r="X369" s="3">
        <f>M369*$D369</f>
        <v/>
      </c>
      <c r="Y369" s="3">
        <f>N369*$D369</f>
        <v/>
      </c>
      <c r="Z369" s="3">
        <f>C369*$D369</f>
        <v/>
      </c>
      <c r="AA369" s="9">
        <f>$L978+$K978*E369+$J978*F369+$I978*G369+$H978*H369+$G978*I369+$F978*J369+$E978*K369+$D978*L369+$C978*M369+$B978*N369</f>
        <v/>
      </c>
      <c r="AB369" s="9">
        <f>C369-AA369</f>
        <v/>
      </c>
      <c r="AC369" s="4">
        <f>AB369^2</f>
        <v/>
      </c>
    </row>
    <row r="370">
      <c r="A370" t="inlineStr">
        <is>
          <t>BBG000PXNF64</t>
        </is>
      </c>
      <c r="B370" t="inlineStr">
        <is>
          <t>gbdc</t>
        </is>
      </c>
      <c r="C370" s="9" t="n">
        <v>-0.005105234372279499</v>
      </c>
      <c r="D370" s="3">
        <f>EXP(0.25*'3b-d Exposures'!G451)</f>
        <v/>
      </c>
      <c r="E370" s="3">
        <f>IF('3b-d Exposures'!C451="",0,'3b-d Exposures'!C451)</f>
        <v/>
      </c>
      <c r="F370" s="3">
        <f>IF('3b-d Exposures'!E451="",0,'3b-d Exposures'!E451)</f>
        <v/>
      </c>
      <c r="G370" s="3">
        <f>IF('3b-d Exposures'!G451="",0,'3b-d Exposures'!G451)</f>
        <v/>
      </c>
      <c r="H370" s="3">
        <f>IF('3b-d Exposures'!I451="",0,'3b-d Exposures'!I451)</f>
        <v/>
      </c>
      <c r="I370" s="3">
        <f>IF('3b-d Exposures'!K451="",0,'3b-d Exposures'!K451)</f>
        <v/>
      </c>
      <c r="J370" s="3">
        <f>IF('3b-d Exposures'!M451="",0,'3b-d Exposures'!M451)</f>
        <v/>
      </c>
      <c r="K370" s="3">
        <f>IF('3b-d Exposures'!O451="",0,'3b-d Exposures'!O451)</f>
        <v/>
      </c>
      <c r="L370" s="3">
        <f>IF('3b-d Exposures'!Q451="",0,'3b-d Exposures'!Q451)</f>
        <v/>
      </c>
      <c r="M370" s="3">
        <f>IF('3b-d Exposures'!S451="",0,'3b-d Exposures'!S451)</f>
        <v/>
      </c>
      <c r="N370" s="3">
        <f>IF('3b-d Exposures'!Z451="",0,'3b-d Exposures'!Z451)</f>
        <v/>
      </c>
      <c r="O370" s="3">
        <f>$D370</f>
        <v/>
      </c>
      <c r="P370" s="3">
        <f>E370*$D370</f>
        <v/>
      </c>
      <c r="Q370" s="3">
        <f>F370*$D370</f>
        <v/>
      </c>
      <c r="R370" s="3">
        <f>G370*$D370</f>
        <v/>
      </c>
      <c r="S370" s="3">
        <f>H370*$D370</f>
        <v/>
      </c>
      <c r="T370" s="3">
        <f>I370*$D370</f>
        <v/>
      </c>
      <c r="U370" s="3">
        <f>J370*$D370</f>
        <v/>
      </c>
      <c r="V370" s="3">
        <f>K370*$D370</f>
        <v/>
      </c>
      <c r="W370" s="3">
        <f>L370*$D370</f>
        <v/>
      </c>
      <c r="X370" s="3">
        <f>M370*$D370</f>
        <v/>
      </c>
      <c r="Y370" s="3">
        <f>N370*$D370</f>
        <v/>
      </c>
      <c r="Z370" s="3">
        <f>C370*$D370</f>
        <v/>
      </c>
      <c r="AA370" s="9">
        <f>$L978+$K978*E370+$J978*F370+$I978*G370+$H978*H370+$G978*I370+$F978*J370+$E978*K370+$D978*L370+$C978*M370+$B978*N370</f>
        <v/>
      </c>
      <c r="AB370" s="9">
        <f>C370-AA370</f>
        <v/>
      </c>
      <c r="AC370" s="4">
        <f>AB370^2</f>
        <v/>
      </c>
    </row>
    <row r="371">
      <c r="A371" t="inlineStr">
        <is>
          <t>gd</t>
        </is>
      </c>
      <c r="B371" t="inlineStr">
        <is>
          <t>gd</t>
        </is>
      </c>
      <c r="C371" s="9" t="n">
        <v>-0.02665386436343198</v>
      </c>
      <c r="D371" s="3">
        <f>EXP(0.25*'3b-d Exposures'!G452)</f>
        <v/>
      </c>
      <c r="E371" s="3">
        <f>IF('3b-d Exposures'!C452="",0,'3b-d Exposures'!C452)</f>
        <v/>
      </c>
      <c r="F371" s="3">
        <f>IF('3b-d Exposures'!E452="",0,'3b-d Exposures'!E452)</f>
        <v/>
      </c>
      <c r="G371" s="3">
        <f>IF('3b-d Exposures'!G452="",0,'3b-d Exposures'!G452)</f>
        <v/>
      </c>
      <c r="H371" s="3">
        <f>IF('3b-d Exposures'!I452="",0,'3b-d Exposures'!I452)</f>
        <v/>
      </c>
      <c r="I371" s="3">
        <f>IF('3b-d Exposures'!K452="",0,'3b-d Exposures'!K452)</f>
        <v/>
      </c>
      <c r="J371" s="3">
        <f>IF('3b-d Exposures'!M452="",0,'3b-d Exposures'!M452)</f>
        <v/>
      </c>
      <c r="K371" s="3">
        <f>IF('3b-d Exposures'!O452="",0,'3b-d Exposures'!O452)</f>
        <v/>
      </c>
      <c r="L371" s="3">
        <f>IF('3b-d Exposures'!Q452="",0,'3b-d Exposures'!Q452)</f>
        <v/>
      </c>
      <c r="M371" s="3">
        <f>IF('3b-d Exposures'!S452="",0,'3b-d Exposures'!S452)</f>
        <v/>
      </c>
      <c r="N371" s="3">
        <f>IF('3b-d Exposures'!Z452="",0,'3b-d Exposures'!Z452)</f>
        <v/>
      </c>
      <c r="O371" s="3">
        <f>$D371</f>
        <v/>
      </c>
      <c r="P371" s="3">
        <f>E371*$D371</f>
        <v/>
      </c>
      <c r="Q371" s="3">
        <f>F371*$D371</f>
        <v/>
      </c>
      <c r="R371" s="3">
        <f>G371*$D371</f>
        <v/>
      </c>
      <c r="S371" s="3">
        <f>H371*$D371</f>
        <v/>
      </c>
      <c r="T371" s="3">
        <f>I371*$D371</f>
        <v/>
      </c>
      <c r="U371" s="3">
        <f>J371*$D371</f>
        <v/>
      </c>
      <c r="V371" s="3">
        <f>K371*$D371</f>
        <v/>
      </c>
      <c r="W371" s="3">
        <f>L371*$D371</f>
        <v/>
      </c>
      <c r="X371" s="3">
        <f>M371*$D371</f>
        <v/>
      </c>
      <c r="Y371" s="3">
        <f>N371*$D371</f>
        <v/>
      </c>
      <c r="Z371" s="3">
        <f>C371*$D371</f>
        <v/>
      </c>
      <c r="AA371" s="9">
        <f>$L978+$K978*E371+$J978*F371+$I978*G371+$H978*H371+$G978*I371+$F978*J371+$E978*K371+$D978*L371+$C978*M371+$B978*N371</f>
        <v/>
      </c>
      <c r="AB371" s="9">
        <f>C371-AA371</f>
        <v/>
      </c>
      <c r="AC371" s="4">
        <f>AB371^2</f>
        <v/>
      </c>
    </row>
    <row r="372">
      <c r="A372" t="inlineStr">
        <is>
          <t>BBG006MDLY05</t>
        </is>
      </c>
      <c r="B372" t="inlineStr">
        <is>
          <t>gddy</t>
        </is>
      </c>
      <c r="C372" s="9" t="n">
        <v>0.0002530130643094708</v>
      </c>
      <c r="D372" s="3">
        <f>EXP(0.25*'3b-d Exposures'!G453)</f>
        <v/>
      </c>
      <c r="E372" s="3">
        <f>IF('3b-d Exposures'!C453="",0,'3b-d Exposures'!C453)</f>
        <v/>
      </c>
      <c r="F372" s="3">
        <f>IF('3b-d Exposures'!E453="",0,'3b-d Exposures'!E453)</f>
        <v/>
      </c>
      <c r="G372" s="3">
        <f>IF('3b-d Exposures'!G453="",0,'3b-d Exposures'!G453)</f>
        <v/>
      </c>
      <c r="H372" s="3">
        <f>IF('3b-d Exposures'!I453="",0,'3b-d Exposures'!I453)</f>
        <v/>
      </c>
      <c r="I372" s="3">
        <f>IF('3b-d Exposures'!K453="",0,'3b-d Exposures'!K453)</f>
        <v/>
      </c>
      <c r="J372" s="3">
        <f>IF('3b-d Exposures'!M453="",0,'3b-d Exposures'!M453)</f>
        <v/>
      </c>
      <c r="K372" s="3">
        <f>IF('3b-d Exposures'!O453="",0,'3b-d Exposures'!O453)</f>
        <v/>
      </c>
      <c r="L372" s="3">
        <f>IF('3b-d Exposures'!Q453="",0,'3b-d Exposures'!Q453)</f>
        <v/>
      </c>
      <c r="M372" s="3">
        <f>IF('3b-d Exposures'!S453="",0,'3b-d Exposures'!S453)</f>
        <v/>
      </c>
      <c r="N372" s="3">
        <f>IF('3b-d Exposures'!Z453="",0,'3b-d Exposures'!Z453)</f>
        <v/>
      </c>
      <c r="O372" s="3">
        <f>$D372</f>
        <v/>
      </c>
      <c r="P372" s="3">
        <f>E372*$D372</f>
        <v/>
      </c>
      <c r="Q372" s="3">
        <f>F372*$D372</f>
        <v/>
      </c>
      <c r="R372" s="3">
        <f>G372*$D372</f>
        <v/>
      </c>
      <c r="S372" s="3">
        <f>H372*$D372</f>
        <v/>
      </c>
      <c r="T372" s="3">
        <f>I372*$D372</f>
        <v/>
      </c>
      <c r="U372" s="3">
        <f>J372*$D372</f>
        <v/>
      </c>
      <c r="V372" s="3">
        <f>K372*$D372</f>
        <v/>
      </c>
      <c r="W372" s="3">
        <f>L372*$D372</f>
        <v/>
      </c>
      <c r="X372" s="3">
        <f>M372*$D372</f>
        <v/>
      </c>
      <c r="Y372" s="3">
        <f>N372*$D372</f>
        <v/>
      </c>
      <c r="Z372" s="3">
        <f>C372*$D372</f>
        <v/>
      </c>
      <c r="AA372" s="9">
        <f>$L978+$K978*E372+$J978*F372+$I978*G372+$H978*H372+$G978*I372+$F978*J372+$E978*K372+$D978*L372+$C978*M372+$B978*N372</f>
        <v/>
      </c>
      <c r="AB372" s="9">
        <f>C372-AA372</f>
        <v/>
      </c>
      <c r="AC372" s="4">
        <f>AB372^2</f>
        <v/>
      </c>
    </row>
    <row r="373">
      <c r="A373" t="inlineStr">
        <is>
          <t>BBG00DYK7TL5</t>
        </is>
      </c>
      <c r="B373" t="inlineStr">
        <is>
          <t>gds</t>
        </is>
      </c>
      <c r="C373" s="9" t="n">
        <v>0.005586526156394322</v>
      </c>
      <c r="D373" s="3">
        <f>EXP(0.25*'3b-d Exposures'!G454)</f>
        <v/>
      </c>
      <c r="E373" s="3">
        <f>IF('3b-d Exposures'!C454="",0,'3b-d Exposures'!C454)</f>
        <v/>
      </c>
      <c r="F373" s="3">
        <f>IF('3b-d Exposures'!E454="",0,'3b-d Exposures'!E454)</f>
        <v/>
      </c>
      <c r="G373" s="3">
        <f>IF('3b-d Exposures'!G454="",0,'3b-d Exposures'!G454)</f>
        <v/>
      </c>
      <c r="H373" s="3">
        <f>IF('3b-d Exposures'!I454="",0,'3b-d Exposures'!I454)</f>
        <v/>
      </c>
      <c r="I373" s="3">
        <f>IF('3b-d Exposures'!K454="",0,'3b-d Exposures'!K454)</f>
        <v/>
      </c>
      <c r="J373" s="3">
        <f>IF('3b-d Exposures'!M454="",0,'3b-d Exposures'!M454)</f>
        <v/>
      </c>
      <c r="K373" s="3">
        <f>IF('3b-d Exposures'!O454="",0,'3b-d Exposures'!O454)</f>
        <v/>
      </c>
      <c r="L373" s="3">
        <f>IF('3b-d Exposures'!Q454="",0,'3b-d Exposures'!Q454)</f>
        <v/>
      </c>
      <c r="M373" s="3">
        <f>IF('3b-d Exposures'!S454="",0,'3b-d Exposures'!S454)</f>
        <v/>
      </c>
      <c r="N373" s="3">
        <f>IF('3b-d Exposures'!Z454="",0,'3b-d Exposures'!Z454)</f>
        <v/>
      </c>
      <c r="O373" s="3">
        <f>$D373</f>
        <v/>
      </c>
      <c r="P373" s="3">
        <f>E373*$D373</f>
        <v/>
      </c>
      <c r="Q373" s="3">
        <f>F373*$D373</f>
        <v/>
      </c>
      <c r="R373" s="3">
        <f>G373*$D373</f>
        <v/>
      </c>
      <c r="S373" s="3">
        <f>H373*$D373</f>
        <v/>
      </c>
      <c r="T373" s="3">
        <f>I373*$D373</f>
        <v/>
      </c>
      <c r="U373" s="3">
        <f>J373*$D373</f>
        <v/>
      </c>
      <c r="V373" s="3">
        <f>K373*$D373</f>
        <v/>
      </c>
      <c r="W373" s="3">
        <f>L373*$D373</f>
        <v/>
      </c>
      <c r="X373" s="3">
        <f>M373*$D373</f>
        <v/>
      </c>
      <c r="Y373" s="3">
        <f>N373*$D373</f>
        <v/>
      </c>
      <c r="Z373" s="3">
        <f>C373*$D373</f>
        <v/>
      </c>
      <c r="AA373" s="9">
        <f>$L978+$K978*E373+$J978*F373+$I978*G373+$H978*H373+$G978*I373+$F978*J373+$E978*K373+$D978*L373+$C978*M373+$B978*N373</f>
        <v/>
      </c>
      <c r="AB373" s="9">
        <f>C373-AA373</f>
        <v/>
      </c>
      <c r="AC373" s="4">
        <f>AB373^2</f>
        <v/>
      </c>
    </row>
    <row r="374">
      <c r="A374" t="inlineStr">
        <is>
          <t>BBG000BK6MB5</t>
        </is>
      </c>
      <c r="B374" t="inlineStr">
        <is>
          <t>ge</t>
        </is>
      </c>
      <c r="C374" s="9" t="n">
        <v>-0.009442236418598871</v>
      </c>
      <c r="D374" s="3">
        <f>EXP(0.25*'3b-d Exposures'!G455)</f>
        <v/>
      </c>
      <c r="E374" s="3">
        <f>IF('3b-d Exposures'!C455="",0,'3b-d Exposures'!C455)</f>
        <v/>
      </c>
      <c r="F374" s="3">
        <f>IF('3b-d Exposures'!E455="",0,'3b-d Exposures'!E455)</f>
        <v/>
      </c>
      <c r="G374" s="3">
        <f>IF('3b-d Exposures'!G455="",0,'3b-d Exposures'!G455)</f>
        <v/>
      </c>
      <c r="H374" s="3">
        <f>IF('3b-d Exposures'!I455="",0,'3b-d Exposures'!I455)</f>
        <v/>
      </c>
      <c r="I374" s="3">
        <f>IF('3b-d Exposures'!K455="",0,'3b-d Exposures'!K455)</f>
        <v/>
      </c>
      <c r="J374" s="3">
        <f>IF('3b-d Exposures'!M455="",0,'3b-d Exposures'!M455)</f>
        <v/>
      </c>
      <c r="K374" s="3">
        <f>IF('3b-d Exposures'!O455="",0,'3b-d Exposures'!O455)</f>
        <v/>
      </c>
      <c r="L374" s="3">
        <f>IF('3b-d Exposures'!Q455="",0,'3b-d Exposures'!Q455)</f>
        <v/>
      </c>
      <c r="M374" s="3">
        <f>IF('3b-d Exposures'!S455="",0,'3b-d Exposures'!S455)</f>
        <v/>
      </c>
      <c r="N374" s="3">
        <f>IF('3b-d Exposures'!Z455="",0,'3b-d Exposures'!Z455)</f>
        <v/>
      </c>
      <c r="O374" s="3">
        <f>$D374</f>
        <v/>
      </c>
      <c r="P374" s="3">
        <f>E374*$D374</f>
        <v/>
      </c>
      <c r="Q374" s="3">
        <f>F374*$D374</f>
        <v/>
      </c>
      <c r="R374" s="3">
        <f>G374*$D374</f>
        <v/>
      </c>
      <c r="S374" s="3">
        <f>H374*$D374</f>
        <v/>
      </c>
      <c r="T374" s="3">
        <f>I374*$D374</f>
        <v/>
      </c>
      <c r="U374" s="3">
        <f>J374*$D374</f>
        <v/>
      </c>
      <c r="V374" s="3">
        <f>K374*$D374</f>
        <v/>
      </c>
      <c r="W374" s="3">
        <f>L374*$D374</f>
        <v/>
      </c>
      <c r="X374" s="3">
        <f>M374*$D374</f>
        <v/>
      </c>
      <c r="Y374" s="3">
        <f>N374*$D374</f>
        <v/>
      </c>
      <c r="Z374" s="3">
        <f>C374*$D374</f>
        <v/>
      </c>
      <c r="AA374" s="9">
        <f>$L978+$K978*E374+$J978*F374+$I978*G374+$H978*H374+$G978*I374+$F978*J374+$E978*K374+$D978*L374+$C978*M374+$B978*N374</f>
        <v/>
      </c>
      <c r="AB374" s="9">
        <f>C374-AA374</f>
        <v/>
      </c>
      <c r="AC374" s="4">
        <f>AB374^2</f>
        <v/>
      </c>
    </row>
    <row r="375">
      <c r="A375" t="inlineStr">
        <is>
          <t>BBG01BFR8YV1</t>
        </is>
      </c>
      <c r="B375" t="inlineStr">
        <is>
          <t>gehc</t>
        </is>
      </c>
      <c r="C375" s="9" t="n">
        <v>-0.001682182198193605</v>
      </c>
      <c r="D375" s="3">
        <f>EXP(0.25*'3b-d Exposures'!G456)</f>
        <v/>
      </c>
      <c r="E375" s="3">
        <f>IF('3b-d Exposures'!C456="",0,'3b-d Exposures'!C456)</f>
        <v/>
      </c>
      <c r="F375" s="3">
        <f>IF('3b-d Exposures'!E456="",0,'3b-d Exposures'!E456)</f>
        <v/>
      </c>
      <c r="G375" s="3">
        <f>IF('3b-d Exposures'!G456="",0,'3b-d Exposures'!G456)</f>
        <v/>
      </c>
      <c r="H375" s="3">
        <f>IF('3b-d Exposures'!I456="",0,'3b-d Exposures'!I456)</f>
        <v/>
      </c>
      <c r="I375" s="3">
        <f>IF('3b-d Exposures'!K456="",0,'3b-d Exposures'!K456)</f>
        <v/>
      </c>
      <c r="J375" s="3">
        <f>IF('3b-d Exposures'!M456="",0,'3b-d Exposures'!M456)</f>
        <v/>
      </c>
      <c r="K375" s="3">
        <f>IF('3b-d Exposures'!O456="",0,'3b-d Exposures'!O456)</f>
        <v/>
      </c>
      <c r="L375" s="3">
        <f>IF('3b-d Exposures'!Q456="",0,'3b-d Exposures'!Q456)</f>
        <v/>
      </c>
      <c r="M375" s="3">
        <f>IF('3b-d Exposures'!S456="",0,'3b-d Exposures'!S456)</f>
        <v/>
      </c>
      <c r="N375" s="3">
        <f>IF('3b-d Exposures'!Z456="",0,'3b-d Exposures'!Z456)</f>
        <v/>
      </c>
      <c r="O375" s="3">
        <f>$D375</f>
        <v/>
      </c>
      <c r="P375" s="3">
        <f>E375*$D375</f>
        <v/>
      </c>
      <c r="Q375" s="3">
        <f>F375*$D375</f>
        <v/>
      </c>
      <c r="R375" s="3">
        <f>G375*$D375</f>
        <v/>
      </c>
      <c r="S375" s="3">
        <f>H375*$D375</f>
        <v/>
      </c>
      <c r="T375" s="3">
        <f>I375*$D375</f>
        <v/>
      </c>
      <c r="U375" s="3">
        <f>J375*$D375</f>
        <v/>
      </c>
      <c r="V375" s="3">
        <f>K375*$D375</f>
        <v/>
      </c>
      <c r="W375" s="3">
        <f>L375*$D375</f>
        <v/>
      </c>
      <c r="X375" s="3">
        <f>M375*$D375</f>
        <v/>
      </c>
      <c r="Y375" s="3">
        <f>N375*$D375</f>
        <v/>
      </c>
      <c r="Z375" s="3">
        <f>C375*$D375</f>
        <v/>
      </c>
      <c r="AA375" s="9">
        <f>$L978+$K978*E375+$J978*F375+$I978*G375+$H978*H375+$G978*I375+$F978*J375+$E978*K375+$D978*L375+$C978*M375+$B978*N375</f>
        <v/>
      </c>
      <c r="AB375" s="9">
        <f>C375-AA375</f>
        <v/>
      </c>
      <c r="AC375" s="4">
        <f>AB375^2</f>
        <v/>
      </c>
    </row>
    <row r="376">
      <c r="A376" t="inlineStr">
        <is>
          <t>BBG000BH2JM1</t>
        </is>
      </c>
      <c r="B376" t="inlineStr">
        <is>
          <t>gen</t>
        </is>
      </c>
      <c r="C376" s="9" t="n">
        <v>0.002593100294101314</v>
      </c>
      <c r="D376" s="3">
        <f>EXP(0.25*'3b-d Exposures'!G457)</f>
        <v/>
      </c>
      <c r="E376" s="3">
        <f>IF('3b-d Exposures'!C457="",0,'3b-d Exposures'!C457)</f>
        <v/>
      </c>
      <c r="F376" s="3">
        <f>IF('3b-d Exposures'!E457="",0,'3b-d Exposures'!E457)</f>
        <v/>
      </c>
      <c r="G376" s="3">
        <f>IF('3b-d Exposures'!G457="",0,'3b-d Exposures'!G457)</f>
        <v/>
      </c>
      <c r="H376" s="3">
        <f>IF('3b-d Exposures'!I457="",0,'3b-d Exposures'!I457)</f>
        <v/>
      </c>
      <c r="I376" s="3">
        <f>IF('3b-d Exposures'!K457="",0,'3b-d Exposures'!K457)</f>
        <v/>
      </c>
      <c r="J376" s="3">
        <f>IF('3b-d Exposures'!M457="",0,'3b-d Exposures'!M457)</f>
        <v/>
      </c>
      <c r="K376" s="3">
        <f>IF('3b-d Exposures'!O457="",0,'3b-d Exposures'!O457)</f>
        <v/>
      </c>
      <c r="L376" s="3">
        <f>IF('3b-d Exposures'!Q457="",0,'3b-d Exposures'!Q457)</f>
        <v/>
      </c>
      <c r="M376" s="3">
        <f>IF('3b-d Exposures'!S457="",0,'3b-d Exposures'!S457)</f>
        <v/>
      </c>
      <c r="N376" s="3">
        <f>IF('3b-d Exposures'!Z457="",0,'3b-d Exposures'!Z457)</f>
        <v/>
      </c>
      <c r="O376" s="3">
        <f>$D376</f>
        <v/>
      </c>
      <c r="P376" s="3">
        <f>E376*$D376</f>
        <v/>
      </c>
      <c r="Q376" s="3">
        <f>F376*$D376</f>
        <v/>
      </c>
      <c r="R376" s="3">
        <f>G376*$D376</f>
        <v/>
      </c>
      <c r="S376" s="3">
        <f>H376*$D376</f>
        <v/>
      </c>
      <c r="T376" s="3">
        <f>I376*$D376</f>
        <v/>
      </c>
      <c r="U376" s="3">
        <f>J376*$D376</f>
        <v/>
      </c>
      <c r="V376" s="3">
        <f>K376*$D376</f>
        <v/>
      </c>
      <c r="W376" s="3">
        <f>L376*$D376</f>
        <v/>
      </c>
      <c r="X376" s="3">
        <f>M376*$D376</f>
        <v/>
      </c>
      <c r="Y376" s="3">
        <f>N376*$D376</f>
        <v/>
      </c>
      <c r="Z376" s="3">
        <f>C376*$D376</f>
        <v/>
      </c>
      <c r="AA376" s="9">
        <f>$L978+$K978*E376+$J978*F376+$I978*G376+$H978*H376+$G978*I376+$F978*J376+$E978*K376+$D978*L376+$C978*M376+$B978*N376</f>
        <v/>
      </c>
      <c r="AB376" s="9">
        <f>C376-AA376</f>
        <v/>
      </c>
      <c r="AC376" s="4">
        <f>AB376^2</f>
        <v/>
      </c>
    </row>
    <row r="377">
      <c r="A377" t="inlineStr">
        <is>
          <t>gev</t>
        </is>
      </c>
      <c r="B377" t="inlineStr">
        <is>
          <t>gev</t>
        </is>
      </c>
      <c r="C377" s="9" t="n">
        <v>0.01023593634802977</v>
      </c>
      <c r="D377" s="3">
        <f>EXP(0.25*'3b-d Exposures'!G458)</f>
        <v/>
      </c>
      <c r="E377" s="3">
        <f>IF('3b-d Exposures'!C458="",0,'3b-d Exposures'!C458)</f>
        <v/>
      </c>
      <c r="F377" s="3">
        <f>IF('3b-d Exposures'!E458="",0,'3b-d Exposures'!E458)</f>
        <v/>
      </c>
      <c r="G377" s="3">
        <f>IF('3b-d Exposures'!G458="",0,'3b-d Exposures'!G458)</f>
        <v/>
      </c>
      <c r="H377" s="3">
        <f>IF('3b-d Exposures'!I458="",0,'3b-d Exposures'!I458)</f>
        <v/>
      </c>
      <c r="I377" s="3">
        <f>IF('3b-d Exposures'!K458="",0,'3b-d Exposures'!K458)</f>
        <v/>
      </c>
      <c r="J377" s="3">
        <f>IF('3b-d Exposures'!M458="",0,'3b-d Exposures'!M458)</f>
        <v/>
      </c>
      <c r="K377" s="3">
        <f>IF('3b-d Exposures'!O458="",0,'3b-d Exposures'!O458)</f>
        <v/>
      </c>
      <c r="L377" s="3">
        <f>IF('3b-d Exposures'!Q458="",0,'3b-d Exposures'!Q458)</f>
        <v/>
      </c>
      <c r="M377" s="3">
        <f>IF('3b-d Exposures'!S458="",0,'3b-d Exposures'!S458)</f>
        <v/>
      </c>
      <c r="N377" s="3">
        <f>IF('3b-d Exposures'!Z458="",0,'3b-d Exposures'!Z458)</f>
        <v/>
      </c>
      <c r="O377" s="3">
        <f>$D377</f>
        <v/>
      </c>
      <c r="P377" s="3">
        <f>E377*$D377</f>
        <v/>
      </c>
      <c r="Q377" s="3">
        <f>F377*$D377</f>
        <v/>
      </c>
      <c r="R377" s="3">
        <f>G377*$D377</f>
        <v/>
      </c>
      <c r="S377" s="3">
        <f>H377*$D377</f>
        <v/>
      </c>
      <c r="T377" s="3">
        <f>I377*$D377</f>
        <v/>
      </c>
      <c r="U377" s="3">
        <f>J377*$D377</f>
        <v/>
      </c>
      <c r="V377" s="3">
        <f>K377*$D377</f>
        <v/>
      </c>
      <c r="W377" s="3">
        <f>L377*$D377</f>
        <v/>
      </c>
      <c r="X377" s="3">
        <f>M377*$D377</f>
        <v/>
      </c>
      <c r="Y377" s="3">
        <f>N377*$D377</f>
        <v/>
      </c>
      <c r="Z377" s="3">
        <f>C377*$D377</f>
        <v/>
      </c>
      <c r="AA377" s="9">
        <f>$L978+$K978*E377+$J978*F377+$I978*G377+$H978*H377+$G978*I377+$F978*J377+$E978*K377+$D978*L377+$C978*M377+$B978*N377</f>
        <v/>
      </c>
      <c r="AB377" s="9">
        <f>C377-AA377</f>
        <v/>
      </c>
      <c r="AC377" s="4">
        <f>AB377^2</f>
        <v/>
      </c>
    </row>
    <row r="378">
      <c r="A378" t="inlineStr">
        <is>
          <t>BBG000CKGBP2</t>
        </is>
      </c>
      <c r="B378" t="inlineStr">
        <is>
          <t>gild</t>
        </is>
      </c>
      <c r="C378" s="9" t="n">
        <v>0.01555413161214902</v>
      </c>
      <c r="D378" s="3">
        <f>EXP(0.25*'3b-d Exposures'!G462)</f>
        <v/>
      </c>
      <c r="E378" s="3">
        <f>IF('3b-d Exposures'!C462="",0,'3b-d Exposures'!C462)</f>
        <v/>
      </c>
      <c r="F378" s="3">
        <f>IF('3b-d Exposures'!E462="",0,'3b-d Exposures'!E462)</f>
        <v/>
      </c>
      <c r="G378" s="3">
        <f>IF('3b-d Exposures'!G462="",0,'3b-d Exposures'!G462)</f>
        <v/>
      </c>
      <c r="H378" s="3">
        <f>IF('3b-d Exposures'!I462="",0,'3b-d Exposures'!I462)</f>
        <v/>
      </c>
      <c r="I378" s="3">
        <f>IF('3b-d Exposures'!K462="",0,'3b-d Exposures'!K462)</f>
        <v/>
      </c>
      <c r="J378" s="3">
        <f>IF('3b-d Exposures'!M462="",0,'3b-d Exposures'!M462)</f>
        <v/>
      </c>
      <c r="K378" s="3">
        <f>IF('3b-d Exposures'!O462="",0,'3b-d Exposures'!O462)</f>
        <v/>
      </c>
      <c r="L378" s="3">
        <f>IF('3b-d Exposures'!Q462="",0,'3b-d Exposures'!Q462)</f>
        <v/>
      </c>
      <c r="M378" s="3">
        <f>IF('3b-d Exposures'!S462="",0,'3b-d Exposures'!S462)</f>
        <v/>
      </c>
      <c r="N378" s="3">
        <f>IF('3b-d Exposures'!Z462="",0,'3b-d Exposures'!Z462)</f>
        <v/>
      </c>
      <c r="O378" s="3">
        <f>$D378</f>
        <v/>
      </c>
      <c r="P378" s="3">
        <f>E378*$D378</f>
        <v/>
      </c>
      <c r="Q378" s="3">
        <f>F378*$D378</f>
        <v/>
      </c>
      <c r="R378" s="3">
        <f>G378*$D378</f>
        <v/>
      </c>
      <c r="S378" s="3">
        <f>H378*$D378</f>
        <v/>
      </c>
      <c r="T378" s="3">
        <f>I378*$D378</f>
        <v/>
      </c>
      <c r="U378" s="3">
        <f>J378*$D378</f>
        <v/>
      </c>
      <c r="V378" s="3">
        <f>K378*$D378</f>
        <v/>
      </c>
      <c r="W378" s="3">
        <f>L378*$D378</f>
        <v/>
      </c>
      <c r="X378" s="3">
        <f>M378*$D378</f>
        <v/>
      </c>
      <c r="Y378" s="3">
        <f>N378*$D378</f>
        <v/>
      </c>
      <c r="Z378" s="3">
        <f>C378*$D378</f>
        <v/>
      </c>
      <c r="AA378" s="9">
        <f>$L978+$K978*E378+$J978*F378+$I978*G378+$H978*H378+$G978*I378+$F978*J378+$E978*K378+$D978*L378+$C978*M378+$B978*N378</f>
        <v/>
      </c>
      <c r="AB378" s="9">
        <f>C378-AA378</f>
        <v/>
      </c>
      <c r="AC378" s="4">
        <f>AB378^2</f>
        <v/>
      </c>
    </row>
    <row r="379">
      <c r="A379" t="inlineStr">
        <is>
          <t>BBG000BKCFC2</t>
        </is>
      </c>
      <c r="B379" t="inlineStr">
        <is>
          <t>gis</t>
        </is>
      </c>
      <c r="C379" s="9" t="n">
        <v>0.01131899714965434</v>
      </c>
      <c r="D379" s="3">
        <f>EXP(0.25*'3b-d Exposures'!G463)</f>
        <v/>
      </c>
      <c r="E379" s="3">
        <f>IF('3b-d Exposures'!C463="",0,'3b-d Exposures'!C463)</f>
        <v/>
      </c>
      <c r="F379" s="3">
        <f>IF('3b-d Exposures'!E463="",0,'3b-d Exposures'!E463)</f>
        <v/>
      </c>
      <c r="G379" s="3">
        <f>IF('3b-d Exposures'!G463="",0,'3b-d Exposures'!G463)</f>
        <v/>
      </c>
      <c r="H379" s="3">
        <f>IF('3b-d Exposures'!I463="",0,'3b-d Exposures'!I463)</f>
        <v/>
      </c>
      <c r="I379" s="3">
        <f>IF('3b-d Exposures'!K463="",0,'3b-d Exposures'!K463)</f>
        <v/>
      </c>
      <c r="J379" s="3">
        <f>IF('3b-d Exposures'!M463="",0,'3b-d Exposures'!M463)</f>
        <v/>
      </c>
      <c r="K379" s="3">
        <f>IF('3b-d Exposures'!O463="",0,'3b-d Exposures'!O463)</f>
        <v/>
      </c>
      <c r="L379" s="3">
        <f>IF('3b-d Exposures'!Q463="",0,'3b-d Exposures'!Q463)</f>
        <v/>
      </c>
      <c r="M379" s="3">
        <f>IF('3b-d Exposures'!S463="",0,'3b-d Exposures'!S463)</f>
        <v/>
      </c>
      <c r="N379" s="3">
        <f>IF('3b-d Exposures'!Z463="",0,'3b-d Exposures'!Z463)</f>
        <v/>
      </c>
      <c r="O379" s="3">
        <f>$D379</f>
        <v/>
      </c>
      <c r="P379" s="3">
        <f>E379*$D379</f>
        <v/>
      </c>
      <c r="Q379" s="3">
        <f>F379*$D379</f>
        <v/>
      </c>
      <c r="R379" s="3">
        <f>G379*$D379</f>
        <v/>
      </c>
      <c r="S379" s="3">
        <f>H379*$D379</f>
        <v/>
      </c>
      <c r="T379" s="3">
        <f>I379*$D379</f>
        <v/>
      </c>
      <c r="U379" s="3">
        <f>J379*$D379</f>
        <v/>
      </c>
      <c r="V379" s="3">
        <f>K379*$D379</f>
        <v/>
      </c>
      <c r="W379" s="3">
        <f>L379*$D379</f>
        <v/>
      </c>
      <c r="X379" s="3">
        <f>M379*$D379</f>
        <v/>
      </c>
      <c r="Y379" s="3">
        <f>N379*$D379</f>
        <v/>
      </c>
      <c r="Z379" s="3">
        <f>C379*$D379</f>
        <v/>
      </c>
      <c r="AA379" s="9">
        <f>$L978+$K978*E379+$J978*F379+$I978*G379+$H978*H379+$G978*I379+$F978*J379+$E978*K379+$D978*L379+$C978*M379+$B978*N379</f>
        <v/>
      </c>
      <c r="AB379" s="9">
        <f>C379-AA379</f>
        <v/>
      </c>
      <c r="AC379" s="4">
        <f>AB379^2</f>
        <v/>
      </c>
    </row>
    <row r="380">
      <c r="A380" t="inlineStr">
        <is>
          <t>BBG000BVD6X4</t>
        </is>
      </c>
      <c r="B380" t="inlineStr">
        <is>
          <t>gl</t>
        </is>
      </c>
      <c r="C380" s="9" t="n">
        <v>-0.01078753836704094</v>
      </c>
      <c r="D380" s="3">
        <f>EXP(0.25*'3b-d Exposures'!G464)</f>
        <v/>
      </c>
      <c r="E380" s="3">
        <f>IF('3b-d Exposures'!C464="",0,'3b-d Exposures'!C464)</f>
        <v/>
      </c>
      <c r="F380" s="3">
        <f>IF('3b-d Exposures'!E464="",0,'3b-d Exposures'!E464)</f>
        <v/>
      </c>
      <c r="G380" s="3">
        <f>IF('3b-d Exposures'!G464="",0,'3b-d Exposures'!G464)</f>
        <v/>
      </c>
      <c r="H380" s="3">
        <f>IF('3b-d Exposures'!I464="",0,'3b-d Exposures'!I464)</f>
        <v/>
      </c>
      <c r="I380" s="3">
        <f>IF('3b-d Exposures'!K464="",0,'3b-d Exposures'!K464)</f>
        <v/>
      </c>
      <c r="J380" s="3">
        <f>IF('3b-d Exposures'!M464="",0,'3b-d Exposures'!M464)</f>
        <v/>
      </c>
      <c r="K380" s="3">
        <f>IF('3b-d Exposures'!O464="",0,'3b-d Exposures'!O464)</f>
        <v/>
      </c>
      <c r="L380" s="3">
        <f>IF('3b-d Exposures'!Q464="",0,'3b-d Exposures'!Q464)</f>
        <v/>
      </c>
      <c r="M380" s="3">
        <f>IF('3b-d Exposures'!S464="",0,'3b-d Exposures'!S464)</f>
        <v/>
      </c>
      <c r="N380" s="3">
        <f>IF('3b-d Exposures'!Z464="",0,'3b-d Exposures'!Z464)</f>
        <v/>
      </c>
      <c r="O380" s="3">
        <f>$D380</f>
        <v/>
      </c>
      <c r="P380" s="3">
        <f>E380*$D380</f>
        <v/>
      </c>
      <c r="Q380" s="3">
        <f>F380*$D380</f>
        <v/>
      </c>
      <c r="R380" s="3">
        <f>G380*$D380</f>
        <v/>
      </c>
      <c r="S380" s="3">
        <f>H380*$D380</f>
        <v/>
      </c>
      <c r="T380" s="3">
        <f>I380*$D380</f>
        <v/>
      </c>
      <c r="U380" s="3">
        <f>J380*$D380</f>
        <v/>
      </c>
      <c r="V380" s="3">
        <f>K380*$D380</f>
        <v/>
      </c>
      <c r="W380" s="3">
        <f>L380*$D380</f>
        <v/>
      </c>
      <c r="X380" s="3">
        <f>M380*$D380</f>
        <v/>
      </c>
      <c r="Y380" s="3">
        <f>N380*$D380</f>
        <v/>
      </c>
      <c r="Z380" s="3">
        <f>C380*$D380</f>
        <v/>
      </c>
      <c r="AA380" s="9">
        <f>$L978+$K978*E380+$J978*F380+$I978*G380+$H978*H380+$G978*I380+$F978*J380+$E978*K380+$D978*L380+$C978*M380+$B978*N380</f>
        <v/>
      </c>
      <c r="AB380" s="9">
        <f>C380-AA380</f>
        <v/>
      </c>
      <c r="AC380" s="4">
        <f>AB380^2</f>
        <v/>
      </c>
    </row>
    <row r="381">
      <c r="A381" t="inlineStr">
        <is>
          <t>BBG000CRF6Q8</t>
        </is>
      </c>
      <c r="B381" t="inlineStr">
        <is>
          <t>gld</t>
        </is>
      </c>
      <c r="C381" s="9" t="n">
        <v>-0.008754403389975018</v>
      </c>
      <c r="D381" s="3">
        <f>EXP(0.25*'3b-d Exposures'!G465)</f>
        <v/>
      </c>
      <c r="E381" s="3">
        <f>IF('3b-d Exposures'!C465="",0,'3b-d Exposures'!C465)</f>
        <v/>
      </c>
      <c r="F381" s="3">
        <f>IF('3b-d Exposures'!E465="",0,'3b-d Exposures'!E465)</f>
        <v/>
      </c>
      <c r="G381" s="3">
        <f>IF('3b-d Exposures'!G465="",0,'3b-d Exposures'!G465)</f>
        <v/>
      </c>
      <c r="H381" s="3">
        <f>IF('3b-d Exposures'!I465="",0,'3b-d Exposures'!I465)</f>
        <v/>
      </c>
      <c r="I381" s="3">
        <f>IF('3b-d Exposures'!K465="",0,'3b-d Exposures'!K465)</f>
        <v/>
      </c>
      <c r="J381" s="3">
        <f>IF('3b-d Exposures'!M465="",0,'3b-d Exposures'!M465)</f>
        <v/>
      </c>
      <c r="K381" s="3">
        <f>IF('3b-d Exposures'!O465="",0,'3b-d Exposures'!O465)</f>
        <v/>
      </c>
      <c r="L381" s="3">
        <f>IF('3b-d Exposures'!Q465="",0,'3b-d Exposures'!Q465)</f>
        <v/>
      </c>
      <c r="M381" s="3">
        <f>IF('3b-d Exposures'!S465="",0,'3b-d Exposures'!S465)</f>
        <v/>
      </c>
      <c r="N381" s="3">
        <f>IF('3b-d Exposures'!Z465="",0,'3b-d Exposures'!Z465)</f>
        <v/>
      </c>
      <c r="O381" s="3">
        <f>$D381</f>
        <v/>
      </c>
      <c r="P381" s="3">
        <f>E381*$D381</f>
        <v/>
      </c>
      <c r="Q381" s="3">
        <f>F381*$D381</f>
        <v/>
      </c>
      <c r="R381" s="3">
        <f>G381*$D381</f>
        <v/>
      </c>
      <c r="S381" s="3">
        <f>H381*$D381</f>
        <v/>
      </c>
      <c r="T381" s="3">
        <f>I381*$D381</f>
        <v/>
      </c>
      <c r="U381" s="3">
        <f>J381*$D381</f>
        <v/>
      </c>
      <c r="V381" s="3">
        <f>K381*$D381</f>
        <v/>
      </c>
      <c r="W381" s="3">
        <f>L381*$D381</f>
        <v/>
      </c>
      <c r="X381" s="3">
        <f>M381*$D381</f>
        <v/>
      </c>
      <c r="Y381" s="3">
        <f>N381*$D381</f>
        <v/>
      </c>
      <c r="Z381" s="3">
        <f>C381*$D381</f>
        <v/>
      </c>
      <c r="AA381" s="9">
        <f>$L978+$K978*E381+$J978*F381+$I978*G381+$H978*H381+$G978*I381+$F978*J381+$E978*K381+$D978*L381+$C978*M381+$B978*N381</f>
        <v/>
      </c>
      <c r="AB381" s="9">
        <f>C381-AA381</f>
        <v/>
      </c>
      <c r="AC381" s="4">
        <f>AB381^2</f>
        <v/>
      </c>
    </row>
    <row r="382">
      <c r="A382" t="inlineStr">
        <is>
          <t>BBG003MSMCS6</t>
        </is>
      </c>
      <c r="B382" t="inlineStr">
        <is>
          <t>glpi</t>
        </is>
      </c>
      <c r="C382" s="9" t="n">
        <v>-0.005037719033876509</v>
      </c>
      <c r="D382" s="3">
        <f>EXP(0.25*'3b-d Exposures'!G466)</f>
        <v/>
      </c>
      <c r="E382" s="3">
        <f>IF('3b-d Exposures'!C466="",0,'3b-d Exposures'!C466)</f>
        <v/>
      </c>
      <c r="F382" s="3">
        <f>IF('3b-d Exposures'!E466="",0,'3b-d Exposures'!E466)</f>
        <v/>
      </c>
      <c r="G382" s="3">
        <f>IF('3b-d Exposures'!G466="",0,'3b-d Exposures'!G466)</f>
        <v/>
      </c>
      <c r="H382" s="3">
        <f>IF('3b-d Exposures'!I466="",0,'3b-d Exposures'!I466)</f>
        <v/>
      </c>
      <c r="I382" s="3">
        <f>IF('3b-d Exposures'!K466="",0,'3b-d Exposures'!K466)</f>
        <v/>
      </c>
      <c r="J382" s="3">
        <f>IF('3b-d Exposures'!M466="",0,'3b-d Exposures'!M466)</f>
        <v/>
      </c>
      <c r="K382" s="3">
        <f>IF('3b-d Exposures'!O466="",0,'3b-d Exposures'!O466)</f>
        <v/>
      </c>
      <c r="L382" s="3">
        <f>IF('3b-d Exposures'!Q466="",0,'3b-d Exposures'!Q466)</f>
        <v/>
      </c>
      <c r="M382" s="3">
        <f>IF('3b-d Exposures'!S466="",0,'3b-d Exposures'!S466)</f>
        <v/>
      </c>
      <c r="N382" s="3">
        <f>IF('3b-d Exposures'!Z466="",0,'3b-d Exposures'!Z466)</f>
        <v/>
      </c>
      <c r="O382" s="3">
        <f>$D382</f>
        <v/>
      </c>
      <c r="P382" s="3">
        <f>E382*$D382</f>
        <v/>
      </c>
      <c r="Q382" s="3">
        <f>F382*$D382</f>
        <v/>
      </c>
      <c r="R382" s="3">
        <f>G382*$D382</f>
        <v/>
      </c>
      <c r="S382" s="3">
        <f>H382*$D382</f>
        <v/>
      </c>
      <c r="T382" s="3">
        <f>I382*$D382</f>
        <v/>
      </c>
      <c r="U382" s="3">
        <f>J382*$D382</f>
        <v/>
      </c>
      <c r="V382" s="3">
        <f>K382*$D382</f>
        <v/>
      </c>
      <c r="W382" s="3">
        <f>L382*$D382</f>
        <v/>
      </c>
      <c r="X382" s="3">
        <f>M382*$D382</f>
        <v/>
      </c>
      <c r="Y382" s="3">
        <f>N382*$D382</f>
        <v/>
      </c>
      <c r="Z382" s="3">
        <f>C382*$D382</f>
        <v/>
      </c>
      <c r="AA382" s="9">
        <f>$L978+$K978*E382+$J978*F382+$I978*G382+$H978*H382+$G978*I382+$F978*J382+$E978*K382+$D978*L382+$C978*M382+$B978*N382</f>
        <v/>
      </c>
      <c r="AB382" s="9">
        <f>C382-AA382</f>
        <v/>
      </c>
      <c r="AC382" s="4">
        <f>AB382^2</f>
        <v/>
      </c>
    </row>
    <row r="383">
      <c r="A383" t="inlineStr">
        <is>
          <t>BBG000BKFZM4</t>
        </is>
      </c>
      <c r="B383" t="inlineStr">
        <is>
          <t>glw</t>
        </is>
      </c>
      <c r="C383" s="9" t="n">
        <v>0.01171151923098801</v>
      </c>
      <c r="D383" s="3">
        <f>EXP(0.25*'3b-d Exposures'!G467)</f>
        <v/>
      </c>
      <c r="E383" s="3">
        <f>IF('3b-d Exposures'!C467="",0,'3b-d Exposures'!C467)</f>
        <v/>
      </c>
      <c r="F383" s="3">
        <f>IF('3b-d Exposures'!E467="",0,'3b-d Exposures'!E467)</f>
        <v/>
      </c>
      <c r="G383" s="3">
        <f>IF('3b-d Exposures'!G467="",0,'3b-d Exposures'!G467)</f>
        <v/>
      </c>
      <c r="H383" s="3">
        <f>IF('3b-d Exposures'!I467="",0,'3b-d Exposures'!I467)</f>
        <v/>
      </c>
      <c r="I383" s="3">
        <f>IF('3b-d Exposures'!K467="",0,'3b-d Exposures'!K467)</f>
        <v/>
      </c>
      <c r="J383" s="3">
        <f>IF('3b-d Exposures'!M467="",0,'3b-d Exposures'!M467)</f>
        <v/>
      </c>
      <c r="K383" s="3">
        <f>IF('3b-d Exposures'!O467="",0,'3b-d Exposures'!O467)</f>
        <v/>
      </c>
      <c r="L383" s="3">
        <f>IF('3b-d Exposures'!Q467="",0,'3b-d Exposures'!Q467)</f>
        <v/>
      </c>
      <c r="M383" s="3">
        <f>IF('3b-d Exposures'!S467="",0,'3b-d Exposures'!S467)</f>
        <v/>
      </c>
      <c r="N383" s="3">
        <f>IF('3b-d Exposures'!Z467="",0,'3b-d Exposures'!Z467)</f>
        <v/>
      </c>
      <c r="O383" s="3">
        <f>$D383</f>
        <v/>
      </c>
      <c r="P383" s="3">
        <f>E383*$D383</f>
        <v/>
      </c>
      <c r="Q383" s="3">
        <f>F383*$D383</f>
        <v/>
      </c>
      <c r="R383" s="3">
        <f>G383*$D383</f>
        <v/>
      </c>
      <c r="S383" s="3">
        <f>H383*$D383</f>
        <v/>
      </c>
      <c r="T383" s="3">
        <f>I383*$D383</f>
        <v/>
      </c>
      <c r="U383" s="3">
        <f>J383*$D383</f>
        <v/>
      </c>
      <c r="V383" s="3">
        <f>K383*$D383</f>
        <v/>
      </c>
      <c r="W383" s="3">
        <f>L383*$D383</f>
        <v/>
      </c>
      <c r="X383" s="3">
        <f>M383*$D383</f>
        <v/>
      </c>
      <c r="Y383" s="3">
        <f>N383*$D383</f>
        <v/>
      </c>
      <c r="Z383" s="3">
        <f>C383*$D383</f>
        <v/>
      </c>
      <c r="AA383" s="9">
        <f>$L978+$K978*E383+$J978*F383+$I978*G383+$H978*H383+$G978*I383+$F978*J383+$E978*K383+$D978*L383+$C978*M383+$B978*N383</f>
        <v/>
      </c>
      <c r="AB383" s="9">
        <f>C383-AA383</f>
        <v/>
      </c>
      <c r="AC383" s="4">
        <f>AB383^2</f>
        <v/>
      </c>
    </row>
    <row r="384">
      <c r="A384" t="inlineStr">
        <is>
          <t>BBG000NDYB67</t>
        </is>
      </c>
      <c r="B384" t="inlineStr">
        <is>
          <t>gm</t>
        </is>
      </c>
      <c r="C384" s="9" t="n">
        <v>-0.009893856234772569</v>
      </c>
      <c r="D384" s="3">
        <f>EXP(0.25*'3b-d Exposures'!G469)</f>
        <v/>
      </c>
      <c r="E384" s="3">
        <f>IF('3b-d Exposures'!C469="",0,'3b-d Exposures'!C469)</f>
        <v/>
      </c>
      <c r="F384" s="3">
        <f>IF('3b-d Exposures'!E469="",0,'3b-d Exposures'!E469)</f>
        <v/>
      </c>
      <c r="G384" s="3">
        <f>IF('3b-d Exposures'!G469="",0,'3b-d Exposures'!G469)</f>
        <v/>
      </c>
      <c r="H384" s="3">
        <f>IF('3b-d Exposures'!I469="",0,'3b-d Exposures'!I469)</f>
        <v/>
      </c>
      <c r="I384" s="3">
        <f>IF('3b-d Exposures'!K469="",0,'3b-d Exposures'!K469)</f>
        <v/>
      </c>
      <c r="J384" s="3">
        <f>IF('3b-d Exposures'!M469="",0,'3b-d Exposures'!M469)</f>
        <v/>
      </c>
      <c r="K384" s="3">
        <f>IF('3b-d Exposures'!O469="",0,'3b-d Exposures'!O469)</f>
        <v/>
      </c>
      <c r="L384" s="3">
        <f>IF('3b-d Exposures'!Q469="",0,'3b-d Exposures'!Q469)</f>
        <v/>
      </c>
      <c r="M384" s="3">
        <f>IF('3b-d Exposures'!S469="",0,'3b-d Exposures'!S469)</f>
        <v/>
      </c>
      <c r="N384" s="3">
        <f>IF('3b-d Exposures'!Z469="",0,'3b-d Exposures'!Z469)</f>
        <v/>
      </c>
      <c r="O384" s="3">
        <f>$D384</f>
        <v/>
      </c>
      <c r="P384" s="3">
        <f>E384*$D384</f>
        <v/>
      </c>
      <c r="Q384" s="3">
        <f>F384*$D384</f>
        <v/>
      </c>
      <c r="R384" s="3">
        <f>G384*$D384</f>
        <v/>
      </c>
      <c r="S384" s="3">
        <f>H384*$D384</f>
        <v/>
      </c>
      <c r="T384" s="3">
        <f>I384*$D384</f>
        <v/>
      </c>
      <c r="U384" s="3">
        <f>J384*$D384</f>
        <v/>
      </c>
      <c r="V384" s="3">
        <f>K384*$D384</f>
        <v/>
      </c>
      <c r="W384" s="3">
        <f>L384*$D384</f>
        <v/>
      </c>
      <c r="X384" s="3">
        <f>M384*$D384</f>
        <v/>
      </c>
      <c r="Y384" s="3">
        <f>N384*$D384</f>
        <v/>
      </c>
      <c r="Z384" s="3">
        <f>C384*$D384</f>
        <v/>
      </c>
      <c r="AA384" s="9">
        <f>$L978+$K978*E384+$J978*F384+$I978*G384+$H978*H384+$G978*I384+$F978*J384+$E978*K384+$D978*L384+$C978*M384+$B978*N384</f>
        <v/>
      </c>
      <c r="AB384" s="9">
        <f>C384-AA384</f>
        <v/>
      </c>
      <c r="AC384" s="4">
        <f>AB384^2</f>
        <v/>
      </c>
    </row>
    <row r="385">
      <c r="A385" t="inlineStr">
        <is>
          <t>BBG000BB5BF6</t>
        </is>
      </c>
      <c r="B385" t="inlineStr">
        <is>
          <t>gme</t>
        </is>
      </c>
      <c r="C385" s="9" t="n">
        <v>-0.06127362568140937</v>
      </c>
      <c r="D385" s="3">
        <f>EXP(0.25*'3b-d Exposures'!G470)</f>
        <v/>
      </c>
      <c r="E385" s="3">
        <f>IF('3b-d Exposures'!C470="",0,'3b-d Exposures'!C470)</f>
        <v/>
      </c>
      <c r="F385" s="3">
        <f>IF('3b-d Exposures'!E470="",0,'3b-d Exposures'!E470)</f>
        <v/>
      </c>
      <c r="G385" s="3">
        <f>IF('3b-d Exposures'!G470="",0,'3b-d Exposures'!G470)</f>
        <v/>
      </c>
      <c r="H385" s="3">
        <f>IF('3b-d Exposures'!I470="",0,'3b-d Exposures'!I470)</f>
        <v/>
      </c>
      <c r="I385" s="3">
        <f>IF('3b-d Exposures'!K470="",0,'3b-d Exposures'!K470)</f>
        <v/>
      </c>
      <c r="J385" s="3">
        <f>IF('3b-d Exposures'!M470="",0,'3b-d Exposures'!M470)</f>
        <v/>
      </c>
      <c r="K385" s="3">
        <f>IF('3b-d Exposures'!O470="",0,'3b-d Exposures'!O470)</f>
        <v/>
      </c>
      <c r="L385" s="3">
        <f>IF('3b-d Exposures'!Q470="",0,'3b-d Exposures'!Q470)</f>
        <v/>
      </c>
      <c r="M385" s="3">
        <f>IF('3b-d Exposures'!S470="",0,'3b-d Exposures'!S470)</f>
        <v/>
      </c>
      <c r="N385" s="3">
        <f>IF('3b-d Exposures'!Z470="",0,'3b-d Exposures'!Z470)</f>
        <v/>
      </c>
      <c r="O385" s="3">
        <f>$D385</f>
        <v/>
      </c>
      <c r="P385" s="3">
        <f>E385*$D385</f>
        <v/>
      </c>
      <c r="Q385" s="3">
        <f>F385*$D385</f>
        <v/>
      </c>
      <c r="R385" s="3">
        <f>G385*$D385</f>
        <v/>
      </c>
      <c r="S385" s="3">
        <f>H385*$D385</f>
        <v/>
      </c>
      <c r="T385" s="3">
        <f>I385*$D385</f>
        <v/>
      </c>
      <c r="U385" s="3">
        <f>J385*$D385</f>
        <v/>
      </c>
      <c r="V385" s="3">
        <f>K385*$D385</f>
        <v/>
      </c>
      <c r="W385" s="3">
        <f>L385*$D385</f>
        <v/>
      </c>
      <c r="X385" s="3">
        <f>M385*$D385</f>
        <v/>
      </c>
      <c r="Y385" s="3">
        <f>N385*$D385</f>
        <v/>
      </c>
      <c r="Z385" s="3">
        <f>C385*$D385</f>
        <v/>
      </c>
      <c r="AA385" s="9">
        <f>$L978+$K978*E385+$J978*F385+$I978*G385+$H978*H385+$G978*I385+$F978*J385+$E978*K385+$D978*L385+$C978*M385+$B978*N385</f>
        <v/>
      </c>
      <c r="AB385" s="9">
        <f>C385-AA385</f>
        <v/>
      </c>
      <c r="AC385" s="4">
        <f>AB385^2</f>
        <v/>
      </c>
    </row>
    <row r="386">
      <c r="A386" t="inlineStr">
        <is>
          <t>gnrc</t>
        </is>
      </c>
      <c r="B386" t="inlineStr">
        <is>
          <t>gnrc</t>
        </is>
      </c>
      <c r="C386" s="9" t="n">
        <v>-0.003985122275035224</v>
      </c>
      <c r="D386" s="3">
        <f>EXP(0.25*'3b-d Exposures'!G471)</f>
        <v/>
      </c>
      <c r="E386" s="3">
        <f>IF('3b-d Exposures'!C471="",0,'3b-d Exposures'!C471)</f>
        <v/>
      </c>
      <c r="F386" s="3">
        <f>IF('3b-d Exposures'!E471="",0,'3b-d Exposures'!E471)</f>
        <v/>
      </c>
      <c r="G386" s="3">
        <f>IF('3b-d Exposures'!G471="",0,'3b-d Exposures'!G471)</f>
        <v/>
      </c>
      <c r="H386" s="3">
        <f>IF('3b-d Exposures'!I471="",0,'3b-d Exposures'!I471)</f>
        <v/>
      </c>
      <c r="I386" s="3">
        <f>IF('3b-d Exposures'!K471="",0,'3b-d Exposures'!K471)</f>
        <v/>
      </c>
      <c r="J386" s="3">
        <f>IF('3b-d Exposures'!M471="",0,'3b-d Exposures'!M471)</f>
        <v/>
      </c>
      <c r="K386" s="3">
        <f>IF('3b-d Exposures'!O471="",0,'3b-d Exposures'!O471)</f>
        <v/>
      </c>
      <c r="L386" s="3">
        <f>IF('3b-d Exposures'!Q471="",0,'3b-d Exposures'!Q471)</f>
        <v/>
      </c>
      <c r="M386" s="3">
        <f>IF('3b-d Exposures'!S471="",0,'3b-d Exposures'!S471)</f>
        <v/>
      </c>
      <c r="N386" s="3">
        <f>IF('3b-d Exposures'!Z471="",0,'3b-d Exposures'!Z471)</f>
        <v/>
      </c>
      <c r="O386" s="3">
        <f>$D386</f>
        <v/>
      </c>
      <c r="P386" s="3">
        <f>E386*$D386</f>
        <v/>
      </c>
      <c r="Q386" s="3">
        <f>F386*$D386</f>
        <v/>
      </c>
      <c r="R386" s="3">
        <f>G386*$D386</f>
        <v/>
      </c>
      <c r="S386" s="3">
        <f>H386*$D386</f>
        <v/>
      </c>
      <c r="T386" s="3">
        <f>I386*$D386</f>
        <v/>
      </c>
      <c r="U386" s="3">
        <f>J386*$D386</f>
        <v/>
      </c>
      <c r="V386" s="3">
        <f>K386*$D386</f>
        <v/>
      </c>
      <c r="W386" s="3">
        <f>L386*$D386</f>
        <v/>
      </c>
      <c r="X386" s="3">
        <f>M386*$D386</f>
        <v/>
      </c>
      <c r="Y386" s="3">
        <f>N386*$D386</f>
        <v/>
      </c>
      <c r="Z386" s="3">
        <f>C386*$D386</f>
        <v/>
      </c>
      <c r="AA386" s="9">
        <f>$L978+$K978*E386+$J978*F386+$I978*G386+$H978*H386+$G978*I386+$F978*J386+$E978*K386+$D978*L386+$C978*M386+$B978*N386</f>
        <v/>
      </c>
      <c r="AB386" s="9">
        <f>C386-AA386</f>
        <v/>
      </c>
      <c r="AC386" s="4">
        <f>AB386^2</f>
        <v/>
      </c>
    </row>
    <row r="387">
      <c r="A387" t="inlineStr">
        <is>
          <t>BBG000J5Q6L2</t>
        </is>
      </c>
      <c r="B387" t="inlineStr">
        <is>
          <t>gnw</t>
        </is>
      </c>
      <c r="C387" s="9" t="n">
        <v>-0.005128200112166748</v>
      </c>
      <c r="D387" s="3">
        <f>EXP(0.25*'3b-d Exposures'!G472)</f>
        <v/>
      </c>
      <c r="E387" s="3">
        <f>IF('3b-d Exposures'!C472="",0,'3b-d Exposures'!C472)</f>
        <v/>
      </c>
      <c r="F387" s="3">
        <f>IF('3b-d Exposures'!E472="",0,'3b-d Exposures'!E472)</f>
        <v/>
      </c>
      <c r="G387" s="3">
        <f>IF('3b-d Exposures'!G472="",0,'3b-d Exposures'!G472)</f>
        <v/>
      </c>
      <c r="H387" s="3">
        <f>IF('3b-d Exposures'!I472="",0,'3b-d Exposures'!I472)</f>
        <v/>
      </c>
      <c r="I387" s="3">
        <f>IF('3b-d Exposures'!K472="",0,'3b-d Exposures'!K472)</f>
        <v/>
      </c>
      <c r="J387" s="3">
        <f>IF('3b-d Exposures'!M472="",0,'3b-d Exposures'!M472)</f>
        <v/>
      </c>
      <c r="K387" s="3">
        <f>IF('3b-d Exposures'!O472="",0,'3b-d Exposures'!O472)</f>
        <v/>
      </c>
      <c r="L387" s="3">
        <f>IF('3b-d Exposures'!Q472="",0,'3b-d Exposures'!Q472)</f>
        <v/>
      </c>
      <c r="M387" s="3">
        <f>IF('3b-d Exposures'!S472="",0,'3b-d Exposures'!S472)</f>
        <v/>
      </c>
      <c r="N387" s="3">
        <f>IF('3b-d Exposures'!Z472="",0,'3b-d Exposures'!Z472)</f>
        <v/>
      </c>
      <c r="O387" s="3">
        <f>$D387</f>
        <v/>
      </c>
      <c r="P387" s="3">
        <f>E387*$D387</f>
        <v/>
      </c>
      <c r="Q387" s="3">
        <f>F387*$D387</f>
        <v/>
      </c>
      <c r="R387" s="3">
        <f>G387*$D387</f>
        <v/>
      </c>
      <c r="S387" s="3">
        <f>H387*$D387</f>
        <v/>
      </c>
      <c r="T387" s="3">
        <f>I387*$D387</f>
        <v/>
      </c>
      <c r="U387" s="3">
        <f>J387*$D387</f>
        <v/>
      </c>
      <c r="V387" s="3">
        <f>K387*$D387</f>
        <v/>
      </c>
      <c r="W387" s="3">
        <f>L387*$D387</f>
        <v/>
      </c>
      <c r="X387" s="3">
        <f>M387*$D387</f>
        <v/>
      </c>
      <c r="Y387" s="3">
        <f>N387*$D387</f>
        <v/>
      </c>
      <c r="Z387" s="3">
        <f>C387*$D387</f>
        <v/>
      </c>
      <c r="AA387" s="9">
        <f>$L978+$K978*E387+$J978*F387+$I978*G387+$H978*H387+$G978*I387+$F978*J387+$E978*K387+$D978*L387+$C978*M387+$B978*N387</f>
        <v/>
      </c>
      <c r="AB387" s="9">
        <f>C387-AA387</f>
        <v/>
      </c>
      <c r="AC387" s="4">
        <f>AB387^2</f>
        <v/>
      </c>
    </row>
    <row r="388">
      <c r="A388" t="inlineStr">
        <is>
          <t>BBG00P4R3079</t>
        </is>
      </c>
      <c r="B388" t="inlineStr">
        <is>
          <t>go</t>
        </is>
      </c>
      <c r="C388" s="9" t="n">
        <v>-0.04857145036969868</v>
      </c>
      <c r="D388" s="3">
        <f>EXP(0.25*'3b-d Exposures'!G473)</f>
        <v/>
      </c>
      <c r="E388" s="3">
        <f>IF('3b-d Exposures'!C473="",0,'3b-d Exposures'!C473)</f>
        <v/>
      </c>
      <c r="F388" s="3">
        <f>IF('3b-d Exposures'!E473="",0,'3b-d Exposures'!E473)</f>
        <v/>
      </c>
      <c r="G388" s="3">
        <f>IF('3b-d Exposures'!G473="",0,'3b-d Exposures'!G473)</f>
        <v/>
      </c>
      <c r="H388" s="3">
        <f>IF('3b-d Exposures'!I473="",0,'3b-d Exposures'!I473)</f>
        <v/>
      </c>
      <c r="I388" s="3">
        <f>IF('3b-d Exposures'!K473="",0,'3b-d Exposures'!K473)</f>
        <v/>
      </c>
      <c r="J388" s="3">
        <f>IF('3b-d Exposures'!M473="",0,'3b-d Exposures'!M473)</f>
        <v/>
      </c>
      <c r="K388" s="3">
        <f>IF('3b-d Exposures'!O473="",0,'3b-d Exposures'!O473)</f>
        <v/>
      </c>
      <c r="L388" s="3">
        <f>IF('3b-d Exposures'!Q473="",0,'3b-d Exposures'!Q473)</f>
        <v/>
      </c>
      <c r="M388" s="3">
        <f>IF('3b-d Exposures'!S473="",0,'3b-d Exposures'!S473)</f>
        <v/>
      </c>
      <c r="N388" s="3">
        <f>IF('3b-d Exposures'!Z473="",0,'3b-d Exposures'!Z473)</f>
        <v/>
      </c>
      <c r="O388" s="3">
        <f>$D388</f>
        <v/>
      </c>
      <c r="P388" s="3">
        <f>E388*$D388</f>
        <v/>
      </c>
      <c r="Q388" s="3">
        <f>F388*$D388</f>
        <v/>
      </c>
      <c r="R388" s="3">
        <f>G388*$D388</f>
        <v/>
      </c>
      <c r="S388" s="3">
        <f>H388*$D388</f>
        <v/>
      </c>
      <c r="T388" s="3">
        <f>I388*$D388</f>
        <v/>
      </c>
      <c r="U388" s="3">
        <f>J388*$D388</f>
        <v/>
      </c>
      <c r="V388" s="3">
        <f>K388*$D388</f>
        <v/>
      </c>
      <c r="W388" s="3">
        <f>L388*$D388</f>
        <v/>
      </c>
      <c r="X388" s="3">
        <f>M388*$D388</f>
        <v/>
      </c>
      <c r="Y388" s="3">
        <f>N388*$D388</f>
        <v/>
      </c>
      <c r="Z388" s="3">
        <f>C388*$D388</f>
        <v/>
      </c>
      <c r="AA388" s="9">
        <f>$L978+$K978*E388+$J978*F388+$I978*G388+$H978*H388+$G978*I388+$F978*J388+$E978*K388+$D978*L388+$C978*M388+$B978*N388</f>
        <v/>
      </c>
      <c r="AB388" s="9">
        <f>C388-AA388</f>
        <v/>
      </c>
      <c r="AC388" s="4">
        <f>AB388^2</f>
        <v/>
      </c>
    </row>
    <row r="389">
      <c r="A389" t="inlineStr">
        <is>
          <t>BBG002CN8XN5</t>
        </is>
      </c>
      <c r="B389" t="inlineStr">
        <is>
          <t>gogo</t>
        </is>
      </c>
      <c r="C389" s="9" t="n">
        <v>0.008717391136529251</v>
      </c>
      <c r="D389" s="3">
        <f>EXP(0.25*'3b-d Exposures'!G474)</f>
        <v/>
      </c>
      <c r="E389" s="3">
        <f>IF('3b-d Exposures'!C474="",0,'3b-d Exposures'!C474)</f>
        <v/>
      </c>
      <c r="F389" s="3">
        <f>IF('3b-d Exposures'!E474="",0,'3b-d Exposures'!E474)</f>
        <v/>
      </c>
      <c r="G389" s="3">
        <f>IF('3b-d Exposures'!G474="",0,'3b-d Exposures'!G474)</f>
        <v/>
      </c>
      <c r="H389" s="3">
        <f>IF('3b-d Exposures'!I474="",0,'3b-d Exposures'!I474)</f>
        <v/>
      </c>
      <c r="I389" s="3">
        <f>IF('3b-d Exposures'!K474="",0,'3b-d Exposures'!K474)</f>
        <v/>
      </c>
      <c r="J389" s="3">
        <f>IF('3b-d Exposures'!M474="",0,'3b-d Exposures'!M474)</f>
        <v/>
      </c>
      <c r="K389" s="3">
        <f>IF('3b-d Exposures'!O474="",0,'3b-d Exposures'!O474)</f>
        <v/>
      </c>
      <c r="L389" s="3">
        <f>IF('3b-d Exposures'!Q474="",0,'3b-d Exposures'!Q474)</f>
        <v/>
      </c>
      <c r="M389" s="3">
        <f>IF('3b-d Exposures'!S474="",0,'3b-d Exposures'!S474)</f>
        <v/>
      </c>
      <c r="N389" s="3">
        <f>IF('3b-d Exposures'!Z474="",0,'3b-d Exposures'!Z474)</f>
        <v/>
      </c>
      <c r="O389" s="3">
        <f>$D389</f>
        <v/>
      </c>
      <c r="P389" s="3">
        <f>E389*$D389</f>
        <v/>
      </c>
      <c r="Q389" s="3">
        <f>F389*$D389</f>
        <v/>
      </c>
      <c r="R389" s="3">
        <f>G389*$D389</f>
        <v/>
      </c>
      <c r="S389" s="3">
        <f>H389*$D389</f>
        <v/>
      </c>
      <c r="T389" s="3">
        <f>I389*$D389</f>
        <v/>
      </c>
      <c r="U389" s="3">
        <f>J389*$D389</f>
        <v/>
      </c>
      <c r="V389" s="3">
        <f>K389*$D389</f>
        <v/>
      </c>
      <c r="W389" s="3">
        <f>L389*$D389</f>
        <v/>
      </c>
      <c r="X389" s="3">
        <f>M389*$D389</f>
        <v/>
      </c>
      <c r="Y389" s="3">
        <f>N389*$D389</f>
        <v/>
      </c>
      <c r="Z389" s="3">
        <f>C389*$D389</f>
        <v/>
      </c>
      <c r="AA389" s="9">
        <f>$L978+$K978*E389+$J978*F389+$I978*G389+$H978*H389+$G978*I389+$F978*J389+$E978*K389+$D978*L389+$C978*M389+$B978*N389</f>
        <v/>
      </c>
      <c r="AB389" s="9">
        <f>C389-AA389</f>
        <v/>
      </c>
      <c r="AC389" s="4">
        <f>AB389^2</f>
        <v/>
      </c>
    </row>
    <row r="390">
      <c r="A390" t="inlineStr">
        <is>
          <t>BBG009S3NB30</t>
        </is>
      </c>
      <c r="B390" t="inlineStr">
        <is>
          <t>goog</t>
        </is>
      </c>
      <c r="C390" s="9" t="n">
        <v>0.014604988191248</v>
      </c>
      <c r="D390" s="3">
        <f>EXP(0.25*'3b-d Exposures'!G475)</f>
        <v/>
      </c>
      <c r="E390" s="3">
        <f>IF('3b-d Exposures'!C475="",0,'3b-d Exposures'!C475)</f>
        <v/>
      </c>
      <c r="F390" s="3">
        <f>IF('3b-d Exposures'!E475="",0,'3b-d Exposures'!E475)</f>
        <v/>
      </c>
      <c r="G390" s="3">
        <f>IF('3b-d Exposures'!G475="",0,'3b-d Exposures'!G475)</f>
        <v/>
      </c>
      <c r="H390" s="3">
        <f>IF('3b-d Exposures'!I475="",0,'3b-d Exposures'!I475)</f>
        <v/>
      </c>
      <c r="I390" s="3">
        <f>IF('3b-d Exposures'!K475="",0,'3b-d Exposures'!K475)</f>
        <v/>
      </c>
      <c r="J390" s="3">
        <f>IF('3b-d Exposures'!M475="",0,'3b-d Exposures'!M475)</f>
        <v/>
      </c>
      <c r="K390" s="3">
        <f>IF('3b-d Exposures'!O475="",0,'3b-d Exposures'!O475)</f>
        <v/>
      </c>
      <c r="L390" s="3">
        <f>IF('3b-d Exposures'!Q475="",0,'3b-d Exposures'!Q475)</f>
        <v/>
      </c>
      <c r="M390" s="3">
        <f>IF('3b-d Exposures'!S475="",0,'3b-d Exposures'!S475)</f>
        <v/>
      </c>
      <c r="N390" s="3">
        <f>IF('3b-d Exposures'!Z475="",0,'3b-d Exposures'!Z475)</f>
        <v/>
      </c>
      <c r="O390" s="3">
        <f>$D390</f>
        <v/>
      </c>
      <c r="P390" s="3">
        <f>E390*$D390</f>
        <v/>
      </c>
      <c r="Q390" s="3">
        <f>F390*$D390</f>
        <v/>
      </c>
      <c r="R390" s="3">
        <f>G390*$D390</f>
        <v/>
      </c>
      <c r="S390" s="3">
        <f>H390*$D390</f>
        <v/>
      </c>
      <c r="T390" s="3">
        <f>I390*$D390</f>
        <v/>
      </c>
      <c r="U390" s="3">
        <f>J390*$D390</f>
        <v/>
      </c>
      <c r="V390" s="3">
        <f>K390*$D390</f>
        <v/>
      </c>
      <c r="W390" s="3">
        <f>L390*$D390</f>
        <v/>
      </c>
      <c r="X390" s="3">
        <f>M390*$D390</f>
        <v/>
      </c>
      <c r="Y390" s="3">
        <f>N390*$D390</f>
        <v/>
      </c>
      <c r="Z390" s="3">
        <f>C390*$D390</f>
        <v/>
      </c>
      <c r="AA390" s="9">
        <f>$L978+$K978*E390+$J978*F390+$I978*G390+$H978*H390+$G978*I390+$F978*J390+$E978*K390+$D978*L390+$C978*M390+$B978*N390</f>
        <v/>
      </c>
      <c r="AB390" s="9">
        <f>C390-AA390</f>
        <v/>
      </c>
      <c r="AC390" s="4">
        <f>AB390^2</f>
        <v/>
      </c>
    </row>
    <row r="391">
      <c r="A391" t="inlineStr">
        <is>
          <t>BBG009S39JX6</t>
        </is>
      </c>
      <c r="B391" t="inlineStr">
        <is>
          <t>googl</t>
        </is>
      </c>
      <c r="C391" s="9" t="n">
        <v>0.01503404102737971</v>
      </c>
      <c r="D391" s="3">
        <f>EXP(0.25*'3b-d Exposures'!G476)</f>
        <v/>
      </c>
      <c r="E391" s="3">
        <f>IF('3b-d Exposures'!C476="",0,'3b-d Exposures'!C476)</f>
        <v/>
      </c>
      <c r="F391" s="3">
        <f>IF('3b-d Exposures'!E476="",0,'3b-d Exposures'!E476)</f>
        <v/>
      </c>
      <c r="G391" s="3">
        <f>IF('3b-d Exposures'!G476="",0,'3b-d Exposures'!G476)</f>
        <v/>
      </c>
      <c r="H391" s="3">
        <f>IF('3b-d Exposures'!I476="",0,'3b-d Exposures'!I476)</f>
        <v/>
      </c>
      <c r="I391" s="3">
        <f>IF('3b-d Exposures'!K476="",0,'3b-d Exposures'!K476)</f>
        <v/>
      </c>
      <c r="J391" s="3">
        <f>IF('3b-d Exposures'!M476="",0,'3b-d Exposures'!M476)</f>
        <v/>
      </c>
      <c r="K391" s="3">
        <f>IF('3b-d Exposures'!O476="",0,'3b-d Exposures'!O476)</f>
        <v/>
      </c>
      <c r="L391" s="3">
        <f>IF('3b-d Exposures'!Q476="",0,'3b-d Exposures'!Q476)</f>
        <v/>
      </c>
      <c r="M391" s="3">
        <f>IF('3b-d Exposures'!S476="",0,'3b-d Exposures'!S476)</f>
        <v/>
      </c>
      <c r="N391" s="3">
        <f>IF('3b-d Exposures'!Z476="",0,'3b-d Exposures'!Z476)</f>
        <v/>
      </c>
      <c r="O391" s="3">
        <f>$D391</f>
        <v/>
      </c>
      <c r="P391" s="3">
        <f>E391*$D391</f>
        <v/>
      </c>
      <c r="Q391" s="3">
        <f>F391*$D391</f>
        <v/>
      </c>
      <c r="R391" s="3">
        <f>G391*$D391</f>
        <v/>
      </c>
      <c r="S391" s="3">
        <f>H391*$D391</f>
        <v/>
      </c>
      <c r="T391" s="3">
        <f>I391*$D391</f>
        <v/>
      </c>
      <c r="U391" s="3">
        <f>J391*$D391</f>
        <v/>
      </c>
      <c r="V391" s="3">
        <f>K391*$D391</f>
        <v/>
      </c>
      <c r="W391" s="3">
        <f>L391*$D391</f>
        <v/>
      </c>
      <c r="X391" s="3">
        <f>M391*$D391</f>
        <v/>
      </c>
      <c r="Y391" s="3">
        <f>N391*$D391</f>
        <v/>
      </c>
      <c r="Z391" s="3">
        <f>C391*$D391</f>
        <v/>
      </c>
      <c r="AA391" s="9">
        <f>$L978+$K978*E391+$J978*F391+$I978*G391+$H978*H391+$G978*I391+$F978*J391+$E978*K391+$D978*L391+$C978*M391+$B978*N391</f>
        <v/>
      </c>
      <c r="AB391" s="9">
        <f>C391-AA391</f>
        <v/>
      </c>
      <c r="AC391" s="4">
        <f>AB391^2</f>
        <v/>
      </c>
    </row>
    <row r="392">
      <c r="A392" t="inlineStr">
        <is>
          <t>gpc</t>
        </is>
      </c>
      <c r="B392" t="inlineStr">
        <is>
          <t>gpc</t>
        </is>
      </c>
      <c r="C392" s="9" t="n">
        <v>0.006312487594662297</v>
      </c>
      <c r="D392" s="3">
        <f>EXP(0.25*'3b-d Exposures'!G478)</f>
        <v/>
      </c>
      <c r="E392" s="3">
        <f>IF('3b-d Exposures'!C478="",0,'3b-d Exposures'!C478)</f>
        <v/>
      </c>
      <c r="F392" s="3">
        <f>IF('3b-d Exposures'!E478="",0,'3b-d Exposures'!E478)</f>
        <v/>
      </c>
      <c r="G392" s="3">
        <f>IF('3b-d Exposures'!G478="",0,'3b-d Exposures'!G478)</f>
        <v/>
      </c>
      <c r="H392" s="3">
        <f>IF('3b-d Exposures'!I478="",0,'3b-d Exposures'!I478)</f>
        <v/>
      </c>
      <c r="I392" s="3">
        <f>IF('3b-d Exposures'!K478="",0,'3b-d Exposures'!K478)</f>
        <v/>
      </c>
      <c r="J392" s="3">
        <f>IF('3b-d Exposures'!M478="",0,'3b-d Exposures'!M478)</f>
        <v/>
      </c>
      <c r="K392" s="3">
        <f>IF('3b-d Exposures'!O478="",0,'3b-d Exposures'!O478)</f>
        <v/>
      </c>
      <c r="L392" s="3">
        <f>IF('3b-d Exposures'!Q478="",0,'3b-d Exposures'!Q478)</f>
        <v/>
      </c>
      <c r="M392" s="3">
        <f>IF('3b-d Exposures'!S478="",0,'3b-d Exposures'!S478)</f>
        <v/>
      </c>
      <c r="N392" s="3">
        <f>IF('3b-d Exposures'!Z478="",0,'3b-d Exposures'!Z478)</f>
        <v/>
      </c>
      <c r="O392" s="3">
        <f>$D392</f>
        <v/>
      </c>
      <c r="P392" s="3">
        <f>E392*$D392</f>
        <v/>
      </c>
      <c r="Q392" s="3">
        <f>F392*$D392</f>
        <v/>
      </c>
      <c r="R392" s="3">
        <f>G392*$D392</f>
        <v/>
      </c>
      <c r="S392" s="3">
        <f>H392*$D392</f>
        <v/>
      </c>
      <c r="T392" s="3">
        <f>I392*$D392</f>
        <v/>
      </c>
      <c r="U392" s="3">
        <f>J392*$D392</f>
        <v/>
      </c>
      <c r="V392" s="3">
        <f>K392*$D392</f>
        <v/>
      </c>
      <c r="W392" s="3">
        <f>L392*$D392</f>
        <v/>
      </c>
      <c r="X392" s="3">
        <f>M392*$D392</f>
        <v/>
      </c>
      <c r="Y392" s="3">
        <f>N392*$D392</f>
        <v/>
      </c>
      <c r="Z392" s="3">
        <f>C392*$D392</f>
        <v/>
      </c>
      <c r="AA392" s="9">
        <f>$L978+$K978*E392+$J978*F392+$I978*G392+$H978*H392+$G978*I392+$F978*J392+$E978*K392+$D978*L392+$C978*M392+$B978*N392</f>
        <v/>
      </c>
      <c r="AB392" s="9">
        <f>C392-AA392</f>
        <v/>
      </c>
      <c r="AC392" s="4">
        <f>AB392^2</f>
        <v/>
      </c>
    </row>
    <row r="393">
      <c r="A393" t="inlineStr">
        <is>
          <t>BBG000GQ7K93</t>
        </is>
      </c>
      <c r="B393" t="inlineStr">
        <is>
          <t>gpk</t>
        </is>
      </c>
      <c r="C393" s="9" t="n">
        <v>0.00631437287955916</v>
      </c>
      <c r="D393" s="3">
        <f>EXP(0.25*'3b-d Exposures'!G479)</f>
        <v/>
      </c>
      <c r="E393" s="3">
        <f>IF('3b-d Exposures'!C479="",0,'3b-d Exposures'!C479)</f>
        <v/>
      </c>
      <c r="F393" s="3">
        <f>IF('3b-d Exposures'!E479="",0,'3b-d Exposures'!E479)</f>
        <v/>
      </c>
      <c r="G393" s="3">
        <f>IF('3b-d Exposures'!G479="",0,'3b-d Exposures'!G479)</f>
        <v/>
      </c>
      <c r="H393" s="3">
        <f>IF('3b-d Exposures'!I479="",0,'3b-d Exposures'!I479)</f>
        <v/>
      </c>
      <c r="I393" s="3">
        <f>IF('3b-d Exposures'!K479="",0,'3b-d Exposures'!K479)</f>
        <v/>
      </c>
      <c r="J393" s="3">
        <f>IF('3b-d Exposures'!M479="",0,'3b-d Exposures'!M479)</f>
        <v/>
      </c>
      <c r="K393" s="3">
        <f>IF('3b-d Exposures'!O479="",0,'3b-d Exposures'!O479)</f>
        <v/>
      </c>
      <c r="L393" s="3">
        <f>IF('3b-d Exposures'!Q479="",0,'3b-d Exposures'!Q479)</f>
        <v/>
      </c>
      <c r="M393" s="3">
        <f>IF('3b-d Exposures'!S479="",0,'3b-d Exposures'!S479)</f>
        <v/>
      </c>
      <c r="N393" s="3">
        <f>IF('3b-d Exposures'!Z479="",0,'3b-d Exposures'!Z479)</f>
        <v/>
      </c>
      <c r="O393" s="3">
        <f>$D393</f>
        <v/>
      </c>
      <c r="P393" s="3">
        <f>E393*$D393</f>
        <v/>
      </c>
      <c r="Q393" s="3">
        <f>F393*$D393</f>
        <v/>
      </c>
      <c r="R393" s="3">
        <f>G393*$D393</f>
        <v/>
      </c>
      <c r="S393" s="3">
        <f>H393*$D393</f>
        <v/>
      </c>
      <c r="T393" s="3">
        <f>I393*$D393</f>
        <v/>
      </c>
      <c r="U393" s="3">
        <f>J393*$D393</f>
        <v/>
      </c>
      <c r="V393" s="3">
        <f>K393*$D393</f>
        <v/>
      </c>
      <c r="W393" s="3">
        <f>L393*$D393</f>
        <v/>
      </c>
      <c r="X393" s="3">
        <f>M393*$D393</f>
        <v/>
      </c>
      <c r="Y393" s="3">
        <f>N393*$D393</f>
        <v/>
      </c>
      <c r="Z393" s="3">
        <f>C393*$D393</f>
        <v/>
      </c>
      <c r="AA393" s="9">
        <f>$L978+$K978*E393+$J978*F393+$I978*G393+$H978*H393+$G978*I393+$F978*J393+$E978*K393+$D978*L393+$C978*M393+$B978*N393</f>
        <v/>
      </c>
      <c r="AB393" s="9">
        <f>C393-AA393</f>
        <v/>
      </c>
      <c r="AC393" s="4">
        <f>AB393^2</f>
        <v/>
      </c>
    </row>
    <row r="394">
      <c r="A394" t="inlineStr">
        <is>
          <t>BBG000CX0P89</t>
        </is>
      </c>
      <c r="B394" t="inlineStr">
        <is>
          <t>gpn</t>
        </is>
      </c>
      <c r="C394" s="9" t="n">
        <v>-0.006977034686239447</v>
      </c>
      <c r="D394" s="3">
        <f>EXP(0.25*'3b-d Exposures'!G480)</f>
        <v/>
      </c>
      <c r="E394" s="3">
        <f>IF('3b-d Exposures'!C480="",0,'3b-d Exposures'!C480)</f>
        <v/>
      </c>
      <c r="F394" s="3">
        <f>IF('3b-d Exposures'!E480="",0,'3b-d Exposures'!E480)</f>
        <v/>
      </c>
      <c r="G394" s="3">
        <f>IF('3b-d Exposures'!G480="",0,'3b-d Exposures'!G480)</f>
        <v/>
      </c>
      <c r="H394" s="3">
        <f>IF('3b-d Exposures'!I480="",0,'3b-d Exposures'!I480)</f>
        <v/>
      </c>
      <c r="I394" s="3">
        <f>IF('3b-d Exposures'!K480="",0,'3b-d Exposures'!K480)</f>
        <v/>
      </c>
      <c r="J394" s="3">
        <f>IF('3b-d Exposures'!M480="",0,'3b-d Exposures'!M480)</f>
        <v/>
      </c>
      <c r="K394" s="3">
        <f>IF('3b-d Exposures'!O480="",0,'3b-d Exposures'!O480)</f>
        <v/>
      </c>
      <c r="L394" s="3">
        <f>IF('3b-d Exposures'!Q480="",0,'3b-d Exposures'!Q480)</f>
        <v/>
      </c>
      <c r="M394" s="3">
        <f>IF('3b-d Exposures'!S480="",0,'3b-d Exposures'!S480)</f>
        <v/>
      </c>
      <c r="N394" s="3">
        <f>IF('3b-d Exposures'!Z480="",0,'3b-d Exposures'!Z480)</f>
        <v/>
      </c>
      <c r="O394" s="3">
        <f>$D394</f>
        <v/>
      </c>
      <c r="P394" s="3">
        <f>E394*$D394</f>
        <v/>
      </c>
      <c r="Q394" s="3">
        <f>F394*$D394</f>
        <v/>
      </c>
      <c r="R394" s="3">
        <f>G394*$D394</f>
        <v/>
      </c>
      <c r="S394" s="3">
        <f>H394*$D394</f>
        <v/>
      </c>
      <c r="T394" s="3">
        <f>I394*$D394</f>
        <v/>
      </c>
      <c r="U394" s="3">
        <f>J394*$D394</f>
        <v/>
      </c>
      <c r="V394" s="3">
        <f>K394*$D394</f>
        <v/>
      </c>
      <c r="W394" s="3">
        <f>L394*$D394</f>
        <v/>
      </c>
      <c r="X394" s="3">
        <f>M394*$D394</f>
        <v/>
      </c>
      <c r="Y394" s="3">
        <f>N394*$D394</f>
        <v/>
      </c>
      <c r="Z394" s="3">
        <f>C394*$D394</f>
        <v/>
      </c>
      <c r="AA394" s="9">
        <f>$L978+$K978*E394+$J978*F394+$I978*G394+$H978*H394+$G978*I394+$F978*J394+$E978*K394+$D978*L394+$C978*M394+$B978*N394</f>
        <v/>
      </c>
      <c r="AB394" s="9">
        <f>C394-AA394</f>
        <v/>
      </c>
      <c r="AC394" s="4">
        <f>AB394^2</f>
        <v/>
      </c>
    </row>
    <row r="395">
      <c r="A395" t="inlineStr">
        <is>
          <t>grmn</t>
        </is>
      </c>
      <c r="B395" t="inlineStr">
        <is>
          <t>grmn</t>
        </is>
      </c>
      <c r="C395" s="9" t="n">
        <v>0.004045144148156377</v>
      </c>
      <c r="D395" s="3">
        <f>EXP(0.25*'3b-d Exposures'!G483)</f>
        <v/>
      </c>
      <c r="E395" s="3">
        <f>IF('3b-d Exposures'!C483="",0,'3b-d Exposures'!C483)</f>
        <v/>
      </c>
      <c r="F395" s="3">
        <f>IF('3b-d Exposures'!E483="",0,'3b-d Exposures'!E483)</f>
        <v/>
      </c>
      <c r="G395" s="3">
        <f>IF('3b-d Exposures'!G483="",0,'3b-d Exposures'!G483)</f>
        <v/>
      </c>
      <c r="H395" s="3">
        <f>IF('3b-d Exposures'!I483="",0,'3b-d Exposures'!I483)</f>
        <v/>
      </c>
      <c r="I395" s="3">
        <f>IF('3b-d Exposures'!K483="",0,'3b-d Exposures'!K483)</f>
        <v/>
      </c>
      <c r="J395" s="3">
        <f>IF('3b-d Exposures'!M483="",0,'3b-d Exposures'!M483)</f>
        <v/>
      </c>
      <c r="K395" s="3">
        <f>IF('3b-d Exposures'!O483="",0,'3b-d Exposures'!O483)</f>
        <v/>
      </c>
      <c r="L395" s="3">
        <f>IF('3b-d Exposures'!Q483="",0,'3b-d Exposures'!Q483)</f>
        <v/>
      </c>
      <c r="M395" s="3">
        <f>IF('3b-d Exposures'!S483="",0,'3b-d Exposures'!S483)</f>
        <v/>
      </c>
      <c r="N395" s="3">
        <f>IF('3b-d Exposures'!Z483="",0,'3b-d Exposures'!Z483)</f>
        <v/>
      </c>
      <c r="O395" s="3">
        <f>$D395</f>
        <v/>
      </c>
      <c r="P395" s="3">
        <f>E395*$D395</f>
        <v/>
      </c>
      <c r="Q395" s="3">
        <f>F395*$D395</f>
        <v/>
      </c>
      <c r="R395" s="3">
        <f>G395*$D395</f>
        <v/>
      </c>
      <c r="S395" s="3">
        <f>H395*$D395</f>
        <v/>
      </c>
      <c r="T395" s="3">
        <f>I395*$D395</f>
        <v/>
      </c>
      <c r="U395" s="3">
        <f>J395*$D395</f>
        <v/>
      </c>
      <c r="V395" s="3">
        <f>K395*$D395</f>
        <v/>
      </c>
      <c r="W395" s="3">
        <f>L395*$D395</f>
        <v/>
      </c>
      <c r="X395" s="3">
        <f>M395*$D395</f>
        <v/>
      </c>
      <c r="Y395" s="3">
        <f>N395*$D395</f>
        <v/>
      </c>
      <c r="Z395" s="3">
        <f>C395*$D395</f>
        <v/>
      </c>
      <c r="AA395" s="9">
        <f>$L978+$K978*E395+$J978*F395+$I978*G395+$H978*H395+$G978*I395+$F978*J395+$E978*K395+$D978*L395+$C978*M395+$B978*N395</f>
        <v/>
      </c>
      <c r="AB395" s="9">
        <f>C395-AA395</f>
        <v/>
      </c>
      <c r="AC395" s="4">
        <f>AB395^2</f>
        <v/>
      </c>
    </row>
    <row r="396">
      <c r="A396" t="inlineStr">
        <is>
          <t>BBG000C6CFJ5</t>
        </is>
      </c>
      <c r="B396" t="inlineStr">
        <is>
          <t>gs</t>
        </is>
      </c>
      <c r="C396" s="9" t="n">
        <v>-0.006374014382939941</v>
      </c>
      <c r="D396" s="3">
        <f>EXP(0.25*'3b-d Exposures'!G484)</f>
        <v/>
      </c>
      <c r="E396" s="3">
        <f>IF('3b-d Exposures'!C484="",0,'3b-d Exposures'!C484)</f>
        <v/>
      </c>
      <c r="F396" s="3">
        <f>IF('3b-d Exposures'!E484="",0,'3b-d Exposures'!E484)</f>
        <v/>
      </c>
      <c r="G396" s="3">
        <f>IF('3b-d Exposures'!G484="",0,'3b-d Exposures'!G484)</f>
        <v/>
      </c>
      <c r="H396" s="3">
        <f>IF('3b-d Exposures'!I484="",0,'3b-d Exposures'!I484)</f>
        <v/>
      </c>
      <c r="I396" s="3">
        <f>IF('3b-d Exposures'!K484="",0,'3b-d Exposures'!K484)</f>
        <v/>
      </c>
      <c r="J396" s="3">
        <f>IF('3b-d Exposures'!M484="",0,'3b-d Exposures'!M484)</f>
        <v/>
      </c>
      <c r="K396" s="3">
        <f>IF('3b-d Exposures'!O484="",0,'3b-d Exposures'!O484)</f>
        <v/>
      </c>
      <c r="L396" s="3">
        <f>IF('3b-d Exposures'!Q484="",0,'3b-d Exposures'!Q484)</f>
        <v/>
      </c>
      <c r="M396" s="3">
        <f>IF('3b-d Exposures'!S484="",0,'3b-d Exposures'!S484)</f>
        <v/>
      </c>
      <c r="N396" s="3">
        <f>IF('3b-d Exposures'!Z484="",0,'3b-d Exposures'!Z484)</f>
        <v/>
      </c>
      <c r="O396" s="3">
        <f>$D396</f>
        <v/>
      </c>
      <c r="P396" s="3">
        <f>E396*$D396</f>
        <v/>
      </c>
      <c r="Q396" s="3">
        <f>F396*$D396</f>
        <v/>
      </c>
      <c r="R396" s="3">
        <f>G396*$D396</f>
        <v/>
      </c>
      <c r="S396" s="3">
        <f>H396*$D396</f>
        <v/>
      </c>
      <c r="T396" s="3">
        <f>I396*$D396</f>
        <v/>
      </c>
      <c r="U396" s="3">
        <f>J396*$D396</f>
        <v/>
      </c>
      <c r="V396" s="3">
        <f>K396*$D396</f>
        <v/>
      </c>
      <c r="W396" s="3">
        <f>L396*$D396</f>
        <v/>
      </c>
      <c r="X396" s="3">
        <f>M396*$D396</f>
        <v/>
      </c>
      <c r="Y396" s="3">
        <f>N396*$D396</f>
        <v/>
      </c>
      <c r="Z396" s="3">
        <f>C396*$D396</f>
        <v/>
      </c>
      <c r="AA396" s="9">
        <f>$L978+$K978*E396+$J978*F396+$I978*G396+$H978*H396+$G978*I396+$F978*J396+$E978*K396+$D978*L396+$C978*M396+$B978*N396</f>
        <v/>
      </c>
      <c r="AB396" s="9">
        <f>C396-AA396</f>
        <v/>
      </c>
      <c r="AC396" s="4">
        <f>AB396^2</f>
        <v/>
      </c>
    </row>
    <row r="397">
      <c r="A397" t="inlineStr">
        <is>
          <t>BBG000D0BQK2</t>
        </is>
      </c>
      <c r="B397" t="inlineStr">
        <is>
          <t>gsit</t>
        </is>
      </c>
      <c r="C397" s="9" t="n">
        <v>-0.03030300184167523</v>
      </c>
      <c r="D397" s="3">
        <f>EXP(0.25*'3b-d Exposures'!G486)</f>
        <v/>
      </c>
      <c r="E397" s="3">
        <f>IF('3b-d Exposures'!C486="",0,'3b-d Exposures'!C486)</f>
        <v/>
      </c>
      <c r="F397" s="3">
        <f>IF('3b-d Exposures'!E486="",0,'3b-d Exposures'!E486)</f>
        <v/>
      </c>
      <c r="G397" s="3">
        <f>IF('3b-d Exposures'!G486="",0,'3b-d Exposures'!G486)</f>
        <v/>
      </c>
      <c r="H397" s="3">
        <f>IF('3b-d Exposures'!I486="",0,'3b-d Exposures'!I486)</f>
        <v/>
      </c>
      <c r="I397" s="3">
        <f>IF('3b-d Exposures'!K486="",0,'3b-d Exposures'!K486)</f>
        <v/>
      </c>
      <c r="J397" s="3">
        <f>IF('3b-d Exposures'!M486="",0,'3b-d Exposures'!M486)</f>
        <v/>
      </c>
      <c r="K397" s="3">
        <f>IF('3b-d Exposures'!O486="",0,'3b-d Exposures'!O486)</f>
        <v/>
      </c>
      <c r="L397" s="3">
        <f>IF('3b-d Exposures'!Q486="",0,'3b-d Exposures'!Q486)</f>
        <v/>
      </c>
      <c r="M397" s="3">
        <f>IF('3b-d Exposures'!S486="",0,'3b-d Exposures'!S486)</f>
        <v/>
      </c>
      <c r="N397" s="3">
        <f>IF('3b-d Exposures'!Z486="",0,'3b-d Exposures'!Z486)</f>
        <v/>
      </c>
      <c r="O397" s="3">
        <f>$D397</f>
        <v/>
      </c>
      <c r="P397" s="3">
        <f>E397*$D397</f>
        <v/>
      </c>
      <c r="Q397" s="3">
        <f>F397*$D397</f>
        <v/>
      </c>
      <c r="R397" s="3">
        <f>G397*$D397</f>
        <v/>
      </c>
      <c r="S397" s="3">
        <f>H397*$D397</f>
        <v/>
      </c>
      <c r="T397" s="3">
        <f>I397*$D397</f>
        <v/>
      </c>
      <c r="U397" s="3">
        <f>J397*$D397</f>
        <v/>
      </c>
      <c r="V397" s="3">
        <f>K397*$D397</f>
        <v/>
      </c>
      <c r="W397" s="3">
        <f>L397*$D397</f>
        <v/>
      </c>
      <c r="X397" s="3">
        <f>M397*$D397</f>
        <v/>
      </c>
      <c r="Y397" s="3">
        <f>N397*$D397</f>
        <v/>
      </c>
      <c r="Z397" s="3">
        <f>C397*$D397</f>
        <v/>
      </c>
      <c r="AA397" s="9">
        <f>$L978+$K978*E397+$J978*F397+$I978*G397+$H978*H397+$G978*I397+$F978*J397+$E978*K397+$D978*L397+$C978*M397+$B978*N397</f>
        <v/>
      </c>
      <c r="AB397" s="9">
        <f>C397-AA397</f>
        <v/>
      </c>
      <c r="AC397" s="4">
        <f>AB397^2</f>
        <v/>
      </c>
    </row>
    <row r="398">
      <c r="A398" t="inlineStr">
        <is>
          <t>BBG000BKNX95</t>
        </is>
      </c>
      <c r="B398" t="inlineStr">
        <is>
          <t>gt</t>
        </is>
      </c>
      <c r="C398" s="9" t="n">
        <v>0.02420858793507841</v>
      </c>
      <c r="D398" s="3">
        <f>EXP(0.25*'3b-d Exposures'!G487)</f>
        <v/>
      </c>
      <c r="E398" s="3">
        <f>IF('3b-d Exposures'!C487="",0,'3b-d Exposures'!C487)</f>
        <v/>
      </c>
      <c r="F398" s="3">
        <f>IF('3b-d Exposures'!E487="",0,'3b-d Exposures'!E487)</f>
        <v/>
      </c>
      <c r="G398" s="3">
        <f>IF('3b-d Exposures'!G487="",0,'3b-d Exposures'!G487)</f>
        <v/>
      </c>
      <c r="H398" s="3">
        <f>IF('3b-d Exposures'!I487="",0,'3b-d Exposures'!I487)</f>
        <v/>
      </c>
      <c r="I398" s="3">
        <f>IF('3b-d Exposures'!K487="",0,'3b-d Exposures'!K487)</f>
        <v/>
      </c>
      <c r="J398" s="3">
        <f>IF('3b-d Exposures'!M487="",0,'3b-d Exposures'!M487)</f>
        <v/>
      </c>
      <c r="K398" s="3">
        <f>IF('3b-d Exposures'!O487="",0,'3b-d Exposures'!O487)</f>
        <v/>
      </c>
      <c r="L398" s="3">
        <f>IF('3b-d Exposures'!Q487="",0,'3b-d Exposures'!Q487)</f>
        <v/>
      </c>
      <c r="M398" s="3">
        <f>IF('3b-d Exposures'!S487="",0,'3b-d Exposures'!S487)</f>
        <v/>
      </c>
      <c r="N398" s="3">
        <f>IF('3b-d Exposures'!Z487="",0,'3b-d Exposures'!Z487)</f>
        <v/>
      </c>
      <c r="O398" s="3">
        <f>$D398</f>
        <v/>
      </c>
      <c r="P398" s="3">
        <f>E398*$D398</f>
        <v/>
      </c>
      <c r="Q398" s="3">
        <f>F398*$D398</f>
        <v/>
      </c>
      <c r="R398" s="3">
        <f>G398*$D398</f>
        <v/>
      </c>
      <c r="S398" s="3">
        <f>H398*$D398</f>
        <v/>
      </c>
      <c r="T398" s="3">
        <f>I398*$D398</f>
        <v/>
      </c>
      <c r="U398" s="3">
        <f>J398*$D398</f>
        <v/>
      </c>
      <c r="V398" s="3">
        <f>K398*$D398</f>
        <v/>
      </c>
      <c r="W398" s="3">
        <f>L398*$D398</f>
        <v/>
      </c>
      <c r="X398" s="3">
        <f>M398*$D398</f>
        <v/>
      </c>
      <c r="Y398" s="3">
        <f>N398*$D398</f>
        <v/>
      </c>
      <c r="Z398" s="3">
        <f>C398*$D398</f>
        <v/>
      </c>
      <c r="AA398" s="9">
        <f>$L978+$K978*E398+$J978*F398+$I978*G398+$H978*H398+$G978*I398+$F978*J398+$E978*K398+$D978*L398+$C978*M398+$B978*N398</f>
        <v/>
      </c>
      <c r="AB398" s="9">
        <f>C398-AA398</f>
        <v/>
      </c>
      <c r="AC398" s="4">
        <f>AB398^2</f>
        <v/>
      </c>
    </row>
    <row r="399">
      <c r="A399" t="inlineStr">
        <is>
          <t>BBG000P1K2X6</t>
        </is>
      </c>
      <c r="B399" t="inlineStr">
        <is>
          <t>gtls</t>
        </is>
      </c>
      <c r="C399" s="9" t="n">
        <v>-0.005174644243208237</v>
      </c>
      <c r="D399" s="3">
        <f>EXP(0.25*'3b-d Exposures'!G488)</f>
        <v/>
      </c>
      <c r="E399" s="3">
        <f>IF('3b-d Exposures'!C488="",0,'3b-d Exposures'!C488)</f>
        <v/>
      </c>
      <c r="F399" s="3">
        <f>IF('3b-d Exposures'!E488="",0,'3b-d Exposures'!E488)</f>
        <v/>
      </c>
      <c r="G399" s="3">
        <f>IF('3b-d Exposures'!G488="",0,'3b-d Exposures'!G488)</f>
        <v/>
      </c>
      <c r="H399" s="3">
        <f>IF('3b-d Exposures'!I488="",0,'3b-d Exposures'!I488)</f>
        <v/>
      </c>
      <c r="I399" s="3">
        <f>IF('3b-d Exposures'!K488="",0,'3b-d Exposures'!K488)</f>
        <v/>
      </c>
      <c r="J399" s="3">
        <f>IF('3b-d Exposures'!M488="",0,'3b-d Exposures'!M488)</f>
        <v/>
      </c>
      <c r="K399" s="3">
        <f>IF('3b-d Exposures'!O488="",0,'3b-d Exposures'!O488)</f>
        <v/>
      </c>
      <c r="L399" s="3">
        <f>IF('3b-d Exposures'!Q488="",0,'3b-d Exposures'!Q488)</f>
        <v/>
      </c>
      <c r="M399" s="3">
        <f>IF('3b-d Exposures'!S488="",0,'3b-d Exposures'!S488)</f>
        <v/>
      </c>
      <c r="N399" s="3">
        <f>IF('3b-d Exposures'!Z488="",0,'3b-d Exposures'!Z488)</f>
        <v/>
      </c>
      <c r="O399" s="3">
        <f>$D399</f>
        <v/>
      </c>
      <c r="P399" s="3">
        <f>E399*$D399</f>
        <v/>
      </c>
      <c r="Q399" s="3">
        <f>F399*$D399</f>
        <v/>
      </c>
      <c r="R399" s="3">
        <f>G399*$D399</f>
        <v/>
      </c>
      <c r="S399" s="3">
        <f>H399*$D399</f>
        <v/>
      </c>
      <c r="T399" s="3">
        <f>I399*$D399</f>
        <v/>
      </c>
      <c r="U399" s="3">
        <f>J399*$D399</f>
        <v/>
      </c>
      <c r="V399" s="3">
        <f>K399*$D399</f>
        <v/>
      </c>
      <c r="W399" s="3">
        <f>L399*$D399</f>
        <v/>
      </c>
      <c r="X399" s="3">
        <f>M399*$D399</f>
        <v/>
      </c>
      <c r="Y399" s="3">
        <f>N399*$D399</f>
        <v/>
      </c>
      <c r="Z399" s="3">
        <f>C399*$D399</f>
        <v/>
      </c>
      <c r="AA399" s="9">
        <f>$L978+$K978*E399+$J978*F399+$I978*G399+$H978*H399+$G978*I399+$F978*J399+$E978*K399+$D978*L399+$C978*M399+$B978*N399</f>
        <v/>
      </c>
      <c r="AB399" s="9">
        <f>C399-AA399</f>
        <v/>
      </c>
      <c r="AC399" s="4">
        <f>AB399^2</f>
        <v/>
      </c>
    </row>
    <row r="400">
      <c r="A400" t="inlineStr">
        <is>
          <t>BBG000DVB833</t>
        </is>
      </c>
      <c r="B400" t="inlineStr">
        <is>
          <t>gva</t>
        </is>
      </c>
      <c r="C400" s="9" t="n">
        <v>-0.006138728958971718</v>
      </c>
      <c r="D400" s="3">
        <f>EXP(0.25*'3b-d Exposures'!G489)</f>
        <v/>
      </c>
      <c r="E400" s="3">
        <f>IF('3b-d Exposures'!C489="",0,'3b-d Exposures'!C489)</f>
        <v/>
      </c>
      <c r="F400" s="3">
        <f>IF('3b-d Exposures'!E489="",0,'3b-d Exposures'!E489)</f>
        <v/>
      </c>
      <c r="G400" s="3">
        <f>IF('3b-d Exposures'!G489="",0,'3b-d Exposures'!G489)</f>
        <v/>
      </c>
      <c r="H400" s="3">
        <f>IF('3b-d Exposures'!I489="",0,'3b-d Exposures'!I489)</f>
        <v/>
      </c>
      <c r="I400" s="3">
        <f>IF('3b-d Exposures'!K489="",0,'3b-d Exposures'!K489)</f>
        <v/>
      </c>
      <c r="J400" s="3">
        <f>IF('3b-d Exposures'!M489="",0,'3b-d Exposures'!M489)</f>
        <v/>
      </c>
      <c r="K400" s="3">
        <f>IF('3b-d Exposures'!O489="",0,'3b-d Exposures'!O489)</f>
        <v/>
      </c>
      <c r="L400" s="3">
        <f>IF('3b-d Exposures'!Q489="",0,'3b-d Exposures'!Q489)</f>
        <v/>
      </c>
      <c r="M400" s="3">
        <f>IF('3b-d Exposures'!S489="",0,'3b-d Exposures'!S489)</f>
        <v/>
      </c>
      <c r="N400" s="3">
        <f>IF('3b-d Exposures'!Z489="",0,'3b-d Exposures'!Z489)</f>
        <v/>
      </c>
      <c r="O400" s="3">
        <f>$D400</f>
        <v/>
      </c>
      <c r="P400" s="3">
        <f>E400*$D400</f>
        <v/>
      </c>
      <c r="Q400" s="3">
        <f>F400*$D400</f>
        <v/>
      </c>
      <c r="R400" s="3">
        <f>G400*$D400</f>
        <v/>
      </c>
      <c r="S400" s="3">
        <f>H400*$D400</f>
        <v/>
      </c>
      <c r="T400" s="3">
        <f>I400*$D400</f>
        <v/>
      </c>
      <c r="U400" s="3">
        <f>J400*$D400</f>
        <v/>
      </c>
      <c r="V400" s="3">
        <f>K400*$D400</f>
        <v/>
      </c>
      <c r="W400" s="3">
        <f>L400*$D400</f>
        <v/>
      </c>
      <c r="X400" s="3">
        <f>M400*$D400</f>
        <v/>
      </c>
      <c r="Y400" s="3">
        <f>N400*$D400</f>
        <v/>
      </c>
      <c r="Z400" s="3">
        <f>C400*$D400</f>
        <v/>
      </c>
      <c r="AA400" s="9">
        <f>$L978+$K978*E400+$J978*F400+$I978*G400+$H978*H400+$G978*I400+$F978*J400+$E978*K400+$D978*L400+$C978*M400+$B978*N400</f>
        <v/>
      </c>
      <c r="AB400" s="9">
        <f>C400-AA400</f>
        <v/>
      </c>
      <c r="AC400" s="4">
        <f>AB400^2</f>
        <v/>
      </c>
    </row>
    <row r="401">
      <c r="A401" t="inlineStr">
        <is>
          <t>BBG000BKR1D6</t>
        </is>
      </c>
      <c r="B401" t="inlineStr">
        <is>
          <t>gww</t>
        </is>
      </c>
      <c r="C401" s="9" t="n">
        <v>-0.009416371462590445</v>
      </c>
      <c r="D401" s="3">
        <f>EXP(0.25*'3b-d Exposures'!G490)</f>
        <v/>
      </c>
      <c r="E401" s="3">
        <f>IF('3b-d Exposures'!C490="",0,'3b-d Exposures'!C490)</f>
        <v/>
      </c>
      <c r="F401" s="3">
        <f>IF('3b-d Exposures'!E490="",0,'3b-d Exposures'!E490)</f>
        <v/>
      </c>
      <c r="G401" s="3">
        <f>IF('3b-d Exposures'!G490="",0,'3b-d Exposures'!G490)</f>
        <v/>
      </c>
      <c r="H401" s="3">
        <f>IF('3b-d Exposures'!I490="",0,'3b-d Exposures'!I490)</f>
        <v/>
      </c>
      <c r="I401" s="3">
        <f>IF('3b-d Exposures'!K490="",0,'3b-d Exposures'!K490)</f>
        <v/>
      </c>
      <c r="J401" s="3">
        <f>IF('3b-d Exposures'!M490="",0,'3b-d Exposures'!M490)</f>
        <v/>
      </c>
      <c r="K401" s="3">
        <f>IF('3b-d Exposures'!O490="",0,'3b-d Exposures'!O490)</f>
        <v/>
      </c>
      <c r="L401" s="3">
        <f>IF('3b-d Exposures'!Q490="",0,'3b-d Exposures'!Q490)</f>
        <v/>
      </c>
      <c r="M401" s="3">
        <f>IF('3b-d Exposures'!S490="",0,'3b-d Exposures'!S490)</f>
        <v/>
      </c>
      <c r="N401" s="3">
        <f>IF('3b-d Exposures'!Z490="",0,'3b-d Exposures'!Z490)</f>
        <v/>
      </c>
      <c r="O401" s="3">
        <f>$D401</f>
        <v/>
      </c>
      <c r="P401" s="3">
        <f>E401*$D401</f>
        <v/>
      </c>
      <c r="Q401" s="3">
        <f>F401*$D401</f>
        <v/>
      </c>
      <c r="R401" s="3">
        <f>G401*$D401</f>
        <v/>
      </c>
      <c r="S401" s="3">
        <f>H401*$D401</f>
        <v/>
      </c>
      <c r="T401" s="3">
        <f>I401*$D401</f>
        <v/>
      </c>
      <c r="U401" s="3">
        <f>J401*$D401</f>
        <v/>
      </c>
      <c r="V401" s="3">
        <f>K401*$D401</f>
        <v/>
      </c>
      <c r="W401" s="3">
        <f>L401*$D401</f>
        <v/>
      </c>
      <c r="X401" s="3">
        <f>M401*$D401</f>
        <v/>
      </c>
      <c r="Y401" s="3">
        <f>N401*$D401</f>
        <v/>
      </c>
      <c r="Z401" s="3">
        <f>C401*$D401</f>
        <v/>
      </c>
      <c r="AA401" s="9">
        <f>$L978+$K978*E401+$J978*F401+$I978*G401+$H978*H401+$G978*I401+$F978*J401+$E978*K401+$D978*L401+$C978*M401+$B978*N401</f>
        <v/>
      </c>
      <c r="AB401" s="9">
        <f>C401-AA401</f>
        <v/>
      </c>
      <c r="AC401" s="4">
        <f>AB401^2</f>
        <v/>
      </c>
    </row>
    <row r="402">
      <c r="A402" t="inlineStr">
        <is>
          <t>BBG00YDGX945</t>
        </is>
      </c>
      <c r="B402" t="inlineStr">
        <is>
          <t>gxo</t>
        </is>
      </c>
      <c r="C402" s="9" t="n">
        <v>-0.00706888529068328</v>
      </c>
      <c r="D402" s="3">
        <f>EXP(0.25*'3b-d Exposures'!G491)</f>
        <v/>
      </c>
      <c r="E402" s="3">
        <f>IF('3b-d Exposures'!C491="",0,'3b-d Exposures'!C491)</f>
        <v/>
      </c>
      <c r="F402" s="3">
        <f>IF('3b-d Exposures'!E491="",0,'3b-d Exposures'!E491)</f>
        <v/>
      </c>
      <c r="G402" s="3">
        <f>IF('3b-d Exposures'!G491="",0,'3b-d Exposures'!G491)</f>
        <v/>
      </c>
      <c r="H402" s="3">
        <f>IF('3b-d Exposures'!I491="",0,'3b-d Exposures'!I491)</f>
        <v/>
      </c>
      <c r="I402" s="3">
        <f>IF('3b-d Exposures'!K491="",0,'3b-d Exposures'!K491)</f>
        <v/>
      </c>
      <c r="J402" s="3">
        <f>IF('3b-d Exposures'!M491="",0,'3b-d Exposures'!M491)</f>
        <v/>
      </c>
      <c r="K402" s="3">
        <f>IF('3b-d Exposures'!O491="",0,'3b-d Exposures'!O491)</f>
        <v/>
      </c>
      <c r="L402" s="3">
        <f>IF('3b-d Exposures'!Q491="",0,'3b-d Exposures'!Q491)</f>
        <v/>
      </c>
      <c r="M402" s="3">
        <f>IF('3b-d Exposures'!S491="",0,'3b-d Exposures'!S491)</f>
        <v/>
      </c>
      <c r="N402" s="3">
        <f>IF('3b-d Exposures'!Z491="",0,'3b-d Exposures'!Z491)</f>
        <v/>
      </c>
      <c r="O402" s="3">
        <f>$D402</f>
        <v/>
      </c>
      <c r="P402" s="3">
        <f>E402*$D402</f>
        <v/>
      </c>
      <c r="Q402" s="3">
        <f>F402*$D402</f>
        <v/>
      </c>
      <c r="R402" s="3">
        <f>G402*$D402</f>
        <v/>
      </c>
      <c r="S402" s="3">
        <f>H402*$D402</f>
        <v/>
      </c>
      <c r="T402" s="3">
        <f>I402*$D402</f>
        <v/>
      </c>
      <c r="U402" s="3">
        <f>J402*$D402</f>
        <v/>
      </c>
      <c r="V402" s="3">
        <f>K402*$D402</f>
        <v/>
      </c>
      <c r="W402" s="3">
        <f>L402*$D402</f>
        <v/>
      </c>
      <c r="X402" s="3">
        <f>M402*$D402</f>
        <v/>
      </c>
      <c r="Y402" s="3">
        <f>N402*$D402</f>
        <v/>
      </c>
      <c r="Z402" s="3">
        <f>C402*$D402</f>
        <v/>
      </c>
      <c r="AA402" s="9">
        <f>$L978+$K978*E402+$J978*F402+$I978*G402+$H978*H402+$G978*I402+$F978*J402+$E978*K402+$D978*L402+$C978*M402+$B978*N402</f>
        <v/>
      </c>
      <c r="AB402" s="9">
        <f>C402-AA402</f>
        <v/>
      </c>
      <c r="AC402" s="4">
        <f>AB402^2</f>
        <v/>
      </c>
    </row>
    <row r="403">
      <c r="A403" t="inlineStr">
        <is>
          <t>BBG000C7TF41</t>
        </is>
      </c>
      <c r="B403" t="inlineStr">
        <is>
          <t>hae</t>
        </is>
      </c>
      <c r="C403" s="9" t="n">
        <v>0.000114349332238195</v>
      </c>
      <c r="D403" s="3">
        <f>EXP(0.25*'3b-d Exposures'!G492)</f>
        <v/>
      </c>
      <c r="E403" s="3">
        <f>IF('3b-d Exposures'!C492="",0,'3b-d Exposures'!C492)</f>
        <v/>
      </c>
      <c r="F403" s="3">
        <f>IF('3b-d Exposures'!E492="",0,'3b-d Exposures'!E492)</f>
        <v/>
      </c>
      <c r="G403" s="3">
        <f>IF('3b-d Exposures'!G492="",0,'3b-d Exposures'!G492)</f>
        <v/>
      </c>
      <c r="H403" s="3">
        <f>IF('3b-d Exposures'!I492="",0,'3b-d Exposures'!I492)</f>
        <v/>
      </c>
      <c r="I403" s="3">
        <f>IF('3b-d Exposures'!K492="",0,'3b-d Exposures'!K492)</f>
        <v/>
      </c>
      <c r="J403" s="3">
        <f>IF('3b-d Exposures'!M492="",0,'3b-d Exposures'!M492)</f>
        <v/>
      </c>
      <c r="K403" s="3">
        <f>IF('3b-d Exposures'!O492="",0,'3b-d Exposures'!O492)</f>
        <v/>
      </c>
      <c r="L403" s="3">
        <f>IF('3b-d Exposures'!Q492="",0,'3b-d Exposures'!Q492)</f>
        <v/>
      </c>
      <c r="M403" s="3">
        <f>IF('3b-d Exposures'!S492="",0,'3b-d Exposures'!S492)</f>
        <v/>
      </c>
      <c r="N403" s="3">
        <f>IF('3b-d Exposures'!Z492="",0,'3b-d Exposures'!Z492)</f>
        <v/>
      </c>
      <c r="O403" s="3">
        <f>$D403</f>
        <v/>
      </c>
      <c r="P403" s="3">
        <f>E403*$D403</f>
        <v/>
      </c>
      <c r="Q403" s="3">
        <f>F403*$D403</f>
        <v/>
      </c>
      <c r="R403" s="3">
        <f>G403*$D403</f>
        <v/>
      </c>
      <c r="S403" s="3">
        <f>H403*$D403</f>
        <v/>
      </c>
      <c r="T403" s="3">
        <f>I403*$D403</f>
        <v/>
      </c>
      <c r="U403" s="3">
        <f>J403*$D403</f>
        <v/>
      </c>
      <c r="V403" s="3">
        <f>K403*$D403</f>
        <v/>
      </c>
      <c r="W403" s="3">
        <f>L403*$D403</f>
        <v/>
      </c>
      <c r="X403" s="3">
        <f>M403*$D403</f>
        <v/>
      </c>
      <c r="Y403" s="3">
        <f>N403*$D403</f>
        <v/>
      </c>
      <c r="Z403" s="3">
        <f>C403*$D403</f>
        <v/>
      </c>
      <c r="AA403" s="9">
        <f>$L978+$K978*E403+$J978*F403+$I978*G403+$H978*H403+$G978*I403+$F978*J403+$E978*K403+$D978*L403+$C978*M403+$B978*N403</f>
        <v/>
      </c>
      <c r="AB403" s="9">
        <f>C403-AA403</f>
        <v/>
      </c>
      <c r="AC403" s="4">
        <f>AB403^2</f>
        <v/>
      </c>
    </row>
    <row r="404">
      <c r="A404" t="inlineStr">
        <is>
          <t>BBG000BQW085</t>
        </is>
      </c>
      <c r="B404" t="inlineStr">
        <is>
          <t>hain</t>
        </is>
      </c>
      <c r="C404" s="9" t="n">
        <v>0.04353079041722263</v>
      </c>
      <c r="D404" s="3">
        <f>EXP(0.25*'3b-d Exposures'!G493)</f>
        <v/>
      </c>
      <c r="E404" s="3">
        <f>IF('3b-d Exposures'!C493="",0,'3b-d Exposures'!C493)</f>
        <v/>
      </c>
      <c r="F404" s="3">
        <f>IF('3b-d Exposures'!E493="",0,'3b-d Exposures'!E493)</f>
        <v/>
      </c>
      <c r="G404" s="3">
        <f>IF('3b-d Exposures'!G493="",0,'3b-d Exposures'!G493)</f>
        <v/>
      </c>
      <c r="H404" s="3">
        <f>IF('3b-d Exposures'!I493="",0,'3b-d Exposures'!I493)</f>
        <v/>
      </c>
      <c r="I404" s="3">
        <f>IF('3b-d Exposures'!K493="",0,'3b-d Exposures'!K493)</f>
        <v/>
      </c>
      <c r="J404" s="3">
        <f>IF('3b-d Exposures'!M493="",0,'3b-d Exposures'!M493)</f>
        <v/>
      </c>
      <c r="K404" s="3">
        <f>IF('3b-d Exposures'!O493="",0,'3b-d Exposures'!O493)</f>
        <v/>
      </c>
      <c r="L404" s="3">
        <f>IF('3b-d Exposures'!Q493="",0,'3b-d Exposures'!Q493)</f>
        <v/>
      </c>
      <c r="M404" s="3">
        <f>IF('3b-d Exposures'!S493="",0,'3b-d Exposures'!S493)</f>
        <v/>
      </c>
      <c r="N404" s="3">
        <f>IF('3b-d Exposures'!Z493="",0,'3b-d Exposures'!Z493)</f>
        <v/>
      </c>
      <c r="O404" s="3">
        <f>$D404</f>
        <v/>
      </c>
      <c r="P404" s="3">
        <f>E404*$D404</f>
        <v/>
      </c>
      <c r="Q404" s="3">
        <f>F404*$D404</f>
        <v/>
      </c>
      <c r="R404" s="3">
        <f>G404*$D404</f>
        <v/>
      </c>
      <c r="S404" s="3">
        <f>H404*$D404</f>
        <v/>
      </c>
      <c r="T404" s="3">
        <f>I404*$D404</f>
        <v/>
      </c>
      <c r="U404" s="3">
        <f>J404*$D404</f>
        <v/>
      </c>
      <c r="V404" s="3">
        <f>K404*$D404</f>
        <v/>
      </c>
      <c r="W404" s="3">
        <f>L404*$D404</f>
        <v/>
      </c>
      <c r="X404" s="3">
        <f>M404*$D404</f>
        <v/>
      </c>
      <c r="Y404" s="3">
        <f>N404*$D404</f>
        <v/>
      </c>
      <c r="Z404" s="3">
        <f>C404*$D404</f>
        <v/>
      </c>
      <c r="AA404" s="9">
        <f>$L978+$K978*E404+$J978*F404+$I978*G404+$H978*H404+$G978*I404+$F978*J404+$E978*K404+$D978*L404+$C978*M404+$B978*N404</f>
        <v/>
      </c>
      <c r="AB404" s="9">
        <f>C404-AA404</f>
        <v/>
      </c>
      <c r="AC404" s="4">
        <f>AB404^2</f>
        <v/>
      </c>
    </row>
    <row r="405">
      <c r="A405" t="inlineStr">
        <is>
          <t>BBG000BKTFN2</t>
        </is>
      </c>
      <c r="B405" t="inlineStr">
        <is>
          <t>hal</t>
        </is>
      </c>
      <c r="C405" s="9" t="n">
        <v>-0.009416290436377928</v>
      </c>
      <c r="D405" s="3">
        <f>EXP(0.25*'3b-d Exposures'!G494)</f>
        <v/>
      </c>
      <c r="E405" s="3">
        <f>IF('3b-d Exposures'!C494="",0,'3b-d Exposures'!C494)</f>
        <v/>
      </c>
      <c r="F405" s="3">
        <f>IF('3b-d Exposures'!E494="",0,'3b-d Exposures'!E494)</f>
        <v/>
      </c>
      <c r="G405" s="3">
        <f>IF('3b-d Exposures'!G494="",0,'3b-d Exposures'!G494)</f>
        <v/>
      </c>
      <c r="H405" s="3">
        <f>IF('3b-d Exposures'!I494="",0,'3b-d Exposures'!I494)</f>
        <v/>
      </c>
      <c r="I405" s="3">
        <f>IF('3b-d Exposures'!K494="",0,'3b-d Exposures'!K494)</f>
        <v/>
      </c>
      <c r="J405" s="3">
        <f>IF('3b-d Exposures'!M494="",0,'3b-d Exposures'!M494)</f>
        <v/>
      </c>
      <c r="K405" s="3">
        <f>IF('3b-d Exposures'!O494="",0,'3b-d Exposures'!O494)</f>
        <v/>
      </c>
      <c r="L405" s="3">
        <f>IF('3b-d Exposures'!Q494="",0,'3b-d Exposures'!Q494)</f>
        <v/>
      </c>
      <c r="M405" s="3">
        <f>IF('3b-d Exposures'!S494="",0,'3b-d Exposures'!S494)</f>
        <v/>
      </c>
      <c r="N405" s="3">
        <f>IF('3b-d Exposures'!Z494="",0,'3b-d Exposures'!Z494)</f>
        <v/>
      </c>
      <c r="O405" s="3">
        <f>$D405</f>
        <v/>
      </c>
      <c r="P405" s="3">
        <f>E405*$D405</f>
        <v/>
      </c>
      <c r="Q405" s="3">
        <f>F405*$D405</f>
        <v/>
      </c>
      <c r="R405" s="3">
        <f>G405*$D405</f>
        <v/>
      </c>
      <c r="S405" s="3">
        <f>H405*$D405</f>
        <v/>
      </c>
      <c r="T405" s="3">
        <f>I405*$D405</f>
        <v/>
      </c>
      <c r="U405" s="3">
        <f>J405*$D405</f>
        <v/>
      </c>
      <c r="V405" s="3">
        <f>K405*$D405</f>
        <v/>
      </c>
      <c r="W405" s="3">
        <f>L405*$D405</f>
        <v/>
      </c>
      <c r="X405" s="3">
        <f>M405*$D405</f>
        <v/>
      </c>
      <c r="Y405" s="3">
        <f>N405*$D405</f>
        <v/>
      </c>
      <c r="Z405" s="3">
        <f>C405*$D405</f>
        <v/>
      </c>
      <c r="AA405" s="9">
        <f>$L978+$K978*E405+$J978*F405+$I978*G405+$H978*H405+$G978*I405+$F978*J405+$E978*K405+$D978*L405+$C978*M405+$B978*N405</f>
        <v/>
      </c>
      <c r="AB405" s="9">
        <f>C405-AA405</f>
        <v/>
      </c>
      <c r="AC405" s="4">
        <f>AB405^2</f>
        <v/>
      </c>
    </row>
    <row r="406">
      <c r="A406" t="inlineStr">
        <is>
          <t>has</t>
        </is>
      </c>
      <c r="B406" t="inlineStr">
        <is>
          <t>has</t>
        </is>
      </c>
      <c r="C406" s="9" t="n">
        <v>-0.006446663618549064</v>
      </c>
      <c r="D406" s="3">
        <f>EXP(0.25*'3b-d Exposures'!G495)</f>
        <v/>
      </c>
      <c r="E406" s="3">
        <f>IF('3b-d Exposures'!C495="",0,'3b-d Exposures'!C495)</f>
        <v/>
      </c>
      <c r="F406" s="3">
        <f>IF('3b-d Exposures'!E495="",0,'3b-d Exposures'!E495)</f>
        <v/>
      </c>
      <c r="G406" s="3">
        <f>IF('3b-d Exposures'!G495="",0,'3b-d Exposures'!G495)</f>
        <v/>
      </c>
      <c r="H406" s="3">
        <f>IF('3b-d Exposures'!I495="",0,'3b-d Exposures'!I495)</f>
        <v/>
      </c>
      <c r="I406" s="3">
        <f>IF('3b-d Exposures'!K495="",0,'3b-d Exposures'!K495)</f>
        <v/>
      </c>
      <c r="J406" s="3">
        <f>IF('3b-d Exposures'!M495="",0,'3b-d Exposures'!M495)</f>
        <v/>
      </c>
      <c r="K406" s="3">
        <f>IF('3b-d Exposures'!O495="",0,'3b-d Exposures'!O495)</f>
        <v/>
      </c>
      <c r="L406" s="3">
        <f>IF('3b-d Exposures'!Q495="",0,'3b-d Exposures'!Q495)</f>
        <v/>
      </c>
      <c r="M406" s="3">
        <f>IF('3b-d Exposures'!S495="",0,'3b-d Exposures'!S495)</f>
        <v/>
      </c>
      <c r="N406" s="3">
        <f>IF('3b-d Exposures'!Z495="",0,'3b-d Exposures'!Z495)</f>
        <v/>
      </c>
      <c r="O406" s="3">
        <f>$D406</f>
        <v/>
      </c>
      <c r="P406" s="3">
        <f>E406*$D406</f>
        <v/>
      </c>
      <c r="Q406" s="3">
        <f>F406*$D406</f>
        <v/>
      </c>
      <c r="R406" s="3">
        <f>G406*$D406</f>
        <v/>
      </c>
      <c r="S406" s="3">
        <f>H406*$D406</f>
        <v/>
      </c>
      <c r="T406" s="3">
        <f>I406*$D406</f>
        <v/>
      </c>
      <c r="U406" s="3">
        <f>J406*$D406</f>
        <v/>
      </c>
      <c r="V406" s="3">
        <f>K406*$D406</f>
        <v/>
      </c>
      <c r="W406" s="3">
        <f>L406*$D406</f>
        <v/>
      </c>
      <c r="X406" s="3">
        <f>M406*$D406</f>
        <v/>
      </c>
      <c r="Y406" s="3">
        <f>N406*$D406</f>
        <v/>
      </c>
      <c r="Z406" s="3">
        <f>C406*$D406</f>
        <v/>
      </c>
      <c r="AA406" s="9">
        <f>$L978+$K978*E406+$J978*F406+$I978*G406+$H978*H406+$G978*I406+$F978*J406+$E978*K406+$D978*L406+$C978*M406+$B978*N406</f>
        <v/>
      </c>
      <c r="AB406" s="9">
        <f>C406-AA406</f>
        <v/>
      </c>
      <c r="AC406" s="4">
        <f>AB406^2</f>
        <v/>
      </c>
    </row>
    <row r="407">
      <c r="A407" t="inlineStr">
        <is>
          <t>BBG000BKWSR6</t>
        </is>
      </c>
      <c r="B407" t="inlineStr">
        <is>
          <t>hban</t>
        </is>
      </c>
      <c r="C407" s="9" t="n">
        <v>-0.012770585178566</v>
      </c>
      <c r="D407" s="3">
        <f>EXP(0.25*'3b-d Exposures'!G496)</f>
        <v/>
      </c>
      <c r="E407" s="3">
        <f>IF('3b-d Exposures'!C496="",0,'3b-d Exposures'!C496)</f>
        <v/>
      </c>
      <c r="F407" s="3">
        <f>IF('3b-d Exposures'!E496="",0,'3b-d Exposures'!E496)</f>
        <v/>
      </c>
      <c r="G407" s="3">
        <f>IF('3b-d Exposures'!G496="",0,'3b-d Exposures'!G496)</f>
        <v/>
      </c>
      <c r="H407" s="3">
        <f>IF('3b-d Exposures'!I496="",0,'3b-d Exposures'!I496)</f>
        <v/>
      </c>
      <c r="I407" s="3">
        <f>IF('3b-d Exposures'!K496="",0,'3b-d Exposures'!K496)</f>
        <v/>
      </c>
      <c r="J407" s="3">
        <f>IF('3b-d Exposures'!M496="",0,'3b-d Exposures'!M496)</f>
        <v/>
      </c>
      <c r="K407" s="3">
        <f>IF('3b-d Exposures'!O496="",0,'3b-d Exposures'!O496)</f>
        <v/>
      </c>
      <c r="L407" s="3">
        <f>IF('3b-d Exposures'!Q496="",0,'3b-d Exposures'!Q496)</f>
        <v/>
      </c>
      <c r="M407" s="3">
        <f>IF('3b-d Exposures'!S496="",0,'3b-d Exposures'!S496)</f>
        <v/>
      </c>
      <c r="N407" s="3">
        <f>IF('3b-d Exposures'!Z496="",0,'3b-d Exposures'!Z496)</f>
        <v/>
      </c>
      <c r="O407" s="3">
        <f>$D407</f>
        <v/>
      </c>
      <c r="P407" s="3">
        <f>E407*$D407</f>
        <v/>
      </c>
      <c r="Q407" s="3">
        <f>F407*$D407</f>
        <v/>
      </c>
      <c r="R407" s="3">
        <f>G407*$D407</f>
        <v/>
      </c>
      <c r="S407" s="3">
        <f>H407*$D407</f>
        <v/>
      </c>
      <c r="T407" s="3">
        <f>I407*$D407</f>
        <v/>
      </c>
      <c r="U407" s="3">
        <f>J407*$D407</f>
        <v/>
      </c>
      <c r="V407" s="3">
        <f>K407*$D407</f>
        <v/>
      </c>
      <c r="W407" s="3">
        <f>L407*$D407</f>
        <v/>
      </c>
      <c r="X407" s="3">
        <f>M407*$D407</f>
        <v/>
      </c>
      <c r="Y407" s="3">
        <f>N407*$D407</f>
        <v/>
      </c>
      <c r="Z407" s="3">
        <f>C407*$D407</f>
        <v/>
      </c>
      <c r="AA407" s="9">
        <f>$L978+$K978*E407+$J978*F407+$I978*G407+$H978*H407+$G978*I407+$F978*J407+$E978*K407+$D978*L407+$C978*M407+$B978*N407</f>
        <v/>
      </c>
      <c r="AB407" s="9">
        <f>C407-AA407</f>
        <v/>
      </c>
      <c r="AC407" s="4">
        <f>AB407^2</f>
        <v/>
      </c>
    </row>
    <row r="408">
      <c r="A408" t="inlineStr">
        <is>
          <t>BBG000QW7VC1</t>
        </is>
      </c>
      <c r="B408" t="inlineStr">
        <is>
          <t>hca</t>
        </is>
      </c>
      <c r="C408" s="9" t="n">
        <v>0.001252801002768811</v>
      </c>
      <c r="D408" s="3">
        <f>EXP(0.25*'3b-d Exposures'!G497)</f>
        <v/>
      </c>
      <c r="E408" s="3">
        <f>IF('3b-d Exposures'!C497="",0,'3b-d Exposures'!C497)</f>
        <v/>
      </c>
      <c r="F408" s="3">
        <f>IF('3b-d Exposures'!E497="",0,'3b-d Exposures'!E497)</f>
        <v/>
      </c>
      <c r="G408" s="3">
        <f>IF('3b-d Exposures'!G497="",0,'3b-d Exposures'!G497)</f>
        <v/>
      </c>
      <c r="H408" s="3">
        <f>IF('3b-d Exposures'!I497="",0,'3b-d Exposures'!I497)</f>
        <v/>
      </c>
      <c r="I408" s="3">
        <f>IF('3b-d Exposures'!K497="",0,'3b-d Exposures'!K497)</f>
        <v/>
      </c>
      <c r="J408" s="3">
        <f>IF('3b-d Exposures'!M497="",0,'3b-d Exposures'!M497)</f>
        <v/>
      </c>
      <c r="K408" s="3">
        <f>IF('3b-d Exposures'!O497="",0,'3b-d Exposures'!O497)</f>
        <v/>
      </c>
      <c r="L408" s="3">
        <f>IF('3b-d Exposures'!Q497="",0,'3b-d Exposures'!Q497)</f>
        <v/>
      </c>
      <c r="M408" s="3">
        <f>IF('3b-d Exposures'!S497="",0,'3b-d Exposures'!S497)</f>
        <v/>
      </c>
      <c r="N408" s="3">
        <f>IF('3b-d Exposures'!Z497="",0,'3b-d Exposures'!Z497)</f>
        <v/>
      </c>
      <c r="O408" s="3">
        <f>$D408</f>
        <v/>
      </c>
      <c r="P408" s="3">
        <f>E408*$D408</f>
        <v/>
      </c>
      <c r="Q408" s="3">
        <f>F408*$D408</f>
        <v/>
      </c>
      <c r="R408" s="3">
        <f>G408*$D408</f>
        <v/>
      </c>
      <c r="S408" s="3">
        <f>H408*$D408</f>
        <v/>
      </c>
      <c r="T408" s="3">
        <f>I408*$D408</f>
        <v/>
      </c>
      <c r="U408" s="3">
        <f>J408*$D408</f>
        <v/>
      </c>
      <c r="V408" s="3">
        <f>K408*$D408</f>
        <v/>
      </c>
      <c r="W408" s="3">
        <f>L408*$D408</f>
        <v/>
      </c>
      <c r="X408" s="3">
        <f>M408*$D408</f>
        <v/>
      </c>
      <c r="Y408" s="3">
        <f>N408*$D408</f>
        <v/>
      </c>
      <c r="Z408" s="3">
        <f>C408*$D408</f>
        <v/>
      </c>
      <c r="AA408" s="9">
        <f>$L978+$K978*E408+$J978*F408+$I978*G408+$H978*H408+$G978*I408+$F978*J408+$E978*K408+$D978*L408+$C978*M408+$B978*N408</f>
        <v/>
      </c>
      <c r="AB408" s="9">
        <f>C408-AA408</f>
        <v/>
      </c>
      <c r="AC408" s="4">
        <f>AB408^2</f>
        <v/>
      </c>
    </row>
    <row r="409">
      <c r="A409" t="inlineStr">
        <is>
          <t>BBG00B6VCGJ1</t>
        </is>
      </c>
      <c r="B409" t="inlineStr">
        <is>
          <t>hcm</t>
        </is>
      </c>
      <c r="C409" s="9" t="n">
        <v>0.02418878046947115</v>
      </c>
      <c r="D409" s="3">
        <f>EXP(0.25*'3b-d Exposures'!G498)</f>
        <v/>
      </c>
      <c r="E409" s="3">
        <f>IF('3b-d Exposures'!C498="",0,'3b-d Exposures'!C498)</f>
        <v/>
      </c>
      <c r="F409" s="3">
        <f>IF('3b-d Exposures'!E498="",0,'3b-d Exposures'!E498)</f>
        <v/>
      </c>
      <c r="G409" s="3">
        <f>IF('3b-d Exposures'!G498="",0,'3b-d Exposures'!G498)</f>
        <v/>
      </c>
      <c r="H409" s="3">
        <f>IF('3b-d Exposures'!I498="",0,'3b-d Exposures'!I498)</f>
        <v/>
      </c>
      <c r="I409" s="3">
        <f>IF('3b-d Exposures'!K498="",0,'3b-d Exposures'!K498)</f>
        <v/>
      </c>
      <c r="J409" s="3">
        <f>IF('3b-d Exposures'!M498="",0,'3b-d Exposures'!M498)</f>
        <v/>
      </c>
      <c r="K409" s="3">
        <f>IF('3b-d Exposures'!O498="",0,'3b-d Exposures'!O498)</f>
        <v/>
      </c>
      <c r="L409" s="3">
        <f>IF('3b-d Exposures'!Q498="",0,'3b-d Exposures'!Q498)</f>
        <v/>
      </c>
      <c r="M409" s="3">
        <f>IF('3b-d Exposures'!S498="",0,'3b-d Exposures'!S498)</f>
        <v/>
      </c>
      <c r="N409" s="3">
        <f>IF('3b-d Exposures'!Z498="",0,'3b-d Exposures'!Z498)</f>
        <v/>
      </c>
      <c r="O409" s="3">
        <f>$D409</f>
        <v/>
      </c>
      <c r="P409" s="3">
        <f>E409*$D409</f>
        <v/>
      </c>
      <c r="Q409" s="3">
        <f>F409*$D409</f>
        <v/>
      </c>
      <c r="R409" s="3">
        <f>G409*$D409</f>
        <v/>
      </c>
      <c r="S409" s="3">
        <f>H409*$D409</f>
        <v/>
      </c>
      <c r="T409" s="3">
        <f>I409*$D409</f>
        <v/>
      </c>
      <c r="U409" s="3">
        <f>J409*$D409</f>
        <v/>
      </c>
      <c r="V409" s="3">
        <f>K409*$D409</f>
        <v/>
      </c>
      <c r="W409" s="3">
        <f>L409*$D409</f>
        <v/>
      </c>
      <c r="X409" s="3">
        <f>M409*$D409</f>
        <v/>
      </c>
      <c r="Y409" s="3">
        <f>N409*$D409</f>
        <v/>
      </c>
      <c r="Z409" s="3">
        <f>C409*$D409</f>
        <v/>
      </c>
      <c r="AA409" s="9">
        <f>$L978+$K978*E409+$J978*F409+$I978*G409+$H978*H409+$G978*I409+$F978*J409+$E978*K409+$D978*L409+$C978*M409+$B978*N409</f>
        <v/>
      </c>
      <c r="AB409" s="9">
        <f>C409-AA409</f>
        <v/>
      </c>
      <c r="AC409" s="4">
        <f>AB409^2</f>
        <v/>
      </c>
    </row>
    <row r="410">
      <c r="A410" t="inlineStr">
        <is>
          <t>BBG000BKYVF0</t>
        </is>
      </c>
      <c r="B410" t="inlineStr">
        <is>
          <t>hcsg</t>
        </is>
      </c>
      <c r="C410" s="9" t="n">
        <v>0.009724463863472144</v>
      </c>
      <c r="D410" s="3">
        <f>EXP(0.25*'3b-d Exposures'!G499)</f>
        <v/>
      </c>
      <c r="E410" s="3">
        <f>IF('3b-d Exposures'!C499="",0,'3b-d Exposures'!C499)</f>
        <v/>
      </c>
      <c r="F410" s="3">
        <f>IF('3b-d Exposures'!E499="",0,'3b-d Exposures'!E499)</f>
        <v/>
      </c>
      <c r="G410" s="3">
        <f>IF('3b-d Exposures'!G499="",0,'3b-d Exposures'!G499)</f>
        <v/>
      </c>
      <c r="H410" s="3">
        <f>IF('3b-d Exposures'!I499="",0,'3b-d Exposures'!I499)</f>
        <v/>
      </c>
      <c r="I410" s="3">
        <f>IF('3b-d Exposures'!K499="",0,'3b-d Exposures'!K499)</f>
        <v/>
      </c>
      <c r="J410" s="3">
        <f>IF('3b-d Exposures'!M499="",0,'3b-d Exposures'!M499)</f>
        <v/>
      </c>
      <c r="K410" s="3">
        <f>IF('3b-d Exposures'!O499="",0,'3b-d Exposures'!O499)</f>
        <v/>
      </c>
      <c r="L410" s="3">
        <f>IF('3b-d Exposures'!Q499="",0,'3b-d Exposures'!Q499)</f>
        <v/>
      </c>
      <c r="M410" s="3">
        <f>IF('3b-d Exposures'!S499="",0,'3b-d Exposures'!S499)</f>
        <v/>
      </c>
      <c r="N410" s="3">
        <f>IF('3b-d Exposures'!Z499="",0,'3b-d Exposures'!Z499)</f>
        <v/>
      </c>
      <c r="O410" s="3">
        <f>$D410</f>
        <v/>
      </c>
      <c r="P410" s="3">
        <f>E410*$D410</f>
        <v/>
      </c>
      <c r="Q410" s="3">
        <f>F410*$D410</f>
        <v/>
      </c>
      <c r="R410" s="3">
        <f>G410*$D410</f>
        <v/>
      </c>
      <c r="S410" s="3">
        <f>H410*$D410</f>
        <v/>
      </c>
      <c r="T410" s="3">
        <f>I410*$D410</f>
        <v/>
      </c>
      <c r="U410" s="3">
        <f>J410*$D410</f>
        <v/>
      </c>
      <c r="V410" s="3">
        <f>K410*$D410</f>
        <v/>
      </c>
      <c r="W410" s="3">
        <f>L410*$D410</f>
        <v/>
      </c>
      <c r="X410" s="3">
        <f>M410*$D410</f>
        <v/>
      </c>
      <c r="Y410" s="3">
        <f>N410*$D410</f>
        <v/>
      </c>
      <c r="Z410" s="3">
        <f>C410*$D410</f>
        <v/>
      </c>
      <c r="AA410" s="9">
        <f>$L978+$K978*E410+$J978*F410+$I978*G410+$H978*H410+$G978*I410+$F978*J410+$E978*K410+$D978*L410+$C978*M410+$B978*N410</f>
        <v/>
      </c>
      <c r="AB410" s="9">
        <f>C410-AA410</f>
        <v/>
      </c>
      <c r="AC410" s="4">
        <f>AB410^2</f>
        <v/>
      </c>
    </row>
    <row r="411">
      <c r="A411" t="inlineStr">
        <is>
          <t>BBG000BKZB36</t>
        </is>
      </c>
      <c r="B411" t="inlineStr">
        <is>
          <t>hd</t>
        </is>
      </c>
      <c r="C411" s="9" t="n">
        <v>-0.005056809638366078</v>
      </c>
      <c r="D411" s="3">
        <f>EXP(0.25*'3b-d Exposures'!G500)</f>
        <v/>
      </c>
      <c r="E411" s="3">
        <f>IF('3b-d Exposures'!C500="",0,'3b-d Exposures'!C500)</f>
        <v/>
      </c>
      <c r="F411" s="3">
        <f>IF('3b-d Exposures'!E500="",0,'3b-d Exposures'!E500)</f>
        <v/>
      </c>
      <c r="G411" s="3">
        <f>IF('3b-d Exposures'!G500="",0,'3b-d Exposures'!G500)</f>
        <v/>
      </c>
      <c r="H411" s="3">
        <f>IF('3b-d Exposures'!I500="",0,'3b-d Exposures'!I500)</f>
        <v/>
      </c>
      <c r="I411" s="3">
        <f>IF('3b-d Exposures'!K500="",0,'3b-d Exposures'!K500)</f>
        <v/>
      </c>
      <c r="J411" s="3">
        <f>IF('3b-d Exposures'!M500="",0,'3b-d Exposures'!M500)</f>
        <v/>
      </c>
      <c r="K411" s="3">
        <f>IF('3b-d Exposures'!O500="",0,'3b-d Exposures'!O500)</f>
        <v/>
      </c>
      <c r="L411" s="3">
        <f>IF('3b-d Exposures'!Q500="",0,'3b-d Exposures'!Q500)</f>
        <v/>
      </c>
      <c r="M411" s="3">
        <f>IF('3b-d Exposures'!S500="",0,'3b-d Exposures'!S500)</f>
        <v/>
      </c>
      <c r="N411" s="3">
        <f>IF('3b-d Exposures'!Z500="",0,'3b-d Exposures'!Z500)</f>
        <v/>
      </c>
      <c r="O411" s="3">
        <f>$D411</f>
        <v/>
      </c>
      <c r="P411" s="3">
        <f>E411*$D411</f>
        <v/>
      </c>
      <c r="Q411" s="3">
        <f>F411*$D411</f>
        <v/>
      </c>
      <c r="R411" s="3">
        <f>G411*$D411</f>
        <v/>
      </c>
      <c r="S411" s="3">
        <f>H411*$D411</f>
        <v/>
      </c>
      <c r="T411" s="3">
        <f>I411*$D411</f>
        <v/>
      </c>
      <c r="U411" s="3">
        <f>J411*$D411</f>
        <v/>
      </c>
      <c r="V411" s="3">
        <f>K411*$D411</f>
        <v/>
      </c>
      <c r="W411" s="3">
        <f>L411*$D411</f>
        <v/>
      </c>
      <c r="X411" s="3">
        <f>M411*$D411</f>
        <v/>
      </c>
      <c r="Y411" s="3">
        <f>N411*$D411</f>
        <v/>
      </c>
      <c r="Z411" s="3">
        <f>C411*$D411</f>
        <v/>
      </c>
      <c r="AA411" s="9">
        <f>$L978+$K978*E411+$J978*F411+$I978*G411+$H978*H411+$G978*I411+$F978*J411+$E978*K411+$D978*L411+$C978*M411+$B978*N411</f>
        <v/>
      </c>
      <c r="AB411" s="9">
        <f>C411-AA411</f>
        <v/>
      </c>
      <c r="AC411" s="4">
        <f>AB411^2</f>
        <v/>
      </c>
    </row>
    <row r="412">
      <c r="A412" t="inlineStr">
        <is>
          <t>BBG000NWKS18</t>
        </is>
      </c>
      <c r="B412" t="inlineStr">
        <is>
          <t>hdb</t>
        </is>
      </c>
      <c r="C412" s="9" t="n">
        <v>-0.004793406139234624</v>
      </c>
      <c r="D412" s="3">
        <f>EXP(0.25*'3b-d Exposures'!G501)</f>
        <v/>
      </c>
      <c r="E412" s="3">
        <f>IF('3b-d Exposures'!C501="",0,'3b-d Exposures'!C501)</f>
        <v/>
      </c>
      <c r="F412" s="3">
        <f>IF('3b-d Exposures'!E501="",0,'3b-d Exposures'!E501)</f>
        <v/>
      </c>
      <c r="G412" s="3">
        <f>IF('3b-d Exposures'!G501="",0,'3b-d Exposures'!G501)</f>
        <v/>
      </c>
      <c r="H412" s="3">
        <f>IF('3b-d Exposures'!I501="",0,'3b-d Exposures'!I501)</f>
        <v/>
      </c>
      <c r="I412" s="3">
        <f>IF('3b-d Exposures'!K501="",0,'3b-d Exposures'!K501)</f>
        <v/>
      </c>
      <c r="J412" s="3">
        <f>IF('3b-d Exposures'!M501="",0,'3b-d Exposures'!M501)</f>
        <v/>
      </c>
      <c r="K412" s="3">
        <f>IF('3b-d Exposures'!O501="",0,'3b-d Exposures'!O501)</f>
        <v/>
      </c>
      <c r="L412" s="3">
        <f>IF('3b-d Exposures'!Q501="",0,'3b-d Exposures'!Q501)</f>
        <v/>
      </c>
      <c r="M412" s="3">
        <f>IF('3b-d Exposures'!S501="",0,'3b-d Exposures'!S501)</f>
        <v/>
      </c>
      <c r="N412" s="3">
        <f>IF('3b-d Exposures'!Z501="",0,'3b-d Exposures'!Z501)</f>
        <v/>
      </c>
      <c r="O412" s="3">
        <f>$D412</f>
        <v/>
      </c>
      <c r="P412" s="3">
        <f>E412*$D412</f>
        <v/>
      </c>
      <c r="Q412" s="3">
        <f>F412*$D412</f>
        <v/>
      </c>
      <c r="R412" s="3">
        <f>G412*$D412</f>
        <v/>
      </c>
      <c r="S412" s="3">
        <f>H412*$D412</f>
        <v/>
      </c>
      <c r="T412" s="3">
        <f>I412*$D412</f>
        <v/>
      </c>
      <c r="U412" s="3">
        <f>J412*$D412</f>
        <v/>
      </c>
      <c r="V412" s="3">
        <f>K412*$D412</f>
        <v/>
      </c>
      <c r="W412" s="3">
        <f>L412*$D412</f>
        <v/>
      </c>
      <c r="X412" s="3">
        <f>M412*$D412</f>
        <v/>
      </c>
      <c r="Y412" s="3">
        <f>N412*$D412</f>
        <v/>
      </c>
      <c r="Z412" s="3">
        <f>C412*$D412</f>
        <v/>
      </c>
      <c r="AA412" s="9">
        <f>$L978+$K978*E412+$J978*F412+$I978*G412+$H978*H412+$G978*I412+$F978*J412+$E978*K412+$D978*L412+$C978*M412+$B978*N412</f>
        <v/>
      </c>
      <c r="AB412" s="9">
        <f>C412-AA412</f>
        <v/>
      </c>
      <c r="AC412" s="4">
        <f>AB412^2</f>
        <v/>
      </c>
    </row>
    <row r="413">
      <c r="A413" t="inlineStr">
        <is>
          <t>BBG000BL16Q7</t>
        </is>
      </c>
      <c r="B413" t="inlineStr">
        <is>
          <t>hei</t>
        </is>
      </c>
      <c r="C413" s="9" t="n">
        <v>-0.0171562929468958</v>
      </c>
      <c r="D413" s="3">
        <f>EXP(0.25*'3b-d Exposures'!G502)</f>
        <v/>
      </c>
      <c r="E413" s="3">
        <f>IF('3b-d Exposures'!C502="",0,'3b-d Exposures'!C502)</f>
        <v/>
      </c>
      <c r="F413" s="3">
        <f>IF('3b-d Exposures'!E502="",0,'3b-d Exposures'!E502)</f>
        <v/>
      </c>
      <c r="G413" s="3">
        <f>IF('3b-d Exposures'!G502="",0,'3b-d Exposures'!G502)</f>
        <v/>
      </c>
      <c r="H413" s="3">
        <f>IF('3b-d Exposures'!I502="",0,'3b-d Exposures'!I502)</f>
        <v/>
      </c>
      <c r="I413" s="3">
        <f>IF('3b-d Exposures'!K502="",0,'3b-d Exposures'!K502)</f>
        <v/>
      </c>
      <c r="J413" s="3">
        <f>IF('3b-d Exposures'!M502="",0,'3b-d Exposures'!M502)</f>
        <v/>
      </c>
      <c r="K413" s="3">
        <f>IF('3b-d Exposures'!O502="",0,'3b-d Exposures'!O502)</f>
        <v/>
      </c>
      <c r="L413" s="3">
        <f>IF('3b-d Exposures'!Q502="",0,'3b-d Exposures'!Q502)</f>
        <v/>
      </c>
      <c r="M413" s="3">
        <f>IF('3b-d Exposures'!S502="",0,'3b-d Exposures'!S502)</f>
        <v/>
      </c>
      <c r="N413" s="3">
        <f>IF('3b-d Exposures'!Z502="",0,'3b-d Exposures'!Z502)</f>
        <v/>
      </c>
      <c r="O413" s="3">
        <f>$D413</f>
        <v/>
      </c>
      <c r="P413" s="3">
        <f>E413*$D413</f>
        <v/>
      </c>
      <c r="Q413" s="3">
        <f>F413*$D413</f>
        <v/>
      </c>
      <c r="R413" s="3">
        <f>G413*$D413</f>
        <v/>
      </c>
      <c r="S413" s="3">
        <f>H413*$D413</f>
        <v/>
      </c>
      <c r="T413" s="3">
        <f>I413*$D413</f>
        <v/>
      </c>
      <c r="U413" s="3">
        <f>J413*$D413</f>
        <v/>
      </c>
      <c r="V413" s="3">
        <f>K413*$D413</f>
        <v/>
      </c>
      <c r="W413" s="3">
        <f>L413*$D413</f>
        <v/>
      </c>
      <c r="X413" s="3">
        <f>M413*$D413</f>
        <v/>
      </c>
      <c r="Y413" s="3">
        <f>N413*$D413</f>
        <v/>
      </c>
      <c r="Z413" s="3">
        <f>C413*$D413</f>
        <v/>
      </c>
      <c r="AA413" s="9">
        <f>$L978+$K978*E413+$J978*F413+$I978*G413+$H978*H413+$G978*I413+$F978*J413+$E978*K413+$D978*L413+$C978*M413+$B978*N413</f>
        <v/>
      </c>
      <c r="AB413" s="9">
        <f>C413-AA413</f>
        <v/>
      </c>
      <c r="AC413" s="4">
        <f>AB413^2</f>
        <v/>
      </c>
    </row>
    <row r="414">
      <c r="A414" t="inlineStr">
        <is>
          <t>BBG00Z9FKMG1</t>
        </is>
      </c>
      <c r="B414" t="inlineStr">
        <is>
          <t>hgty</t>
        </is>
      </c>
      <c r="C414" s="9" t="n">
        <v>0.00764008103803171</v>
      </c>
      <c r="D414" s="3">
        <f>EXP(0.25*'3b-d Exposures'!G504)</f>
        <v/>
      </c>
      <c r="E414" s="3">
        <f>IF('3b-d Exposures'!C504="",0,'3b-d Exposures'!C504)</f>
        <v/>
      </c>
      <c r="F414" s="3">
        <f>IF('3b-d Exposures'!E504="",0,'3b-d Exposures'!E504)</f>
        <v/>
      </c>
      <c r="G414" s="3">
        <f>IF('3b-d Exposures'!G504="",0,'3b-d Exposures'!G504)</f>
        <v/>
      </c>
      <c r="H414" s="3">
        <f>IF('3b-d Exposures'!I504="",0,'3b-d Exposures'!I504)</f>
        <v/>
      </c>
      <c r="I414" s="3">
        <f>IF('3b-d Exposures'!K504="",0,'3b-d Exposures'!K504)</f>
        <v/>
      </c>
      <c r="J414" s="3">
        <f>IF('3b-d Exposures'!M504="",0,'3b-d Exposures'!M504)</f>
        <v/>
      </c>
      <c r="K414" s="3">
        <f>IF('3b-d Exposures'!O504="",0,'3b-d Exposures'!O504)</f>
        <v/>
      </c>
      <c r="L414" s="3">
        <f>IF('3b-d Exposures'!Q504="",0,'3b-d Exposures'!Q504)</f>
        <v/>
      </c>
      <c r="M414" s="3">
        <f>IF('3b-d Exposures'!S504="",0,'3b-d Exposures'!S504)</f>
        <v/>
      </c>
      <c r="N414" s="3">
        <f>IF('3b-d Exposures'!Z504="",0,'3b-d Exposures'!Z504)</f>
        <v/>
      </c>
      <c r="O414" s="3">
        <f>$D414</f>
        <v/>
      </c>
      <c r="P414" s="3">
        <f>E414*$D414</f>
        <v/>
      </c>
      <c r="Q414" s="3">
        <f>F414*$D414</f>
        <v/>
      </c>
      <c r="R414" s="3">
        <f>G414*$D414</f>
        <v/>
      </c>
      <c r="S414" s="3">
        <f>H414*$D414</f>
        <v/>
      </c>
      <c r="T414" s="3">
        <f>I414*$D414</f>
        <v/>
      </c>
      <c r="U414" s="3">
        <f>J414*$D414</f>
        <v/>
      </c>
      <c r="V414" s="3">
        <f>K414*$D414</f>
        <v/>
      </c>
      <c r="W414" s="3">
        <f>L414*$D414</f>
        <v/>
      </c>
      <c r="X414" s="3">
        <f>M414*$D414</f>
        <v/>
      </c>
      <c r="Y414" s="3">
        <f>N414*$D414</f>
        <v/>
      </c>
      <c r="Z414" s="3">
        <f>C414*$D414</f>
        <v/>
      </c>
      <c r="AA414" s="9">
        <f>$L978+$K978*E414+$J978*F414+$I978*G414+$H978*H414+$G978*I414+$F978*J414+$E978*K414+$D978*L414+$C978*M414+$B978*N414</f>
        <v/>
      </c>
      <c r="AB414" s="9">
        <f>C414-AA414</f>
        <v/>
      </c>
      <c r="AC414" s="4">
        <f>AB414^2</f>
        <v/>
      </c>
    </row>
    <row r="415">
      <c r="A415" t="inlineStr">
        <is>
          <t>BBG00CBYY6M1</t>
        </is>
      </c>
      <c r="B415" t="inlineStr">
        <is>
          <t>hgv</t>
        </is>
      </c>
      <c r="C415" s="9" t="n">
        <v>-0.01816467253716703</v>
      </c>
      <c r="D415" s="3">
        <f>EXP(0.25*'3b-d Exposures'!G505)</f>
        <v/>
      </c>
      <c r="E415" s="3">
        <f>IF('3b-d Exposures'!C505="",0,'3b-d Exposures'!C505)</f>
        <v/>
      </c>
      <c r="F415" s="3">
        <f>IF('3b-d Exposures'!E505="",0,'3b-d Exposures'!E505)</f>
        <v/>
      </c>
      <c r="G415" s="3">
        <f>IF('3b-d Exposures'!G505="",0,'3b-d Exposures'!G505)</f>
        <v/>
      </c>
      <c r="H415" s="3">
        <f>IF('3b-d Exposures'!I505="",0,'3b-d Exposures'!I505)</f>
        <v/>
      </c>
      <c r="I415" s="3">
        <f>IF('3b-d Exposures'!K505="",0,'3b-d Exposures'!K505)</f>
        <v/>
      </c>
      <c r="J415" s="3">
        <f>IF('3b-d Exposures'!M505="",0,'3b-d Exposures'!M505)</f>
        <v/>
      </c>
      <c r="K415" s="3">
        <f>IF('3b-d Exposures'!O505="",0,'3b-d Exposures'!O505)</f>
        <v/>
      </c>
      <c r="L415" s="3">
        <f>IF('3b-d Exposures'!Q505="",0,'3b-d Exposures'!Q505)</f>
        <v/>
      </c>
      <c r="M415" s="3">
        <f>IF('3b-d Exposures'!S505="",0,'3b-d Exposures'!S505)</f>
        <v/>
      </c>
      <c r="N415" s="3">
        <f>IF('3b-d Exposures'!Z505="",0,'3b-d Exposures'!Z505)</f>
        <v/>
      </c>
      <c r="O415" s="3">
        <f>$D415</f>
        <v/>
      </c>
      <c r="P415" s="3">
        <f>E415*$D415</f>
        <v/>
      </c>
      <c r="Q415" s="3">
        <f>F415*$D415</f>
        <v/>
      </c>
      <c r="R415" s="3">
        <f>G415*$D415</f>
        <v/>
      </c>
      <c r="S415" s="3">
        <f>H415*$D415</f>
        <v/>
      </c>
      <c r="T415" s="3">
        <f>I415*$D415</f>
        <v/>
      </c>
      <c r="U415" s="3">
        <f>J415*$D415</f>
        <v/>
      </c>
      <c r="V415" s="3">
        <f>K415*$D415</f>
        <v/>
      </c>
      <c r="W415" s="3">
        <f>L415*$D415</f>
        <v/>
      </c>
      <c r="X415" s="3">
        <f>M415*$D415</f>
        <v/>
      </c>
      <c r="Y415" s="3">
        <f>N415*$D415</f>
        <v/>
      </c>
      <c r="Z415" s="3">
        <f>C415*$D415</f>
        <v/>
      </c>
      <c r="AA415" s="9">
        <f>$L978+$K978*E415+$J978*F415+$I978*G415+$H978*H415+$G978*I415+$F978*J415+$E978*K415+$D978*L415+$C978*M415+$B978*N415</f>
        <v/>
      </c>
      <c r="AB415" s="9">
        <f>C415-AA415</f>
        <v/>
      </c>
      <c r="AC415" s="4">
        <f>AB415^2</f>
        <v/>
      </c>
    </row>
    <row r="416">
      <c r="A416" t="inlineStr">
        <is>
          <t>BBG01HTMDZ54</t>
        </is>
      </c>
      <c r="B416" t="inlineStr">
        <is>
          <t>hhh</t>
        </is>
      </c>
      <c r="C416" s="9" t="n">
        <v>-0.01245093645674689</v>
      </c>
      <c r="D416" s="3">
        <f>EXP(0.25*'3b-d Exposures'!G506)</f>
        <v/>
      </c>
      <c r="E416" s="3">
        <f>IF('3b-d Exposures'!C506="",0,'3b-d Exposures'!C506)</f>
        <v/>
      </c>
      <c r="F416" s="3">
        <f>IF('3b-d Exposures'!E506="",0,'3b-d Exposures'!E506)</f>
        <v/>
      </c>
      <c r="G416" s="3">
        <f>IF('3b-d Exposures'!G506="",0,'3b-d Exposures'!G506)</f>
        <v/>
      </c>
      <c r="H416" s="3">
        <f>IF('3b-d Exposures'!I506="",0,'3b-d Exposures'!I506)</f>
        <v/>
      </c>
      <c r="I416" s="3">
        <f>IF('3b-d Exposures'!K506="",0,'3b-d Exposures'!K506)</f>
        <v/>
      </c>
      <c r="J416" s="3">
        <f>IF('3b-d Exposures'!M506="",0,'3b-d Exposures'!M506)</f>
        <v/>
      </c>
      <c r="K416" s="3">
        <f>IF('3b-d Exposures'!O506="",0,'3b-d Exposures'!O506)</f>
        <v/>
      </c>
      <c r="L416" s="3">
        <f>IF('3b-d Exposures'!Q506="",0,'3b-d Exposures'!Q506)</f>
        <v/>
      </c>
      <c r="M416" s="3">
        <f>IF('3b-d Exposures'!S506="",0,'3b-d Exposures'!S506)</f>
        <v/>
      </c>
      <c r="N416" s="3">
        <f>IF('3b-d Exposures'!Z506="",0,'3b-d Exposures'!Z506)</f>
        <v/>
      </c>
      <c r="O416" s="3">
        <f>$D416</f>
        <v/>
      </c>
      <c r="P416" s="3">
        <f>E416*$D416</f>
        <v/>
      </c>
      <c r="Q416" s="3">
        <f>F416*$D416</f>
        <v/>
      </c>
      <c r="R416" s="3">
        <f>G416*$D416</f>
        <v/>
      </c>
      <c r="S416" s="3">
        <f>H416*$D416</f>
        <v/>
      </c>
      <c r="T416" s="3">
        <f>I416*$D416</f>
        <v/>
      </c>
      <c r="U416" s="3">
        <f>J416*$D416</f>
        <v/>
      </c>
      <c r="V416" s="3">
        <f>K416*$D416</f>
        <v/>
      </c>
      <c r="W416" s="3">
        <f>L416*$D416</f>
        <v/>
      </c>
      <c r="X416" s="3">
        <f>M416*$D416</f>
        <v/>
      </c>
      <c r="Y416" s="3">
        <f>N416*$D416</f>
        <v/>
      </c>
      <c r="Z416" s="3">
        <f>C416*$D416</f>
        <v/>
      </c>
      <c r="AA416" s="9">
        <f>$L978+$K978*E416+$J978*F416+$I978*G416+$H978*H416+$G978*I416+$F978*J416+$E978*K416+$D978*L416+$C978*M416+$B978*N416</f>
        <v/>
      </c>
      <c r="AB416" s="9">
        <f>C416-AA416</f>
        <v/>
      </c>
      <c r="AC416" s="4">
        <f>AB416^2</f>
        <v/>
      </c>
    </row>
    <row r="417">
      <c r="A417" t="inlineStr">
        <is>
          <t>BBG000G0Z878</t>
        </is>
      </c>
      <c r="B417" t="inlineStr">
        <is>
          <t>hig</t>
        </is>
      </c>
      <c r="C417" s="9" t="n">
        <v>-0.01278601449016192</v>
      </c>
      <c r="D417" s="3">
        <f>EXP(0.25*'3b-d Exposures'!G507)</f>
        <v/>
      </c>
      <c r="E417" s="3">
        <f>IF('3b-d Exposures'!C507="",0,'3b-d Exposures'!C507)</f>
        <v/>
      </c>
      <c r="F417" s="3">
        <f>IF('3b-d Exposures'!E507="",0,'3b-d Exposures'!E507)</f>
        <v/>
      </c>
      <c r="G417" s="3">
        <f>IF('3b-d Exposures'!G507="",0,'3b-d Exposures'!G507)</f>
        <v/>
      </c>
      <c r="H417" s="3">
        <f>IF('3b-d Exposures'!I507="",0,'3b-d Exposures'!I507)</f>
        <v/>
      </c>
      <c r="I417" s="3">
        <f>IF('3b-d Exposures'!K507="",0,'3b-d Exposures'!K507)</f>
        <v/>
      </c>
      <c r="J417" s="3">
        <f>IF('3b-d Exposures'!M507="",0,'3b-d Exposures'!M507)</f>
        <v/>
      </c>
      <c r="K417" s="3">
        <f>IF('3b-d Exposures'!O507="",0,'3b-d Exposures'!O507)</f>
        <v/>
      </c>
      <c r="L417" s="3">
        <f>IF('3b-d Exposures'!Q507="",0,'3b-d Exposures'!Q507)</f>
        <v/>
      </c>
      <c r="M417" s="3">
        <f>IF('3b-d Exposures'!S507="",0,'3b-d Exposures'!S507)</f>
        <v/>
      </c>
      <c r="N417" s="3">
        <f>IF('3b-d Exposures'!Z507="",0,'3b-d Exposures'!Z507)</f>
        <v/>
      </c>
      <c r="O417" s="3">
        <f>$D417</f>
        <v/>
      </c>
      <c r="P417" s="3">
        <f>E417*$D417</f>
        <v/>
      </c>
      <c r="Q417" s="3">
        <f>F417*$D417</f>
        <v/>
      </c>
      <c r="R417" s="3">
        <f>G417*$D417</f>
        <v/>
      </c>
      <c r="S417" s="3">
        <f>H417*$D417</f>
        <v/>
      </c>
      <c r="T417" s="3">
        <f>I417*$D417</f>
        <v/>
      </c>
      <c r="U417" s="3">
        <f>J417*$D417</f>
        <v/>
      </c>
      <c r="V417" s="3">
        <f>K417*$D417</f>
        <v/>
      </c>
      <c r="W417" s="3">
        <f>L417*$D417</f>
        <v/>
      </c>
      <c r="X417" s="3">
        <f>M417*$D417</f>
        <v/>
      </c>
      <c r="Y417" s="3">
        <f>N417*$D417</f>
        <v/>
      </c>
      <c r="Z417" s="3">
        <f>C417*$D417</f>
        <v/>
      </c>
      <c r="AA417" s="9">
        <f>$L978+$K978*E417+$J978*F417+$I978*G417+$H978*H417+$G978*I417+$F978*J417+$E978*K417+$D978*L417+$C978*M417+$B978*N417</f>
        <v/>
      </c>
      <c r="AB417" s="9">
        <f>C417-AA417</f>
        <v/>
      </c>
      <c r="AC417" s="4">
        <f>AB417^2</f>
        <v/>
      </c>
    </row>
    <row r="418">
      <c r="A418" t="inlineStr">
        <is>
          <t>BBG001KJ2HM9</t>
        </is>
      </c>
      <c r="B418" t="inlineStr">
        <is>
          <t>hii</t>
        </is>
      </c>
      <c r="C418" s="9" t="n">
        <v>-0.01556173135678018</v>
      </c>
      <c r="D418" s="3">
        <f>EXP(0.25*'3b-d Exposures'!G508)</f>
        <v/>
      </c>
      <c r="E418" s="3">
        <f>IF('3b-d Exposures'!C508="",0,'3b-d Exposures'!C508)</f>
        <v/>
      </c>
      <c r="F418" s="3">
        <f>IF('3b-d Exposures'!E508="",0,'3b-d Exposures'!E508)</f>
        <v/>
      </c>
      <c r="G418" s="3">
        <f>IF('3b-d Exposures'!G508="",0,'3b-d Exposures'!G508)</f>
        <v/>
      </c>
      <c r="H418" s="3">
        <f>IF('3b-d Exposures'!I508="",0,'3b-d Exposures'!I508)</f>
        <v/>
      </c>
      <c r="I418" s="3">
        <f>IF('3b-d Exposures'!K508="",0,'3b-d Exposures'!K508)</f>
        <v/>
      </c>
      <c r="J418" s="3">
        <f>IF('3b-d Exposures'!M508="",0,'3b-d Exposures'!M508)</f>
        <v/>
      </c>
      <c r="K418" s="3">
        <f>IF('3b-d Exposures'!O508="",0,'3b-d Exposures'!O508)</f>
        <v/>
      </c>
      <c r="L418" s="3">
        <f>IF('3b-d Exposures'!Q508="",0,'3b-d Exposures'!Q508)</f>
        <v/>
      </c>
      <c r="M418" s="3">
        <f>IF('3b-d Exposures'!S508="",0,'3b-d Exposures'!S508)</f>
        <v/>
      </c>
      <c r="N418" s="3">
        <f>IF('3b-d Exposures'!Z508="",0,'3b-d Exposures'!Z508)</f>
        <v/>
      </c>
      <c r="O418" s="3">
        <f>$D418</f>
        <v/>
      </c>
      <c r="P418" s="3">
        <f>E418*$D418</f>
        <v/>
      </c>
      <c r="Q418" s="3">
        <f>F418*$D418</f>
        <v/>
      </c>
      <c r="R418" s="3">
        <f>G418*$D418</f>
        <v/>
      </c>
      <c r="S418" s="3">
        <f>H418*$D418</f>
        <v/>
      </c>
      <c r="T418" s="3">
        <f>I418*$D418</f>
        <v/>
      </c>
      <c r="U418" s="3">
        <f>J418*$D418</f>
        <v/>
      </c>
      <c r="V418" s="3">
        <f>K418*$D418</f>
        <v/>
      </c>
      <c r="W418" s="3">
        <f>L418*$D418</f>
        <v/>
      </c>
      <c r="X418" s="3">
        <f>M418*$D418</f>
        <v/>
      </c>
      <c r="Y418" s="3">
        <f>N418*$D418</f>
        <v/>
      </c>
      <c r="Z418" s="3">
        <f>C418*$D418</f>
        <v/>
      </c>
      <c r="AA418" s="9">
        <f>$L978+$K978*E418+$J978*F418+$I978*G418+$H978*H418+$G978*I418+$F978*J418+$E978*K418+$D978*L418+$C978*M418+$B978*N418</f>
        <v/>
      </c>
      <c r="AB418" s="9">
        <f>C418-AA418</f>
        <v/>
      </c>
      <c r="AC418" s="4">
        <f>AB418^2</f>
        <v/>
      </c>
    </row>
    <row r="419">
      <c r="A419" t="inlineStr">
        <is>
          <t>BBG0058KMH30</t>
        </is>
      </c>
      <c r="B419" t="inlineStr">
        <is>
          <t>hlt</t>
        </is>
      </c>
      <c r="C419" s="9" t="n">
        <v>-0.01171875519068188</v>
      </c>
      <c r="D419" s="3">
        <f>EXP(0.25*'3b-d Exposures'!G509)</f>
        <v/>
      </c>
      <c r="E419" s="3">
        <f>IF('3b-d Exposures'!C509="",0,'3b-d Exposures'!C509)</f>
        <v/>
      </c>
      <c r="F419" s="3">
        <f>IF('3b-d Exposures'!E509="",0,'3b-d Exposures'!E509)</f>
        <v/>
      </c>
      <c r="G419" s="3">
        <f>IF('3b-d Exposures'!G509="",0,'3b-d Exposures'!G509)</f>
        <v/>
      </c>
      <c r="H419" s="3">
        <f>IF('3b-d Exposures'!I509="",0,'3b-d Exposures'!I509)</f>
        <v/>
      </c>
      <c r="I419" s="3">
        <f>IF('3b-d Exposures'!K509="",0,'3b-d Exposures'!K509)</f>
        <v/>
      </c>
      <c r="J419" s="3">
        <f>IF('3b-d Exposures'!M509="",0,'3b-d Exposures'!M509)</f>
        <v/>
      </c>
      <c r="K419" s="3">
        <f>IF('3b-d Exposures'!O509="",0,'3b-d Exposures'!O509)</f>
        <v/>
      </c>
      <c r="L419" s="3">
        <f>IF('3b-d Exposures'!Q509="",0,'3b-d Exposures'!Q509)</f>
        <v/>
      </c>
      <c r="M419" s="3">
        <f>IF('3b-d Exposures'!S509="",0,'3b-d Exposures'!S509)</f>
        <v/>
      </c>
      <c r="N419" s="3">
        <f>IF('3b-d Exposures'!Z509="",0,'3b-d Exposures'!Z509)</f>
        <v/>
      </c>
      <c r="O419" s="3">
        <f>$D419</f>
        <v/>
      </c>
      <c r="P419" s="3">
        <f>E419*$D419</f>
        <v/>
      </c>
      <c r="Q419" s="3">
        <f>F419*$D419</f>
        <v/>
      </c>
      <c r="R419" s="3">
        <f>G419*$D419</f>
        <v/>
      </c>
      <c r="S419" s="3">
        <f>H419*$D419</f>
        <v/>
      </c>
      <c r="T419" s="3">
        <f>I419*$D419</f>
        <v/>
      </c>
      <c r="U419" s="3">
        <f>J419*$D419</f>
        <v/>
      </c>
      <c r="V419" s="3">
        <f>K419*$D419</f>
        <v/>
      </c>
      <c r="W419" s="3">
        <f>L419*$D419</f>
        <v/>
      </c>
      <c r="X419" s="3">
        <f>M419*$D419</f>
        <v/>
      </c>
      <c r="Y419" s="3">
        <f>N419*$D419</f>
        <v/>
      </c>
      <c r="Z419" s="3">
        <f>C419*$D419</f>
        <v/>
      </c>
      <c r="AA419" s="9">
        <f>$L978+$K978*E419+$J978*F419+$I978*G419+$H978*H419+$G978*I419+$F978*J419+$E978*K419+$D978*L419+$C978*M419+$B978*N419</f>
        <v/>
      </c>
      <c r="AB419" s="9">
        <f>C419-AA419</f>
        <v/>
      </c>
      <c r="AC419" s="4">
        <f>AB419^2</f>
        <v/>
      </c>
    </row>
    <row r="420">
      <c r="A420" t="inlineStr">
        <is>
          <t>BBG000BKZTP3</t>
        </is>
      </c>
      <c r="B420" t="inlineStr">
        <is>
          <t>hog</t>
        </is>
      </c>
      <c r="C420" s="9" t="n">
        <v>0.01189391859762634</v>
      </c>
      <c r="D420" s="3">
        <f>EXP(0.25*'3b-d Exposures'!G511)</f>
        <v/>
      </c>
      <c r="E420" s="3">
        <f>IF('3b-d Exposures'!C511="",0,'3b-d Exposures'!C511)</f>
        <v/>
      </c>
      <c r="F420" s="3">
        <f>IF('3b-d Exposures'!E511="",0,'3b-d Exposures'!E511)</f>
        <v/>
      </c>
      <c r="G420" s="3">
        <f>IF('3b-d Exposures'!G511="",0,'3b-d Exposures'!G511)</f>
        <v/>
      </c>
      <c r="H420" s="3">
        <f>IF('3b-d Exposures'!I511="",0,'3b-d Exposures'!I511)</f>
        <v/>
      </c>
      <c r="I420" s="3">
        <f>IF('3b-d Exposures'!K511="",0,'3b-d Exposures'!K511)</f>
        <v/>
      </c>
      <c r="J420" s="3">
        <f>IF('3b-d Exposures'!M511="",0,'3b-d Exposures'!M511)</f>
        <v/>
      </c>
      <c r="K420" s="3">
        <f>IF('3b-d Exposures'!O511="",0,'3b-d Exposures'!O511)</f>
        <v/>
      </c>
      <c r="L420" s="3">
        <f>IF('3b-d Exposures'!Q511="",0,'3b-d Exposures'!Q511)</f>
        <v/>
      </c>
      <c r="M420" s="3">
        <f>IF('3b-d Exposures'!S511="",0,'3b-d Exposures'!S511)</f>
        <v/>
      </c>
      <c r="N420" s="3">
        <f>IF('3b-d Exposures'!Z511="",0,'3b-d Exposures'!Z511)</f>
        <v/>
      </c>
      <c r="O420" s="3">
        <f>$D420</f>
        <v/>
      </c>
      <c r="P420" s="3">
        <f>E420*$D420</f>
        <v/>
      </c>
      <c r="Q420" s="3">
        <f>F420*$D420</f>
        <v/>
      </c>
      <c r="R420" s="3">
        <f>G420*$D420</f>
        <v/>
      </c>
      <c r="S420" s="3">
        <f>H420*$D420</f>
        <v/>
      </c>
      <c r="T420" s="3">
        <f>I420*$D420</f>
        <v/>
      </c>
      <c r="U420" s="3">
        <f>J420*$D420</f>
        <v/>
      </c>
      <c r="V420" s="3">
        <f>K420*$D420</f>
        <v/>
      </c>
      <c r="W420" s="3">
        <f>L420*$D420</f>
        <v/>
      </c>
      <c r="X420" s="3">
        <f>M420*$D420</f>
        <v/>
      </c>
      <c r="Y420" s="3">
        <f>N420*$D420</f>
        <v/>
      </c>
      <c r="Z420" s="3">
        <f>C420*$D420</f>
        <v/>
      </c>
      <c r="AA420" s="9">
        <f>$L978+$K978*E420+$J978*F420+$I978*G420+$H978*H420+$G978*I420+$F978*J420+$E978*K420+$D978*L420+$C978*M420+$B978*N420</f>
        <v/>
      </c>
      <c r="AB420" s="9">
        <f>C420-AA420</f>
        <v/>
      </c>
      <c r="AC420" s="4">
        <f>AB420^2</f>
        <v/>
      </c>
    </row>
    <row r="421">
      <c r="A421" t="inlineStr">
        <is>
          <t>BBG000H556T9</t>
        </is>
      </c>
      <c r="B421" t="inlineStr">
        <is>
          <t>hon</t>
        </is>
      </c>
      <c r="C421" s="9" t="n">
        <v>-0.01279364551939288</v>
      </c>
      <c r="D421" s="3">
        <f>EXP(0.25*'3b-d Exposures'!G512)</f>
        <v/>
      </c>
      <c r="E421" s="3">
        <f>IF('3b-d Exposures'!C512="",0,'3b-d Exposures'!C512)</f>
        <v/>
      </c>
      <c r="F421" s="3">
        <f>IF('3b-d Exposures'!E512="",0,'3b-d Exposures'!E512)</f>
        <v/>
      </c>
      <c r="G421" s="3">
        <f>IF('3b-d Exposures'!G512="",0,'3b-d Exposures'!G512)</f>
        <v/>
      </c>
      <c r="H421" s="3">
        <f>IF('3b-d Exposures'!I512="",0,'3b-d Exposures'!I512)</f>
        <v/>
      </c>
      <c r="I421" s="3">
        <f>IF('3b-d Exposures'!K512="",0,'3b-d Exposures'!K512)</f>
        <v/>
      </c>
      <c r="J421" s="3">
        <f>IF('3b-d Exposures'!M512="",0,'3b-d Exposures'!M512)</f>
        <v/>
      </c>
      <c r="K421" s="3">
        <f>IF('3b-d Exposures'!O512="",0,'3b-d Exposures'!O512)</f>
        <v/>
      </c>
      <c r="L421" s="3">
        <f>IF('3b-d Exposures'!Q512="",0,'3b-d Exposures'!Q512)</f>
        <v/>
      </c>
      <c r="M421" s="3">
        <f>IF('3b-d Exposures'!S512="",0,'3b-d Exposures'!S512)</f>
        <v/>
      </c>
      <c r="N421" s="3">
        <f>IF('3b-d Exposures'!Z512="",0,'3b-d Exposures'!Z512)</f>
        <v/>
      </c>
      <c r="O421" s="3">
        <f>$D421</f>
        <v/>
      </c>
      <c r="P421" s="3">
        <f>E421*$D421</f>
        <v/>
      </c>
      <c r="Q421" s="3">
        <f>F421*$D421</f>
        <v/>
      </c>
      <c r="R421" s="3">
        <f>G421*$D421</f>
        <v/>
      </c>
      <c r="S421" s="3">
        <f>H421*$D421</f>
        <v/>
      </c>
      <c r="T421" s="3">
        <f>I421*$D421</f>
        <v/>
      </c>
      <c r="U421" s="3">
        <f>J421*$D421</f>
        <v/>
      </c>
      <c r="V421" s="3">
        <f>K421*$D421</f>
        <v/>
      </c>
      <c r="W421" s="3">
        <f>L421*$D421</f>
        <v/>
      </c>
      <c r="X421" s="3">
        <f>M421*$D421</f>
        <v/>
      </c>
      <c r="Y421" s="3">
        <f>N421*$D421</f>
        <v/>
      </c>
      <c r="Z421" s="3">
        <f>C421*$D421</f>
        <v/>
      </c>
      <c r="AA421" s="9">
        <f>$L978+$K978*E421+$J978*F421+$I978*G421+$H978*H421+$G978*I421+$F978*J421+$E978*K421+$D978*L421+$C978*M421+$B978*N421</f>
        <v/>
      </c>
      <c r="AB421" s="9">
        <f>C421-AA421</f>
        <v/>
      </c>
      <c r="AC421" s="4">
        <f>AB421^2</f>
        <v/>
      </c>
    </row>
    <row r="422">
      <c r="A422" t="inlineStr">
        <is>
          <t>BBG0078W3NQ3</t>
        </is>
      </c>
      <c r="B422" t="inlineStr">
        <is>
          <t>hpe</t>
        </is>
      </c>
      <c r="C422" s="9" t="n">
        <v>0.001413762717834777</v>
      </c>
      <c r="D422" s="3">
        <f>EXP(0.25*'3b-d Exposures'!G514)</f>
        <v/>
      </c>
      <c r="E422" s="3">
        <f>IF('3b-d Exposures'!C514="",0,'3b-d Exposures'!C514)</f>
        <v/>
      </c>
      <c r="F422" s="3">
        <f>IF('3b-d Exposures'!E514="",0,'3b-d Exposures'!E514)</f>
        <v/>
      </c>
      <c r="G422" s="3">
        <f>IF('3b-d Exposures'!G514="",0,'3b-d Exposures'!G514)</f>
        <v/>
      </c>
      <c r="H422" s="3">
        <f>IF('3b-d Exposures'!I514="",0,'3b-d Exposures'!I514)</f>
        <v/>
      </c>
      <c r="I422" s="3">
        <f>IF('3b-d Exposures'!K514="",0,'3b-d Exposures'!K514)</f>
        <v/>
      </c>
      <c r="J422" s="3">
        <f>IF('3b-d Exposures'!M514="",0,'3b-d Exposures'!M514)</f>
        <v/>
      </c>
      <c r="K422" s="3">
        <f>IF('3b-d Exposures'!O514="",0,'3b-d Exposures'!O514)</f>
        <v/>
      </c>
      <c r="L422" s="3">
        <f>IF('3b-d Exposures'!Q514="",0,'3b-d Exposures'!Q514)</f>
        <v/>
      </c>
      <c r="M422" s="3">
        <f>IF('3b-d Exposures'!S514="",0,'3b-d Exposures'!S514)</f>
        <v/>
      </c>
      <c r="N422" s="3">
        <f>IF('3b-d Exposures'!Z514="",0,'3b-d Exposures'!Z514)</f>
        <v/>
      </c>
      <c r="O422" s="3">
        <f>$D422</f>
        <v/>
      </c>
      <c r="P422" s="3">
        <f>E422*$D422</f>
        <v/>
      </c>
      <c r="Q422" s="3">
        <f>F422*$D422</f>
        <v/>
      </c>
      <c r="R422" s="3">
        <f>G422*$D422</f>
        <v/>
      </c>
      <c r="S422" s="3">
        <f>H422*$D422</f>
        <v/>
      </c>
      <c r="T422" s="3">
        <f>I422*$D422</f>
        <v/>
      </c>
      <c r="U422" s="3">
        <f>J422*$D422</f>
        <v/>
      </c>
      <c r="V422" s="3">
        <f>K422*$D422</f>
        <v/>
      </c>
      <c r="W422" s="3">
        <f>L422*$D422</f>
        <v/>
      </c>
      <c r="X422" s="3">
        <f>M422*$D422</f>
        <v/>
      </c>
      <c r="Y422" s="3">
        <f>N422*$D422</f>
        <v/>
      </c>
      <c r="Z422" s="3">
        <f>C422*$D422</f>
        <v/>
      </c>
      <c r="AA422" s="9">
        <f>$L978+$K978*E422+$J978*F422+$I978*G422+$H978*H422+$G978*I422+$F978*J422+$E978*K422+$D978*L422+$C978*M422+$B978*N422</f>
        <v/>
      </c>
      <c r="AB422" s="9">
        <f>C422-AA422</f>
        <v/>
      </c>
      <c r="AC422" s="4">
        <f>AB422^2</f>
        <v/>
      </c>
    </row>
    <row r="423">
      <c r="A423" t="inlineStr">
        <is>
          <t>BBG000KHWT55</t>
        </is>
      </c>
      <c r="B423" t="inlineStr">
        <is>
          <t>hpq</t>
        </is>
      </c>
      <c r="C423" s="9" t="n">
        <v>0.02878904816849448</v>
      </c>
      <c r="D423" s="3">
        <f>EXP(0.25*'3b-d Exposures'!G515)</f>
        <v/>
      </c>
      <c r="E423" s="3">
        <f>IF('3b-d Exposures'!C515="",0,'3b-d Exposures'!C515)</f>
        <v/>
      </c>
      <c r="F423" s="3">
        <f>IF('3b-d Exposures'!E515="",0,'3b-d Exposures'!E515)</f>
        <v/>
      </c>
      <c r="G423" s="3">
        <f>IF('3b-d Exposures'!G515="",0,'3b-d Exposures'!G515)</f>
        <v/>
      </c>
      <c r="H423" s="3">
        <f>IF('3b-d Exposures'!I515="",0,'3b-d Exposures'!I515)</f>
        <v/>
      </c>
      <c r="I423" s="3">
        <f>IF('3b-d Exposures'!K515="",0,'3b-d Exposures'!K515)</f>
        <v/>
      </c>
      <c r="J423" s="3">
        <f>IF('3b-d Exposures'!M515="",0,'3b-d Exposures'!M515)</f>
        <v/>
      </c>
      <c r="K423" s="3">
        <f>IF('3b-d Exposures'!O515="",0,'3b-d Exposures'!O515)</f>
        <v/>
      </c>
      <c r="L423" s="3">
        <f>IF('3b-d Exposures'!Q515="",0,'3b-d Exposures'!Q515)</f>
        <v/>
      </c>
      <c r="M423" s="3">
        <f>IF('3b-d Exposures'!S515="",0,'3b-d Exposures'!S515)</f>
        <v/>
      </c>
      <c r="N423" s="3">
        <f>IF('3b-d Exposures'!Z515="",0,'3b-d Exposures'!Z515)</f>
        <v/>
      </c>
      <c r="O423" s="3">
        <f>$D423</f>
        <v/>
      </c>
      <c r="P423" s="3">
        <f>E423*$D423</f>
        <v/>
      </c>
      <c r="Q423" s="3">
        <f>F423*$D423</f>
        <v/>
      </c>
      <c r="R423" s="3">
        <f>G423*$D423</f>
        <v/>
      </c>
      <c r="S423" s="3">
        <f>H423*$D423</f>
        <v/>
      </c>
      <c r="T423" s="3">
        <f>I423*$D423</f>
        <v/>
      </c>
      <c r="U423" s="3">
        <f>J423*$D423</f>
        <v/>
      </c>
      <c r="V423" s="3">
        <f>K423*$D423</f>
        <v/>
      </c>
      <c r="W423" s="3">
        <f>L423*$D423</f>
        <v/>
      </c>
      <c r="X423" s="3">
        <f>M423*$D423</f>
        <v/>
      </c>
      <c r="Y423" s="3">
        <f>N423*$D423</f>
        <v/>
      </c>
      <c r="Z423" s="3">
        <f>C423*$D423</f>
        <v/>
      </c>
      <c r="AA423" s="9">
        <f>$L978+$K978*E423+$J978*F423+$I978*G423+$H978*H423+$G978*I423+$F978*J423+$E978*K423+$D978*L423+$C978*M423+$B978*N423</f>
        <v/>
      </c>
      <c r="AB423" s="9">
        <f>C423-AA423</f>
        <v/>
      </c>
      <c r="AC423" s="4">
        <f>AB423^2</f>
        <v/>
      </c>
    </row>
    <row r="424">
      <c r="A424" t="inlineStr">
        <is>
          <t>BBG000BLDV98</t>
        </is>
      </c>
      <c r="B424" t="inlineStr">
        <is>
          <t>hrb</t>
        </is>
      </c>
      <c r="C424" s="9" t="n">
        <v>-0.002867694493485451</v>
      </c>
      <c r="D424" s="3">
        <f>EXP(0.25*'3b-d Exposures'!G516)</f>
        <v/>
      </c>
      <c r="E424" s="3">
        <f>IF('3b-d Exposures'!C516="",0,'3b-d Exposures'!C516)</f>
        <v/>
      </c>
      <c r="F424" s="3">
        <f>IF('3b-d Exposures'!E516="",0,'3b-d Exposures'!E516)</f>
        <v/>
      </c>
      <c r="G424" s="3">
        <f>IF('3b-d Exposures'!G516="",0,'3b-d Exposures'!G516)</f>
        <v/>
      </c>
      <c r="H424" s="3">
        <f>IF('3b-d Exposures'!I516="",0,'3b-d Exposures'!I516)</f>
        <v/>
      </c>
      <c r="I424" s="3">
        <f>IF('3b-d Exposures'!K516="",0,'3b-d Exposures'!K516)</f>
        <v/>
      </c>
      <c r="J424" s="3">
        <f>IF('3b-d Exposures'!M516="",0,'3b-d Exposures'!M516)</f>
        <v/>
      </c>
      <c r="K424" s="3">
        <f>IF('3b-d Exposures'!O516="",0,'3b-d Exposures'!O516)</f>
        <v/>
      </c>
      <c r="L424" s="3">
        <f>IF('3b-d Exposures'!Q516="",0,'3b-d Exposures'!Q516)</f>
        <v/>
      </c>
      <c r="M424" s="3">
        <f>IF('3b-d Exposures'!S516="",0,'3b-d Exposures'!S516)</f>
        <v/>
      </c>
      <c r="N424" s="3">
        <f>IF('3b-d Exposures'!Z516="",0,'3b-d Exposures'!Z516)</f>
        <v/>
      </c>
      <c r="O424" s="3">
        <f>$D424</f>
        <v/>
      </c>
      <c r="P424" s="3">
        <f>E424*$D424</f>
        <v/>
      </c>
      <c r="Q424" s="3">
        <f>F424*$D424</f>
        <v/>
      </c>
      <c r="R424" s="3">
        <f>G424*$D424</f>
        <v/>
      </c>
      <c r="S424" s="3">
        <f>H424*$D424</f>
        <v/>
      </c>
      <c r="T424" s="3">
        <f>I424*$D424</f>
        <v/>
      </c>
      <c r="U424" s="3">
        <f>J424*$D424</f>
        <v/>
      </c>
      <c r="V424" s="3">
        <f>K424*$D424</f>
        <v/>
      </c>
      <c r="W424" s="3">
        <f>L424*$D424</f>
        <v/>
      </c>
      <c r="X424" s="3">
        <f>M424*$D424</f>
        <v/>
      </c>
      <c r="Y424" s="3">
        <f>N424*$D424</f>
        <v/>
      </c>
      <c r="Z424" s="3">
        <f>C424*$D424</f>
        <v/>
      </c>
      <c r="AA424" s="9">
        <f>$L978+$K978*E424+$J978*F424+$I978*G424+$H978*H424+$G978*I424+$F978*J424+$E978*K424+$D978*L424+$C978*M424+$B978*N424</f>
        <v/>
      </c>
      <c r="AB424" s="9">
        <f>C424-AA424</f>
        <v/>
      </c>
      <c r="AC424" s="4">
        <f>AB424^2</f>
        <v/>
      </c>
    </row>
    <row r="425">
      <c r="A425" t="inlineStr">
        <is>
          <t>BBG000FNRZ69</t>
        </is>
      </c>
      <c r="B425" t="inlineStr">
        <is>
          <t>hri</t>
        </is>
      </c>
      <c r="C425" s="9" t="n">
        <v>-0.008060408189663359</v>
      </c>
      <c r="D425" s="3">
        <f>EXP(0.25*'3b-d Exposures'!G517)</f>
        <v/>
      </c>
      <c r="E425" s="3">
        <f>IF('3b-d Exposures'!C517="",0,'3b-d Exposures'!C517)</f>
        <v/>
      </c>
      <c r="F425" s="3">
        <f>IF('3b-d Exposures'!E517="",0,'3b-d Exposures'!E517)</f>
        <v/>
      </c>
      <c r="G425" s="3">
        <f>IF('3b-d Exposures'!G517="",0,'3b-d Exposures'!G517)</f>
        <v/>
      </c>
      <c r="H425" s="3">
        <f>IF('3b-d Exposures'!I517="",0,'3b-d Exposures'!I517)</f>
        <v/>
      </c>
      <c r="I425" s="3">
        <f>IF('3b-d Exposures'!K517="",0,'3b-d Exposures'!K517)</f>
        <v/>
      </c>
      <c r="J425" s="3">
        <f>IF('3b-d Exposures'!M517="",0,'3b-d Exposures'!M517)</f>
        <v/>
      </c>
      <c r="K425" s="3">
        <f>IF('3b-d Exposures'!O517="",0,'3b-d Exposures'!O517)</f>
        <v/>
      </c>
      <c r="L425" s="3">
        <f>IF('3b-d Exposures'!Q517="",0,'3b-d Exposures'!Q517)</f>
        <v/>
      </c>
      <c r="M425" s="3">
        <f>IF('3b-d Exposures'!S517="",0,'3b-d Exposures'!S517)</f>
        <v/>
      </c>
      <c r="N425" s="3">
        <f>IF('3b-d Exposures'!Z517="",0,'3b-d Exposures'!Z517)</f>
        <v/>
      </c>
      <c r="O425" s="3">
        <f>$D425</f>
        <v/>
      </c>
      <c r="P425" s="3">
        <f>E425*$D425</f>
        <v/>
      </c>
      <c r="Q425" s="3">
        <f>F425*$D425</f>
        <v/>
      </c>
      <c r="R425" s="3">
        <f>G425*$D425</f>
        <v/>
      </c>
      <c r="S425" s="3">
        <f>H425*$D425</f>
        <v/>
      </c>
      <c r="T425" s="3">
        <f>I425*$D425</f>
        <v/>
      </c>
      <c r="U425" s="3">
        <f>J425*$D425</f>
        <v/>
      </c>
      <c r="V425" s="3">
        <f>K425*$D425</f>
        <v/>
      </c>
      <c r="W425" s="3">
        <f>L425*$D425</f>
        <v/>
      </c>
      <c r="X425" s="3">
        <f>M425*$D425</f>
        <v/>
      </c>
      <c r="Y425" s="3">
        <f>N425*$D425</f>
        <v/>
      </c>
      <c r="Z425" s="3">
        <f>C425*$D425</f>
        <v/>
      </c>
      <c r="AA425" s="9">
        <f>$L978+$K978*E425+$J978*F425+$I978*G425+$H978*H425+$G978*I425+$F978*J425+$E978*K425+$D978*L425+$C978*M425+$B978*N425</f>
        <v/>
      </c>
      <c r="AB425" s="9">
        <f>C425-AA425</f>
        <v/>
      </c>
      <c r="AC425" s="4">
        <f>AB425^2</f>
        <v/>
      </c>
    </row>
    <row r="426">
      <c r="A426" t="inlineStr">
        <is>
          <t>BBG006D4PF48</t>
        </is>
      </c>
      <c r="B426" t="inlineStr">
        <is>
          <t>hrtg</t>
        </is>
      </c>
      <c r="C426" s="9" t="n">
        <v>-0.005631588638770002</v>
      </c>
      <c r="D426" s="3">
        <f>EXP(0.25*'3b-d Exposures'!G519)</f>
        <v/>
      </c>
      <c r="E426" s="3">
        <f>IF('3b-d Exposures'!C519="",0,'3b-d Exposures'!C519)</f>
        <v/>
      </c>
      <c r="F426" s="3">
        <f>IF('3b-d Exposures'!E519="",0,'3b-d Exposures'!E519)</f>
        <v/>
      </c>
      <c r="G426" s="3">
        <f>IF('3b-d Exposures'!G519="",0,'3b-d Exposures'!G519)</f>
        <v/>
      </c>
      <c r="H426" s="3">
        <f>IF('3b-d Exposures'!I519="",0,'3b-d Exposures'!I519)</f>
        <v/>
      </c>
      <c r="I426" s="3">
        <f>IF('3b-d Exposures'!K519="",0,'3b-d Exposures'!K519)</f>
        <v/>
      </c>
      <c r="J426" s="3">
        <f>IF('3b-d Exposures'!M519="",0,'3b-d Exposures'!M519)</f>
        <v/>
      </c>
      <c r="K426" s="3">
        <f>IF('3b-d Exposures'!O519="",0,'3b-d Exposures'!O519)</f>
        <v/>
      </c>
      <c r="L426" s="3">
        <f>IF('3b-d Exposures'!Q519="",0,'3b-d Exposures'!Q519)</f>
        <v/>
      </c>
      <c r="M426" s="3">
        <f>IF('3b-d Exposures'!S519="",0,'3b-d Exposures'!S519)</f>
        <v/>
      </c>
      <c r="N426" s="3">
        <f>IF('3b-d Exposures'!Z519="",0,'3b-d Exposures'!Z519)</f>
        <v/>
      </c>
      <c r="O426" s="3">
        <f>$D426</f>
        <v/>
      </c>
      <c r="P426" s="3">
        <f>E426*$D426</f>
        <v/>
      </c>
      <c r="Q426" s="3">
        <f>F426*$D426</f>
        <v/>
      </c>
      <c r="R426" s="3">
        <f>G426*$D426</f>
        <v/>
      </c>
      <c r="S426" s="3">
        <f>H426*$D426</f>
        <v/>
      </c>
      <c r="T426" s="3">
        <f>I426*$D426</f>
        <v/>
      </c>
      <c r="U426" s="3">
        <f>J426*$D426</f>
        <v/>
      </c>
      <c r="V426" s="3">
        <f>K426*$D426</f>
        <v/>
      </c>
      <c r="W426" s="3">
        <f>L426*$D426</f>
        <v/>
      </c>
      <c r="X426" s="3">
        <f>M426*$D426</f>
        <v/>
      </c>
      <c r="Y426" s="3">
        <f>N426*$D426</f>
        <v/>
      </c>
      <c r="Z426" s="3">
        <f>C426*$D426</f>
        <v/>
      </c>
      <c r="AA426" s="9">
        <f>$L978+$K978*E426+$J978*F426+$I978*G426+$H978*H426+$G978*I426+$F978*J426+$E978*K426+$D978*L426+$C978*M426+$B978*N426</f>
        <v/>
      </c>
      <c r="AB426" s="9">
        <f>C426-AA426</f>
        <v/>
      </c>
      <c r="AC426" s="4">
        <f>AB426^2</f>
        <v/>
      </c>
    </row>
    <row r="427">
      <c r="A427" t="inlineStr">
        <is>
          <t>BBG000BNMMJ3</t>
        </is>
      </c>
      <c r="B427" t="inlineStr">
        <is>
          <t>hsic</t>
        </is>
      </c>
      <c r="C427" s="9" t="n">
        <v>-0.007138261258579748</v>
      </c>
      <c r="D427" s="3">
        <f>EXP(0.25*'3b-d Exposures'!G520)</f>
        <v/>
      </c>
      <c r="E427" s="3">
        <f>IF('3b-d Exposures'!C520="",0,'3b-d Exposures'!C520)</f>
        <v/>
      </c>
      <c r="F427" s="3">
        <f>IF('3b-d Exposures'!E520="",0,'3b-d Exposures'!E520)</f>
        <v/>
      </c>
      <c r="G427" s="3">
        <f>IF('3b-d Exposures'!G520="",0,'3b-d Exposures'!G520)</f>
        <v/>
      </c>
      <c r="H427" s="3">
        <f>IF('3b-d Exposures'!I520="",0,'3b-d Exposures'!I520)</f>
        <v/>
      </c>
      <c r="I427" s="3">
        <f>IF('3b-d Exposures'!K520="",0,'3b-d Exposures'!K520)</f>
        <v/>
      </c>
      <c r="J427" s="3">
        <f>IF('3b-d Exposures'!M520="",0,'3b-d Exposures'!M520)</f>
        <v/>
      </c>
      <c r="K427" s="3">
        <f>IF('3b-d Exposures'!O520="",0,'3b-d Exposures'!O520)</f>
        <v/>
      </c>
      <c r="L427" s="3">
        <f>IF('3b-d Exposures'!Q520="",0,'3b-d Exposures'!Q520)</f>
        <v/>
      </c>
      <c r="M427" s="3">
        <f>IF('3b-d Exposures'!S520="",0,'3b-d Exposures'!S520)</f>
        <v/>
      </c>
      <c r="N427" s="3">
        <f>IF('3b-d Exposures'!Z520="",0,'3b-d Exposures'!Z520)</f>
        <v/>
      </c>
      <c r="O427" s="3">
        <f>$D427</f>
        <v/>
      </c>
      <c r="P427" s="3">
        <f>E427*$D427</f>
        <v/>
      </c>
      <c r="Q427" s="3">
        <f>F427*$D427</f>
        <v/>
      </c>
      <c r="R427" s="3">
        <f>G427*$D427</f>
        <v/>
      </c>
      <c r="S427" s="3">
        <f>H427*$D427</f>
        <v/>
      </c>
      <c r="T427" s="3">
        <f>I427*$D427</f>
        <v/>
      </c>
      <c r="U427" s="3">
        <f>J427*$D427</f>
        <v/>
      </c>
      <c r="V427" s="3">
        <f>K427*$D427</f>
        <v/>
      </c>
      <c r="W427" s="3">
        <f>L427*$D427</f>
        <v/>
      </c>
      <c r="X427" s="3">
        <f>M427*$D427</f>
        <v/>
      </c>
      <c r="Y427" s="3">
        <f>N427*$D427</f>
        <v/>
      </c>
      <c r="Z427" s="3">
        <f>C427*$D427</f>
        <v/>
      </c>
      <c r="AA427" s="9">
        <f>$L978+$K978*E427+$J978*F427+$I978*G427+$H978*H427+$G978*I427+$F978*J427+$E978*K427+$D978*L427+$C978*M427+$B978*N427</f>
        <v/>
      </c>
      <c r="AB427" s="9">
        <f>C427-AA427</f>
        <v/>
      </c>
      <c r="AC427" s="4">
        <f>AB427^2</f>
        <v/>
      </c>
    </row>
    <row r="428">
      <c r="A428" t="inlineStr">
        <is>
          <t>BBG000BL8804</t>
        </is>
      </c>
      <c r="B428" t="inlineStr">
        <is>
          <t>hst</t>
        </is>
      </c>
      <c r="C428" s="9" t="n">
        <v>-0.0016287091279098</v>
      </c>
      <c r="D428" s="3">
        <f>EXP(0.25*'3b-d Exposures'!G521)</f>
        <v/>
      </c>
      <c r="E428" s="3">
        <f>IF('3b-d Exposures'!C521="",0,'3b-d Exposures'!C521)</f>
        <v/>
      </c>
      <c r="F428" s="3">
        <f>IF('3b-d Exposures'!E521="",0,'3b-d Exposures'!E521)</f>
        <v/>
      </c>
      <c r="G428" s="3">
        <f>IF('3b-d Exposures'!G521="",0,'3b-d Exposures'!G521)</f>
        <v/>
      </c>
      <c r="H428" s="3">
        <f>IF('3b-d Exposures'!I521="",0,'3b-d Exposures'!I521)</f>
        <v/>
      </c>
      <c r="I428" s="3">
        <f>IF('3b-d Exposures'!K521="",0,'3b-d Exposures'!K521)</f>
        <v/>
      </c>
      <c r="J428" s="3">
        <f>IF('3b-d Exposures'!M521="",0,'3b-d Exposures'!M521)</f>
        <v/>
      </c>
      <c r="K428" s="3">
        <f>IF('3b-d Exposures'!O521="",0,'3b-d Exposures'!O521)</f>
        <v/>
      </c>
      <c r="L428" s="3">
        <f>IF('3b-d Exposures'!Q521="",0,'3b-d Exposures'!Q521)</f>
        <v/>
      </c>
      <c r="M428" s="3">
        <f>IF('3b-d Exposures'!S521="",0,'3b-d Exposures'!S521)</f>
        <v/>
      </c>
      <c r="N428" s="3">
        <f>IF('3b-d Exposures'!Z521="",0,'3b-d Exposures'!Z521)</f>
        <v/>
      </c>
      <c r="O428" s="3">
        <f>$D428</f>
        <v/>
      </c>
      <c r="P428" s="3">
        <f>E428*$D428</f>
        <v/>
      </c>
      <c r="Q428" s="3">
        <f>F428*$D428</f>
        <v/>
      </c>
      <c r="R428" s="3">
        <f>G428*$D428</f>
        <v/>
      </c>
      <c r="S428" s="3">
        <f>H428*$D428</f>
        <v/>
      </c>
      <c r="T428" s="3">
        <f>I428*$D428</f>
        <v/>
      </c>
      <c r="U428" s="3">
        <f>J428*$D428</f>
        <v/>
      </c>
      <c r="V428" s="3">
        <f>K428*$D428</f>
        <v/>
      </c>
      <c r="W428" s="3">
        <f>L428*$D428</f>
        <v/>
      </c>
      <c r="X428" s="3">
        <f>M428*$D428</f>
        <v/>
      </c>
      <c r="Y428" s="3">
        <f>N428*$D428</f>
        <v/>
      </c>
      <c r="Z428" s="3">
        <f>C428*$D428</f>
        <v/>
      </c>
      <c r="AA428" s="9">
        <f>$L978+$K978*E428+$J978*F428+$I978*G428+$H978*H428+$G978*I428+$F978*J428+$E978*K428+$D978*L428+$C978*M428+$B978*N428</f>
        <v/>
      </c>
      <c r="AB428" s="9">
        <f>C428-AA428</f>
        <v/>
      </c>
      <c r="AC428" s="4">
        <f>AB428^2</f>
        <v/>
      </c>
    </row>
    <row r="429">
      <c r="A429" t="inlineStr">
        <is>
          <t>BBG000BLHRS2</t>
        </is>
      </c>
      <c r="B429" t="inlineStr">
        <is>
          <t>hsy</t>
        </is>
      </c>
      <c r="C429" s="9" t="n">
        <v>0.009595091425449898</v>
      </c>
      <c r="D429" s="3">
        <f>EXP(0.25*'3b-d Exposures'!G522)</f>
        <v/>
      </c>
      <c r="E429" s="3">
        <f>IF('3b-d Exposures'!C522="",0,'3b-d Exposures'!C522)</f>
        <v/>
      </c>
      <c r="F429" s="3">
        <f>IF('3b-d Exposures'!E522="",0,'3b-d Exposures'!E522)</f>
        <v/>
      </c>
      <c r="G429" s="3">
        <f>IF('3b-d Exposures'!G522="",0,'3b-d Exposures'!G522)</f>
        <v/>
      </c>
      <c r="H429" s="3">
        <f>IF('3b-d Exposures'!I522="",0,'3b-d Exposures'!I522)</f>
        <v/>
      </c>
      <c r="I429" s="3">
        <f>IF('3b-d Exposures'!K522="",0,'3b-d Exposures'!K522)</f>
        <v/>
      </c>
      <c r="J429" s="3">
        <f>IF('3b-d Exposures'!M522="",0,'3b-d Exposures'!M522)</f>
        <v/>
      </c>
      <c r="K429" s="3">
        <f>IF('3b-d Exposures'!O522="",0,'3b-d Exposures'!O522)</f>
        <v/>
      </c>
      <c r="L429" s="3">
        <f>IF('3b-d Exposures'!Q522="",0,'3b-d Exposures'!Q522)</f>
        <v/>
      </c>
      <c r="M429" s="3">
        <f>IF('3b-d Exposures'!S522="",0,'3b-d Exposures'!S522)</f>
        <v/>
      </c>
      <c r="N429" s="3">
        <f>IF('3b-d Exposures'!Z522="",0,'3b-d Exposures'!Z522)</f>
        <v/>
      </c>
      <c r="O429" s="3">
        <f>$D429</f>
        <v/>
      </c>
      <c r="P429" s="3">
        <f>E429*$D429</f>
        <v/>
      </c>
      <c r="Q429" s="3">
        <f>F429*$D429</f>
        <v/>
      </c>
      <c r="R429" s="3">
        <f>G429*$D429</f>
        <v/>
      </c>
      <c r="S429" s="3">
        <f>H429*$D429</f>
        <v/>
      </c>
      <c r="T429" s="3">
        <f>I429*$D429</f>
        <v/>
      </c>
      <c r="U429" s="3">
        <f>J429*$D429</f>
        <v/>
      </c>
      <c r="V429" s="3">
        <f>K429*$D429</f>
        <v/>
      </c>
      <c r="W429" s="3">
        <f>L429*$D429</f>
        <v/>
      </c>
      <c r="X429" s="3">
        <f>M429*$D429</f>
        <v/>
      </c>
      <c r="Y429" s="3">
        <f>N429*$D429</f>
        <v/>
      </c>
      <c r="Z429" s="3">
        <f>C429*$D429</f>
        <v/>
      </c>
      <c r="AA429" s="9">
        <f>$L978+$K978*E429+$J978*F429+$I978*G429+$H978*H429+$G978*I429+$F978*J429+$E978*K429+$D978*L429+$C978*M429+$B978*N429</f>
        <v/>
      </c>
      <c r="AB429" s="9">
        <f>C429-AA429</f>
        <v/>
      </c>
      <c r="AC429" s="4">
        <f>AB429^2</f>
        <v/>
      </c>
    </row>
    <row r="430">
      <c r="A430" t="inlineStr">
        <is>
          <t>BBG000C2R8K2</t>
        </is>
      </c>
      <c r="B430" t="inlineStr">
        <is>
          <t>htgc</t>
        </is>
      </c>
      <c r="C430" s="9" t="n">
        <v>0.002112797015834111</v>
      </c>
      <c r="D430" s="3">
        <f>EXP(0.25*'3b-d Exposures'!G524)</f>
        <v/>
      </c>
      <c r="E430" s="3">
        <f>IF('3b-d Exposures'!C524="",0,'3b-d Exposures'!C524)</f>
        <v/>
      </c>
      <c r="F430" s="3">
        <f>IF('3b-d Exposures'!E524="",0,'3b-d Exposures'!E524)</f>
        <v/>
      </c>
      <c r="G430" s="3">
        <f>IF('3b-d Exposures'!G524="",0,'3b-d Exposures'!G524)</f>
        <v/>
      </c>
      <c r="H430" s="3">
        <f>IF('3b-d Exposures'!I524="",0,'3b-d Exposures'!I524)</f>
        <v/>
      </c>
      <c r="I430" s="3">
        <f>IF('3b-d Exposures'!K524="",0,'3b-d Exposures'!K524)</f>
        <v/>
      </c>
      <c r="J430" s="3">
        <f>IF('3b-d Exposures'!M524="",0,'3b-d Exposures'!M524)</f>
        <v/>
      </c>
      <c r="K430" s="3">
        <f>IF('3b-d Exposures'!O524="",0,'3b-d Exposures'!O524)</f>
        <v/>
      </c>
      <c r="L430" s="3">
        <f>IF('3b-d Exposures'!Q524="",0,'3b-d Exposures'!Q524)</f>
        <v/>
      </c>
      <c r="M430" s="3">
        <f>IF('3b-d Exposures'!S524="",0,'3b-d Exposures'!S524)</f>
        <v/>
      </c>
      <c r="N430" s="3">
        <f>IF('3b-d Exposures'!Z524="",0,'3b-d Exposures'!Z524)</f>
        <v/>
      </c>
      <c r="O430" s="3">
        <f>$D430</f>
        <v/>
      </c>
      <c r="P430" s="3">
        <f>E430*$D430</f>
        <v/>
      </c>
      <c r="Q430" s="3">
        <f>F430*$D430</f>
        <v/>
      </c>
      <c r="R430" s="3">
        <f>G430*$D430</f>
        <v/>
      </c>
      <c r="S430" s="3">
        <f>H430*$D430</f>
        <v/>
      </c>
      <c r="T430" s="3">
        <f>I430*$D430</f>
        <v/>
      </c>
      <c r="U430" s="3">
        <f>J430*$D430</f>
        <v/>
      </c>
      <c r="V430" s="3">
        <f>K430*$D430</f>
        <v/>
      </c>
      <c r="W430" s="3">
        <f>L430*$D430</f>
        <v/>
      </c>
      <c r="X430" s="3">
        <f>M430*$D430</f>
        <v/>
      </c>
      <c r="Y430" s="3">
        <f>N430*$D430</f>
        <v/>
      </c>
      <c r="Z430" s="3">
        <f>C430*$D430</f>
        <v/>
      </c>
      <c r="AA430" s="9">
        <f>$L978+$K978*E430+$J978*F430+$I978*G430+$H978*H430+$G978*I430+$F978*J430+$E978*K430+$D978*L430+$C978*M430+$B978*N430</f>
        <v/>
      </c>
      <c r="AB430" s="9">
        <f>C430-AA430</f>
        <v/>
      </c>
      <c r="AC430" s="4">
        <f>AB430^2</f>
        <v/>
      </c>
    </row>
    <row r="431">
      <c r="A431" t="inlineStr">
        <is>
          <t>BBG000BT1ZY7</t>
        </is>
      </c>
      <c r="B431" t="inlineStr">
        <is>
          <t>hto</t>
        </is>
      </c>
      <c r="C431" s="9" t="n">
        <v>-0.009511698427241533</v>
      </c>
      <c r="D431" s="3">
        <f>EXP(0.25*'3b-d Exposures'!G525)</f>
        <v/>
      </c>
      <c r="E431" s="3">
        <f>IF('3b-d Exposures'!C525="",0,'3b-d Exposures'!C525)</f>
        <v/>
      </c>
      <c r="F431" s="3">
        <f>IF('3b-d Exposures'!E525="",0,'3b-d Exposures'!E525)</f>
        <v/>
      </c>
      <c r="G431" s="3">
        <f>IF('3b-d Exposures'!G525="",0,'3b-d Exposures'!G525)</f>
        <v/>
      </c>
      <c r="H431" s="3">
        <f>IF('3b-d Exposures'!I525="",0,'3b-d Exposures'!I525)</f>
        <v/>
      </c>
      <c r="I431" s="3">
        <f>IF('3b-d Exposures'!K525="",0,'3b-d Exposures'!K525)</f>
        <v/>
      </c>
      <c r="J431" s="3">
        <f>IF('3b-d Exposures'!M525="",0,'3b-d Exposures'!M525)</f>
        <v/>
      </c>
      <c r="K431" s="3">
        <f>IF('3b-d Exposures'!O525="",0,'3b-d Exposures'!O525)</f>
        <v/>
      </c>
      <c r="L431" s="3">
        <f>IF('3b-d Exposures'!Q525="",0,'3b-d Exposures'!Q525)</f>
        <v/>
      </c>
      <c r="M431" s="3">
        <f>IF('3b-d Exposures'!S525="",0,'3b-d Exposures'!S525)</f>
        <v/>
      </c>
      <c r="N431" s="3">
        <f>IF('3b-d Exposures'!Z525="",0,'3b-d Exposures'!Z525)</f>
        <v/>
      </c>
      <c r="O431" s="3">
        <f>$D431</f>
        <v/>
      </c>
      <c r="P431" s="3">
        <f>E431*$D431</f>
        <v/>
      </c>
      <c r="Q431" s="3">
        <f>F431*$D431</f>
        <v/>
      </c>
      <c r="R431" s="3">
        <f>G431*$D431</f>
        <v/>
      </c>
      <c r="S431" s="3">
        <f>H431*$D431</f>
        <v/>
      </c>
      <c r="T431" s="3">
        <f>I431*$D431</f>
        <v/>
      </c>
      <c r="U431" s="3">
        <f>J431*$D431</f>
        <v/>
      </c>
      <c r="V431" s="3">
        <f>K431*$D431</f>
        <v/>
      </c>
      <c r="W431" s="3">
        <f>L431*$D431</f>
        <v/>
      </c>
      <c r="X431" s="3">
        <f>M431*$D431</f>
        <v/>
      </c>
      <c r="Y431" s="3">
        <f>N431*$D431</f>
        <v/>
      </c>
      <c r="Z431" s="3">
        <f>C431*$D431</f>
        <v/>
      </c>
      <c r="AA431" s="9">
        <f>$L978+$K978*E431+$J978*F431+$I978*G431+$H978*H431+$G978*I431+$F978*J431+$E978*K431+$D978*L431+$C978*M431+$B978*N431</f>
        <v/>
      </c>
      <c r="AB431" s="9">
        <f>C431-AA431</f>
        <v/>
      </c>
      <c r="AC431" s="4">
        <f>AB431^2</f>
        <v/>
      </c>
    </row>
    <row r="432">
      <c r="A432" t="inlineStr">
        <is>
          <t>BBG011N57109</t>
        </is>
      </c>
      <c r="B432" t="inlineStr">
        <is>
          <t>htz</t>
        </is>
      </c>
      <c r="C432" s="9" t="n">
        <v>-0.04065046402457528</v>
      </c>
      <c r="D432" s="3">
        <f>EXP(0.25*'3b-d Exposures'!G526)</f>
        <v/>
      </c>
      <c r="E432" s="3">
        <f>IF('3b-d Exposures'!C526="",0,'3b-d Exposures'!C526)</f>
        <v/>
      </c>
      <c r="F432" s="3">
        <f>IF('3b-d Exposures'!E526="",0,'3b-d Exposures'!E526)</f>
        <v/>
      </c>
      <c r="G432" s="3">
        <f>IF('3b-d Exposures'!G526="",0,'3b-d Exposures'!G526)</f>
        <v/>
      </c>
      <c r="H432" s="3">
        <f>IF('3b-d Exposures'!I526="",0,'3b-d Exposures'!I526)</f>
        <v/>
      </c>
      <c r="I432" s="3">
        <f>IF('3b-d Exposures'!K526="",0,'3b-d Exposures'!K526)</f>
        <v/>
      </c>
      <c r="J432" s="3">
        <f>IF('3b-d Exposures'!M526="",0,'3b-d Exposures'!M526)</f>
        <v/>
      </c>
      <c r="K432" s="3">
        <f>IF('3b-d Exposures'!O526="",0,'3b-d Exposures'!O526)</f>
        <v/>
      </c>
      <c r="L432" s="3">
        <f>IF('3b-d Exposures'!Q526="",0,'3b-d Exposures'!Q526)</f>
        <v/>
      </c>
      <c r="M432" s="3">
        <f>IF('3b-d Exposures'!S526="",0,'3b-d Exposures'!S526)</f>
        <v/>
      </c>
      <c r="N432" s="3">
        <f>IF('3b-d Exposures'!Z526="",0,'3b-d Exposures'!Z526)</f>
        <v/>
      </c>
      <c r="O432" s="3">
        <f>$D432</f>
        <v/>
      </c>
      <c r="P432" s="3">
        <f>E432*$D432</f>
        <v/>
      </c>
      <c r="Q432" s="3">
        <f>F432*$D432</f>
        <v/>
      </c>
      <c r="R432" s="3">
        <f>G432*$D432</f>
        <v/>
      </c>
      <c r="S432" s="3">
        <f>H432*$D432</f>
        <v/>
      </c>
      <c r="T432" s="3">
        <f>I432*$D432</f>
        <v/>
      </c>
      <c r="U432" s="3">
        <f>J432*$D432</f>
        <v/>
      </c>
      <c r="V432" s="3">
        <f>K432*$D432</f>
        <v/>
      </c>
      <c r="W432" s="3">
        <f>L432*$D432</f>
        <v/>
      </c>
      <c r="X432" s="3">
        <f>M432*$D432</f>
        <v/>
      </c>
      <c r="Y432" s="3">
        <f>N432*$D432</f>
        <v/>
      </c>
      <c r="Z432" s="3">
        <f>C432*$D432</f>
        <v/>
      </c>
      <c r="AA432" s="9">
        <f>$L978+$K978*E432+$J978*F432+$I978*G432+$H978*H432+$G978*I432+$F978*J432+$E978*K432+$D978*L432+$C978*M432+$B978*N432</f>
        <v/>
      </c>
      <c r="AB432" s="9">
        <f>C432-AA432</f>
        <v/>
      </c>
      <c r="AC432" s="4">
        <f>AB432^2</f>
        <v/>
      </c>
    </row>
    <row r="433">
      <c r="A433" t="inlineStr">
        <is>
          <t>hubb</t>
        </is>
      </c>
      <c r="B433" t="inlineStr">
        <is>
          <t>hubb</t>
        </is>
      </c>
      <c r="C433" s="9" t="n">
        <v>-0.006216112940742535</v>
      </c>
      <c r="D433" s="3">
        <f>EXP(0.25*'3b-d Exposures'!G527)</f>
        <v/>
      </c>
      <c r="E433" s="3">
        <f>IF('3b-d Exposures'!C527="",0,'3b-d Exposures'!C527)</f>
        <v/>
      </c>
      <c r="F433" s="3">
        <f>IF('3b-d Exposures'!E527="",0,'3b-d Exposures'!E527)</f>
        <v/>
      </c>
      <c r="G433" s="3">
        <f>IF('3b-d Exposures'!G527="",0,'3b-d Exposures'!G527)</f>
        <v/>
      </c>
      <c r="H433" s="3">
        <f>IF('3b-d Exposures'!I527="",0,'3b-d Exposures'!I527)</f>
        <v/>
      </c>
      <c r="I433" s="3">
        <f>IF('3b-d Exposures'!K527="",0,'3b-d Exposures'!K527)</f>
        <v/>
      </c>
      <c r="J433" s="3">
        <f>IF('3b-d Exposures'!M527="",0,'3b-d Exposures'!M527)</f>
        <v/>
      </c>
      <c r="K433" s="3">
        <f>IF('3b-d Exposures'!O527="",0,'3b-d Exposures'!O527)</f>
        <v/>
      </c>
      <c r="L433" s="3">
        <f>IF('3b-d Exposures'!Q527="",0,'3b-d Exposures'!Q527)</f>
        <v/>
      </c>
      <c r="M433" s="3">
        <f>IF('3b-d Exposures'!S527="",0,'3b-d Exposures'!S527)</f>
        <v/>
      </c>
      <c r="N433" s="3">
        <f>IF('3b-d Exposures'!Z527="",0,'3b-d Exposures'!Z527)</f>
        <v/>
      </c>
      <c r="O433" s="3">
        <f>$D433</f>
        <v/>
      </c>
      <c r="P433" s="3">
        <f>E433*$D433</f>
        <v/>
      </c>
      <c r="Q433" s="3">
        <f>F433*$D433</f>
        <v/>
      </c>
      <c r="R433" s="3">
        <f>G433*$D433</f>
        <v/>
      </c>
      <c r="S433" s="3">
        <f>H433*$D433</f>
        <v/>
      </c>
      <c r="T433" s="3">
        <f>I433*$D433</f>
        <v/>
      </c>
      <c r="U433" s="3">
        <f>J433*$D433</f>
        <v/>
      </c>
      <c r="V433" s="3">
        <f>K433*$D433</f>
        <v/>
      </c>
      <c r="W433" s="3">
        <f>L433*$D433</f>
        <v/>
      </c>
      <c r="X433" s="3">
        <f>M433*$D433</f>
        <v/>
      </c>
      <c r="Y433" s="3">
        <f>N433*$D433</f>
        <v/>
      </c>
      <c r="Z433" s="3">
        <f>C433*$D433</f>
        <v/>
      </c>
      <c r="AA433" s="9">
        <f>$L978+$K978*E433+$J978*F433+$I978*G433+$H978*H433+$G978*I433+$F978*J433+$E978*K433+$D978*L433+$C978*M433+$B978*N433</f>
        <v/>
      </c>
      <c r="AB433" s="9">
        <f>C433-AA433</f>
        <v/>
      </c>
      <c r="AC433" s="4">
        <f>AB433^2</f>
        <v/>
      </c>
    </row>
    <row r="434">
      <c r="A434" t="inlineStr">
        <is>
          <t>BBG000N7MZ06</t>
        </is>
      </c>
      <c r="B434" t="inlineStr">
        <is>
          <t>hubs</t>
        </is>
      </c>
      <c r="C434" s="9" t="n">
        <v>0.003522694827684081</v>
      </c>
      <c r="D434" s="3">
        <f>EXP(0.25*'3b-d Exposures'!G528)</f>
        <v/>
      </c>
      <c r="E434" s="3">
        <f>IF('3b-d Exposures'!C528="",0,'3b-d Exposures'!C528)</f>
        <v/>
      </c>
      <c r="F434" s="3">
        <f>IF('3b-d Exposures'!E528="",0,'3b-d Exposures'!E528)</f>
        <v/>
      </c>
      <c r="G434" s="3">
        <f>IF('3b-d Exposures'!G528="",0,'3b-d Exposures'!G528)</f>
        <v/>
      </c>
      <c r="H434" s="3">
        <f>IF('3b-d Exposures'!I528="",0,'3b-d Exposures'!I528)</f>
        <v/>
      </c>
      <c r="I434" s="3">
        <f>IF('3b-d Exposures'!K528="",0,'3b-d Exposures'!K528)</f>
        <v/>
      </c>
      <c r="J434" s="3">
        <f>IF('3b-d Exposures'!M528="",0,'3b-d Exposures'!M528)</f>
        <v/>
      </c>
      <c r="K434" s="3">
        <f>IF('3b-d Exposures'!O528="",0,'3b-d Exposures'!O528)</f>
        <v/>
      </c>
      <c r="L434" s="3">
        <f>IF('3b-d Exposures'!Q528="",0,'3b-d Exposures'!Q528)</f>
        <v/>
      </c>
      <c r="M434" s="3">
        <f>IF('3b-d Exposures'!S528="",0,'3b-d Exposures'!S528)</f>
        <v/>
      </c>
      <c r="N434" s="3">
        <f>IF('3b-d Exposures'!Z528="",0,'3b-d Exposures'!Z528)</f>
        <v/>
      </c>
      <c r="O434" s="3">
        <f>$D434</f>
        <v/>
      </c>
      <c r="P434" s="3">
        <f>E434*$D434</f>
        <v/>
      </c>
      <c r="Q434" s="3">
        <f>F434*$D434</f>
        <v/>
      </c>
      <c r="R434" s="3">
        <f>G434*$D434</f>
        <v/>
      </c>
      <c r="S434" s="3">
        <f>H434*$D434</f>
        <v/>
      </c>
      <c r="T434" s="3">
        <f>I434*$D434</f>
        <v/>
      </c>
      <c r="U434" s="3">
        <f>J434*$D434</f>
        <v/>
      </c>
      <c r="V434" s="3">
        <f>K434*$D434</f>
        <v/>
      </c>
      <c r="W434" s="3">
        <f>L434*$D434</f>
        <v/>
      </c>
      <c r="X434" s="3">
        <f>M434*$D434</f>
        <v/>
      </c>
      <c r="Y434" s="3">
        <f>N434*$D434</f>
        <v/>
      </c>
      <c r="Z434" s="3">
        <f>C434*$D434</f>
        <v/>
      </c>
      <c r="AA434" s="9">
        <f>$L978+$K978*E434+$J978*F434+$I978*G434+$H978*H434+$G978*I434+$F978*J434+$E978*K434+$D978*L434+$C978*M434+$B978*N434</f>
        <v/>
      </c>
      <c r="AB434" s="9">
        <f>C434-AA434</f>
        <v/>
      </c>
      <c r="AC434" s="4">
        <f>AB434^2</f>
        <v/>
      </c>
    </row>
    <row r="435">
      <c r="A435" t="inlineStr">
        <is>
          <t>BBG000BLKK03</t>
        </is>
      </c>
      <c r="B435" t="inlineStr">
        <is>
          <t>hum</t>
        </is>
      </c>
      <c r="C435" s="9" t="n">
        <v>-0.01096567411453708</v>
      </c>
      <c r="D435" s="3">
        <f>EXP(0.25*'3b-d Exposures'!G529)</f>
        <v/>
      </c>
      <c r="E435" s="3">
        <f>IF('3b-d Exposures'!C529="",0,'3b-d Exposures'!C529)</f>
        <v/>
      </c>
      <c r="F435" s="3">
        <f>IF('3b-d Exposures'!E529="",0,'3b-d Exposures'!E529)</f>
        <v/>
      </c>
      <c r="G435" s="3">
        <f>IF('3b-d Exposures'!G529="",0,'3b-d Exposures'!G529)</f>
        <v/>
      </c>
      <c r="H435" s="3">
        <f>IF('3b-d Exposures'!I529="",0,'3b-d Exposures'!I529)</f>
        <v/>
      </c>
      <c r="I435" s="3">
        <f>IF('3b-d Exposures'!K529="",0,'3b-d Exposures'!K529)</f>
        <v/>
      </c>
      <c r="J435" s="3">
        <f>IF('3b-d Exposures'!M529="",0,'3b-d Exposures'!M529)</f>
        <v/>
      </c>
      <c r="K435" s="3">
        <f>IF('3b-d Exposures'!O529="",0,'3b-d Exposures'!O529)</f>
        <v/>
      </c>
      <c r="L435" s="3">
        <f>IF('3b-d Exposures'!Q529="",0,'3b-d Exposures'!Q529)</f>
        <v/>
      </c>
      <c r="M435" s="3">
        <f>IF('3b-d Exposures'!S529="",0,'3b-d Exposures'!S529)</f>
        <v/>
      </c>
      <c r="N435" s="3">
        <f>IF('3b-d Exposures'!Z529="",0,'3b-d Exposures'!Z529)</f>
        <v/>
      </c>
      <c r="O435" s="3">
        <f>$D435</f>
        <v/>
      </c>
      <c r="P435" s="3">
        <f>E435*$D435</f>
        <v/>
      </c>
      <c r="Q435" s="3">
        <f>F435*$D435</f>
        <v/>
      </c>
      <c r="R435" s="3">
        <f>G435*$D435</f>
        <v/>
      </c>
      <c r="S435" s="3">
        <f>H435*$D435</f>
        <v/>
      </c>
      <c r="T435" s="3">
        <f>I435*$D435</f>
        <v/>
      </c>
      <c r="U435" s="3">
        <f>J435*$D435</f>
        <v/>
      </c>
      <c r="V435" s="3">
        <f>K435*$D435</f>
        <v/>
      </c>
      <c r="W435" s="3">
        <f>L435*$D435</f>
        <v/>
      </c>
      <c r="X435" s="3">
        <f>M435*$D435</f>
        <v/>
      </c>
      <c r="Y435" s="3">
        <f>N435*$D435</f>
        <v/>
      </c>
      <c r="Z435" s="3">
        <f>C435*$D435</f>
        <v/>
      </c>
      <c r="AA435" s="9">
        <f>$L978+$K978*E435+$J978*F435+$I978*G435+$H978*H435+$G978*I435+$F978*J435+$E978*K435+$D978*L435+$C978*M435+$B978*N435</f>
        <v/>
      </c>
      <c r="AB435" s="9">
        <f>C435-AA435</f>
        <v/>
      </c>
      <c r="AC435" s="4">
        <f>AB435^2</f>
        <v/>
      </c>
    </row>
    <row r="436">
      <c r="A436" t="inlineStr">
        <is>
          <t>BBG000NS26Q8</t>
        </is>
      </c>
      <c r="B436" t="inlineStr">
        <is>
          <t>hun</t>
        </is>
      </c>
      <c r="C436" s="9" t="n">
        <v>0.009193037423027794</v>
      </c>
      <c r="D436" s="3">
        <f>EXP(0.25*'3b-d Exposures'!G530)</f>
        <v/>
      </c>
      <c r="E436" s="3">
        <f>IF('3b-d Exposures'!C530="",0,'3b-d Exposures'!C530)</f>
        <v/>
      </c>
      <c r="F436" s="3">
        <f>IF('3b-d Exposures'!E530="",0,'3b-d Exposures'!E530)</f>
        <v/>
      </c>
      <c r="G436" s="3">
        <f>IF('3b-d Exposures'!G530="",0,'3b-d Exposures'!G530)</f>
        <v/>
      </c>
      <c r="H436" s="3">
        <f>IF('3b-d Exposures'!I530="",0,'3b-d Exposures'!I530)</f>
        <v/>
      </c>
      <c r="I436" s="3">
        <f>IF('3b-d Exposures'!K530="",0,'3b-d Exposures'!K530)</f>
        <v/>
      </c>
      <c r="J436" s="3">
        <f>IF('3b-d Exposures'!M530="",0,'3b-d Exposures'!M530)</f>
        <v/>
      </c>
      <c r="K436" s="3">
        <f>IF('3b-d Exposures'!O530="",0,'3b-d Exposures'!O530)</f>
        <v/>
      </c>
      <c r="L436" s="3">
        <f>IF('3b-d Exposures'!Q530="",0,'3b-d Exposures'!Q530)</f>
        <v/>
      </c>
      <c r="M436" s="3">
        <f>IF('3b-d Exposures'!S530="",0,'3b-d Exposures'!S530)</f>
        <v/>
      </c>
      <c r="N436" s="3">
        <f>IF('3b-d Exposures'!Z530="",0,'3b-d Exposures'!Z530)</f>
        <v/>
      </c>
      <c r="O436" s="3">
        <f>$D436</f>
        <v/>
      </c>
      <c r="P436" s="3">
        <f>E436*$D436</f>
        <v/>
      </c>
      <c r="Q436" s="3">
        <f>F436*$D436</f>
        <v/>
      </c>
      <c r="R436" s="3">
        <f>G436*$D436</f>
        <v/>
      </c>
      <c r="S436" s="3">
        <f>H436*$D436</f>
        <v/>
      </c>
      <c r="T436" s="3">
        <f>I436*$D436</f>
        <v/>
      </c>
      <c r="U436" s="3">
        <f>J436*$D436</f>
        <v/>
      </c>
      <c r="V436" s="3">
        <f>K436*$D436</f>
        <v/>
      </c>
      <c r="W436" s="3">
        <f>L436*$D436</f>
        <v/>
      </c>
      <c r="X436" s="3">
        <f>M436*$D436</f>
        <v/>
      </c>
      <c r="Y436" s="3">
        <f>N436*$D436</f>
        <v/>
      </c>
      <c r="Z436" s="3">
        <f>C436*$D436</f>
        <v/>
      </c>
      <c r="AA436" s="9">
        <f>$L978+$K978*E436+$J978*F436+$I978*G436+$H978*H436+$G978*I436+$F978*J436+$E978*K436+$D978*L436+$C978*M436+$B978*N436</f>
        <v/>
      </c>
      <c r="AB436" s="9">
        <f>C436-AA436</f>
        <v/>
      </c>
      <c r="AC436" s="4">
        <f>AB436^2</f>
        <v/>
      </c>
    </row>
    <row r="437">
      <c r="A437" t="inlineStr">
        <is>
          <t>BBG000CBC7D8</t>
        </is>
      </c>
      <c r="B437" t="inlineStr">
        <is>
          <t>hwc</t>
        </is>
      </c>
      <c r="C437" s="9" t="n">
        <v>0.002357799671314886</v>
      </c>
      <c r="D437" s="3">
        <f>EXP(0.25*'3b-d Exposures'!G531)</f>
        <v/>
      </c>
      <c r="E437" s="3">
        <f>IF('3b-d Exposures'!C531="",0,'3b-d Exposures'!C531)</f>
        <v/>
      </c>
      <c r="F437" s="3">
        <f>IF('3b-d Exposures'!E531="",0,'3b-d Exposures'!E531)</f>
        <v/>
      </c>
      <c r="G437" s="3">
        <f>IF('3b-d Exposures'!G531="",0,'3b-d Exposures'!G531)</f>
        <v/>
      </c>
      <c r="H437" s="3">
        <f>IF('3b-d Exposures'!I531="",0,'3b-d Exposures'!I531)</f>
        <v/>
      </c>
      <c r="I437" s="3">
        <f>IF('3b-d Exposures'!K531="",0,'3b-d Exposures'!K531)</f>
        <v/>
      </c>
      <c r="J437" s="3">
        <f>IF('3b-d Exposures'!M531="",0,'3b-d Exposures'!M531)</f>
        <v/>
      </c>
      <c r="K437" s="3">
        <f>IF('3b-d Exposures'!O531="",0,'3b-d Exposures'!O531)</f>
        <v/>
      </c>
      <c r="L437" s="3">
        <f>IF('3b-d Exposures'!Q531="",0,'3b-d Exposures'!Q531)</f>
        <v/>
      </c>
      <c r="M437" s="3">
        <f>IF('3b-d Exposures'!S531="",0,'3b-d Exposures'!S531)</f>
        <v/>
      </c>
      <c r="N437" s="3">
        <f>IF('3b-d Exposures'!Z531="",0,'3b-d Exposures'!Z531)</f>
        <v/>
      </c>
      <c r="O437" s="3">
        <f>$D437</f>
        <v/>
      </c>
      <c r="P437" s="3">
        <f>E437*$D437</f>
        <v/>
      </c>
      <c r="Q437" s="3">
        <f>F437*$D437</f>
        <v/>
      </c>
      <c r="R437" s="3">
        <f>G437*$D437</f>
        <v/>
      </c>
      <c r="S437" s="3">
        <f>H437*$D437</f>
        <v/>
      </c>
      <c r="T437" s="3">
        <f>I437*$D437</f>
        <v/>
      </c>
      <c r="U437" s="3">
        <f>J437*$D437</f>
        <v/>
      </c>
      <c r="V437" s="3">
        <f>K437*$D437</f>
        <v/>
      </c>
      <c r="W437" s="3">
        <f>L437*$D437</f>
        <v/>
      </c>
      <c r="X437" s="3">
        <f>M437*$D437</f>
        <v/>
      </c>
      <c r="Y437" s="3">
        <f>N437*$D437</f>
        <v/>
      </c>
      <c r="Z437" s="3">
        <f>C437*$D437</f>
        <v/>
      </c>
      <c r="AA437" s="9">
        <f>$L978+$K978*E437+$J978*F437+$I978*G437+$H978*H437+$G978*I437+$F978*J437+$E978*K437+$D978*L437+$C978*M437+$B978*N437</f>
        <v/>
      </c>
      <c r="AB437" s="9">
        <f>C437-AA437</f>
        <v/>
      </c>
      <c r="AC437" s="4">
        <f>AB437^2</f>
        <v/>
      </c>
    </row>
    <row r="438">
      <c r="A438" t="inlineStr">
        <is>
          <t>hwm</t>
        </is>
      </c>
      <c r="B438" t="inlineStr">
        <is>
          <t>hwm</t>
        </is>
      </c>
      <c r="C438" s="9" t="n">
        <v>-0.005828588135831092</v>
      </c>
      <c r="D438" s="3">
        <f>EXP(0.25*'3b-d Exposures'!G532)</f>
        <v/>
      </c>
      <c r="E438" s="3">
        <f>IF('3b-d Exposures'!C532="",0,'3b-d Exposures'!C532)</f>
        <v/>
      </c>
      <c r="F438" s="3">
        <f>IF('3b-d Exposures'!E532="",0,'3b-d Exposures'!E532)</f>
        <v/>
      </c>
      <c r="G438" s="3">
        <f>IF('3b-d Exposures'!G532="",0,'3b-d Exposures'!G532)</f>
        <v/>
      </c>
      <c r="H438" s="3">
        <f>IF('3b-d Exposures'!I532="",0,'3b-d Exposures'!I532)</f>
        <v/>
      </c>
      <c r="I438" s="3">
        <f>IF('3b-d Exposures'!K532="",0,'3b-d Exposures'!K532)</f>
        <v/>
      </c>
      <c r="J438" s="3">
        <f>IF('3b-d Exposures'!M532="",0,'3b-d Exposures'!M532)</f>
        <v/>
      </c>
      <c r="K438" s="3">
        <f>IF('3b-d Exposures'!O532="",0,'3b-d Exposures'!O532)</f>
        <v/>
      </c>
      <c r="L438" s="3">
        <f>IF('3b-d Exposures'!Q532="",0,'3b-d Exposures'!Q532)</f>
        <v/>
      </c>
      <c r="M438" s="3">
        <f>IF('3b-d Exposures'!S532="",0,'3b-d Exposures'!S532)</f>
        <v/>
      </c>
      <c r="N438" s="3">
        <f>IF('3b-d Exposures'!Z532="",0,'3b-d Exposures'!Z532)</f>
        <v/>
      </c>
      <c r="O438" s="3">
        <f>$D438</f>
        <v/>
      </c>
      <c r="P438" s="3">
        <f>E438*$D438</f>
        <v/>
      </c>
      <c r="Q438" s="3">
        <f>F438*$D438</f>
        <v/>
      </c>
      <c r="R438" s="3">
        <f>G438*$D438</f>
        <v/>
      </c>
      <c r="S438" s="3">
        <f>H438*$D438</f>
        <v/>
      </c>
      <c r="T438" s="3">
        <f>I438*$D438</f>
        <v/>
      </c>
      <c r="U438" s="3">
        <f>J438*$D438</f>
        <v/>
      </c>
      <c r="V438" s="3">
        <f>K438*$D438</f>
        <v/>
      </c>
      <c r="W438" s="3">
        <f>L438*$D438</f>
        <v/>
      </c>
      <c r="X438" s="3">
        <f>M438*$D438</f>
        <v/>
      </c>
      <c r="Y438" s="3">
        <f>N438*$D438</f>
        <v/>
      </c>
      <c r="Z438" s="3">
        <f>C438*$D438</f>
        <v/>
      </c>
      <c r="AA438" s="9">
        <f>$L978+$K978*E438+$J978*F438+$I978*G438+$H978*H438+$G978*I438+$F978*J438+$E978*K438+$D978*L438+$C978*M438+$B978*N438</f>
        <v/>
      </c>
      <c r="AB438" s="9">
        <f>C438-AA438</f>
        <v/>
      </c>
      <c r="AC438" s="4">
        <f>AB438^2</f>
        <v/>
      </c>
    </row>
    <row r="439">
      <c r="A439" t="inlineStr">
        <is>
          <t>BBG000BLN9N0</t>
        </is>
      </c>
      <c r="B439" t="inlineStr">
        <is>
          <t>ibcp</t>
        </is>
      </c>
      <c r="C439" s="9" t="n">
        <v>0.004517504077400369</v>
      </c>
      <c r="D439" s="3">
        <f>EXP(0.25*'3b-d Exposures'!G533)</f>
        <v/>
      </c>
      <c r="E439" s="3">
        <f>IF('3b-d Exposures'!C533="",0,'3b-d Exposures'!C533)</f>
        <v/>
      </c>
      <c r="F439" s="3">
        <f>IF('3b-d Exposures'!E533="",0,'3b-d Exposures'!E533)</f>
        <v/>
      </c>
      <c r="G439" s="3">
        <f>IF('3b-d Exposures'!G533="",0,'3b-d Exposures'!G533)</f>
        <v/>
      </c>
      <c r="H439" s="3">
        <f>IF('3b-d Exposures'!I533="",0,'3b-d Exposures'!I533)</f>
        <v/>
      </c>
      <c r="I439" s="3">
        <f>IF('3b-d Exposures'!K533="",0,'3b-d Exposures'!K533)</f>
        <v/>
      </c>
      <c r="J439" s="3">
        <f>IF('3b-d Exposures'!M533="",0,'3b-d Exposures'!M533)</f>
        <v/>
      </c>
      <c r="K439" s="3">
        <f>IF('3b-d Exposures'!O533="",0,'3b-d Exposures'!O533)</f>
        <v/>
      </c>
      <c r="L439" s="3">
        <f>IF('3b-d Exposures'!Q533="",0,'3b-d Exposures'!Q533)</f>
        <v/>
      </c>
      <c r="M439" s="3">
        <f>IF('3b-d Exposures'!S533="",0,'3b-d Exposures'!S533)</f>
        <v/>
      </c>
      <c r="N439" s="3">
        <f>IF('3b-d Exposures'!Z533="",0,'3b-d Exposures'!Z533)</f>
        <v/>
      </c>
      <c r="O439" s="3">
        <f>$D439</f>
        <v/>
      </c>
      <c r="P439" s="3">
        <f>E439*$D439</f>
        <v/>
      </c>
      <c r="Q439" s="3">
        <f>F439*$D439</f>
        <v/>
      </c>
      <c r="R439" s="3">
        <f>G439*$D439</f>
        <v/>
      </c>
      <c r="S439" s="3">
        <f>H439*$D439</f>
        <v/>
      </c>
      <c r="T439" s="3">
        <f>I439*$D439</f>
        <v/>
      </c>
      <c r="U439" s="3">
        <f>J439*$D439</f>
        <v/>
      </c>
      <c r="V439" s="3">
        <f>K439*$D439</f>
        <v/>
      </c>
      <c r="W439" s="3">
        <f>L439*$D439</f>
        <v/>
      </c>
      <c r="X439" s="3">
        <f>M439*$D439</f>
        <v/>
      </c>
      <c r="Y439" s="3">
        <f>N439*$D439</f>
        <v/>
      </c>
      <c r="Z439" s="3">
        <f>C439*$D439</f>
        <v/>
      </c>
      <c r="AA439" s="9">
        <f>$L978+$K978*E439+$J978*F439+$I978*G439+$H978*H439+$G978*I439+$F978*J439+$E978*K439+$D978*L439+$C978*M439+$B978*N439</f>
        <v/>
      </c>
      <c r="AB439" s="9">
        <f>C439-AA439</f>
        <v/>
      </c>
      <c r="AC439" s="4">
        <f>AB439^2</f>
        <v/>
      </c>
    </row>
    <row r="440">
      <c r="A440" t="inlineStr">
        <is>
          <t>BBG000LV0836</t>
        </is>
      </c>
      <c r="B440" t="inlineStr">
        <is>
          <t>ibkr</t>
        </is>
      </c>
      <c r="C440" s="9" t="n">
        <v>-0.02831120119734098</v>
      </c>
      <c r="D440" s="3">
        <f>EXP(0.25*'3b-d Exposures'!G534)</f>
        <v/>
      </c>
      <c r="E440" s="3">
        <f>IF('3b-d Exposures'!C534="",0,'3b-d Exposures'!C534)</f>
        <v/>
      </c>
      <c r="F440" s="3">
        <f>IF('3b-d Exposures'!E534="",0,'3b-d Exposures'!E534)</f>
        <v/>
      </c>
      <c r="G440" s="3">
        <f>IF('3b-d Exposures'!G534="",0,'3b-d Exposures'!G534)</f>
        <v/>
      </c>
      <c r="H440" s="3">
        <f>IF('3b-d Exposures'!I534="",0,'3b-d Exposures'!I534)</f>
        <v/>
      </c>
      <c r="I440" s="3">
        <f>IF('3b-d Exposures'!K534="",0,'3b-d Exposures'!K534)</f>
        <v/>
      </c>
      <c r="J440" s="3">
        <f>IF('3b-d Exposures'!M534="",0,'3b-d Exposures'!M534)</f>
        <v/>
      </c>
      <c r="K440" s="3">
        <f>IF('3b-d Exposures'!O534="",0,'3b-d Exposures'!O534)</f>
        <v/>
      </c>
      <c r="L440" s="3">
        <f>IF('3b-d Exposures'!Q534="",0,'3b-d Exposures'!Q534)</f>
        <v/>
      </c>
      <c r="M440" s="3">
        <f>IF('3b-d Exposures'!S534="",0,'3b-d Exposures'!S534)</f>
        <v/>
      </c>
      <c r="N440" s="3">
        <f>IF('3b-d Exposures'!Z534="",0,'3b-d Exposures'!Z534)</f>
        <v/>
      </c>
      <c r="O440" s="3">
        <f>$D440</f>
        <v/>
      </c>
      <c r="P440" s="3">
        <f>E440*$D440</f>
        <v/>
      </c>
      <c r="Q440" s="3">
        <f>F440*$D440</f>
        <v/>
      </c>
      <c r="R440" s="3">
        <f>G440*$D440</f>
        <v/>
      </c>
      <c r="S440" s="3">
        <f>H440*$D440</f>
        <v/>
      </c>
      <c r="T440" s="3">
        <f>I440*$D440</f>
        <v/>
      </c>
      <c r="U440" s="3">
        <f>J440*$D440</f>
        <v/>
      </c>
      <c r="V440" s="3">
        <f>K440*$D440</f>
        <v/>
      </c>
      <c r="W440" s="3">
        <f>L440*$D440</f>
        <v/>
      </c>
      <c r="X440" s="3">
        <f>M440*$D440</f>
        <v/>
      </c>
      <c r="Y440" s="3">
        <f>N440*$D440</f>
        <v/>
      </c>
      <c r="Z440" s="3">
        <f>C440*$D440</f>
        <v/>
      </c>
      <c r="AA440" s="9">
        <f>$L978+$K978*E440+$J978*F440+$I978*G440+$H978*H440+$G978*I440+$F978*J440+$E978*K440+$D978*L440+$C978*M440+$B978*N440</f>
        <v/>
      </c>
      <c r="AB440" s="9">
        <f>C440-AA440</f>
        <v/>
      </c>
      <c r="AC440" s="4">
        <f>AB440^2</f>
        <v/>
      </c>
    </row>
    <row r="441">
      <c r="A441" t="inlineStr">
        <is>
          <t>BBG000BLNNH6</t>
        </is>
      </c>
      <c r="B441" t="inlineStr">
        <is>
          <t>ibm</t>
        </is>
      </c>
      <c r="C441" s="9" t="n">
        <v>-8.800396478081396e-05</v>
      </c>
      <c r="D441" s="3">
        <f>EXP(0.25*'3b-d Exposures'!G535)</f>
        <v/>
      </c>
      <c r="E441" s="3">
        <f>IF('3b-d Exposures'!C535="",0,'3b-d Exposures'!C535)</f>
        <v/>
      </c>
      <c r="F441" s="3">
        <f>IF('3b-d Exposures'!E535="",0,'3b-d Exposures'!E535)</f>
        <v/>
      </c>
      <c r="G441" s="3">
        <f>IF('3b-d Exposures'!G535="",0,'3b-d Exposures'!G535)</f>
        <v/>
      </c>
      <c r="H441" s="3">
        <f>IF('3b-d Exposures'!I535="",0,'3b-d Exposures'!I535)</f>
        <v/>
      </c>
      <c r="I441" s="3">
        <f>IF('3b-d Exposures'!K535="",0,'3b-d Exposures'!K535)</f>
        <v/>
      </c>
      <c r="J441" s="3">
        <f>IF('3b-d Exposures'!M535="",0,'3b-d Exposures'!M535)</f>
        <v/>
      </c>
      <c r="K441" s="3">
        <f>IF('3b-d Exposures'!O535="",0,'3b-d Exposures'!O535)</f>
        <v/>
      </c>
      <c r="L441" s="3">
        <f>IF('3b-d Exposures'!Q535="",0,'3b-d Exposures'!Q535)</f>
        <v/>
      </c>
      <c r="M441" s="3">
        <f>IF('3b-d Exposures'!S535="",0,'3b-d Exposures'!S535)</f>
        <v/>
      </c>
      <c r="N441" s="3">
        <f>IF('3b-d Exposures'!Z535="",0,'3b-d Exposures'!Z535)</f>
        <v/>
      </c>
      <c r="O441" s="3">
        <f>$D441</f>
        <v/>
      </c>
      <c r="P441" s="3">
        <f>E441*$D441</f>
        <v/>
      </c>
      <c r="Q441" s="3">
        <f>F441*$D441</f>
        <v/>
      </c>
      <c r="R441" s="3">
        <f>G441*$D441</f>
        <v/>
      </c>
      <c r="S441" s="3">
        <f>H441*$D441</f>
        <v/>
      </c>
      <c r="T441" s="3">
        <f>I441*$D441</f>
        <v/>
      </c>
      <c r="U441" s="3">
        <f>J441*$D441</f>
        <v/>
      </c>
      <c r="V441" s="3">
        <f>K441*$D441</f>
        <v/>
      </c>
      <c r="W441" s="3">
        <f>L441*$D441</f>
        <v/>
      </c>
      <c r="X441" s="3">
        <f>M441*$D441</f>
        <v/>
      </c>
      <c r="Y441" s="3">
        <f>N441*$D441</f>
        <v/>
      </c>
      <c r="Z441" s="3">
        <f>C441*$D441</f>
        <v/>
      </c>
      <c r="AA441" s="9">
        <f>$L978+$K978*E441+$J978*F441+$I978*G441+$H978*H441+$G978*I441+$F978*J441+$E978*K441+$D978*L441+$C978*M441+$B978*N441</f>
        <v/>
      </c>
      <c r="AB441" s="9">
        <f>C441-AA441</f>
        <v/>
      </c>
      <c r="AC441" s="4">
        <f>AB441^2</f>
        <v/>
      </c>
    </row>
    <row r="442">
      <c r="A442" t="inlineStr">
        <is>
          <t>BBG000C1FB75</t>
        </is>
      </c>
      <c r="B442" t="inlineStr">
        <is>
          <t>ice</t>
        </is>
      </c>
      <c r="C442" s="9" t="n">
        <v>-0.01658796864213719</v>
      </c>
      <c r="D442" s="3">
        <f>EXP(0.25*'3b-d Exposures'!G537)</f>
        <v/>
      </c>
      <c r="E442" s="3">
        <f>IF('3b-d Exposures'!C537="",0,'3b-d Exposures'!C537)</f>
        <v/>
      </c>
      <c r="F442" s="3">
        <f>IF('3b-d Exposures'!E537="",0,'3b-d Exposures'!E537)</f>
        <v/>
      </c>
      <c r="G442" s="3">
        <f>IF('3b-d Exposures'!G537="",0,'3b-d Exposures'!G537)</f>
        <v/>
      </c>
      <c r="H442" s="3">
        <f>IF('3b-d Exposures'!I537="",0,'3b-d Exposures'!I537)</f>
        <v/>
      </c>
      <c r="I442" s="3">
        <f>IF('3b-d Exposures'!K537="",0,'3b-d Exposures'!K537)</f>
        <v/>
      </c>
      <c r="J442" s="3">
        <f>IF('3b-d Exposures'!M537="",0,'3b-d Exposures'!M537)</f>
        <v/>
      </c>
      <c r="K442" s="3">
        <f>IF('3b-d Exposures'!O537="",0,'3b-d Exposures'!O537)</f>
        <v/>
      </c>
      <c r="L442" s="3">
        <f>IF('3b-d Exposures'!Q537="",0,'3b-d Exposures'!Q537)</f>
        <v/>
      </c>
      <c r="M442" s="3">
        <f>IF('3b-d Exposures'!S537="",0,'3b-d Exposures'!S537)</f>
        <v/>
      </c>
      <c r="N442" s="3">
        <f>IF('3b-d Exposures'!Z537="",0,'3b-d Exposures'!Z537)</f>
        <v/>
      </c>
      <c r="O442" s="3">
        <f>$D442</f>
        <v/>
      </c>
      <c r="P442" s="3">
        <f>E442*$D442</f>
        <v/>
      </c>
      <c r="Q442" s="3">
        <f>F442*$D442</f>
        <v/>
      </c>
      <c r="R442" s="3">
        <f>G442*$D442</f>
        <v/>
      </c>
      <c r="S442" s="3">
        <f>H442*$D442</f>
        <v/>
      </c>
      <c r="T442" s="3">
        <f>I442*$D442</f>
        <v/>
      </c>
      <c r="U442" s="3">
        <f>J442*$D442</f>
        <v/>
      </c>
      <c r="V442" s="3">
        <f>K442*$D442</f>
        <v/>
      </c>
      <c r="W442" s="3">
        <f>L442*$D442</f>
        <v/>
      </c>
      <c r="X442" s="3">
        <f>M442*$D442</f>
        <v/>
      </c>
      <c r="Y442" s="3">
        <f>N442*$D442</f>
        <v/>
      </c>
      <c r="Z442" s="3">
        <f>C442*$D442</f>
        <v/>
      </c>
      <c r="AA442" s="9">
        <f>$L978+$K978*E442+$J978*F442+$I978*G442+$H978*H442+$G978*I442+$F978*J442+$E978*K442+$D978*L442+$C978*M442+$B978*N442</f>
        <v/>
      </c>
      <c r="AB442" s="9">
        <f>C442-AA442</f>
        <v/>
      </c>
      <c r="AC442" s="4">
        <f>AB442^2</f>
        <v/>
      </c>
    </row>
    <row r="443">
      <c r="A443" t="inlineStr">
        <is>
          <t>BBG000BLR3Y7</t>
        </is>
      </c>
      <c r="B443" t="inlineStr">
        <is>
          <t>ida</t>
        </is>
      </c>
      <c r="C443" s="9" t="n">
        <v>-0.01342129032782036</v>
      </c>
      <c r="D443" s="3">
        <f>EXP(0.25*'3b-d Exposures'!G538)</f>
        <v/>
      </c>
      <c r="E443" s="3">
        <f>IF('3b-d Exposures'!C538="",0,'3b-d Exposures'!C538)</f>
        <v/>
      </c>
      <c r="F443" s="3">
        <f>IF('3b-d Exposures'!E538="",0,'3b-d Exposures'!E538)</f>
        <v/>
      </c>
      <c r="G443" s="3">
        <f>IF('3b-d Exposures'!G538="",0,'3b-d Exposures'!G538)</f>
        <v/>
      </c>
      <c r="H443" s="3">
        <f>IF('3b-d Exposures'!I538="",0,'3b-d Exposures'!I538)</f>
        <v/>
      </c>
      <c r="I443" s="3">
        <f>IF('3b-d Exposures'!K538="",0,'3b-d Exposures'!K538)</f>
        <v/>
      </c>
      <c r="J443" s="3">
        <f>IF('3b-d Exposures'!M538="",0,'3b-d Exposures'!M538)</f>
        <v/>
      </c>
      <c r="K443" s="3">
        <f>IF('3b-d Exposures'!O538="",0,'3b-d Exposures'!O538)</f>
        <v/>
      </c>
      <c r="L443" s="3">
        <f>IF('3b-d Exposures'!Q538="",0,'3b-d Exposures'!Q538)</f>
        <v/>
      </c>
      <c r="M443" s="3">
        <f>IF('3b-d Exposures'!S538="",0,'3b-d Exposures'!S538)</f>
        <v/>
      </c>
      <c r="N443" s="3">
        <f>IF('3b-d Exposures'!Z538="",0,'3b-d Exposures'!Z538)</f>
        <v/>
      </c>
      <c r="O443" s="3">
        <f>$D443</f>
        <v/>
      </c>
      <c r="P443" s="3">
        <f>E443*$D443</f>
        <v/>
      </c>
      <c r="Q443" s="3">
        <f>F443*$D443</f>
        <v/>
      </c>
      <c r="R443" s="3">
        <f>G443*$D443</f>
        <v/>
      </c>
      <c r="S443" s="3">
        <f>H443*$D443</f>
        <v/>
      </c>
      <c r="T443" s="3">
        <f>I443*$D443</f>
        <v/>
      </c>
      <c r="U443" s="3">
        <f>J443*$D443</f>
        <v/>
      </c>
      <c r="V443" s="3">
        <f>K443*$D443</f>
        <v/>
      </c>
      <c r="W443" s="3">
        <f>L443*$D443</f>
        <v/>
      </c>
      <c r="X443" s="3">
        <f>M443*$D443</f>
        <v/>
      </c>
      <c r="Y443" s="3">
        <f>N443*$D443</f>
        <v/>
      </c>
      <c r="Z443" s="3">
        <f>C443*$D443</f>
        <v/>
      </c>
      <c r="AA443" s="9">
        <f>$L978+$K978*E443+$J978*F443+$I978*G443+$H978*H443+$G978*I443+$F978*J443+$E978*K443+$D978*L443+$C978*M443+$B978*N443</f>
        <v/>
      </c>
      <c r="AB443" s="9">
        <f>C443-AA443</f>
        <v/>
      </c>
      <c r="AC443" s="4">
        <f>AB443^2</f>
        <v/>
      </c>
    </row>
    <row r="444">
      <c r="A444" t="inlineStr">
        <is>
          <t>BBG000BLRT07</t>
        </is>
      </c>
      <c r="B444" t="inlineStr">
        <is>
          <t>idxx</t>
        </is>
      </c>
      <c r="C444" s="9" t="n">
        <v>0.02138705160325283</v>
      </c>
      <c r="D444" s="3">
        <f>EXP(0.25*'3b-d Exposures'!G539)</f>
        <v/>
      </c>
      <c r="E444" s="3">
        <f>IF('3b-d Exposures'!C539="",0,'3b-d Exposures'!C539)</f>
        <v/>
      </c>
      <c r="F444" s="3">
        <f>IF('3b-d Exposures'!E539="",0,'3b-d Exposures'!E539)</f>
        <v/>
      </c>
      <c r="G444" s="3">
        <f>IF('3b-d Exposures'!G539="",0,'3b-d Exposures'!G539)</f>
        <v/>
      </c>
      <c r="H444" s="3">
        <f>IF('3b-d Exposures'!I539="",0,'3b-d Exposures'!I539)</f>
        <v/>
      </c>
      <c r="I444" s="3">
        <f>IF('3b-d Exposures'!K539="",0,'3b-d Exposures'!K539)</f>
        <v/>
      </c>
      <c r="J444" s="3">
        <f>IF('3b-d Exposures'!M539="",0,'3b-d Exposures'!M539)</f>
        <v/>
      </c>
      <c r="K444" s="3">
        <f>IF('3b-d Exposures'!O539="",0,'3b-d Exposures'!O539)</f>
        <v/>
      </c>
      <c r="L444" s="3">
        <f>IF('3b-d Exposures'!Q539="",0,'3b-d Exposures'!Q539)</f>
        <v/>
      </c>
      <c r="M444" s="3">
        <f>IF('3b-d Exposures'!S539="",0,'3b-d Exposures'!S539)</f>
        <v/>
      </c>
      <c r="N444" s="3">
        <f>IF('3b-d Exposures'!Z539="",0,'3b-d Exposures'!Z539)</f>
        <v/>
      </c>
      <c r="O444" s="3">
        <f>$D444</f>
        <v/>
      </c>
      <c r="P444" s="3">
        <f>E444*$D444</f>
        <v/>
      </c>
      <c r="Q444" s="3">
        <f>F444*$D444</f>
        <v/>
      </c>
      <c r="R444" s="3">
        <f>G444*$D444</f>
        <v/>
      </c>
      <c r="S444" s="3">
        <f>H444*$D444</f>
        <v/>
      </c>
      <c r="T444" s="3">
        <f>I444*$D444</f>
        <v/>
      </c>
      <c r="U444" s="3">
        <f>J444*$D444</f>
        <v/>
      </c>
      <c r="V444" s="3">
        <f>K444*$D444</f>
        <v/>
      </c>
      <c r="W444" s="3">
        <f>L444*$D444</f>
        <v/>
      </c>
      <c r="X444" s="3">
        <f>M444*$D444</f>
        <v/>
      </c>
      <c r="Y444" s="3">
        <f>N444*$D444</f>
        <v/>
      </c>
      <c r="Z444" s="3">
        <f>C444*$D444</f>
        <v/>
      </c>
      <c r="AA444" s="9">
        <f>$L978+$K978*E444+$J978*F444+$I978*G444+$H978*H444+$G978*I444+$F978*J444+$E978*K444+$D978*L444+$C978*M444+$B978*N444</f>
        <v/>
      </c>
      <c r="AB444" s="9">
        <f>C444-AA444</f>
        <v/>
      </c>
      <c r="AC444" s="4">
        <f>AB444^2</f>
        <v/>
      </c>
    </row>
    <row r="445">
      <c r="A445" t="inlineStr">
        <is>
          <t>BBG000C1HN22</t>
        </is>
      </c>
      <c r="B445" t="inlineStr">
        <is>
          <t>iex</t>
        </is>
      </c>
      <c r="C445" s="9" t="n">
        <v>0.005116346466851995</v>
      </c>
      <c r="D445" s="3">
        <f>EXP(0.25*'3b-d Exposures'!G540)</f>
        <v/>
      </c>
      <c r="E445" s="3">
        <f>IF('3b-d Exposures'!C540="",0,'3b-d Exposures'!C540)</f>
        <v/>
      </c>
      <c r="F445" s="3">
        <f>IF('3b-d Exposures'!E540="",0,'3b-d Exposures'!E540)</f>
        <v/>
      </c>
      <c r="G445" s="3">
        <f>IF('3b-d Exposures'!G540="",0,'3b-d Exposures'!G540)</f>
        <v/>
      </c>
      <c r="H445" s="3">
        <f>IF('3b-d Exposures'!I540="",0,'3b-d Exposures'!I540)</f>
        <v/>
      </c>
      <c r="I445" s="3">
        <f>IF('3b-d Exposures'!K540="",0,'3b-d Exposures'!K540)</f>
        <v/>
      </c>
      <c r="J445" s="3">
        <f>IF('3b-d Exposures'!M540="",0,'3b-d Exposures'!M540)</f>
        <v/>
      </c>
      <c r="K445" s="3">
        <f>IF('3b-d Exposures'!O540="",0,'3b-d Exposures'!O540)</f>
        <v/>
      </c>
      <c r="L445" s="3">
        <f>IF('3b-d Exposures'!Q540="",0,'3b-d Exposures'!Q540)</f>
        <v/>
      </c>
      <c r="M445" s="3">
        <f>IF('3b-d Exposures'!S540="",0,'3b-d Exposures'!S540)</f>
        <v/>
      </c>
      <c r="N445" s="3">
        <f>IF('3b-d Exposures'!Z540="",0,'3b-d Exposures'!Z540)</f>
        <v/>
      </c>
      <c r="O445" s="3">
        <f>$D445</f>
        <v/>
      </c>
      <c r="P445" s="3">
        <f>E445*$D445</f>
        <v/>
      </c>
      <c r="Q445" s="3">
        <f>F445*$D445</f>
        <v/>
      </c>
      <c r="R445" s="3">
        <f>G445*$D445</f>
        <v/>
      </c>
      <c r="S445" s="3">
        <f>H445*$D445</f>
        <v/>
      </c>
      <c r="T445" s="3">
        <f>I445*$D445</f>
        <v/>
      </c>
      <c r="U445" s="3">
        <f>J445*$D445</f>
        <v/>
      </c>
      <c r="V445" s="3">
        <f>K445*$D445</f>
        <v/>
      </c>
      <c r="W445" s="3">
        <f>L445*$D445</f>
        <v/>
      </c>
      <c r="X445" s="3">
        <f>M445*$D445</f>
        <v/>
      </c>
      <c r="Y445" s="3">
        <f>N445*$D445</f>
        <v/>
      </c>
      <c r="Z445" s="3">
        <f>C445*$D445</f>
        <v/>
      </c>
      <c r="AA445" s="9">
        <f>$L978+$K978*E445+$J978*F445+$I978*G445+$H978*H445+$G978*I445+$F978*J445+$E978*K445+$D978*L445+$C978*M445+$B978*N445</f>
        <v/>
      </c>
      <c r="AB445" s="9">
        <f>C445-AA445</f>
        <v/>
      </c>
      <c r="AC445" s="4">
        <f>AB445^2</f>
        <v/>
      </c>
    </row>
    <row r="446">
      <c r="A446" t="inlineStr">
        <is>
          <t>BBG000BLSL58</t>
        </is>
      </c>
      <c r="B446" t="inlineStr">
        <is>
          <t>iff</t>
        </is>
      </c>
      <c r="C446" s="9" t="n">
        <v>-0.0009853060874780439</v>
      </c>
      <c r="D446" s="3">
        <f>EXP(0.25*'3b-d Exposures'!G541)</f>
        <v/>
      </c>
      <c r="E446" s="3">
        <f>IF('3b-d Exposures'!C541="",0,'3b-d Exposures'!C541)</f>
        <v/>
      </c>
      <c r="F446" s="3">
        <f>IF('3b-d Exposures'!E541="",0,'3b-d Exposures'!E541)</f>
        <v/>
      </c>
      <c r="G446" s="3">
        <f>IF('3b-d Exposures'!G541="",0,'3b-d Exposures'!G541)</f>
        <v/>
      </c>
      <c r="H446" s="3">
        <f>IF('3b-d Exposures'!I541="",0,'3b-d Exposures'!I541)</f>
        <v/>
      </c>
      <c r="I446" s="3">
        <f>IF('3b-d Exposures'!K541="",0,'3b-d Exposures'!K541)</f>
        <v/>
      </c>
      <c r="J446" s="3">
        <f>IF('3b-d Exposures'!M541="",0,'3b-d Exposures'!M541)</f>
        <v/>
      </c>
      <c r="K446" s="3">
        <f>IF('3b-d Exposures'!O541="",0,'3b-d Exposures'!O541)</f>
        <v/>
      </c>
      <c r="L446" s="3">
        <f>IF('3b-d Exposures'!Q541="",0,'3b-d Exposures'!Q541)</f>
        <v/>
      </c>
      <c r="M446" s="3">
        <f>IF('3b-d Exposures'!S541="",0,'3b-d Exposures'!S541)</f>
        <v/>
      </c>
      <c r="N446" s="3">
        <f>IF('3b-d Exposures'!Z541="",0,'3b-d Exposures'!Z541)</f>
        <v/>
      </c>
      <c r="O446" s="3">
        <f>$D446</f>
        <v/>
      </c>
      <c r="P446" s="3">
        <f>E446*$D446</f>
        <v/>
      </c>
      <c r="Q446" s="3">
        <f>F446*$D446</f>
        <v/>
      </c>
      <c r="R446" s="3">
        <f>G446*$D446</f>
        <v/>
      </c>
      <c r="S446" s="3">
        <f>H446*$D446</f>
        <v/>
      </c>
      <c r="T446" s="3">
        <f>I446*$D446</f>
        <v/>
      </c>
      <c r="U446" s="3">
        <f>J446*$D446</f>
        <v/>
      </c>
      <c r="V446" s="3">
        <f>K446*$D446</f>
        <v/>
      </c>
      <c r="W446" s="3">
        <f>L446*$D446</f>
        <v/>
      </c>
      <c r="X446" s="3">
        <f>M446*$D446</f>
        <v/>
      </c>
      <c r="Y446" s="3">
        <f>N446*$D446</f>
        <v/>
      </c>
      <c r="Z446" s="3">
        <f>C446*$D446</f>
        <v/>
      </c>
      <c r="AA446" s="9">
        <f>$L978+$K978*E446+$J978*F446+$I978*G446+$H978*H446+$G978*I446+$F978*J446+$E978*K446+$D978*L446+$C978*M446+$B978*N446</f>
        <v/>
      </c>
      <c r="AB446" s="9">
        <f>C446-AA446</f>
        <v/>
      </c>
      <c r="AC446" s="4">
        <f>AB446^2</f>
        <v/>
      </c>
    </row>
    <row r="447">
      <c r="A447" t="inlineStr">
        <is>
          <t>BBG000Q218R8</t>
        </is>
      </c>
      <c r="B447" t="inlineStr">
        <is>
          <t>iii</t>
        </is>
      </c>
      <c r="C447" s="9" t="n">
        <v>0.02981022770980202</v>
      </c>
      <c r="D447" s="3">
        <f>EXP(0.25*'3b-d Exposures'!G542)</f>
        <v/>
      </c>
      <c r="E447" s="3">
        <f>IF('3b-d Exposures'!C542="",0,'3b-d Exposures'!C542)</f>
        <v/>
      </c>
      <c r="F447" s="3">
        <f>IF('3b-d Exposures'!E542="",0,'3b-d Exposures'!E542)</f>
        <v/>
      </c>
      <c r="G447" s="3">
        <f>IF('3b-d Exposures'!G542="",0,'3b-d Exposures'!G542)</f>
        <v/>
      </c>
      <c r="H447" s="3">
        <f>IF('3b-d Exposures'!I542="",0,'3b-d Exposures'!I542)</f>
        <v/>
      </c>
      <c r="I447" s="3">
        <f>IF('3b-d Exposures'!K542="",0,'3b-d Exposures'!K542)</f>
        <v/>
      </c>
      <c r="J447" s="3">
        <f>IF('3b-d Exposures'!M542="",0,'3b-d Exposures'!M542)</f>
        <v/>
      </c>
      <c r="K447" s="3">
        <f>IF('3b-d Exposures'!O542="",0,'3b-d Exposures'!O542)</f>
        <v/>
      </c>
      <c r="L447" s="3">
        <f>IF('3b-d Exposures'!Q542="",0,'3b-d Exposures'!Q542)</f>
        <v/>
      </c>
      <c r="M447" s="3">
        <f>IF('3b-d Exposures'!S542="",0,'3b-d Exposures'!S542)</f>
        <v/>
      </c>
      <c r="N447" s="3">
        <f>IF('3b-d Exposures'!Z542="",0,'3b-d Exposures'!Z542)</f>
        <v/>
      </c>
      <c r="O447" s="3">
        <f>$D447</f>
        <v/>
      </c>
      <c r="P447" s="3">
        <f>E447*$D447</f>
        <v/>
      </c>
      <c r="Q447" s="3">
        <f>F447*$D447</f>
        <v/>
      </c>
      <c r="R447" s="3">
        <f>G447*$D447</f>
        <v/>
      </c>
      <c r="S447" s="3">
        <f>H447*$D447</f>
        <v/>
      </c>
      <c r="T447" s="3">
        <f>I447*$D447</f>
        <v/>
      </c>
      <c r="U447" s="3">
        <f>J447*$D447</f>
        <v/>
      </c>
      <c r="V447" s="3">
        <f>K447*$D447</f>
        <v/>
      </c>
      <c r="W447" s="3">
        <f>L447*$D447</f>
        <v/>
      </c>
      <c r="X447" s="3">
        <f>M447*$D447</f>
        <v/>
      </c>
      <c r="Y447" s="3">
        <f>N447*$D447</f>
        <v/>
      </c>
      <c r="Z447" s="3">
        <f>C447*$D447</f>
        <v/>
      </c>
      <c r="AA447" s="9">
        <f>$L978+$K978*E447+$J978*F447+$I978*G447+$H978*H447+$G978*I447+$F978*J447+$E978*K447+$D978*L447+$C978*M447+$B978*N447</f>
        <v/>
      </c>
      <c r="AB447" s="9">
        <f>C447-AA447</f>
        <v/>
      </c>
      <c r="AC447" s="4">
        <f>AB447^2</f>
        <v/>
      </c>
    </row>
    <row r="448">
      <c r="A448" t="inlineStr">
        <is>
          <t>BBG000DSMS70</t>
        </is>
      </c>
      <c r="B448" t="inlineStr">
        <is>
          <t>ilmn</t>
        </is>
      </c>
      <c r="C448" s="9" t="n">
        <v>0.006937218469243334</v>
      </c>
      <c r="D448" s="3">
        <f>EXP(0.25*'3b-d Exposures'!G543)</f>
        <v/>
      </c>
      <c r="E448" s="3">
        <f>IF('3b-d Exposures'!C543="",0,'3b-d Exposures'!C543)</f>
        <v/>
      </c>
      <c r="F448" s="3">
        <f>IF('3b-d Exposures'!E543="",0,'3b-d Exposures'!E543)</f>
        <v/>
      </c>
      <c r="G448" s="3">
        <f>IF('3b-d Exposures'!G543="",0,'3b-d Exposures'!G543)</f>
        <v/>
      </c>
      <c r="H448" s="3">
        <f>IF('3b-d Exposures'!I543="",0,'3b-d Exposures'!I543)</f>
        <v/>
      </c>
      <c r="I448" s="3">
        <f>IF('3b-d Exposures'!K543="",0,'3b-d Exposures'!K543)</f>
        <v/>
      </c>
      <c r="J448" s="3">
        <f>IF('3b-d Exposures'!M543="",0,'3b-d Exposures'!M543)</f>
        <v/>
      </c>
      <c r="K448" s="3">
        <f>IF('3b-d Exposures'!O543="",0,'3b-d Exposures'!O543)</f>
        <v/>
      </c>
      <c r="L448" s="3">
        <f>IF('3b-d Exposures'!Q543="",0,'3b-d Exposures'!Q543)</f>
        <v/>
      </c>
      <c r="M448" s="3">
        <f>IF('3b-d Exposures'!S543="",0,'3b-d Exposures'!S543)</f>
        <v/>
      </c>
      <c r="N448" s="3">
        <f>IF('3b-d Exposures'!Z543="",0,'3b-d Exposures'!Z543)</f>
        <v/>
      </c>
      <c r="O448" s="3">
        <f>$D448</f>
        <v/>
      </c>
      <c r="P448" s="3">
        <f>E448*$D448</f>
        <v/>
      </c>
      <c r="Q448" s="3">
        <f>F448*$D448</f>
        <v/>
      </c>
      <c r="R448" s="3">
        <f>G448*$D448</f>
        <v/>
      </c>
      <c r="S448" s="3">
        <f>H448*$D448</f>
        <v/>
      </c>
      <c r="T448" s="3">
        <f>I448*$D448</f>
        <v/>
      </c>
      <c r="U448" s="3">
        <f>J448*$D448</f>
        <v/>
      </c>
      <c r="V448" s="3">
        <f>K448*$D448</f>
        <v/>
      </c>
      <c r="W448" s="3">
        <f>L448*$D448</f>
        <v/>
      </c>
      <c r="X448" s="3">
        <f>M448*$D448</f>
        <v/>
      </c>
      <c r="Y448" s="3">
        <f>N448*$D448</f>
        <v/>
      </c>
      <c r="Z448" s="3">
        <f>C448*$D448</f>
        <v/>
      </c>
      <c r="AA448" s="9">
        <f>$L978+$K978*E448+$J978*F448+$I978*G448+$H978*H448+$G978*I448+$F978*J448+$E978*K448+$D978*L448+$C978*M448+$B978*N448</f>
        <v/>
      </c>
      <c r="AB448" s="9">
        <f>C448-AA448</f>
        <v/>
      </c>
      <c r="AC448" s="4">
        <f>AB448^2</f>
        <v/>
      </c>
    </row>
    <row r="449">
      <c r="A449" t="inlineStr">
        <is>
          <t>BBG000K8KKL9</t>
        </is>
      </c>
      <c r="B449" t="inlineStr">
        <is>
          <t>imax</t>
        </is>
      </c>
      <c r="C449" s="9" t="n">
        <v>0.01557750198199037</v>
      </c>
      <c r="D449" s="3">
        <f>EXP(0.25*'3b-d Exposures'!G544)</f>
        <v/>
      </c>
      <c r="E449" s="3">
        <f>IF('3b-d Exposures'!C544="",0,'3b-d Exposures'!C544)</f>
        <v/>
      </c>
      <c r="F449" s="3">
        <f>IF('3b-d Exposures'!E544="",0,'3b-d Exposures'!E544)</f>
        <v/>
      </c>
      <c r="G449" s="3">
        <f>IF('3b-d Exposures'!G544="",0,'3b-d Exposures'!G544)</f>
        <v/>
      </c>
      <c r="H449" s="3">
        <f>IF('3b-d Exposures'!I544="",0,'3b-d Exposures'!I544)</f>
        <v/>
      </c>
      <c r="I449" s="3">
        <f>IF('3b-d Exposures'!K544="",0,'3b-d Exposures'!K544)</f>
        <v/>
      </c>
      <c r="J449" s="3">
        <f>IF('3b-d Exposures'!M544="",0,'3b-d Exposures'!M544)</f>
        <v/>
      </c>
      <c r="K449" s="3">
        <f>IF('3b-d Exposures'!O544="",0,'3b-d Exposures'!O544)</f>
        <v/>
      </c>
      <c r="L449" s="3">
        <f>IF('3b-d Exposures'!Q544="",0,'3b-d Exposures'!Q544)</f>
        <v/>
      </c>
      <c r="M449" s="3">
        <f>IF('3b-d Exposures'!S544="",0,'3b-d Exposures'!S544)</f>
        <v/>
      </c>
      <c r="N449" s="3">
        <f>IF('3b-d Exposures'!Z544="",0,'3b-d Exposures'!Z544)</f>
        <v/>
      </c>
      <c r="O449" s="3">
        <f>$D449</f>
        <v/>
      </c>
      <c r="P449" s="3">
        <f>E449*$D449</f>
        <v/>
      </c>
      <c r="Q449" s="3">
        <f>F449*$D449</f>
        <v/>
      </c>
      <c r="R449" s="3">
        <f>G449*$D449</f>
        <v/>
      </c>
      <c r="S449" s="3">
        <f>H449*$D449</f>
        <v/>
      </c>
      <c r="T449" s="3">
        <f>I449*$D449</f>
        <v/>
      </c>
      <c r="U449" s="3">
        <f>J449*$D449</f>
        <v/>
      </c>
      <c r="V449" s="3">
        <f>K449*$D449</f>
        <v/>
      </c>
      <c r="W449" s="3">
        <f>L449*$D449</f>
        <v/>
      </c>
      <c r="X449" s="3">
        <f>M449*$D449</f>
        <v/>
      </c>
      <c r="Y449" s="3">
        <f>N449*$D449</f>
        <v/>
      </c>
      <c r="Z449" s="3">
        <f>C449*$D449</f>
        <v/>
      </c>
      <c r="AA449" s="9">
        <f>$L978+$K978*E449+$J978*F449+$I978*G449+$H978*H449+$G978*I449+$F978*J449+$E978*K449+$D978*L449+$C978*M449+$B978*N449</f>
        <v/>
      </c>
      <c r="AB449" s="9">
        <f>C449-AA449</f>
        <v/>
      </c>
      <c r="AC449" s="4">
        <f>AB449^2</f>
        <v/>
      </c>
    </row>
    <row r="450">
      <c r="A450" t="inlineStr">
        <is>
          <t>BBG00P5MC0Q8</t>
        </is>
      </c>
      <c r="B450" t="inlineStr">
        <is>
          <t>imvt</t>
        </is>
      </c>
      <c r="C450" s="9" t="n">
        <v>0.02092199066048495</v>
      </c>
      <c r="D450" s="3">
        <f>EXP(0.25*'3b-d Exposures'!G545)</f>
        <v/>
      </c>
      <c r="E450" s="3">
        <f>IF('3b-d Exposures'!C545="",0,'3b-d Exposures'!C545)</f>
        <v/>
      </c>
      <c r="F450" s="3">
        <f>IF('3b-d Exposures'!E545="",0,'3b-d Exposures'!E545)</f>
        <v/>
      </c>
      <c r="G450" s="3">
        <f>IF('3b-d Exposures'!G545="",0,'3b-d Exposures'!G545)</f>
        <v/>
      </c>
      <c r="H450" s="3">
        <f>IF('3b-d Exposures'!I545="",0,'3b-d Exposures'!I545)</f>
        <v/>
      </c>
      <c r="I450" s="3">
        <f>IF('3b-d Exposures'!K545="",0,'3b-d Exposures'!K545)</f>
        <v/>
      </c>
      <c r="J450" s="3">
        <f>IF('3b-d Exposures'!M545="",0,'3b-d Exposures'!M545)</f>
        <v/>
      </c>
      <c r="K450" s="3">
        <f>IF('3b-d Exposures'!O545="",0,'3b-d Exposures'!O545)</f>
        <v/>
      </c>
      <c r="L450" s="3">
        <f>IF('3b-d Exposures'!Q545="",0,'3b-d Exposures'!Q545)</f>
        <v/>
      </c>
      <c r="M450" s="3">
        <f>IF('3b-d Exposures'!S545="",0,'3b-d Exposures'!S545)</f>
        <v/>
      </c>
      <c r="N450" s="3">
        <f>IF('3b-d Exposures'!Z545="",0,'3b-d Exposures'!Z545)</f>
        <v/>
      </c>
      <c r="O450" s="3">
        <f>$D450</f>
        <v/>
      </c>
      <c r="P450" s="3">
        <f>E450*$D450</f>
        <v/>
      </c>
      <c r="Q450" s="3">
        <f>F450*$D450</f>
        <v/>
      </c>
      <c r="R450" s="3">
        <f>G450*$D450</f>
        <v/>
      </c>
      <c r="S450" s="3">
        <f>H450*$D450</f>
        <v/>
      </c>
      <c r="T450" s="3">
        <f>I450*$D450</f>
        <v/>
      </c>
      <c r="U450" s="3">
        <f>J450*$D450</f>
        <v/>
      </c>
      <c r="V450" s="3">
        <f>K450*$D450</f>
        <v/>
      </c>
      <c r="W450" s="3">
        <f>L450*$D450</f>
        <v/>
      </c>
      <c r="X450" s="3">
        <f>M450*$D450</f>
        <v/>
      </c>
      <c r="Y450" s="3">
        <f>N450*$D450</f>
        <v/>
      </c>
      <c r="Z450" s="3">
        <f>C450*$D450</f>
        <v/>
      </c>
      <c r="AA450" s="9">
        <f>$L978+$K978*E450+$J978*F450+$I978*G450+$H978*H450+$G978*I450+$F978*J450+$E978*K450+$D978*L450+$C978*M450+$B978*N450</f>
        <v/>
      </c>
      <c r="AB450" s="9">
        <f>C450-AA450</f>
        <v/>
      </c>
      <c r="AC450" s="4">
        <f>AB450^2</f>
        <v/>
      </c>
    </row>
    <row r="451">
      <c r="A451" t="inlineStr">
        <is>
          <t>BBG000BNPSQ9</t>
        </is>
      </c>
      <c r="B451" t="inlineStr">
        <is>
          <t>incy</t>
        </is>
      </c>
      <c r="C451" s="9" t="n">
        <v>-0.0180989213085041</v>
      </c>
      <c r="D451" s="3">
        <f>EXP(0.25*'3b-d Exposures'!G546)</f>
        <v/>
      </c>
      <c r="E451" s="3">
        <f>IF('3b-d Exposures'!C546="",0,'3b-d Exposures'!C546)</f>
        <v/>
      </c>
      <c r="F451" s="3">
        <f>IF('3b-d Exposures'!E546="",0,'3b-d Exposures'!E546)</f>
        <v/>
      </c>
      <c r="G451" s="3">
        <f>IF('3b-d Exposures'!G546="",0,'3b-d Exposures'!G546)</f>
        <v/>
      </c>
      <c r="H451" s="3">
        <f>IF('3b-d Exposures'!I546="",0,'3b-d Exposures'!I546)</f>
        <v/>
      </c>
      <c r="I451" s="3">
        <f>IF('3b-d Exposures'!K546="",0,'3b-d Exposures'!K546)</f>
        <v/>
      </c>
      <c r="J451" s="3">
        <f>IF('3b-d Exposures'!M546="",0,'3b-d Exposures'!M546)</f>
        <v/>
      </c>
      <c r="K451" s="3">
        <f>IF('3b-d Exposures'!O546="",0,'3b-d Exposures'!O546)</f>
        <v/>
      </c>
      <c r="L451" s="3">
        <f>IF('3b-d Exposures'!Q546="",0,'3b-d Exposures'!Q546)</f>
        <v/>
      </c>
      <c r="M451" s="3">
        <f>IF('3b-d Exposures'!S546="",0,'3b-d Exposures'!S546)</f>
        <v/>
      </c>
      <c r="N451" s="3">
        <f>IF('3b-d Exposures'!Z546="",0,'3b-d Exposures'!Z546)</f>
        <v/>
      </c>
      <c r="O451" s="3">
        <f>$D451</f>
        <v/>
      </c>
      <c r="P451" s="3">
        <f>E451*$D451</f>
        <v/>
      </c>
      <c r="Q451" s="3">
        <f>F451*$D451</f>
        <v/>
      </c>
      <c r="R451" s="3">
        <f>G451*$D451</f>
        <v/>
      </c>
      <c r="S451" s="3">
        <f>H451*$D451</f>
        <v/>
      </c>
      <c r="T451" s="3">
        <f>I451*$D451</f>
        <v/>
      </c>
      <c r="U451" s="3">
        <f>J451*$D451</f>
        <v/>
      </c>
      <c r="V451" s="3">
        <f>K451*$D451</f>
        <v/>
      </c>
      <c r="W451" s="3">
        <f>L451*$D451</f>
        <v/>
      </c>
      <c r="X451" s="3">
        <f>M451*$D451</f>
        <v/>
      </c>
      <c r="Y451" s="3">
        <f>N451*$D451</f>
        <v/>
      </c>
      <c r="Z451" s="3">
        <f>C451*$D451</f>
        <v/>
      </c>
      <c r="AA451" s="9">
        <f>$L978+$K978*E451+$J978*F451+$I978*G451+$H978*H451+$G978*I451+$F978*J451+$E978*K451+$D978*L451+$C978*M451+$B978*N451</f>
        <v/>
      </c>
      <c r="AB451" s="9">
        <f>C451-AA451</f>
        <v/>
      </c>
      <c r="AC451" s="4">
        <f>AB451^2</f>
        <v/>
      </c>
    </row>
    <row r="452">
      <c r="A452" t="inlineStr">
        <is>
          <t>BBG000BWM5P3</t>
        </is>
      </c>
      <c r="B452" t="inlineStr">
        <is>
          <t>insm</t>
        </is>
      </c>
      <c r="C452" s="9" t="n">
        <v>-0.03645563277886577</v>
      </c>
      <c r="D452" s="3">
        <f>EXP(0.25*'3b-d Exposures'!G550)</f>
        <v/>
      </c>
      <c r="E452" s="3">
        <f>IF('3b-d Exposures'!C550="",0,'3b-d Exposures'!C550)</f>
        <v/>
      </c>
      <c r="F452" s="3">
        <f>IF('3b-d Exposures'!E550="",0,'3b-d Exposures'!E550)</f>
        <v/>
      </c>
      <c r="G452" s="3">
        <f>IF('3b-d Exposures'!G550="",0,'3b-d Exposures'!G550)</f>
        <v/>
      </c>
      <c r="H452" s="3">
        <f>IF('3b-d Exposures'!I550="",0,'3b-d Exposures'!I550)</f>
        <v/>
      </c>
      <c r="I452" s="3">
        <f>IF('3b-d Exposures'!K550="",0,'3b-d Exposures'!K550)</f>
        <v/>
      </c>
      <c r="J452" s="3">
        <f>IF('3b-d Exposures'!M550="",0,'3b-d Exposures'!M550)</f>
        <v/>
      </c>
      <c r="K452" s="3">
        <f>IF('3b-d Exposures'!O550="",0,'3b-d Exposures'!O550)</f>
        <v/>
      </c>
      <c r="L452" s="3">
        <f>IF('3b-d Exposures'!Q550="",0,'3b-d Exposures'!Q550)</f>
        <v/>
      </c>
      <c r="M452" s="3">
        <f>IF('3b-d Exposures'!S550="",0,'3b-d Exposures'!S550)</f>
        <v/>
      </c>
      <c r="N452" s="3">
        <f>IF('3b-d Exposures'!Z550="",0,'3b-d Exposures'!Z550)</f>
        <v/>
      </c>
      <c r="O452" s="3">
        <f>$D452</f>
        <v/>
      </c>
      <c r="P452" s="3">
        <f>E452*$D452</f>
        <v/>
      </c>
      <c r="Q452" s="3">
        <f>F452*$D452</f>
        <v/>
      </c>
      <c r="R452" s="3">
        <f>G452*$D452</f>
        <v/>
      </c>
      <c r="S452" s="3">
        <f>H452*$D452</f>
        <v/>
      </c>
      <c r="T452" s="3">
        <f>I452*$D452</f>
        <v/>
      </c>
      <c r="U452" s="3">
        <f>J452*$D452</f>
        <v/>
      </c>
      <c r="V452" s="3">
        <f>K452*$D452</f>
        <v/>
      </c>
      <c r="W452" s="3">
        <f>L452*$D452</f>
        <v/>
      </c>
      <c r="X452" s="3">
        <f>M452*$D452</f>
        <v/>
      </c>
      <c r="Y452" s="3">
        <f>N452*$D452</f>
        <v/>
      </c>
      <c r="Z452" s="3">
        <f>C452*$D452</f>
        <v/>
      </c>
      <c r="AA452" s="9">
        <f>$L978+$K978*E452+$J978*F452+$I978*G452+$H978*H452+$G978*I452+$F978*J452+$E978*K452+$D978*L452+$C978*M452+$B978*N452</f>
        <v/>
      </c>
      <c r="AB452" s="9">
        <f>C452-AA452</f>
        <v/>
      </c>
      <c r="AC452" s="4">
        <f>AB452^2</f>
        <v/>
      </c>
    </row>
    <row r="453">
      <c r="A453" t="inlineStr">
        <is>
          <t>BBG000C0G1D1</t>
        </is>
      </c>
      <c r="B453" t="inlineStr">
        <is>
          <t>intc</t>
        </is>
      </c>
      <c r="C453" s="9" t="n">
        <v>-0.004989560735613185</v>
      </c>
      <c r="D453" s="3">
        <f>EXP(0.25*'3b-d Exposures'!G551)</f>
        <v/>
      </c>
      <c r="E453" s="3">
        <f>IF('3b-d Exposures'!C551="",0,'3b-d Exposures'!C551)</f>
        <v/>
      </c>
      <c r="F453" s="3">
        <f>IF('3b-d Exposures'!E551="",0,'3b-d Exposures'!E551)</f>
        <v/>
      </c>
      <c r="G453" s="3">
        <f>IF('3b-d Exposures'!G551="",0,'3b-d Exposures'!G551)</f>
        <v/>
      </c>
      <c r="H453" s="3">
        <f>IF('3b-d Exposures'!I551="",0,'3b-d Exposures'!I551)</f>
        <v/>
      </c>
      <c r="I453" s="3">
        <f>IF('3b-d Exposures'!K551="",0,'3b-d Exposures'!K551)</f>
        <v/>
      </c>
      <c r="J453" s="3">
        <f>IF('3b-d Exposures'!M551="",0,'3b-d Exposures'!M551)</f>
        <v/>
      </c>
      <c r="K453" s="3">
        <f>IF('3b-d Exposures'!O551="",0,'3b-d Exposures'!O551)</f>
        <v/>
      </c>
      <c r="L453" s="3">
        <f>IF('3b-d Exposures'!Q551="",0,'3b-d Exposures'!Q551)</f>
        <v/>
      </c>
      <c r="M453" s="3">
        <f>IF('3b-d Exposures'!S551="",0,'3b-d Exposures'!S551)</f>
        <v/>
      </c>
      <c r="N453" s="3">
        <f>IF('3b-d Exposures'!Z551="",0,'3b-d Exposures'!Z551)</f>
        <v/>
      </c>
      <c r="O453" s="3">
        <f>$D453</f>
        <v/>
      </c>
      <c r="P453" s="3">
        <f>E453*$D453</f>
        <v/>
      </c>
      <c r="Q453" s="3">
        <f>F453*$D453</f>
        <v/>
      </c>
      <c r="R453" s="3">
        <f>G453*$D453</f>
        <v/>
      </c>
      <c r="S453" s="3">
        <f>H453*$D453</f>
        <v/>
      </c>
      <c r="T453" s="3">
        <f>I453*$D453</f>
        <v/>
      </c>
      <c r="U453" s="3">
        <f>J453*$D453</f>
        <v/>
      </c>
      <c r="V453" s="3">
        <f>K453*$D453</f>
        <v/>
      </c>
      <c r="W453" s="3">
        <f>L453*$D453</f>
        <v/>
      </c>
      <c r="X453" s="3">
        <f>M453*$D453</f>
        <v/>
      </c>
      <c r="Y453" s="3">
        <f>N453*$D453</f>
        <v/>
      </c>
      <c r="Z453" s="3">
        <f>C453*$D453</f>
        <v/>
      </c>
      <c r="AA453" s="9">
        <f>$L978+$K978*E453+$J978*F453+$I978*G453+$H978*H453+$G978*I453+$F978*J453+$E978*K453+$D978*L453+$C978*M453+$B978*N453</f>
        <v/>
      </c>
      <c r="AB453" s="9">
        <f>C453-AA453</f>
        <v/>
      </c>
      <c r="AC453" s="4">
        <f>AB453^2</f>
        <v/>
      </c>
    </row>
    <row r="454">
      <c r="A454" t="inlineStr">
        <is>
          <t>BBG000BH5DV1</t>
        </is>
      </c>
      <c r="B454" t="inlineStr">
        <is>
          <t>intu</t>
        </is>
      </c>
      <c r="C454" s="9" t="n">
        <v>-0.01193638686270082</v>
      </c>
      <c r="D454" s="3">
        <f>EXP(0.25*'3b-d Exposures'!G552)</f>
        <v/>
      </c>
      <c r="E454" s="3">
        <f>IF('3b-d Exposures'!C552="",0,'3b-d Exposures'!C552)</f>
        <v/>
      </c>
      <c r="F454" s="3">
        <f>IF('3b-d Exposures'!E552="",0,'3b-d Exposures'!E552)</f>
        <v/>
      </c>
      <c r="G454" s="3">
        <f>IF('3b-d Exposures'!G552="",0,'3b-d Exposures'!G552)</f>
        <v/>
      </c>
      <c r="H454" s="3">
        <f>IF('3b-d Exposures'!I552="",0,'3b-d Exposures'!I552)</f>
        <v/>
      </c>
      <c r="I454" s="3">
        <f>IF('3b-d Exposures'!K552="",0,'3b-d Exposures'!K552)</f>
        <v/>
      </c>
      <c r="J454" s="3">
        <f>IF('3b-d Exposures'!M552="",0,'3b-d Exposures'!M552)</f>
        <v/>
      </c>
      <c r="K454" s="3">
        <f>IF('3b-d Exposures'!O552="",0,'3b-d Exposures'!O552)</f>
        <v/>
      </c>
      <c r="L454" s="3">
        <f>IF('3b-d Exposures'!Q552="",0,'3b-d Exposures'!Q552)</f>
        <v/>
      </c>
      <c r="M454" s="3">
        <f>IF('3b-d Exposures'!S552="",0,'3b-d Exposures'!S552)</f>
        <v/>
      </c>
      <c r="N454" s="3">
        <f>IF('3b-d Exposures'!Z552="",0,'3b-d Exposures'!Z552)</f>
        <v/>
      </c>
      <c r="O454" s="3">
        <f>$D454</f>
        <v/>
      </c>
      <c r="P454" s="3">
        <f>E454*$D454</f>
        <v/>
      </c>
      <c r="Q454" s="3">
        <f>F454*$D454</f>
        <v/>
      </c>
      <c r="R454" s="3">
        <f>G454*$D454</f>
        <v/>
      </c>
      <c r="S454" s="3">
        <f>H454*$D454</f>
        <v/>
      </c>
      <c r="T454" s="3">
        <f>I454*$D454</f>
        <v/>
      </c>
      <c r="U454" s="3">
        <f>J454*$D454</f>
        <v/>
      </c>
      <c r="V454" s="3">
        <f>K454*$D454</f>
        <v/>
      </c>
      <c r="W454" s="3">
        <f>L454*$D454</f>
        <v/>
      </c>
      <c r="X454" s="3">
        <f>M454*$D454</f>
        <v/>
      </c>
      <c r="Y454" s="3">
        <f>N454*$D454</f>
        <v/>
      </c>
      <c r="Z454" s="3">
        <f>C454*$D454</f>
        <v/>
      </c>
      <c r="AA454" s="9">
        <f>$L978+$K978*E454+$J978*F454+$I978*G454+$H978*H454+$G978*I454+$F978*J454+$E978*K454+$D978*L454+$C978*M454+$B978*N454</f>
        <v/>
      </c>
      <c r="AB454" s="9">
        <f>C454-AA454</f>
        <v/>
      </c>
      <c r="AC454" s="4">
        <f>AB454^2</f>
        <v/>
      </c>
    </row>
    <row r="455">
      <c r="A455" t="inlineStr">
        <is>
          <t>BBG000BW6F33</t>
        </is>
      </c>
      <c r="B455" t="inlineStr">
        <is>
          <t>inve</t>
        </is>
      </c>
      <c r="C455" s="9" t="n">
        <v>0.06532657055243019</v>
      </c>
      <c r="D455" s="3">
        <f>EXP(0.25*'3b-d Exposures'!G553)</f>
        <v/>
      </c>
      <c r="E455" s="3">
        <f>IF('3b-d Exposures'!C553="",0,'3b-d Exposures'!C553)</f>
        <v/>
      </c>
      <c r="F455" s="3">
        <f>IF('3b-d Exposures'!E553="",0,'3b-d Exposures'!E553)</f>
        <v/>
      </c>
      <c r="G455" s="3">
        <f>IF('3b-d Exposures'!G553="",0,'3b-d Exposures'!G553)</f>
        <v/>
      </c>
      <c r="H455" s="3">
        <f>IF('3b-d Exposures'!I553="",0,'3b-d Exposures'!I553)</f>
        <v/>
      </c>
      <c r="I455" s="3">
        <f>IF('3b-d Exposures'!K553="",0,'3b-d Exposures'!K553)</f>
        <v/>
      </c>
      <c r="J455" s="3">
        <f>IF('3b-d Exposures'!M553="",0,'3b-d Exposures'!M553)</f>
        <v/>
      </c>
      <c r="K455" s="3">
        <f>IF('3b-d Exposures'!O553="",0,'3b-d Exposures'!O553)</f>
        <v/>
      </c>
      <c r="L455" s="3">
        <f>IF('3b-d Exposures'!Q553="",0,'3b-d Exposures'!Q553)</f>
        <v/>
      </c>
      <c r="M455" s="3">
        <f>IF('3b-d Exposures'!S553="",0,'3b-d Exposures'!S553)</f>
        <v/>
      </c>
      <c r="N455" s="3">
        <f>IF('3b-d Exposures'!Z553="",0,'3b-d Exposures'!Z553)</f>
        <v/>
      </c>
      <c r="O455" s="3">
        <f>$D455</f>
        <v/>
      </c>
      <c r="P455" s="3">
        <f>E455*$D455</f>
        <v/>
      </c>
      <c r="Q455" s="3">
        <f>F455*$D455</f>
        <v/>
      </c>
      <c r="R455" s="3">
        <f>G455*$D455</f>
        <v/>
      </c>
      <c r="S455" s="3">
        <f>H455*$D455</f>
        <v/>
      </c>
      <c r="T455" s="3">
        <f>I455*$D455</f>
        <v/>
      </c>
      <c r="U455" s="3">
        <f>J455*$D455</f>
        <v/>
      </c>
      <c r="V455" s="3">
        <f>K455*$D455</f>
        <v/>
      </c>
      <c r="W455" s="3">
        <f>L455*$D455</f>
        <v/>
      </c>
      <c r="X455" s="3">
        <f>M455*$D455</f>
        <v/>
      </c>
      <c r="Y455" s="3">
        <f>N455*$D455</f>
        <v/>
      </c>
      <c r="Z455" s="3">
        <f>C455*$D455</f>
        <v/>
      </c>
      <c r="AA455" s="9">
        <f>$L978+$K978*E455+$J978*F455+$I978*G455+$H978*H455+$G978*I455+$F978*J455+$E978*K455+$D978*L455+$C978*M455+$B978*N455</f>
        <v/>
      </c>
      <c r="AB455" s="9">
        <f>C455-AA455</f>
        <v/>
      </c>
      <c r="AC455" s="4">
        <f>AB455^2</f>
        <v/>
      </c>
    </row>
    <row r="456">
      <c r="A456" t="inlineStr">
        <is>
          <t>BBG00FQH6BS9</t>
        </is>
      </c>
      <c r="B456" t="inlineStr">
        <is>
          <t>invh</t>
        </is>
      </c>
      <c r="C456" s="9" t="n">
        <v>-0.01021880133216313</v>
      </c>
      <c r="D456" s="3">
        <f>EXP(0.25*'3b-d Exposures'!G554)</f>
        <v/>
      </c>
      <c r="E456" s="3">
        <f>IF('3b-d Exposures'!C554="",0,'3b-d Exposures'!C554)</f>
        <v/>
      </c>
      <c r="F456" s="3">
        <f>IF('3b-d Exposures'!E554="",0,'3b-d Exposures'!E554)</f>
        <v/>
      </c>
      <c r="G456" s="3">
        <f>IF('3b-d Exposures'!G554="",0,'3b-d Exposures'!G554)</f>
        <v/>
      </c>
      <c r="H456" s="3">
        <f>IF('3b-d Exposures'!I554="",0,'3b-d Exposures'!I554)</f>
        <v/>
      </c>
      <c r="I456" s="3">
        <f>IF('3b-d Exposures'!K554="",0,'3b-d Exposures'!K554)</f>
        <v/>
      </c>
      <c r="J456" s="3">
        <f>IF('3b-d Exposures'!M554="",0,'3b-d Exposures'!M554)</f>
        <v/>
      </c>
      <c r="K456" s="3">
        <f>IF('3b-d Exposures'!O554="",0,'3b-d Exposures'!O554)</f>
        <v/>
      </c>
      <c r="L456" s="3">
        <f>IF('3b-d Exposures'!Q554="",0,'3b-d Exposures'!Q554)</f>
        <v/>
      </c>
      <c r="M456" s="3">
        <f>IF('3b-d Exposures'!S554="",0,'3b-d Exposures'!S554)</f>
        <v/>
      </c>
      <c r="N456" s="3">
        <f>IF('3b-d Exposures'!Z554="",0,'3b-d Exposures'!Z554)</f>
        <v/>
      </c>
      <c r="O456" s="3">
        <f>$D456</f>
        <v/>
      </c>
      <c r="P456" s="3">
        <f>E456*$D456</f>
        <v/>
      </c>
      <c r="Q456" s="3">
        <f>F456*$D456</f>
        <v/>
      </c>
      <c r="R456" s="3">
        <f>G456*$D456</f>
        <v/>
      </c>
      <c r="S456" s="3">
        <f>H456*$D456</f>
        <v/>
      </c>
      <c r="T456" s="3">
        <f>I456*$D456</f>
        <v/>
      </c>
      <c r="U456" s="3">
        <f>J456*$D456</f>
        <v/>
      </c>
      <c r="V456" s="3">
        <f>K456*$D456</f>
        <v/>
      </c>
      <c r="W456" s="3">
        <f>L456*$D456</f>
        <v/>
      </c>
      <c r="X456" s="3">
        <f>M456*$D456</f>
        <v/>
      </c>
      <c r="Y456" s="3">
        <f>N456*$D456</f>
        <v/>
      </c>
      <c r="Z456" s="3">
        <f>C456*$D456</f>
        <v/>
      </c>
      <c r="AA456" s="9">
        <f>$L978+$K978*E456+$J978*F456+$I978*G456+$H978*H456+$G978*I456+$F978*J456+$E978*K456+$D978*L456+$C978*M456+$B978*N456</f>
        <v/>
      </c>
      <c r="AB456" s="9">
        <f>C456-AA456</f>
        <v/>
      </c>
      <c r="AC456" s="4">
        <f>AB456^2</f>
        <v/>
      </c>
    </row>
    <row r="457">
      <c r="A457" t="inlineStr">
        <is>
          <t>BBG000JH6683</t>
        </is>
      </c>
      <c r="B457" t="inlineStr">
        <is>
          <t>ions</t>
        </is>
      </c>
      <c r="C457" s="9" t="n">
        <v>0.01035541384341165</v>
      </c>
      <c r="D457" s="3">
        <f>EXP(0.25*'3b-d Exposures'!G555)</f>
        <v/>
      </c>
      <c r="E457" s="3">
        <f>IF('3b-d Exposures'!C555="",0,'3b-d Exposures'!C555)</f>
        <v/>
      </c>
      <c r="F457" s="3">
        <f>IF('3b-d Exposures'!E555="",0,'3b-d Exposures'!E555)</f>
        <v/>
      </c>
      <c r="G457" s="3">
        <f>IF('3b-d Exposures'!G555="",0,'3b-d Exposures'!G555)</f>
        <v/>
      </c>
      <c r="H457" s="3">
        <f>IF('3b-d Exposures'!I555="",0,'3b-d Exposures'!I555)</f>
        <v/>
      </c>
      <c r="I457" s="3">
        <f>IF('3b-d Exposures'!K555="",0,'3b-d Exposures'!K555)</f>
        <v/>
      </c>
      <c r="J457" s="3">
        <f>IF('3b-d Exposures'!M555="",0,'3b-d Exposures'!M555)</f>
        <v/>
      </c>
      <c r="K457" s="3">
        <f>IF('3b-d Exposures'!O555="",0,'3b-d Exposures'!O555)</f>
        <v/>
      </c>
      <c r="L457" s="3">
        <f>IF('3b-d Exposures'!Q555="",0,'3b-d Exposures'!Q555)</f>
        <v/>
      </c>
      <c r="M457" s="3">
        <f>IF('3b-d Exposures'!S555="",0,'3b-d Exposures'!S555)</f>
        <v/>
      </c>
      <c r="N457" s="3">
        <f>IF('3b-d Exposures'!Z555="",0,'3b-d Exposures'!Z555)</f>
        <v/>
      </c>
      <c r="O457" s="3">
        <f>$D457</f>
        <v/>
      </c>
      <c r="P457" s="3">
        <f>E457*$D457</f>
        <v/>
      </c>
      <c r="Q457" s="3">
        <f>F457*$D457</f>
        <v/>
      </c>
      <c r="R457" s="3">
        <f>G457*$D457</f>
        <v/>
      </c>
      <c r="S457" s="3">
        <f>H457*$D457</f>
        <v/>
      </c>
      <c r="T457" s="3">
        <f>I457*$D457</f>
        <v/>
      </c>
      <c r="U457" s="3">
        <f>J457*$D457</f>
        <v/>
      </c>
      <c r="V457" s="3">
        <f>K457*$D457</f>
        <v/>
      </c>
      <c r="W457" s="3">
        <f>L457*$D457</f>
        <v/>
      </c>
      <c r="X457" s="3">
        <f>M457*$D457</f>
        <v/>
      </c>
      <c r="Y457" s="3">
        <f>N457*$D457</f>
        <v/>
      </c>
      <c r="Z457" s="3">
        <f>C457*$D457</f>
        <v/>
      </c>
      <c r="AA457" s="9">
        <f>$L978+$K978*E457+$J978*F457+$I978*G457+$H978*H457+$G978*I457+$F978*J457+$E978*K457+$D978*L457+$C978*M457+$B978*N457</f>
        <v/>
      </c>
      <c r="AB457" s="9">
        <f>C457-AA457</f>
        <v/>
      </c>
      <c r="AC457" s="4">
        <f>AB457^2</f>
        <v/>
      </c>
    </row>
    <row r="458">
      <c r="A458" t="inlineStr">
        <is>
          <t>BBG000BM5SR2</t>
        </is>
      </c>
      <c r="B458" t="inlineStr">
        <is>
          <t>ip</t>
        </is>
      </c>
      <c r="C458" s="9" t="n">
        <v>-0.006289379963720698</v>
      </c>
      <c r="D458" s="3">
        <f>EXP(0.25*'3b-d Exposures'!G556)</f>
        <v/>
      </c>
      <c r="E458" s="3">
        <f>IF('3b-d Exposures'!C556="",0,'3b-d Exposures'!C556)</f>
        <v/>
      </c>
      <c r="F458" s="3">
        <f>IF('3b-d Exposures'!E556="",0,'3b-d Exposures'!E556)</f>
        <v/>
      </c>
      <c r="G458" s="3">
        <f>IF('3b-d Exposures'!G556="",0,'3b-d Exposures'!G556)</f>
        <v/>
      </c>
      <c r="H458" s="3">
        <f>IF('3b-d Exposures'!I556="",0,'3b-d Exposures'!I556)</f>
        <v/>
      </c>
      <c r="I458" s="3">
        <f>IF('3b-d Exposures'!K556="",0,'3b-d Exposures'!K556)</f>
        <v/>
      </c>
      <c r="J458" s="3">
        <f>IF('3b-d Exposures'!M556="",0,'3b-d Exposures'!M556)</f>
        <v/>
      </c>
      <c r="K458" s="3">
        <f>IF('3b-d Exposures'!O556="",0,'3b-d Exposures'!O556)</f>
        <v/>
      </c>
      <c r="L458" s="3">
        <f>IF('3b-d Exposures'!Q556="",0,'3b-d Exposures'!Q556)</f>
        <v/>
      </c>
      <c r="M458" s="3">
        <f>IF('3b-d Exposures'!S556="",0,'3b-d Exposures'!S556)</f>
        <v/>
      </c>
      <c r="N458" s="3">
        <f>IF('3b-d Exposures'!Z556="",0,'3b-d Exposures'!Z556)</f>
        <v/>
      </c>
      <c r="O458" s="3">
        <f>$D458</f>
        <v/>
      </c>
      <c r="P458" s="3">
        <f>E458*$D458</f>
        <v/>
      </c>
      <c r="Q458" s="3">
        <f>F458*$D458</f>
        <v/>
      </c>
      <c r="R458" s="3">
        <f>G458*$D458</f>
        <v/>
      </c>
      <c r="S458" s="3">
        <f>H458*$D458</f>
        <v/>
      </c>
      <c r="T458" s="3">
        <f>I458*$D458</f>
        <v/>
      </c>
      <c r="U458" s="3">
        <f>J458*$D458</f>
        <v/>
      </c>
      <c r="V458" s="3">
        <f>K458*$D458</f>
        <v/>
      </c>
      <c r="W458" s="3">
        <f>L458*$D458</f>
        <v/>
      </c>
      <c r="X458" s="3">
        <f>M458*$D458</f>
        <v/>
      </c>
      <c r="Y458" s="3">
        <f>N458*$D458</f>
        <v/>
      </c>
      <c r="Z458" s="3">
        <f>C458*$D458</f>
        <v/>
      </c>
      <c r="AA458" s="9">
        <f>$L978+$K978*E458+$J978*F458+$I978*G458+$H978*H458+$G978*I458+$F978*J458+$E978*K458+$D978*L458+$C978*M458+$B978*N458</f>
        <v/>
      </c>
      <c r="AB458" s="9">
        <f>C458-AA458</f>
        <v/>
      </c>
      <c r="AC458" s="4">
        <f>AB458^2</f>
        <v/>
      </c>
    </row>
    <row r="459">
      <c r="A459" t="inlineStr">
        <is>
          <t>BBG000DCGRL8</t>
        </is>
      </c>
      <c r="B459" t="inlineStr">
        <is>
          <t>ipgp</t>
        </is>
      </c>
      <c r="C459" s="9" t="n">
        <v>0.02139925870519876</v>
      </c>
      <c r="D459" s="3">
        <f>EXP(0.25*'3b-d Exposures'!G557)</f>
        <v/>
      </c>
      <c r="E459" s="3">
        <f>IF('3b-d Exposures'!C557="",0,'3b-d Exposures'!C557)</f>
        <v/>
      </c>
      <c r="F459" s="3">
        <f>IF('3b-d Exposures'!E557="",0,'3b-d Exposures'!E557)</f>
        <v/>
      </c>
      <c r="G459" s="3">
        <f>IF('3b-d Exposures'!G557="",0,'3b-d Exposures'!G557)</f>
        <v/>
      </c>
      <c r="H459" s="3">
        <f>IF('3b-d Exposures'!I557="",0,'3b-d Exposures'!I557)</f>
        <v/>
      </c>
      <c r="I459" s="3">
        <f>IF('3b-d Exposures'!K557="",0,'3b-d Exposures'!K557)</f>
        <v/>
      </c>
      <c r="J459" s="3">
        <f>IF('3b-d Exposures'!M557="",0,'3b-d Exposures'!M557)</f>
        <v/>
      </c>
      <c r="K459" s="3">
        <f>IF('3b-d Exposures'!O557="",0,'3b-d Exposures'!O557)</f>
        <v/>
      </c>
      <c r="L459" s="3">
        <f>IF('3b-d Exposures'!Q557="",0,'3b-d Exposures'!Q557)</f>
        <v/>
      </c>
      <c r="M459" s="3">
        <f>IF('3b-d Exposures'!S557="",0,'3b-d Exposures'!S557)</f>
        <v/>
      </c>
      <c r="N459" s="3">
        <f>IF('3b-d Exposures'!Z557="",0,'3b-d Exposures'!Z557)</f>
        <v/>
      </c>
      <c r="O459" s="3">
        <f>$D459</f>
        <v/>
      </c>
      <c r="P459" s="3">
        <f>E459*$D459</f>
        <v/>
      </c>
      <c r="Q459" s="3">
        <f>F459*$D459</f>
        <v/>
      </c>
      <c r="R459" s="3">
        <f>G459*$D459</f>
        <v/>
      </c>
      <c r="S459" s="3">
        <f>H459*$D459</f>
        <v/>
      </c>
      <c r="T459" s="3">
        <f>I459*$D459</f>
        <v/>
      </c>
      <c r="U459" s="3">
        <f>J459*$D459</f>
        <v/>
      </c>
      <c r="V459" s="3">
        <f>K459*$D459</f>
        <v/>
      </c>
      <c r="W459" s="3">
        <f>L459*$D459</f>
        <v/>
      </c>
      <c r="X459" s="3">
        <f>M459*$D459</f>
        <v/>
      </c>
      <c r="Y459" s="3">
        <f>N459*$D459</f>
        <v/>
      </c>
      <c r="Z459" s="3">
        <f>C459*$D459</f>
        <v/>
      </c>
      <c r="AA459" s="9">
        <f>$L978+$K978*E459+$J978*F459+$I978*G459+$H978*H459+$G978*I459+$F978*J459+$E978*K459+$D978*L459+$C978*M459+$B978*N459</f>
        <v/>
      </c>
      <c r="AB459" s="9">
        <f>C459-AA459</f>
        <v/>
      </c>
      <c r="AC459" s="4">
        <f>AB459^2</f>
        <v/>
      </c>
    </row>
    <row r="460">
      <c r="A460" t="inlineStr">
        <is>
          <t>iqv</t>
        </is>
      </c>
      <c r="B460" t="inlineStr">
        <is>
          <t>iqv</t>
        </is>
      </c>
      <c r="C460" s="9" t="n">
        <v>0.004730118330832589</v>
      </c>
      <c r="D460" s="3">
        <f>EXP(0.25*'3b-d Exposures'!G559)</f>
        <v/>
      </c>
      <c r="E460" s="3">
        <f>IF('3b-d Exposures'!C559="",0,'3b-d Exposures'!C559)</f>
        <v/>
      </c>
      <c r="F460" s="3">
        <f>IF('3b-d Exposures'!E559="",0,'3b-d Exposures'!E559)</f>
        <v/>
      </c>
      <c r="G460" s="3">
        <f>IF('3b-d Exposures'!G559="",0,'3b-d Exposures'!G559)</f>
        <v/>
      </c>
      <c r="H460" s="3">
        <f>IF('3b-d Exposures'!I559="",0,'3b-d Exposures'!I559)</f>
        <v/>
      </c>
      <c r="I460" s="3">
        <f>IF('3b-d Exposures'!K559="",0,'3b-d Exposures'!K559)</f>
        <v/>
      </c>
      <c r="J460" s="3">
        <f>IF('3b-d Exposures'!M559="",0,'3b-d Exposures'!M559)</f>
        <v/>
      </c>
      <c r="K460" s="3">
        <f>IF('3b-d Exposures'!O559="",0,'3b-d Exposures'!O559)</f>
        <v/>
      </c>
      <c r="L460" s="3">
        <f>IF('3b-d Exposures'!Q559="",0,'3b-d Exposures'!Q559)</f>
        <v/>
      </c>
      <c r="M460" s="3">
        <f>IF('3b-d Exposures'!S559="",0,'3b-d Exposures'!S559)</f>
        <v/>
      </c>
      <c r="N460" s="3">
        <f>IF('3b-d Exposures'!Z559="",0,'3b-d Exposures'!Z559)</f>
        <v/>
      </c>
      <c r="O460" s="3">
        <f>$D460</f>
        <v/>
      </c>
      <c r="P460" s="3">
        <f>E460*$D460</f>
        <v/>
      </c>
      <c r="Q460" s="3">
        <f>F460*$D460</f>
        <v/>
      </c>
      <c r="R460" s="3">
        <f>G460*$D460</f>
        <v/>
      </c>
      <c r="S460" s="3">
        <f>H460*$D460</f>
        <v/>
      </c>
      <c r="T460" s="3">
        <f>I460*$D460</f>
        <v/>
      </c>
      <c r="U460" s="3">
        <f>J460*$D460</f>
        <v/>
      </c>
      <c r="V460" s="3">
        <f>K460*$D460</f>
        <v/>
      </c>
      <c r="W460" s="3">
        <f>L460*$D460</f>
        <v/>
      </c>
      <c r="X460" s="3">
        <f>M460*$D460</f>
        <v/>
      </c>
      <c r="Y460" s="3">
        <f>N460*$D460</f>
        <v/>
      </c>
      <c r="Z460" s="3">
        <f>C460*$D460</f>
        <v/>
      </c>
      <c r="AA460" s="9">
        <f>$L978+$K978*E460+$J978*F460+$I978*G460+$H978*H460+$G978*I460+$F978*J460+$E978*K460+$D978*L460+$C978*M460+$B978*N460</f>
        <v/>
      </c>
      <c r="AB460" s="9">
        <f>C460-AA460</f>
        <v/>
      </c>
      <c r="AC460" s="4">
        <f>AB460^2</f>
        <v/>
      </c>
    </row>
    <row r="461">
      <c r="A461" t="inlineStr">
        <is>
          <t>ir</t>
        </is>
      </c>
      <c r="B461" t="inlineStr">
        <is>
          <t>ir</t>
        </is>
      </c>
      <c r="C461" s="9" t="n">
        <v>0.009119703916405042</v>
      </c>
      <c r="D461" s="3">
        <f>EXP(0.25*'3b-d Exposures'!G560)</f>
        <v/>
      </c>
      <c r="E461" s="3">
        <f>IF('3b-d Exposures'!C560="",0,'3b-d Exposures'!C560)</f>
        <v/>
      </c>
      <c r="F461" s="3">
        <f>IF('3b-d Exposures'!E560="",0,'3b-d Exposures'!E560)</f>
        <v/>
      </c>
      <c r="G461" s="3">
        <f>IF('3b-d Exposures'!G560="",0,'3b-d Exposures'!G560)</f>
        <v/>
      </c>
      <c r="H461" s="3">
        <f>IF('3b-d Exposures'!I560="",0,'3b-d Exposures'!I560)</f>
        <v/>
      </c>
      <c r="I461" s="3">
        <f>IF('3b-d Exposures'!K560="",0,'3b-d Exposures'!K560)</f>
        <v/>
      </c>
      <c r="J461" s="3">
        <f>IF('3b-d Exposures'!M560="",0,'3b-d Exposures'!M560)</f>
        <v/>
      </c>
      <c r="K461" s="3">
        <f>IF('3b-d Exposures'!O560="",0,'3b-d Exposures'!O560)</f>
        <v/>
      </c>
      <c r="L461" s="3">
        <f>IF('3b-d Exposures'!Q560="",0,'3b-d Exposures'!Q560)</f>
        <v/>
      </c>
      <c r="M461" s="3">
        <f>IF('3b-d Exposures'!S560="",0,'3b-d Exposures'!S560)</f>
        <v/>
      </c>
      <c r="N461" s="3">
        <f>IF('3b-d Exposures'!Z560="",0,'3b-d Exposures'!Z560)</f>
        <v/>
      </c>
      <c r="O461" s="3">
        <f>$D461</f>
        <v/>
      </c>
      <c r="P461" s="3">
        <f>E461*$D461</f>
        <v/>
      </c>
      <c r="Q461" s="3">
        <f>F461*$D461</f>
        <v/>
      </c>
      <c r="R461" s="3">
        <f>G461*$D461</f>
        <v/>
      </c>
      <c r="S461" s="3">
        <f>H461*$D461</f>
        <v/>
      </c>
      <c r="T461" s="3">
        <f>I461*$D461</f>
        <v/>
      </c>
      <c r="U461" s="3">
        <f>J461*$D461</f>
        <v/>
      </c>
      <c r="V461" s="3">
        <f>K461*$D461</f>
        <v/>
      </c>
      <c r="W461" s="3">
        <f>L461*$D461</f>
        <v/>
      </c>
      <c r="X461" s="3">
        <f>M461*$D461</f>
        <v/>
      </c>
      <c r="Y461" s="3">
        <f>N461*$D461</f>
        <v/>
      </c>
      <c r="Z461" s="3">
        <f>C461*$D461</f>
        <v/>
      </c>
      <c r="AA461" s="9">
        <f>$L978+$K978*E461+$J978*F461+$I978*G461+$H978*H461+$G978*I461+$F978*J461+$E978*K461+$D978*L461+$C978*M461+$B978*N461</f>
        <v/>
      </c>
      <c r="AB461" s="9">
        <f>C461-AA461</f>
        <v/>
      </c>
      <c r="AC461" s="4">
        <f>AB461^2</f>
        <v/>
      </c>
    </row>
    <row r="462">
      <c r="A462" t="inlineStr">
        <is>
          <t>BBG000KCZPC3</t>
        </is>
      </c>
      <c r="B462" t="inlineStr">
        <is>
          <t>irm</t>
        </is>
      </c>
      <c r="C462" s="9" t="n">
        <v>-0.01681894996058431</v>
      </c>
      <c r="D462" s="3">
        <f>EXP(0.25*'3b-d Exposures'!G561)</f>
        <v/>
      </c>
      <c r="E462" s="3">
        <f>IF('3b-d Exposures'!C561="",0,'3b-d Exposures'!C561)</f>
        <v/>
      </c>
      <c r="F462" s="3">
        <f>IF('3b-d Exposures'!E561="",0,'3b-d Exposures'!E561)</f>
        <v/>
      </c>
      <c r="G462" s="3">
        <f>IF('3b-d Exposures'!G561="",0,'3b-d Exposures'!G561)</f>
        <v/>
      </c>
      <c r="H462" s="3">
        <f>IF('3b-d Exposures'!I561="",0,'3b-d Exposures'!I561)</f>
        <v/>
      </c>
      <c r="I462" s="3">
        <f>IF('3b-d Exposures'!K561="",0,'3b-d Exposures'!K561)</f>
        <v/>
      </c>
      <c r="J462" s="3">
        <f>IF('3b-d Exposures'!M561="",0,'3b-d Exposures'!M561)</f>
        <v/>
      </c>
      <c r="K462" s="3">
        <f>IF('3b-d Exposures'!O561="",0,'3b-d Exposures'!O561)</f>
        <v/>
      </c>
      <c r="L462" s="3">
        <f>IF('3b-d Exposures'!Q561="",0,'3b-d Exposures'!Q561)</f>
        <v/>
      </c>
      <c r="M462" s="3">
        <f>IF('3b-d Exposures'!S561="",0,'3b-d Exposures'!S561)</f>
        <v/>
      </c>
      <c r="N462" s="3">
        <f>IF('3b-d Exposures'!Z561="",0,'3b-d Exposures'!Z561)</f>
        <v/>
      </c>
      <c r="O462" s="3">
        <f>$D462</f>
        <v/>
      </c>
      <c r="P462" s="3">
        <f>E462*$D462</f>
        <v/>
      </c>
      <c r="Q462" s="3">
        <f>F462*$D462</f>
        <v/>
      </c>
      <c r="R462" s="3">
        <f>G462*$D462</f>
        <v/>
      </c>
      <c r="S462" s="3">
        <f>H462*$D462</f>
        <v/>
      </c>
      <c r="T462" s="3">
        <f>I462*$D462</f>
        <v/>
      </c>
      <c r="U462" s="3">
        <f>J462*$D462</f>
        <v/>
      </c>
      <c r="V462" s="3">
        <f>K462*$D462</f>
        <v/>
      </c>
      <c r="W462" s="3">
        <f>L462*$D462</f>
        <v/>
      </c>
      <c r="X462" s="3">
        <f>M462*$D462</f>
        <v/>
      </c>
      <c r="Y462" s="3">
        <f>N462*$D462</f>
        <v/>
      </c>
      <c r="Z462" s="3">
        <f>C462*$D462</f>
        <v/>
      </c>
      <c r="AA462" s="9">
        <f>$L978+$K978*E462+$J978*F462+$I978*G462+$H978*H462+$G978*I462+$F978*J462+$E978*K462+$D978*L462+$C978*M462+$B978*N462</f>
        <v/>
      </c>
      <c r="AB462" s="9">
        <f>C462-AA462</f>
        <v/>
      </c>
      <c r="AC462" s="4">
        <f>AB462^2</f>
        <v/>
      </c>
    </row>
    <row r="463">
      <c r="A463" t="inlineStr">
        <is>
          <t>BBG004Q00KS7</t>
        </is>
      </c>
      <c r="B463" t="inlineStr">
        <is>
          <t>irt</t>
        </is>
      </c>
      <c r="C463" s="9" t="n">
        <v>-0.01648347483673573</v>
      </c>
      <c r="D463" s="3">
        <f>EXP(0.25*'3b-d Exposures'!G562)</f>
        <v/>
      </c>
      <c r="E463" s="3">
        <f>IF('3b-d Exposures'!C562="",0,'3b-d Exposures'!C562)</f>
        <v/>
      </c>
      <c r="F463" s="3">
        <f>IF('3b-d Exposures'!E562="",0,'3b-d Exposures'!E562)</f>
        <v/>
      </c>
      <c r="G463" s="3">
        <f>IF('3b-d Exposures'!G562="",0,'3b-d Exposures'!G562)</f>
        <v/>
      </c>
      <c r="H463" s="3">
        <f>IF('3b-d Exposures'!I562="",0,'3b-d Exposures'!I562)</f>
        <v/>
      </c>
      <c r="I463" s="3">
        <f>IF('3b-d Exposures'!K562="",0,'3b-d Exposures'!K562)</f>
        <v/>
      </c>
      <c r="J463" s="3">
        <f>IF('3b-d Exposures'!M562="",0,'3b-d Exposures'!M562)</f>
        <v/>
      </c>
      <c r="K463" s="3">
        <f>IF('3b-d Exposures'!O562="",0,'3b-d Exposures'!O562)</f>
        <v/>
      </c>
      <c r="L463" s="3">
        <f>IF('3b-d Exposures'!Q562="",0,'3b-d Exposures'!Q562)</f>
        <v/>
      </c>
      <c r="M463" s="3">
        <f>IF('3b-d Exposures'!S562="",0,'3b-d Exposures'!S562)</f>
        <v/>
      </c>
      <c r="N463" s="3">
        <f>IF('3b-d Exposures'!Z562="",0,'3b-d Exposures'!Z562)</f>
        <v/>
      </c>
      <c r="O463" s="3">
        <f>$D463</f>
        <v/>
      </c>
      <c r="P463" s="3">
        <f>E463*$D463</f>
        <v/>
      </c>
      <c r="Q463" s="3">
        <f>F463*$D463</f>
        <v/>
      </c>
      <c r="R463" s="3">
        <f>G463*$D463</f>
        <v/>
      </c>
      <c r="S463" s="3">
        <f>H463*$D463</f>
        <v/>
      </c>
      <c r="T463" s="3">
        <f>I463*$D463</f>
        <v/>
      </c>
      <c r="U463" s="3">
        <f>J463*$D463</f>
        <v/>
      </c>
      <c r="V463" s="3">
        <f>K463*$D463</f>
        <v/>
      </c>
      <c r="W463" s="3">
        <f>L463*$D463</f>
        <v/>
      </c>
      <c r="X463" s="3">
        <f>M463*$D463</f>
        <v/>
      </c>
      <c r="Y463" s="3">
        <f>N463*$D463</f>
        <v/>
      </c>
      <c r="Z463" s="3">
        <f>C463*$D463</f>
        <v/>
      </c>
      <c r="AA463" s="9">
        <f>$L978+$K978*E463+$J978*F463+$I978*G463+$H978*H463+$G978*I463+$F978*J463+$E978*K463+$D978*L463+$C978*M463+$B978*N463</f>
        <v/>
      </c>
      <c r="AB463" s="9">
        <f>C463-AA463</f>
        <v/>
      </c>
      <c r="AC463" s="4">
        <f>AB463^2</f>
        <v/>
      </c>
    </row>
    <row r="464">
      <c r="A464" t="inlineStr">
        <is>
          <t>BBG000BJPDZ1</t>
        </is>
      </c>
      <c r="B464" t="inlineStr">
        <is>
          <t>isrg</t>
        </is>
      </c>
      <c r="C464" s="9" t="n">
        <v>0.001568220638261009</v>
      </c>
      <c r="D464" s="3">
        <f>EXP(0.25*'3b-d Exposures'!G563)</f>
        <v/>
      </c>
      <c r="E464" s="3">
        <f>IF('3b-d Exposures'!C563="",0,'3b-d Exposures'!C563)</f>
        <v/>
      </c>
      <c r="F464" s="3">
        <f>IF('3b-d Exposures'!E563="",0,'3b-d Exposures'!E563)</f>
        <v/>
      </c>
      <c r="G464" s="3">
        <f>IF('3b-d Exposures'!G563="",0,'3b-d Exposures'!G563)</f>
        <v/>
      </c>
      <c r="H464" s="3">
        <f>IF('3b-d Exposures'!I563="",0,'3b-d Exposures'!I563)</f>
        <v/>
      </c>
      <c r="I464" s="3">
        <f>IF('3b-d Exposures'!K563="",0,'3b-d Exposures'!K563)</f>
        <v/>
      </c>
      <c r="J464" s="3">
        <f>IF('3b-d Exposures'!M563="",0,'3b-d Exposures'!M563)</f>
        <v/>
      </c>
      <c r="K464" s="3">
        <f>IF('3b-d Exposures'!O563="",0,'3b-d Exposures'!O563)</f>
        <v/>
      </c>
      <c r="L464" s="3">
        <f>IF('3b-d Exposures'!Q563="",0,'3b-d Exposures'!Q563)</f>
        <v/>
      </c>
      <c r="M464" s="3">
        <f>IF('3b-d Exposures'!S563="",0,'3b-d Exposures'!S563)</f>
        <v/>
      </c>
      <c r="N464" s="3">
        <f>IF('3b-d Exposures'!Z563="",0,'3b-d Exposures'!Z563)</f>
        <v/>
      </c>
      <c r="O464" s="3">
        <f>$D464</f>
        <v/>
      </c>
      <c r="P464" s="3">
        <f>E464*$D464</f>
        <v/>
      </c>
      <c r="Q464" s="3">
        <f>F464*$D464</f>
        <v/>
      </c>
      <c r="R464" s="3">
        <f>G464*$D464</f>
        <v/>
      </c>
      <c r="S464" s="3">
        <f>H464*$D464</f>
        <v/>
      </c>
      <c r="T464" s="3">
        <f>I464*$D464</f>
        <v/>
      </c>
      <c r="U464" s="3">
        <f>J464*$D464</f>
        <v/>
      </c>
      <c r="V464" s="3">
        <f>K464*$D464</f>
        <v/>
      </c>
      <c r="W464" s="3">
        <f>L464*$D464</f>
        <v/>
      </c>
      <c r="X464" s="3">
        <f>M464*$D464</f>
        <v/>
      </c>
      <c r="Y464" s="3">
        <f>N464*$D464</f>
        <v/>
      </c>
      <c r="Z464" s="3">
        <f>C464*$D464</f>
        <v/>
      </c>
      <c r="AA464" s="9">
        <f>$L978+$K978*E464+$J978*F464+$I978*G464+$H978*H464+$G978*I464+$F978*J464+$E978*K464+$D978*L464+$C978*M464+$B978*N464</f>
        <v/>
      </c>
      <c r="AB464" s="9">
        <f>C464-AA464</f>
        <v/>
      </c>
      <c r="AC464" s="4">
        <f>AB464^2</f>
        <v/>
      </c>
    </row>
    <row r="465">
      <c r="A465" t="inlineStr">
        <is>
          <t>BBG000BB65D0</t>
        </is>
      </c>
      <c r="B465" t="inlineStr">
        <is>
          <t>it</t>
        </is>
      </c>
      <c r="C465" s="9" t="n">
        <v>-0.001795595329354471</v>
      </c>
      <c r="D465" s="3">
        <f>EXP(0.25*'3b-d Exposures'!G564)</f>
        <v/>
      </c>
      <c r="E465" s="3">
        <f>IF('3b-d Exposures'!C564="",0,'3b-d Exposures'!C564)</f>
        <v/>
      </c>
      <c r="F465" s="3">
        <f>IF('3b-d Exposures'!E564="",0,'3b-d Exposures'!E564)</f>
        <v/>
      </c>
      <c r="G465" s="3">
        <f>IF('3b-d Exposures'!G564="",0,'3b-d Exposures'!G564)</f>
        <v/>
      </c>
      <c r="H465" s="3">
        <f>IF('3b-d Exposures'!I564="",0,'3b-d Exposures'!I564)</f>
        <v/>
      </c>
      <c r="I465" s="3">
        <f>IF('3b-d Exposures'!K564="",0,'3b-d Exposures'!K564)</f>
        <v/>
      </c>
      <c r="J465" s="3">
        <f>IF('3b-d Exposures'!M564="",0,'3b-d Exposures'!M564)</f>
        <v/>
      </c>
      <c r="K465" s="3">
        <f>IF('3b-d Exposures'!O564="",0,'3b-d Exposures'!O564)</f>
        <v/>
      </c>
      <c r="L465" s="3">
        <f>IF('3b-d Exposures'!Q564="",0,'3b-d Exposures'!Q564)</f>
        <v/>
      </c>
      <c r="M465" s="3">
        <f>IF('3b-d Exposures'!S564="",0,'3b-d Exposures'!S564)</f>
        <v/>
      </c>
      <c r="N465" s="3">
        <f>IF('3b-d Exposures'!Z564="",0,'3b-d Exposures'!Z564)</f>
        <v/>
      </c>
      <c r="O465" s="3">
        <f>$D465</f>
        <v/>
      </c>
      <c r="P465" s="3">
        <f>E465*$D465</f>
        <v/>
      </c>
      <c r="Q465" s="3">
        <f>F465*$D465</f>
        <v/>
      </c>
      <c r="R465" s="3">
        <f>G465*$D465</f>
        <v/>
      </c>
      <c r="S465" s="3">
        <f>H465*$D465</f>
        <v/>
      </c>
      <c r="T465" s="3">
        <f>I465*$D465</f>
        <v/>
      </c>
      <c r="U465" s="3">
        <f>J465*$D465</f>
        <v/>
      </c>
      <c r="V465" s="3">
        <f>K465*$D465</f>
        <v/>
      </c>
      <c r="W465" s="3">
        <f>L465*$D465</f>
        <v/>
      </c>
      <c r="X465" s="3">
        <f>M465*$D465</f>
        <v/>
      </c>
      <c r="Y465" s="3">
        <f>N465*$D465</f>
        <v/>
      </c>
      <c r="Z465" s="3">
        <f>C465*$D465</f>
        <v/>
      </c>
      <c r="AA465" s="9">
        <f>$L978+$K978*E465+$J978*F465+$I978*G465+$H978*H465+$G978*I465+$F978*J465+$E978*K465+$D978*L465+$C978*M465+$B978*N465</f>
        <v/>
      </c>
      <c r="AB465" s="9">
        <f>C465-AA465</f>
        <v/>
      </c>
      <c r="AC465" s="4">
        <f>AB465^2</f>
        <v/>
      </c>
    </row>
    <row r="466">
      <c r="A466" t="inlineStr">
        <is>
          <t>BBG000BW6JV4</t>
        </is>
      </c>
      <c r="B466" t="inlineStr">
        <is>
          <t>itgr</t>
        </is>
      </c>
      <c r="C466" s="9" t="n">
        <v>-0.01231313685081181</v>
      </c>
      <c r="D466" s="3">
        <f>EXP(0.25*'3b-d Exposures'!G565)</f>
        <v/>
      </c>
      <c r="E466" s="3">
        <f>IF('3b-d Exposures'!C565="",0,'3b-d Exposures'!C565)</f>
        <v/>
      </c>
      <c r="F466" s="3">
        <f>IF('3b-d Exposures'!E565="",0,'3b-d Exposures'!E565)</f>
        <v/>
      </c>
      <c r="G466" s="3">
        <f>IF('3b-d Exposures'!G565="",0,'3b-d Exposures'!G565)</f>
        <v/>
      </c>
      <c r="H466" s="3">
        <f>IF('3b-d Exposures'!I565="",0,'3b-d Exposures'!I565)</f>
        <v/>
      </c>
      <c r="I466" s="3">
        <f>IF('3b-d Exposures'!K565="",0,'3b-d Exposures'!K565)</f>
        <v/>
      </c>
      <c r="J466" s="3">
        <f>IF('3b-d Exposures'!M565="",0,'3b-d Exposures'!M565)</f>
        <v/>
      </c>
      <c r="K466" s="3">
        <f>IF('3b-d Exposures'!O565="",0,'3b-d Exposures'!O565)</f>
        <v/>
      </c>
      <c r="L466" s="3">
        <f>IF('3b-d Exposures'!Q565="",0,'3b-d Exposures'!Q565)</f>
        <v/>
      </c>
      <c r="M466" s="3">
        <f>IF('3b-d Exposures'!S565="",0,'3b-d Exposures'!S565)</f>
        <v/>
      </c>
      <c r="N466" s="3">
        <f>IF('3b-d Exposures'!Z565="",0,'3b-d Exposures'!Z565)</f>
        <v/>
      </c>
      <c r="O466" s="3">
        <f>$D466</f>
        <v/>
      </c>
      <c r="P466" s="3">
        <f>E466*$D466</f>
        <v/>
      </c>
      <c r="Q466" s="3">
        <f>F466*$D466</f>
        <v/>
      </c>
      <c r="R466" s="3">
        <f>G466*$D466</f>
        <v/>
      </c>
      <c r="S466" s="3">
        <f>H466*$D466</f>
        <v/>
      </c>
      <c r="T466" s="3">
        <f>I466*$D466</f>
        <v/>
      </c>
      <c r="U466" s="3">
        <f>J466*$D466</f>
        <v/>
      </c>
      <c r="V466" s="3">
        <f>K466*$D466</f>
        <v/>
      </c>
      <c r="W466" s="3">
        <f>L466*$D466</f>
        <v/>
      </c>
      <c r="X466" s="3">
        <f>M466*$D466</f>
        <v/>
      </c>
      <c r="Y466" s="3">
        <f>N466*$D466</f>
        <v/>
      </c>
      <c r="Z466" s="3">
        <f>C466*$D466</f>
        <v/>
      </c>
      <c r="AA466" s="9">
        <f>$L978+$K978*E466+$J978*F466+$I978*G466+$H978*H466+$G978*I466+$F978*J466+$E978*K466+$D978*L466+$C978*M466+$B978*N466</f>
        <v/>
      </c>
      <c r="AB466" s="9">
        <f>C466-AA466</f>
        <v/>
      </c>
      <c r="AC466" s="4">
        <f>AB466^2</f>
        <v/>
      </c>
    </row>
    <row r="467">
      <c r="A467" t="inlineStr">
        <is>
          <t>BBG000BD2167</t>
        </is>
      </c>
      <c r="B467" t="inlineStr">
        <is>
          <t>itri</t>
        </is>
      </c>
      <c r="C467" s="9" t="n">
        <v>-0.002109170695812623</v>
      </c>
      <c r="D467" s="3">
        <f>EXP(0.25*'3b-d Exposures'!G566)</f>
        <v/>
      </c>
      <c r="E467" s="3">
        <f>IF('3b-d Exposures'!C566="",0,'3b-d Exposures'!C566)</f>
        <v/>
      </c>
      <c r="F467" s="3">
        <f>IF('3b-d Exposures'!E566="",0,'3b-d Exposures'!E566)</f>
        <v/>
      </c>
      <c r="G467" s="3">
        <f>IF('3b-d Exposures'!G566="",0,'3b-d Exposures'!G566)</f>
        <v/>
      </c>
      <c r="H467" s="3">
        <f>IF('3b-d Exposures'!I566="",0,'3b-d Exposures'!I566)</f>
        <v/>
      </c>
      <c r="I467" s="3">
        <f>IF('3b-d Exposures'!K566="",0,'3b-d Exposures'!K566)</f>
        <v/>
      </c>
      <c r="J467" s="3">
        <f>IF('3b-d Exposures'!M566="",0,'3b-d Exposures'!M566)</f>
        <v/>
      </c>
      <c r="K467" s="3">
        <f>IF('3b-d Exposures'!O566="",0,'3b-d Exposures'!O566)</f>
        <v/>
      </c>
      <c r="L467" s="3">
        <f>IF('3b-d Exposures'!Q566="",0,'3b-d Exposures'!Q566)</f>
        <v/>
      </c>
      <c r="M467" s="3">
        <f>IF('3b-d Exposures'!S566="",0,'3b-d Exposures'!S566)</f>
        <v/>
      </c>
      <c r="N467" s="3">
        <f>IF('3b-d Exposures'!Z566="",0,'3b-d Exposures'!Z566)</f>
        <v/>
      </c>
      <c r="O467" s="3">
        <f>$D467</f>
        <v/>
      </c>
      <c r="P467" s="3">
        <f>E467*$D467</f>
        <v/>
      </c>
      <c r="Q467" s="3">
        <f>F467*$D467</f>
        <v/>
      </c>
      <c r="R467" s="3">
        <f>G467*$D467</f>
        <v/>
      </c>
      <c r="S467" s="3">
        <f>H467*$D467</f>
        <v/>
      </c>
      <c r="T467" s="3">
        <f>I467*$D467</f>
        <v/>
      </c>
      <c r="U467" s="3">
        <f>J467*$D467</f>
        <v/>
      </c>
      <c r="V467" s="3">
        <f>K467*$D467</f>
        <v/>
      </c>
      <c r="W467" s="3">
        <f>L467*$D467</f>
        <v/>
      </c>
      <c r="X467" s="3">
        <f>M467*$D467</f>
        <v/>
      </c>
      <c r="Y467" s="3">
        <f>N467*$D467</f>
        <v/>
      </c>
      <c r="Z467" s="3">
        <f>C467*$D467</f>
        <v/>
      </c>
      <c r="AA467" s="9">
        <f>$L978+$K978*E467+$J978*F467+$I978*G467+$H978*H467+$G978*I467+$F978*J467+$E978*K467+$D978*L467+$C978*M467+$B978*N467</f>
        <v/>
      </c>
      <c r="AB467" s="9">
        <f>C467-AA467</f>
        <v/>
      </c>
      <c r="AC467" s="4">
        <f>AB467^2</f>
        <v/>
      </c>
    </row>
    <row r="468">
      <c r="A468" t="inlineStr">
        <is>
          <t>BBG00CVQZQ96</t>
        </is>
      </c>
      <c r="B468" t="inlineStr">
        <is>
          <t>itt</t>
        </is>
      </c>
      <c r="C468" s="9" t="n">
        <v>6.415487144373344e-05</v>
      </c>
      <c r="D468" s="3">
        <f>EXP(0.25*'3b-d Exposures'!G567)</f>
        <v/>
      </c>
      <c r="E468" s="3">
        <f>IF('3b-d Exposures'!C567="",0,'3b-d Exposures'!C567)</f>
        <v/>
      </c>
      <c r="F468" s="3">
        <f>IF('3b-d Exposures'!E567="",0,'3b-d Exposures'!E567)</f>
        <v/>
      </c>
      <c r="G468" s="3">
        <f>IF('3b-d Exposures'!G567="",0,'3b-d Exposures'!G567)</f>
        <v/>
      </c>
      <c r="H468" s="3">
        <f>IF('3b-d Exposures'!I567="",0,'3b-d Exposures'!I567)</f>
        <v/>
      </c>
      <c r="I468" s="3">
        <f>IF('3b-d Exposures'!K567="",0,'3b-d Exposures'!K567)</f>
        <v/>
      </c>
      <c r="J468" s="3">
        <f>IF('3b-d Exposures'!M567="",0,'3b-d Exposures'!M567)</f>
        <v/>
      </c>
      <c r="K468" s="3">
        <f>IF('3b-d Exposures'!O567="",0,'3b-d Exposures'!O567)</f>
        <v/>
      </c>
      <c r="L468" s="3">
        <f>IF('3b-d Exposures'!Q567="",0,'3b-d Exposures'!Q567)</f>
        <v/>
      </c>
      <c r="M468" s="3">
        <f>IF('3b-d Exposures'!S567="",0,'3b-d Exposures'!S567)</f>
        <v/>
      </c>
      <c r="N468" s="3">
        <f>IF('3b-d Exposures'!Z567="",0,'3b-d Exposures'!Z567)</f>
        <v/>
      </c>
      <c r="O468" s="3">
        <f>$D468</f>
        <v/>
      </c>
      <c r="P468" s="3">
        <f>E468*$D468</f>
        <v/>
      </c>
      <c r="Q468" s="3">
        <f>F468*$D468</f>
        <v/>
      </c>
      <c r="R468" s="3">
        <f>G468*$D468</f>
        <v/>
      </c>
      <c r="S468" s="3">
        <f>H468*$D468</f>
        <v/>
      </c>
      <c r="T468" s="3">
        <f>I468*$D468</f>
        <v/>
      </c>
      <c r="U468" s="3">
        <f>J468*$D468</f>
        <v/>
      </c>
      <c r="V468" s="3">
        <f>K468*$D468</f>
        <v/>
      </c>
      <c r="W468" s="3">
        <f>L468*$D468</f>
        <v/>
      </c>
      <c r="X468" s="3">
        <f>M468*$D468</f>
        <v/>
      </c>
      <c r="Y468" s="3">
        <f>N468*$D468</f>
        <v/>
      </c>
      <c r="Z468" s="3">
        <f>C468*$D468</f>
        <v/>
      </c>
      <c r="AA468" s="9">
        <f>$L978+$K978*E468+$J978*F468+$I978*G468+$H978*H468+$G978*I468+$F978*J468+$E978*K468+$D978*L468+$C978*M468+$B978*N468</f>
        <v/>
      </c>
      <c r="AB468" s="9">
        <f>C468-AA468</f>
        <v/>
      </c>
      <c r="AC468" s="4">
        <f>AB468^2</f>
        <v/>
      </c>
    </row>
    <row r="469">
      <c r="A469" t="inlineStr">
        <is>
          <t>BBG000BPVKZ4</t>
        </is>
      </c>
      <c r="B469" t="inlineStr">
        <is>
          <t>itub</t>
        </is>
      </c>
      <c r="C469" s="9" t="n">
        <v>-0.008773177593262349</v>
      </c>
      <c r="D469" s="3">
        <f>EXP(0.25*'3b-d Exposures'!G568)</f>
        <v/>
      </c>
      <c r="E469" s="3">
        <f>IF('3b-d Exposures'!C568="",0,'3b-d Exposures'!C568)</f>
        <v/>
      </c>
      <c r="F469" s="3">
        <f>IF('3b-d Exposures'!E568="",0,'3b-d Exposures'!E568)</f>
        <v/>
      </c>
      <c r="G469" s="3">
        <f>IF('3b-d Exposures'!G568="",0,'3b-d Exposures'!G568)</f>
        <v/>
      </c>
      <c r="H469" s="3">
        <f>IF('3b-d Exposures'!I568="",0,'3b-d Exposures'!I568)</f>
        <v/>
      </c>
      <c r="I469" s="3">
        <f>IF('3b-d Exposures'!K568="",0,'3b-d Exposures'!K568)</f>
        <v/>
      </c>
      <c r="J469" s="3">
        <f>IF('3b-d Exposures'!M568="",0,'3b-d Exposures'!M568)</f>
        <v/>
      </c>
      <c r="K469" s="3">
        <f>IF('3b-d Exposures'!O568="",0,'3b-d Exposures'!O568)</f>
        <v/>
      </c>
      <c r="L469" s="3">
        <f>IF('3b-d Exposures'!Q568="",0,'3b-d Exposures'!Q568)</f>
        <v/>
      </c>
      <c r="M469" s="3">
        <f>IF('3b-d Exposures'!S568="",0,'3b-d Exposures'!S568)</f>
        <v/>
      </c>
      <c r="N469" s="3">
        <f>IF('3b-d Exposures'!Z568="",0,'3b-d Exposures'!Z568)</f>
        <v/>
      </c>
      <c r="O469" s="3">
        <f>$D469</f>
        <v/>
      </c>
      <c r="P469" s="3">
        <f>E469*$D469</f>
        <v/>
      </c>
      <c r="Q469" s="3">
        <f>F469*$D469</f>
        <v/>
      </c>
      <c r="R469" s="3">
        <f>G469*$D469</f>
        <v/>
      </c>
      <c r="S469" s="3">
        <f>H469*$D469</f>
        <v/>
      </c>
      <c r="T469" s="3">
        <f>I469*$D469</f>
        <v/>
      </c>
      <c r="U469" s="3">
        <f>J469*$D469</f>
        <v/>
      </c>
      <c r="V469" s="3">
        <f>K469*$D469</f>
        <v/>
      </c>
      <c r="W469" s="3">
        <f>L469*$D469</f>
        <v/>
      </c>
      <c r="X469" s="3">
        <f>M469*$D469</f>
        <v/>
      </c>
      <c r="Y469" s="3">
        <f>N469*$D469</f>
        <v/>
      </c>
      <c r="Z469" s="3">
        <f>C469*$D469</f>
        <v/>
      </c>
      <c r="AA469" s="9">
        <f>$L978+$K978*E469+$J978*F469+$I978*G469+$H978*H469+$G978*I469+$F978*J469+$E978*K469+$D978*L469+$C978*M469+$B978*N469</f>
        <v/>
      </c>
      <c r="AB469" s="9">
        <f>C469-AA469</f>
        <v/>
      </c>
      <c r="AC469" s="4">
        <f>AB469^2</f>
        <v/>
      </c>
    </row>
    <row r="470">
      <c r="A470" t="inlineStr">
        <is>
          <t>BBG000BMBL90</t>
        </is>
      </c>
      <c r="B470" t="inlineStr">
        <is>
          <t>itw</t>
        </is>
      </c>
      <c r="C470" s="9" t="n">
        <v>0.003531241951693076</v>
      </c>
      <c r="D470" s="3">
        <f>EXP(0.25*'3b-d Exposures'!G569)</f>
        <v/>
      </c>
      <c r="E470" s="3">
        <f>IF('3b-d Exposures'!C569="",0,'3b-d Exposures'!C569)</f>
        <v/>
      </c>
      <c r="F470" s="3">
        <f>IF('3b-d Exposures'!E569="",0,'3b-d Exposures'!E569)</f>
        <v/>
      </c>
      <c r="G470" s="3">
        <f>IF('3b-d Exposures'!G569="",0,'3b-d Exposures'!G569)</f>
        <v/>
      </c>
      <c r="H470" s="3">
        <f>IF('3b-d Exposures'!I569="",0,'3b-d Exposures'!I569)</f>
        <v/>
      </c>
      <c r="I470" s="3">
        <f>IF('3b-d Exposures'!K569="",0,'3b-d Exposures'!K569)</f>
        <v/>
      </c>
      <c r="J470" s="3">
        <f>IF('3b-d Exposures'!M569="",0,'3b-d Exposures'!M569)</f>
        <v/>
      </c>
      <c r="K470" s="3">
        <f>IF('3b-d Exposures'!O569="",0,'3b-d Exposures'!O569)</f>
        <v/>
      </c>
      <c r="L470" s="3">
        <f>IF('3b-d Exposures'!Q569="",0,'3b-d Exposures'!Q569)</f>
        <v/>
      </c>
      <c r="M470" s="3">
        <f>IF('3b-d Exposures'!S569="",0,'3b-d Exposures'!S569)</f>
        <v/>
      </c>
      <c r="N470" s="3">
        <f>IF('3b-d Exposures'!Z569="",0,'3b-d Exposures'!Z569)</f>
        <v/>
      </c>
      <c r="O470" s="3">
        <f>$D470</f>
        <v/>
      </c>
      <c r="P470" s="3">
        <f>E470*$D470</f>
        <v/>
      </c>
      <c r="Q470" s="3">
        <f>F470*$D470</f>
        <v/>
      </c>
      <c r="R470" s="3">
        <f>G470*$D470</f>
        <v/>
      </c>
      <c r="S470" s="3">
        <f>H470*$D470</f>
        <v/>
      </c>
      <c r="T470" s="3">
        <f>I470*$D470</f>
        <v/>
      </c>
      <c r="U470" s="3">
        <f>J470*$D470</f>
        <v/>
      </c>
      <c r="V470" s="3">
        <f>K470*$D470</f>
        <v/>
      </c>
      <c r="W470" s="3">
        <f>L470*$D470</f>
        <v/>
      </c>
      <c r="X470" s="3">
        <f>M470*$D470</f>
        <v/>
      </c>
      <c r="Y470" s="3">
        <f>N470*$D470</f>
        <v/>
      </c>
      <c r="Z470" s="3">
        <f>C470*$D470</f>
        <v/>
      </c>
      <c r="AA470" s="9">
        <f>$L978+$K978*E470+$J978*F470+$I978*G470+$H978*H470+$G978*I470+$F978*J470+$E978*K470+$D978*L470+$C978*M470+$B978*N470</f>
        <v/>
      </c>
      <c r="AB470" s="9">
        <f>C470-AA470</f>
        <v/>
      </c>
      <c r="AC470" s="4">
        <f>AB470^2</f>
        <v/>
      </c>
    </row>
    <row r="471">
      <c r="A471" t="inlineStr">
        <is>
          <t>ivz</t>
        </is>
      </c>
      <c r="B471" t="inlineStr">
        <is>
          <t>ivz</t>
        </is>
      </c>
      <c r="C471" s="9" t="n">
        <v>0</v>
      </c>
      <c r="D471" s="3">
        <f>EXP(0.25*'3b-d Exposures'!G570)</f>
        <v/>
      </c>
      <c r="E471" s="3">
        <f>IF('3b-d Exposures'!C570="",0,'3b-d Exposures'!C570)</f>
        <v/>
      </c>
      <c r="F471" s="3">
        <f>IF('3b-d Exposures'!E570="",0,'3b-d Exposures'!E570)</f>
        <v/>
      </c>
      <c r="G471" s="3">
        <f>IF('3b-d Exposures'!G570="",0,'3b-d Exposures'!G570)</f>
        <v/>
      </c>
      <c r="H471" s="3">
        <f>IF('3b-d Exposures'!I570="",0,'3b-d Exposures'!I570)</f>
        <v/>
      </c>
      <c r="I471" s="3">
        <f>IF('3b-d Exposures'!K570="",0,'3b-d Exposures'!K570)</f>
        <v/>
      </c>
      <c r="J471" s="3">
        <f>IF('3b-d Exposures'!M570="",0,'3b-d Exposures'!M570)</f>
        <v/>
      </c>
      <c r="K471" s="3">
        <f>IF('3b-d Exposures'!O570="",0,'3b-d Exposures'!O570)</f>
        <v/>
      </c>
      <c r="L471" s="3">
        <f>IF('3b-d Exposures'!Q570="",0,'3b-d Exposures'!Q570)</f>
        <v/>
      </c>
      <c r="M471" s="3">
        <f>IF('3b-d Exposures'!S570="",0,'3b-d Exposures'!S570)</f>
        <v/>
      </c>
      <c r="N471" s="3">
        <f>IF('3b-d Exposures'!Z570="",0,'3b-d Exposures'!Z570)</f>
        <v/>
      </c>
      <c r="O471" s="3">
        <f>$D471</f>
        <v/>
      </c>
      <c r="P471" s="3">
        <f>E471*$D471</f>
        <v/>
      </c>
      <c r="Q471" s="3">
        <f>F471*$D471</f>
        <v/>
      </c>
      <c r="R471" s="3">
        <f>G471*$D471</f>
        <v/>
      </c>
      <c r="S471" s="3">
        <f>H471*$D471</f>
        <v/>
      </c>
      <c r="T471" s="3">
        <f>I471*$D471</f>
        <v/>
      </c>
      <c r="U471" s="3">
        <f>J471*$D471</f>
        <v/>
      </c>
      <c r="V471" s="3">
        <f>K471*$D471</f>
        <v/>
      </c>
      <c r="W471" s="3">
        <f>L471*$D471</f>
        <v/>
      </c>
      <c r="X471" s="3">
        <f>M471*$D471</f>
        <v/>
      </c>
      <c r="Y471" s="3">
        <f>N471*$D471</f>
        <v/>
      </c>
      <c r="Z471" s="3">
        <f>C471*$D471</f>
        <v/>
      </c>
      <c r="AA471" s="9">
        <f>$L978+$K978*E471+$J978*F471+$I978*G471+$H978*H471+$G978*I471+$F978*J471+$E978*K471+$D978*L471+$C978*M471+$B978*N471</f>
        <v/>
      </c>
      <c r="AB471" s="9">
        <f>C471-AA471</f>
        <v/>
      </c>
      <c r="AC471" s="4">
        <f>AB471^2</f>
        <v/>
      </c>
    </row>
    <row r="472">
      <c r="A472" t="inlineStr">
        <is>
          <t>BBG019C1BQR4</t>
        </is>
      </c>
      <c r="B472" t="inlineStr">
        <is>
          <t>j</t>
        </is>
      </c>
      <c r="C472" s="9" t="n">
        <v>-0.009629739534410597</v>
      </c>
      <c r="D472" s="3">
        <f>EXP(0.25*'3b-d Exposures'!G571)</f>
        <v/>
      </c>
      <c r="E472" s="3">
        <f>IF('3b-d Exposures'!C571="",0,'3b-d Exposures'!C571)</f>
        <v/>
      </c>
      <c r="F472" s="3">
        <f>IF('3b-d Exposures'!E571="",0,'3b-d Exposures'!E571)</f>
        <v/>
      </c>
      <c r="G472" s="3">
        <f>IF('3b-d Exposures'!G571="",0,'3b-d Exposures'!G571)</f>
        <v/>
      </c>
      <c r="H472" s="3">
        <f>IF('3b-d Exposures'!I571="",0,'3b-d Exposures'!I571)</f>
        <v/>
      </c>
      <c r="I472" s="3">
        <f>IF('3b-d Exposures'!K571="",0,'3b-d Exposures'!K571)</f>
        <v/>
      </c>
      <c r="J472" s="3">
        <f>IF('3b-d Exposures'!M571="",0,'3b-d Exposures'!M571)</f>
        <v/>
      </c>
      <c r="K472" s="3">
        <f>IF('3b-d Exposures'!O571="",0,'3b-d Exposures'!O571)</f>
        <v/>
      </c>
      <c r="L472" s="3">
        <f>IF('3b-d Exposures'!Q571="",0,'3b-d Exposures'!Q571)</f>
        <v/>
      </c>
      <c r="M472" s="3">
        <f>IF('3b-d Exposures'!S571="",0,'3b-d Exposures'!S571)</f>
        <v/>
      </c>
      <c r="N472" s="3">
        <f>IF('3b-d Exposures'!Z571="",0,'3b-d Exposures'!Z571)</f>
        <v/>
      </c>
      <c r="O472" s="3">
        <f>$D472</f>
        <v/>
      </c>
      <c r="P472" s="3">
        <f>E472*$D472</f>
        <v/>
      </c>
      <c r="Q472" s="3">
        <f>F472*$D472</f>
        <v/>
      </c>
      <c r="R472" s="3">
        <f>G472*$D472</f>
        <v/>
      </c>
      <c r="S472" s="3">
        <f>H472*$D472</f>
        <v/>
      </c>
      <c r="T472" s="3">
        <f>I472*$D472</f>
        <v/>
      </c>
      <c r="U472" s="3">
        <f>J472*$D472</f>
        <v/>
      </c>
      <c r="V472" s="3">
        <f>K472*$D472</f>
        <v/>
      </c>
      <c r="W472" s="3">
        <f>L472*$D472</f>
        <v/>
      </c>
      <c r="X472" s="3">
        <f>M472*$D472</f>
        <v/>
      </c>
      <c r="Y472" s="3">
        <f>N472*$D472</f>
        <v/>
      </c>
      <c r="Z472" s="3">
        <f>C472*$D472</f>
        <v/>
      </c>
      <c r="AA472" s="9">
        <f>$L978+$K978*E472+$J978*F472+$I978*G472+$H978*H472+$G978*I472+$F978*J472+$E978*K472+$D978*L472+$C978*M472+$B978*N472</f>
        <v/>
      </c>
      <c r="AB472" s="9">
        <f>C472-AA472</f>
        <v/>
      </c>
      <c r="AC472" s="4">
        <f>AB472^2</f>
        <v/>
      </c>
    </row>
    <row r="473">
      <c r="A473" t="inlineStr">
        <is>
          <t>BBG000BMDBZ1</t>
        </is>
      </c>
      <c r="B473" t="inlineStr">
        <is>
          <t>jbht</t>
        </is>
      </c>
      <c r="C473" s="9" t="n">
        <v>0.0006873218856711105</v>
      </c>
      <c r="D473" s="3">
        <f>EXP(0.25*'3b-d Exposures'!G573)</f>
        <v/>
      </c>
      <c r="E473" s="3">
        <f>IF('3b-d Exposures'!C573="",0,'3b-d Exposures'!C573)</f>
        <v/>
      </c>
      <c r="F473" s="3">
        <f>IF('3b-d Exposures'!E573="",0,'3b-d Exposures'!E573)</f>
        <v/>
      </c>
      <c r="G473" s="3">
        <f>IF('3b-d Exposures'!G573="",0,'3b-d Exposures'!G573)</f>
        <v/>
      </c>
      <c r="H473" s="3">
        <f>IF('3b-d Exposures'!I573="",0,'3b-d Exposures'!I573)</f>
        <v/>
      </c>
      <c r="I473" s="3">
        <f>IF('3b-d Exposures'!K573="",0,'3b-d Exposures'!K573)</f>
        <v/>
      </c>
      <c r="J473" s="3">
        <f>IF('3b-d Exposures'!M573="",0,'3b-d Exposures'!M573)</f>
        <v/>
      </c>
      <c r="K473" s="3">
        <f>IF('3b-d Exposures'!O573="",0,'3b-d Exposures'!O573)</f>
        <v/>
      </c>
      <c r="L473" s="3">
        <f>IF('3b-d Exposures'!Q573="",0,'3b-d Exposures'!Q573)</f>
        <v/>
      </c>
      <c r="M473" s="3">
        <f>IF('3b-d Exposures'!S573="",0,'3b-d Exposures'!S573)</f>
        <v/>
      </c>
      <c r="N473" s="3">
        <f>IF('3b-d Exposures'!Z573="",0,'3b-d Exposures'!Z573)</f>
        <v/>
      </c>
      <c r="O473" s="3">
        <f>$D473</f>
        <v/>
      </c>
      <c r="P473" s="3">
        <f>E473*$D473</f>
        <v/>
      </c>
      <c r="Q473" s="3">
        <f>F473*$D473</f>
        <v/>
      </c>
      <c r="R473" s="3">
        <f>G473*$D473</f>
        <v/>
      </c>
      <c r="S473" s="3">
        <f>H473*$D473</f>
        <v/>
      </c>
      <c r="T473" s="3">
        <f>I473*$D473</f>
        <v/>
      </c>
      <c r="U473" s="3">
        <f>J473*$D473</f>
        <v/>
      </c>
      <c r="V473" s="3">
        <f>K473*$D473</f>
        <v/>
      </c>
      <c r="W473" s="3">
        <f>L473*$D473</f>
        <v/>
      </c>
      <c r="X473" s="3">
        <f>M473*$D473</f>
        <v/>
      </c>
      <c r="Y473" s="3">
        <f>N473*$D473</f>
        <v/>
      </c>
      <c r="Z473" s="3">
        <f>C473*$D473</f>
        <v/>
      </c>
      <c r="AA473" s="9">
        <f>$L978+$K978*E473+$J978*F473+$I978*G473+$H978*H473+$G978*I473+$F978*J473+$E978*K473+$D978*L473+$C978*M473+$B978*N473</f>
        <v/>
      </c>
      <c r="AB473" s="9">
        <f>C473-AA473</f>
        <v/>
      </c>
      <c r="AC473" s="4">
        <f>AB473^2</f>
        <v/>
      </c>
    </row>
    <row r="474">
      <c r="A474" t="inlineStr">
        <is>
          <t>jbl</t>
        </is>
      </c>
      <c r="B474" t="inlineStr">
        <is>
          <t>jbl</t>
        </is>
      </c>
      <c r="C474" s="9" t="n">
        <v>-0.004711712187434491</v>
      </c>
      <c r="D474" s="3">
        <f>EXP(0.25*'3b-d Exposures'!G574)</f>
        <v/>
      </c>
      <c r="E474" s="3">
        <f>IF('3b-d Exposures'!C574="",0,'3b-d Exposures'!C574)</f>
        <v/>
      </c>
      <c r="F474" s="3">
        <f>IF('3b-d Exposures'!E574="",0,'3b-d Exposures'!E574)</f>
        <v/>
      </c>
      <c r="G474" s="3">
        <f>IF('3b-d Exposures'!G574="",0,'3b-d Exposures'!G574)</f>
        <v/>
      </c>
      <c r="H474" s="3">
        <f>IF('3b-d Exposures'!I574="",0,'3b-d Exposures'!I574)</f>
        <v/>
      </c>
      <c r="I474" s="3">
        <f>IF('3b-d Exposures'!K574="",0,'3b-d Exposures'!K574)</f>
        <v/>
      </c>
      <c r="J474" s="3">
        <f>IF('3b-d Exposures'!M574="",0,'3b-d Exposures'!M574)</f>
        <v/>
      </c>
      <c r="K474" s="3">
        <f>IF('3b-d Exposures'!O574="",0,'3b-d Exposures'!O574)</f>
        <v/>
      </c>
      <c r="L474" s="3">
        <f>IF('3b-d Exposures'!Q574="",0,'3b-d Exposures'!Q574)</f>
        <v/>
      </c>
      <c r="M474" s="3">
        <f>IF('3b-d Exposures'!S574="",0,'3b-d Exposures'!S574)</f>
        <v/>
      </c>
      <c r="N474" s="3">
        <f>IF('3b-d Exposures'!Z574="",0,'3b-d Exposures'!Z574)</f>
        <v/>
      </c>
      <c r="O474" s="3">
        <f>$D474</f>
        <v/>
      </c>
      <c r="P474" s="3">
        <f>E474*$D474</f>
        <v/>
      </c>
      <c r="Q474" s="3">
        <f>F474*$D474</f>
        <v/>
      </c>
      <c r="R474" s="3">
        <f>G474*$D474</f>
        <v/>
      </c>
      <c r="S474" s="3">
        <f>H474*$D474</f>
        <v/>
      </c>
      <c r="T474" s="3">
        <f>I474*$D474</f>
        <v/>
      </c>
      <c r="U474" s="3">
        <f>J474*$D474</f>
        <v/>
      </c>
      <c r="V474" s="3">
        <f>K474*$D474</f>
        <v/>
      </c>
      <c r="W474" s="3">
        <f>L474*$D474</f>
        <v/>
      </c>
      <c r="X474" s="3">
        <f>M474*$D474</f>
        <v/>
      </c>
      <c r="Y474" s="3">
        <f>N474*$D474</f>
        <v/>
      </c>
      <c r="Z474" s="3">
        <f>C474*$D474</f>
        <v/>
      </c>
      <c r="AA474" s="9">
        <f>$L978+$K978*E474+$J978*F474+$I978*G474+$H978*H474+$G978*I474+$F978*J474+$E978*K474+$D978*L474+$C978*M474+$B978*N474</f>
        <v/>
      </c>
      <c r="AB474" s="9">
        <f>C474-AA474</f>
        <v/>
      </c>
      <c r="AC474" s="4">
        <f>AB474^2</f>
        <v/>
      </c>
    </row>
    <row r="475">
      <c r="A475" t="inlineStr">
        <is>
          <t>BBG000BRQ6L2</t>
        </is>
      </c>
      <c r="B475" t="inlineStr">
        <is>
          <t>jblu</t>
        </is>
      </c>
      <c r="C475" s="9" t="n">
        <v>0.03685096729655757</v>
      </c>
      <c r="D475" s="3">
        <f>EXP(0.25*'3b-d Exposures'!G575)</f>
        <v/>
      </c>
      <c r="E475" s="3">
        <f>IF('3b-d Exposures'!C575="",0,'3b-d Exposures'!C575)</f>
        <v/>
      </c>
      <c r="F475" s="3">
        <f>IF('3b-d Exposures'!E575="",0,'3b-d Exposures'!E575)</f>
        <v/>
      </c>
      <c r="G475" s="3">
        <f>IF('3b-d Exposures'!G575="",0,'3b-d Exposures'!G575)</f>
        <v/>
      </c>
      <c r="H475" s="3">
        <f>IF('3b-d Exposures'!I575="",0,'3b-d Exposures'!I575)</f>
        <v/>
      </c>
      <c r="I475" s="3">
        <f>IF('3b-d Exposures'!K575="",0,'3b-d Exposures'!K575)</f>
        <v/>
      </c>
      <c r="J475" s="3">
        <f>IF('3b-d Exposures'!M575="",0,'3b-d Exposures'!M575)</f>
        <v/>
      </c>
      <c r="K475" s="3">
        <f>IF('3b-d Exposures'!O575="",0,'3b-d Exposures'!O575)</f>
        <v/>
      </c>
      <c r="L475" s="3">
        <f>IF('3b-d Exposures'!Q575="",0,'3b-d Exposures'!Q575)</f>
        <v/>
      </c>
      <c r="M475" s="3">
        <f>IF('3b-d Exposures'!S575="",0,'3b-d Exposures'!S575)</f>
        <v/>
      </c>
      <c r="N475" s="3">
        <f>IF('3b-d Exposures'!Z575="",0,'3b-d Exposures'!Z575)</f>
        <v/>
      </c>
      <c r="O475" s="3">
        <f>$D475</f>
        <v/>
      </c>
      <c r="P475" s="3">
        <f>E475*$D475</f>
        <v/>
      </c>
      <c r="Q475" s="3">
        <f>F475*$D475</f>
        <v/>
      </c>
      <c r="R475" s="3">
        <f>G475*$D475</f>
        <v/>
      </c>
      <c r="S475" s="3">
        <f>H475*$D475</f>
        <v/>
      </c>
      <c r="T475" s="3">
        <f>I475*$D475</f>
        <v/>
      </c>
      <c r="U475" s="3">
        <f>J475*$D475</f>
        <v/>
      </c>
      <c r="V475" s="3">
        <f>K475*$D475</f>
        <v/>
      </c>
      <c r="W475" s="3">
        <f>L475*$D475</f>
        <v/>
      </c>
      <c r="X475" s="3">
        <f>M475*$D475</f>
        <v/>
      </c>
      <c r="Y475" s="3">
        <f>N475*$D475</f>
        <v/>
      </c>
      <c r="Z475" s="3">
        <f>C475*$D475</f>
        <v/>
      </c>
      <c r="AA475" s="9">
        <f>$L978+$K978*E475+$J978*F475+$I978*G475+$H978*H475+$G978*I475+$F978*J475+$E978*K475+$D978*L475+$C978*M475+$B978*N475</f>
        <v/>
      </c>
      <c r="AB475" s="9">
        <f>C475-AA475</f>
        <v/>
      </c>
      <c r="AC475" s="4">
        <f>AB475^2</f>
        <v/>
      </c>
    </row>
    <row r="476">
      <c r="A476" t="inlineStr">
        <is>
          <t>BBG000VLBCQ1</t>
        </is>
      </c>
      <c r="B476" t="inlineStr">
        <is>
          <t>jbtm</t>
        </is>
      </c>
      <c r="C476" s="9" t="n">
        <v>-0.00674496098206423</v>
      </c>
      <c r="D476" s="3">
        <f>EXP(0.25*'3b-d Exposures'!G576)</f>
        <v/>
      </c>
      <c r="E476" s="3">
        <f>IF('3b-d Exposures'!C576="",0,'3b-d Exposures'!C576)</f>
        <v/>
      </c>
      <c r="F476" s="3">
        <f>IF('3b-d Exposures'!E576="",0,'3b-d Exposures'!E576)</f>
        <v/>
      </c>
      <c r="G476" s="3">
        <f>IF('3b-d Exposures'!G576="",0,'3b-d Exposures'!G576)</f>
        <v/>
      </c>
      <c r="H476" s="3">
        <f>IF('3b-d Exposures'!I576="",0,'3b-d Exposures'!I576)</f>
        <v/>
      </c>
      <c r="I476" s="3">
        <f>IF('3b-d Exposures'!K576="",0,'3b-d Exposures'!K576)</f>
        <v/>
      </c>
      <c r="J476" s="3">
        <f>IF('3b-d Exposures'!M576="",0,'3b-d Exposures'!M576)</f>
        <v/>
      </c>
      <c r="K476" s="3">
        <f>IF('3b-d Exposures'!O576="",0,'3b-d Exposures'!O576)</f>
        <v/>
      </c>
      <c r="L476" s="3">
        <f>IF('3b-d Exposures'!Q576="",0,'3b-d Exposures'!Q576)</f>
        <v/>
      </c>
      <c r="M476" s="3">
        <f>IF('3b-d Exposures'!S576="",0,'3b-d Exposures'!S576)</f>
        <v/>
      </c>
      <c r="N476" s="3">
        <f>IF('3b-d Exposures'!Z576="",0,'3b-d Exposures'!Z576)</f>
        <v/>
      </c>
      <c r="O476" s="3">
        <f>$D476</f>
        <v/>
      </c>
      <c r="P476" s="3">
        <f>E476*$D476</f>
        <v/>
      </c>
      <c r="Q476" s="3">
        <f>F476*$D476</f>
        <v/>
      </c>
      <c r="R476" s="3">
        <f>G476*$D476</f>
        <v/>
      </c>
      <c r="S476" s="3">
        <f>H476*$D476</f>
        <v/>
      </c>
      <c r="T476" s="3">
        <f>I476*$D476</f>
        <v/>
      </c>
      <c r="U476" s="3">
        <f>J476*$D476</f>
        <v/>
      </c>
      <c r="V476" s="3">
        <f>K476*$D476</f>
        <v/>
      </c>
      <c r="W476" s="3">
        <f>L476*$D476</f>
        <v/>
      </c>
      <c r="X476" s="3">
        <f>M476*$D476</f>
        <v/>
      </c>
      <c r="Y476" s="3">
        <f>N476*$D476</f>
        <v/>
      </c>
      <c r="Z476" s="3">
        <f>C476*$D476</f>
        <v/>
      </c>
      <c r="AA476" s="9">
        <f>$L978+$K978*E476+$J978*F476+$I978*G476+$H978*H476+$G978*I476+$F978*J476+$E978*K476+$D978*L476+$C978*M476+$B978*N476</f>
        <v/>
      </c>
      <c r="AB476" s="9">
        <f>C476-AA476</f>
        <v/>
      </c>
      <c r="AC476" s="4">
        <f>AB476^2</f>
        <v/>
      </c>
    </row>
    <row r="477">
      <c r="A477" t="inlineStr">
        <is>
          <t>jci</t>
        </is>
      </c>
      <c r="B477" t="inlineStr">
        <is>
          <t>jci</t>
        </is>
      </c>
      <c r="C477" s="9" t="n">
        <v>-0.002265770096301911</v>
      </c>
      <c r="D477" s="3">
        <f>EXP(0.25*'3b-d Exposures'!G577)</f>
        <v/>
      </c>
      <c r="E477" s="3">
        <f>IF('3b-d Exposures'!C577="",0,'3b-d Exposures'!C577)</f>
        <v/>
      </c>
      <c r="F477" s="3">
        <f>IF('3b-d Exposures'!E577="",0,'3b-d Exposures'!E577)</f>
        <v/>
      </c>
      <c r="G477" s="3">
        <f>IF('3b-d Exposures'!G577="",0,'3b-d Exposures'!G577)</f>
        <v/>
      </c>
      <c r="H477" s="3">
        <f>IF('3b-d Exposures'!I577="",0,'3b-d Exposures'!I577)</f>
        <v/>
      </c>
      <c r="I477" s="3">
        <f>IF('3b-d Exposures'!K577="",0,'3b-d Exposures'!K577)</f>
        <v/>
      </c>
      <c r="J477" s="3">
        <f>IF('3b-d Exposures'!M577="",0,'3b-d Exposures'!M577)</f>
        <v/>
      </c>
      <c r="K477" s="3">
        <f>IF('3b-d Exposures'!O577="",0,'3b-d Exposures'!O577)</f>
        <v/>
      </c>
      <c r="L477" s="3">
        <f>IF('3b-d Exposures'!Q577="",0,'3b-d Exposures'!Q577)</f>
        <v/>
      </c>
      <c r="M477" s="3">
        <f>IF('3b-d Exposures'!S577="",0,'3b-d Exposures'!S577)</f>
        <v/>
      </c>
      <c r="N477" s="3">
        <f>IF('3b-d Exposures'!Z577="",0,'3b-d Exposures'!Z577)</f>
        <v/>
      </c>
      <c r="O477" s="3">
        <f>$D477</f>
        <v/>
      </c>
      <c r="P477" s="3">
        <f>E477*$D477</f>
        <v/>
      </c>
      <c r="Q477" s="3">
        <f>F477*$D477</f>
        <v/>
      </c>
      <c r="R477" s="3">
        <f>G477*$D477</f>
        <v/>
      </c>
      <c r="S477" s="3">
        <f>H477*$D477</f>
        <v/>
      </c>
      <c r="T477" s="3">
        <f>I477*$D477</f>
        <v/>
      </c>
      <c r="U477" s="3">
        <f>J477*$D477</f>
        <v/>
      </c>
      <c r="V477" s="3">
        <f>K477*$D477</f>
        <v/>
      </c>
      <c r="W477" s="3">
        <f>L477*$D477</f>
        <v/>
      </c>
      <c r="X477" s="3">
        <f>M477*$D477</f>
        <v/>
      </c>
      <c r="Y477" s="3">
        <f>N477*$D477</f>
        <v/>
      </c>
      <c r="Z477" s="3">
        <f>C477*$D477</f>
        <v/>
      </c>
      <c r="AA477" s="9">
        <f>$L978+$K978*E477+$J978*F477+$I978*G477+$H978*H477+$G978*I477+$F978*J477+$E978*K477+$D978*L477+$C978*M477+$B978*N477</f>
        <v/>
      </c>
      <c r="AB477" s="9">
        <f>C477-AA477</f>
        <v/>
      </c>
      <c r="AC477" s="4">
        <f>AB477^2</f>
        <v/>
      </c>
    </row>
    <row r="478">
      <c r="A478" t="inlineStr">
        <is>
          <t>BBG005YHY0Q7</t>
        </is>
      </c>
      <c r="B478" t="inlineStr">
        <is>
          <t>jd</t>
        </is>
      </c>
      <c r="C478" s="9" t="n">
        <v>0.002407656713938167</v>
      </c>
      <c r="D478" s="3">
        <f>EXP(0.25*'3b-d Exposures'!G578)</f>
        <v/>
      </c>
      <c r="E478" s="3">
        <f>IF('3b-d Exposures'!C578="",0,'3b-d Exposures'!C578)</f>
        <v/>
      </c>
      <c r="F478" s="3">
        <f>IF('3b-d Exposures'!E578="",0,'3b-d Exposures'!E578)</f>
        <v/>
      </c>
      <c r="G478" s="3">
        <f>IF('3b-d Exposures'!G578="",0,'3b-d Exposures'!G578)</f>
        <v/>
      </c>
      <c r="H478" s="3">
        <f>IF('3b-d Exposures'!I578="",0,'3b-d Exposures'!I578)</f>
        <v/>
      </c>
      <c r="I478" s="3">
        <f>IF('3b-d Exposures'!K578="",0,'3b-d Exposures'!K578)</f>
        <v/>
      </c>
      <c r="J478" s="3">
        <f>IF('3b-d Exposures'!M578="",0,'3b-d Exposures'!M578)</f>
        <v/>
      </c>
      <c r="K478" s="3">
        <f>IF('3b-d Exposures'!O578="",0,'3b-d Exposures'!O578)</f>
        <v/>
      </c>
      <c r="L478" s="3">
        <f>IF('3b-d Exposures'!Q578="",0,'3b-d Exposures'!Q578)</f>
        <v/>
      </c>
      <c r="M478" s="3">
        <f>IF('3b-d Exposures'!S578="",0,'3b-d Exposures'!S578)</f>
        <v/>
      </c>
      <c r="N478" s="3">
        <f>IF('3b-d Exposures'!Z578="",0,'3b-d Exposures'!Z578)</f>
        <v/>
      </c>
      <c r="O478" s="3">
        <f>$D478</f>
        <v/>
      </c>
      <c r="P478" s="3">
        <f>E478*$D478</f>
        <v/>
      </c>
      <c r="Q478" s="3">
        <f>F478*$D478</f>
        <v/>
      </c>
      <c r="R478" s="3">
        <f>G478*$D478</f>
        <v/>
      </c>
      <c r="S478" s="3">
        <f>H478*$D478</f>
        <v/>
      </c>
      <c r="T478" s="3">
        <f>I478*$D478</f>
        <v/>
      </c>
      <c r="U478" s="3">
        <f>J478*$D478</f>
        <v/>
      </c>
      <c r="V478" s="3">
        <f>K478*$D478</f>
        <v/>
      </c>
      <c r="W478" s="3">
        <f>L478*$D478</f>
        <v/>
      </c>
      <c r="X478" s="3">
        <f>M478*$D478</f>
        <v/>
      </c>
      <c r="Y478" s="3">
        <f>N478*$D478</f>
        <v/>
      </c>
      <c r="Z478" s="3">
        <f>C478*$D478</f>
        <v/>
      </c>
      <c r="AA478" s="9">
        <f>$L978+$K978*E478+$J978*F478+$I978*G478+$H978*H478+$G978*I478+$F978*J478+$E978*K478+$D978*L478+$C978*M478+$B978*N478</f>
        <v/>
      </c>
      <c r="AB478" s="9">
        <f>C478-AA478</f>
        <v/>
      </c>
      <c r="AC478" s="4">
        <f>AB478^2</f>
        <v/>
      </c>
    </row>
    <row r="479">
      <c r="A479" t="inlineStr">
        <is>
          <t>BBG000BNHSP9</t>
        </is>
      </c>
      <c r="B479" t="inlineStr">
        <is>
          <t>jef</t>
        </is>
      </c>
      <c r="C479" s="9" t="n">
        <v>-0.01162509561947644</v>
      </c>
      <c r="D479" s="3">
        <f>EXP(0.25*'3b-d Exposures'!G579)</f>
        <v/>
      </c>
      <c r="E479" s="3">
        <f>IF('3b-d Exposures'!C579="",0,'3b-d Exposures'!C579)</f>
        <v/>
      </c>
      <c r="F479" s="3">
        <f>IF('3b-d Exposures'!E579="",0,'3b-d Exposures'!E579)</f>
        <v/>
      </c>
      <c r="G479" s="3">
        <f>IF('3b-d Exposures'!G579="",0,'3b-d Exposures'!G579)</f>
        <v/>
      </c>
      <c r="H479" s="3">
        <f>IF('3b-d Exposures'!I579="",0,'3b-d Exposures'!I579)</f>
        <v/>
      </c>
      <c r="I479" s="3">
        <f>IF('3b-d Exposures'!K579="",0,'3b-d Exposures'!K579)</f>
        <v/>
      </c>
      <c r="J479" s="3">
        <f>IF('3b-d Exposures'!M579="",0,'3b-d Exposures'!M579)</f>
        <v/>
      </c>
      <c r="K479" s="3">
        <f>IF('3b-d Exposures'!O579="",0,'3b-d Exposures'!O579)</f>
        <v/>
      </c>
      <c r="L479" s="3">
        <f>IF('3b-d Exposures'!Q579="",0,'3b-d Exposures'!Q579)</f>
        <v/>
      </c>
      <c r="M479" s="3">
        <f>IF('3b-d Exposures'!S579="",0,'3b-d Exposures'!S579)</f>
        <v/>
      </c>
      <c r="N479" s="3">
        <f>IF('3b-d Exposures'!Z579="",0,'3b-d Exposures'!Z579)</f>
        <v/>
      </c>
      <c r="O479" s="3">
        <f>$D479</f>
        <v/>
      </c>
      <c r="P479" s="3">
        <f>E479*$D479</f>
        <v/>
      </c>
      <c r="Q479" s="3">
        <f>F479*$D479</f>
        <v/>
      </c>
      <c r="R479" s="3">
        <f>G479*$D479</f>
        <v/>
      </c>
      <c r="S479" s="3">
        <f>H479*$D479</f>
        <v/>
      </c>
      <c r="T479" s="3">
        <f>I479*$D479</f>
        <v/>
      </c>
      <c r="U479" s="3">
        <f>J479*$D479</f>
        <v/>
      </c>
      <c r="V479" s="3">
        <f>K479*$D479</f>
        <v/>
      </c>
      <c r="W479" s="3">
        <f>L479*$D479</f>
        <v/>
      </c>
      <c r="X479" s="3">
        <f>M479*$D479</f>
        <v/>
      </c>
      <c r="Y479" s="3">
        <f>N479*$D479</f>
        <v/>
      </c>
      <c r="Z479" s="3">
        <f>C479*$D479</f>
        <v/>
      </c>
      <c r="AA479" s="9">
        <f>$L978+$K978*E479+$J978*F479+$I978*G479+$H978*H479+$G978*I479+$F978*J479+$E978*K479+$D978*L479+$C978*M479+$B978*N479</f>
        <v/>
      </c>
      <c r="AB479" s="9">
        <f>C479-AA479</f>
        <v/>
      </c>
      <c r="AC479" s="4">
        <f>AB479^2</f>
        <v/>
      </c>
    </row>
    <row r="480">
      <c r="A480" t="inlineStr">
        <is>
          <t>jkhy</t>
        </is>
      </c>
      <c r="B480" t="inlineStr">
        <is>
          <t>jkhy</t>
        </is>
      </c>
      <c r="C480" s="9" t="n">
        <v>0.0001707902511078885</v>
      </c>
      <c r="D480" s="3">
        <f>EXP(0.25*'3b-d Exposures'!G580)</f>
        <v/>
      </c>
      <c r="E480" s="3">
        <f>IF('3b-d Exposures'!C580="",0,'3b-d Exposures'!C580)</f>
        <v/>
      </c>
      <c r="F480" s="3">
        <f>IF('3b-d Exposures'!E580="",0,'3b-d Exposures'!E580)</f>
        <v/>
      </c>
      <c r="G480" s="3">
        <f>IF('3b-d Exposures'!G580="",0,'3b-d Exposures'!G580)</f>
        <v/>
      </c>
      <c r="H480" s="3">
        <f>IF('3b-d Exposures'!I580="",0,'3b-d Exposures'!I580)</f>
        <v/>
      </c>
      <c r="I480" s="3">
        <f>IF('3b-d Exposures'!K580="",0,'3b-d Exposures'!K580)</f>
        <v/>
      </c>
      <c r="J480" s="3">
        <f>IF('3b-d Exposures'!M580="",0,'3b-d Exposures'!M580)</f>
        <v/>
      </c>
      <c r="K480" s="3">
        <f>IF('3b-d Exposures'!O580="",0,'3b-d Exposures'!O580)</f>
        <v/>
      </c>
      <c r="L480" s="3">
        <f>IF('3b-d Exposures'!Q580="",0,'3b-d Exposures'!Q580)</f>
        <v/>
      </c>
      <c r="M480" s="3">
        <f>IF('3b-d Exposures'!S580="",0,'3b-d Exposures'!S580)</f>
        <v/>
      </c>
      <c r="N480" s="3">
        <f>IF('3b-d Exposures'!Z580="",0,'3b-d Exposures'!Z580)</f>
        <v/>
      </c>
      <c r="O480" s="3">
        <f>$D480</f>
        <v/>
      </c>
      <c r="P480" s="3">
        <f>E480*$D480</f>
        <v/>
      </c>
      <c r="Q480" s="3">
        <f>F480*$D480</f>
        <v/>
      </c>
      <c r="R480" s="3">
        <f>G480*$D480</f>
        <v/>
      </c>
      <c r="S480" s="3">
        <f>H480*$D480</f>
        <v/>
      </c>
      <c r="T480" s="3">
        <f>I480*$D480</f>
        <v/>
      </c>
      <c r="U480" s="3">
        <f>J480*$D480</f>
        <v/>
      </c>
      <c r="V480" s="3">
        <f>K480*$D480</f>
        <v/>
      </c>
      <c r="W480" s="3">
        <f>L480*$D480</f>
        <v/>
      </c>
      <c r="X480" s="3">
        <f>M480*$D480</f>
        <v/>
      </c>
      <c r="Y480" s="3">
        <f>N480*$D480</f>
        <v/>
      </c>
      <c r="Z480" s="3">
        <f>C480*$D480</f>
        <v/>
      </c>
      <c r="AA480" s="9">
        <f>$L978+$K978*E480+$J978*F480+$I978*G480+$H978*H480+$G978*I480+$F978*J480+$E978*K480+$D978*L480+$C978*M480+$B978*N480</f>
        <v/>
      </c>
      <c r="AB480" s="9">
        <f>C480-AA480</f>
        <v/>
      </c>
      <c r="AC480" s="4">
        <f>AB480^2</f>
        <v/>
      </c>
    </row>
    <row r="481">
      <c r="A481" t="inlineStr">
        <is>
          <t>BBG000Q72QF9</t>
        </is>
      </c>
      <c r="B481" t="inlineStr">
        <is>
          <t>jks</t>
        </is>
      </c>
      <c r="C481" s="9" t="n">
        <v>0.1131140396407899</v>
      </c>
      <c r="D481" s="3">
        <f>EXP(0.25*'3b-d Exposures'!G581)</f>
        <v/>
      </c>
      <c r="E481" s="3">
        <f>IF('3b-d Exposures'!C581="",0,'3b-d Exposures'!C581)</f>
        <v/>
      </c>
      <c r="F481" s="3">
        <f>IF('3b-d Exposures'!E581="",0,'3b-d Exposures'!E581)</f>
        <v/>
      </c>
      <c r="G481" s="3">
        <f>IF('3b-d Exposures'!G581="",0,'3b-d Exposures'!G581)</f>
        <v/>
      </c>
      <c r="H481" s="3">
        <f>IF('3b-d Exposures'!I581="",0,'3b-d Exposures'!I581)</f>
        <v/>
      </c>
      <c r="I481" s="3">
        <f>IF('3b-d Exposures'!K581="",0,'3b-d Exposures'!K581)</f>
        <v/>
      </c>
      <c r="J481" s="3">
        <f>IF('3b-d Exposures'!M581="",0,'3b-d Exposures'!M581)</f>
        <v/>
      </c>
      <c r="K481" s="3">
        <f>IF('3b-d Exposures'!O581="",0,'3b-d Exposures'!O581)</f>
        <v/>
      </c>
      <c r="L481" s="3">
        <f>IF('3b-d Exposures'!Q581="",0,'3b-d Exposures'!Q581)</f>
        <v/>
      </c>
      <c r="M481" s="3">
        <f>IF('3b-d Exposures'!S581="",0,'3b-d Exposures'!S581)</f>
        <v/>
      </c>
      <c r="N481" s="3">
        <f>IF('3b-d Exposures'!Z581="",0,'3b-d Exposures'!Z581)</f>
        <v/>
      </c>
      <c r="O481" s="3">
        <f>$D481</f>
        <v/>
      </c>
      <c r="P481" s="3">
        <f>E481*$D481</f>
        <v/>
      </c>
      <c r="Q481" s="3">
        <f>F481*$D481</f>
        <v/>
      </c>
      <c r="R481" s="3">
        <f>G481*$D481</f>
        <v/>
      </c>
      <c r="S481" s="3">
        <f>H481*$D481</f>
        <v/>
      </c>
      <c r="T481" s="3">
        <f>I481*$D481</f>
        <v/>
      </c>
      <c r="U481" s="3">
        <f>J481*$D481</f>
        <v/>
      </c>
      <c r="V481" s="3">
        <f>K481*$D481</f>
        <v/>
      </c>
      <c r="W481" s="3">
        <f>L481*$D481</f>
        <v/>
      </c>
      <c r="X481" s="3">
        <f>M481*$D481</f>
        <v/>
      </c>
      <c r="Y481" s="3">
        <f>N481*$D481</f>
        <v/>
      </c>
      <c r="Z481" s="3">
        <f>C481*$D481</f>
        <v/>
      </c>
      <c r="AA481" s="9">
        <f>$L978+$K978*E481+$J978*F481+$I978*G481+$H978*H481+$G978*I481+$F978*J481+$E978*K481+$D978*L481+$C978*M481+$B978*N481</f>
        <v/>
      </c>
      <c r="AB481" s="9">
        <f>C481-AA481</f>
        <v/>
      </c>
      <c r="AC481" s="4">
        <f>AB481^2</f>
        <v/>
      </c>
    </row>
    <row r="482">
      <c r="A482" t="inlineStr">
        <is>
          <t>BBG000BMHYD1</t>
        </is>
      </c>
      <c r="B482" t="inlineStr">
        <is>
          <t>jnj</t>
        </is>
      </c>
      <c r="C482" s="9" t="n">
        <v>-0.001354523740015989</v>
      </c>
      <c r="D482" s="3">
        <f>EXP(0.25*'3b-d Exposures'!G582)</f>
        <v/>
      </c>
      <c r="E482" s="3">
        <f>IF('3b-d Exposures'!C582="",0,'3b-d Exposures'!C582)</f>
        <v/>
      </c>
      <c r="F482" s="3">
        <f>IF('3b-d Exposures'!E582="",0,'3b-d Exposures'!E582)</f>
        <v/>
      </c>
      <c r="G482" s="3">
        <f>IF('3b-d Exposures'!G582="",0,'3b-d Exposures'!G582)</f>
        <v/>
      </c>
      <c r="H482" s="3">
        <f>IF('3b-d Exposures'!I582="",0,'3b-d Exposures'!I582)</f>
        <v/>
      </c>
      <c r="I482" s="3">
        <f>IF('3b-d Exposures'!K582="",0,'3b-d Exposures'!K582)</f>
        <v/>
      </c>
      <c r="J482" s="3">
        <f>IF('3b-d Exposures'!M582="",0,'3b-d Exposures'!M582)</f>
        <v/>
      </c>
      <c r="K482" s="3">
        <f>IF('3b-d Exposures'!O582="",0,'3b-d Exposures'!O582)</f>
        <v/>
      </c>
      <c r="L482" s="3">
        <f>IF('3b-d Exposures'!Q582="",0,'3b-d Exposures'!Q582)</f>
        <v/>
      </c>
      <c r="M482" s="3">
        <f>IF('3b-d Exposures'!S582="",0,'3b-d Exposures'!S582)</f>
        <v/>
      </c>
      <c r="N482" s="3">
        <f>IF('3b-d Exposures'!Z582="",0,'3b-d Exposures'!Z582)</f>
        <v/>
      </c>
      <c r="O482" s="3">
        <f>$D482</f>
        <v/>
      </c>
      <c r="P482" s="3">
        <f>E482*$D482</f>
        <v/>
      </c>
      <c r="Q482" s="3">
        <f>F482*$D482</f>
        <v/>
      </c>
      <c r="R482" s="3">
        <f>G482*$D482</f>
        <v/>
      </c>
      <c r="S482" s="3">
        <f>H482*$D482</f>
        <v/>
      </c>
      <c r="T482" s="3">
        <f>I482*$D482</f>
        <v/>
      </c>
      <c r="U482" s="3">
        <f>J482*$D482</f>
        <v/>
      </c>
      <c r="V482" s="3">
        <f>K482*$D482</f>
        <v/>
      </c>
      <c r="W482" s="3">
        <f>L482*$D482</f>
        <v/>
      </c>
      <c r="X482" s="3">
        <f>M482*$D482</f>
        <v/>
      </c>
      <c r="Y482" s="3">
        <f>N482*$D482</f>
        <v/>
      </c>
      <c r="Z482" s="3">
        <f>C482*$D482</f>
        <v/>
      </c>
      <c r="AA482" s="9">
        <f>$L978+$K978*E482+$J978*F482+$I978*G482+$H978*H482+$G978*I482+$F978*J482+$E978*K482+$D978*L482+$C978*M482+$B978*N482</f>
        <v/>
      </c>
      <c r="AB482" s="9">
        <f>C482-AA482</f>
        <v/>
      </c>
      <c r="AC482" s="4">
        <f>AB482^2</f>
        <v/>
      </c>
    </row>
    <row r="483">
      <c r="A483" t="inlineStr">
        <is>
          <t>BBG000DMBXR2</t>
        </is>
      </c>
      <c r="B483" t="inlineStr">
        <is>
          <t>jpm</t>
        </is>
      </c>
      <c r="C483" s="9" t="n">
        <v>-0.01389569631506915</v>
      </c>
      <c r="D483" s="3">
        <f>EXP(0.25*'3b-d Exposures'!G583)</f>
        <v/>
      </c>
      <c r="E483" s="3">
        <f>IF('3b-d Exposures'!C583="",0,'3b-d Exposures'!C583)</f>
        <v/>
      </c>
      <c r="F483" s="3">
        <f>IF('3b-d Exposures'!E583="",0,'3b-d Exposures'!E583)</f>
        <v/>
      </c>
      <c r="G483" s="3">
        <f>IF('3b-d Exposures'!G583="",0,'3b-d Exposures'!G583)</f>
        <v/>
      </c>
      <c r="H483" s="3">
        <f>IF('3b-d Exposures'!I583="",0,'3b-d Exposures'!I583)</f>
        <v/>
      </c>
      <c r="I483" s="3">
        <f>IF('3b-d Exposures'!K583="",0,'3b-d Exposures'!K583)</f>
        <v/>
      </c>
      <c r="J483" s="3">
        <f>IF('3b-d Exposures'!M583="",0,'3b-d Exposures'!M583)</f>
        <v/>
      </c>
      <c r="K483" s="3">
        <f>IF('3b-d Exposures'!O583="",0,'3b-d Exposures'!O583)</f>
        <v/>
      </c>
      <c r="L483" s="3">
        <f>IF('3b-d Exposures'!Q583="",0,'3b-d Exposures'!Q583)</f>
        <v/>
      </c>
      <c r="M483" s="3">
        <f>IF('3b-d Exposures'!S583="",0,'3b-d Exposures'!S583)</f>
        <v/>
      </c>
      <c r="N483" s="3">
        <f>IF('3b-d Exposures'!Z583="",0,'3b-d Exposures'!Z583)</f>
        <v/>
      </c>
      <c r="O483" s="3">
        <f>$D483</f>
        <v/>
      </c>
      <c r="P483" s="3">
        <f>E483*$D483</f>
        <v/>
      </c>
      <c r="Q483" s="3">
        <f>F483*$D483</f>
        <v/>
      </c>
      <c r="R483" s="3">
        <f>G483*$D483</f>
        <v/>
      </c>
      <c r="S483" s="3">
        <f>H483*$D483</f>
        <v/>
      </c>
      <c r="T483" s="3">
        <f>I483*$D483</f>
        <v/>
      </c>
      <c r="U483" s="3">
        <f>J483*$D483</f>
        <v/>
      </c>
      <c r="V483" s="3">
        <f>K483*$D483</f>
        <v/>
      </c>
      <c r="W483" s="3">
        <f>L483*$D483</f>
        <v/>
      </c>
      <c r="X483" s="3">
        <f>M483*$D483</f>
        <v/>
      </c>
      <c r="Y483" s="3">
        <f>N483*$D483</f>
        <v/>
      </c>
      <c r="Z483" s="3">
        <f>C483*$D483</f>
        <v/>
      </c>
      <c r="AA483" s="9">
        <f>$L978+$K978*E483+$J978*F483+$I978*G483+$H978*H483+$G978*I483+$F978*J483+$E978*K483+$D978*L483+$C978*M483+$B978*N483</f>
        <v/>
      </c>
      <c r="AB483" s="9">
        <f>C483-AA483</f>
        <v/>
      </c>
      <c r="AC483" s="4">
        <f>AB483^2</f>
        <v/>
      </c>
    </row>
    <row r="484">
      <c r="A484" t="inlineStr">
        <is>
          <t>BBG00922Y5Z6</t>
        </is>
      </c>
      <c r="B484" t="inlineStr">
        <is>
          <t>jxn</t>
        </is>
      </c>
      <c r="C484" s="9" t="n">
        <v>0.00189627886602306</v>
      </c>
      <c r="D484" s="3">
        <f>EXP(0.25*'3b-d Exposures'!G584)</f>
        <v/>
      </c>
      <c r="E484" s="3">
        <f>IF('3b-d Exposures'!C584="",0,'3b-d Exposures'!C584)</f>
        <v/>
      </c>
      <c r="F484" s="3">
        <f>IF('3b-d Exposures'!E584="",0,'3b-d Exposures'!E584)</f>
        <v/>
      </c>
      <c r="G484" s="3">
        <f>IF('3b-d Exposures'!G584="",0,'3b-d Exposures'!G584)</f>
        <v/>
      </c>
      <c r="H484" s="3">
        <f>IF('3b-d Exposures'!I584="",0,'3b-d Exposures'!I584)</f>
        <v/>
      </c>
      <c r="I484" s="3">
        <f>IF('3b-d Exposures'!K584="",0,'3b-d Exposures'!K584)</f>
        <v/>
      </c>
      <c r="J484" s="3">
        <f>IF('3b-d Exposures'!M584="",0,'3b-d Exposures'!M584)</f>
        <v/>
      </c>
      <c r="K484" s="3">
        <f>IF('3b-d Exposures'!O584="",0,'3b-d Exposures'!O584)</f>
        <v/>
      </c>
      <c r="L484" s="3">
        <f>IF('3b-d Exposures'!Q584="",0,'3b-d Exposures'!Q584)</f>
        <v/>
      </c>
      <c r="M484" s="3">
        <f>IF('3b-d Exposures'!S584="",0,'3b-d Exposures'!S584)</f>
        <v/>
      </c>
      <c r="N484" s="3">
        <f>IF('3b-d Exposures'!Z584="",0,'3b-d Exposures'!Z584)</f>
        <v/>
      </c>
      <c r="O484" s="3">
        <f>$D484</f>
        <v/>
      </c>
      <c r="P484" s="3">
        <f>E484*$D484</f>
        <v/>
      </c>
      <c r="Q484" s="3">
        <f>F484*$D484</f>
        <v/>
      </c>
      <c r="R484" s="3">
        <f>G484*$D484</f>
        <v/>
      </c>
      <c r="S484" s="3">
        <f>H484*$D484</f>
        <v/>
      </c>
      <c r="T484" s="3">
        <f>I484*$D484</f>
        <v/>
      </c>
      <c r="U484" s="3">
        <f>J484*$D484</f>
        <v/>
      </c>
      <c r="V484" s="3">
        <f>K484*$D484</f>
        <v/>
      </c>
      <c r="W484" s="3">
        <f>L484*$D484</f>
        <v/>
      </c>
      <c r="X484" s="3">
        <f>M484*$D484</f>
        <v/>
      </c>
      <c r="Y484" s="3">
        <f>N484*$D484</f>
        <v/>
      </c>
      <c r="Z484" s="3">
        <f>C484*$D484</f>
        <v/>
      </c>
      <c r="AA484" s="9">
        <f>$L978+$K978*E484+$J978*F484+$I978*G484+$H978*H484+$G978*I484+$F978*J484+$E978*K484+$D978*L484+$C978*M484+$B978*N484</f>
        <v/>
      </c>
      <c r="AB484" s="9">
        <f>C484-AA484</f>
        <v/>
      </c>
      <c r="AC484" s="4">
        <f>AB484^2</f>
        <v/>
      </c>
    </row>
    <row r="485">
      <c r="A485" t="inlineStr">
        <is>
          <t>BBG000BMLWX8</t>
        </is>
      </c>
      <c r="B485" t="inlineStr">
        <is>
          <t>kbh</t>
        </is>
      </c>
      <c r="C485" s="9" t="n">
        <v>0.004713645090808516</v>
      </c>
      <c r="D485" s="3">
        <f>EXP(0.25*'3b-d Exposures'!G585)</f>
        <v/>
      </c>
      <c r="E485" s="3">
        <f>IF('3b-d Exposures'!C585="",0,'3b-d Exposures'!C585)</f>
        <v/>
      </c>
      <c r="F485" s="3">
        <f>IF('3b-d Exposures'!E585="",0,'3b-d Exposures'!E585)</f>
        <v/>
      </c>
      <c r="G485" s="3">
        <f>IF('3b-d Exposures'!G585="",0,'3b-d Exposures'!G585)</f>
        <v/>
      </c>
      <c r="H485" s="3">
        <f>IF('3b-d Exposures'!I585="",0,'3b-d Exposures'!I585)</f>
        <v/>
      </c>
      <c r="I485" s="3">
        <f>IF('3b-d Exposures'!K585="",0,'3b-d Exposures'!K585)</f>
        <v/>
      </c>
      <c r="J485" s="3">
        <f>IF('3b-d Exposures'!M585="",0,'3b-d Exposures'!M585)</f>
        <v/>
      </c>
      <c r="K485" s="3">
        <f>IF('3b-d Exposures'!O585="",0,'3b-d Exposures'!O585)</f>
        <v/>
      </c>
      <c r="L485" s="3">
        <f>IF('3b-d Exposures'!Q585="",0,'3b-d Exposures'!Q585)</f>
        <v/>
      </c>
      <c r="M485" s="3">
        <f>IF('3b-d Exposures'!S585="",0,'3b-d Exposures'!S585)</f>
        <v/>
      </c>
      <c r="N485" s="3">
        <f>IF('3b-d Exposures'!Z585="",0,'3b-d Exposures'!Z585)</f>
        <v/>
      </c>
      <c r="O485" s="3">
        <f>$D485</f>
        <v/>
      </c>
      <c r="P485" s="3">
        <f>E485*$D485</f>
        <v/>
      </c>
      <c r="Q485" s="3">
        <f>F485*$D485</f>
        <v/>
      </c>
      <c r="R485" s="3">
        <f>G485*$D485</f>
        <v/>
      </c>
      <c r="S485" s="3">
        <f>H485*$D485</f>
        <v/>
      </c>
      <c r="T485" s="3">
        <f>I485*$D485</f>
        <v/>
      </c>
      <c r="U485" s="3">
        <f>J485*$D485</f>
        <v/>
      </c>
      <c r="V485" s="3">
        <f>K485*$D485</f>
        <v/>
      </c>
      <c r="W485" s="3">
        <f>L485*$D485</f>
        <v/>
      </c>
      <c r="X485" s="3">
        <f>M485*$D485</f>
        <v/>
      </c>
      <c r="Y485" s="3">
        <f>N485*$D485</f>
        <v/>
      </c>
      <c r="Z485" s="3">
        <f>C485*$D485</f>
        <v/>
      </c>
      <c r="AA485" s="9">
        <f>$L978+$K978*E485+$J978*F485+$I978*G485+$H978*H485+$G978*I485+$F978*J485+$E978*K485+$D978*L485+$C978*M485+$B978*N485</f>
        <v/>
      </c>
      <c r="AB485" s="9">
        <f>C485-AA485</f>
        <v/>
      </c>
      <c r="AC485" s="4">
        <f>AB485^2</f>
        <v/>
      </c>
    </row>
    <row r="486">
      <c r="A486" t="inlineStr">
        <is>
          <t>BBG000P28YZ6</t>
        </is>
      </c>
      <c r="B486" t="inlineStr">
        <is>
          <t>kbr</t>
        </is>
      </c>
      <c r="C486" s="9" t="n">
        <v>0.003945423517088154</v>
      </c>
      <c r="D486" s="3">
        <f>EXP(0.25*'3b-d Exposures'!G586)</f>
        <v/>
      </c>
      <c r="E486" s="3">
        <f>IF('3b-d Exposures'!C586="",0,'3b-d Exposures'!C586)</f>
        <v/>
      </c>
      <c r="F486" s="3">
        <f>IF('3b-d Exposures'!E586="",0,'3b-d Exposures'!E586)</f>
        <v/>
      </c>
      <c r="G486" s="3">
        <f>IF('3b-d Exposures'!G586="",0,'3b-d Exposures'!G586)</f>
        <v/>
      </c>
      <c r="H486" s="3">
        <f>IF('3b-d Exposures'!I586="",0,'3b-d Exposures'!I586)</f>
        <v/>
      </c>
      <c r="I486" s="3">
        <f>IF('3b-d Exposures'!K586="",0,'3b-d Exposures'!K586)</f>
        <v/>
      </c>
      <c r="J486" s="3">
        <f>IF('3b-d Exposures'!M586="",0,'3b-d Exposures'!M586)</f>
        <v/>
      </c>
      <c r="K486" s="3">
        <f>IF('3b-d Exposures'!O586="",0,'3b-d Exposures'!O586)</f>
        <v/>
      </c>
      <c r="L486" s="3">
        <f>IF('3b-d Exposures'!Q586="",0,'3b-d Exposures'!Q586)</f>
        <v/>
      </c>
      <c r="M486" s="3">
        <f>IF('3b-d Exposures'!S586="",0,'3b-d Exposures'!S586)</f>
        <v/>
      </c>
      <c r="N486" s="3">
        <f>IF('3b-d Exposures'!Z586="",0,'3b-d Exposures'!Z586)</f>
        <v/>
      </c>
      <c r="O486" s="3">
        <f>$D486</f>
        <v/>
      </c>
      <c r="P486" s="3">
        <f>E486*$D486</f>
        <v/>
      </c>
      <c r="Q486" s="3">
        <f>F486*$D486</f>
        <v/>
      </c>
      <c r="R486" s="3">
        <f>G486*$D486</f>
        <v/>
      </c>
      <c r="S486" s="3">
        <f>H486*$D486</f>
        <v/>
      </c>
      <c r="T486" s="3">
        <f>I486*$D486</f>
        <v/>
      </c>
      <c r="U486" s="3">
        <f>J486*$D486</f>
        <v/>
      </c>
      <c r="V486" s="3">
        <f>K486*$D486</f>
        <v/>
      </c>
      <c r="W486" s="3">
        <f>L486*$D486</f>
        <v/>
      </c>
      <c r="X486" s="3">
        <f>M486*$D486</f>
        <v/>
      </c>
      <c r="Y486" s="3">
        <f>N486*$D486</f>
        <v/>
      </c>
      <c r="Z486" s="3">
        <f>C486*$D486</f>
        <v/>
      </c>
      <c r="AA486" s="9">
        <f>$L978+$K978*E486+$J978*F486+$I978*G486+$H978*H486+$G978*I486+$F978*J486+$E978*K486+$D978*L486+$C978*M486+$B978*N486</f>
        <v/>
      </c>
      <c r="AB486" s="9">
        <f>C486-AA486</f>
        <v/>
      </c>
      <c r="AC486" s="4">
        <f>AB486^2</f>
        <v/>
      </c>
    </row>
    <row r="487">
      <c r="A487" t="inlineStr">
        <is>
          <t>BBG012W99DN6</t>
        </is>
      </c>
      <c r="B487" t="inlineStr">
        <is>
          <t>kd</t>
        </is>
      </c>
      <c r="C487" s="9" t="n">
        <v>-0.01872652631305927</v>
      </c>
      <c r="D487" s="3">
        <f>EXP(0.25*'3b-d Exposures'!G587)</f>
        <v/>
      </c>
      <c r="E487" s="3">
        <f>IF('3b-d Exposures'!C587="",0,'3b-d Exposures'!C587)</f>
        <v/>
      </c>
      <c r="F487" s="3">
        <f>IF('3b-d Exposures'!E587="",0,'3b-d Exposures'!E587)</f>
        <v/>
      </c>
      <c r="G487" s="3">
        <f>IF('3b-d Exposures'!G587="",0,'3b-d Exposures'!G587)</f>
        <v/>
      </c>
      <c r="H487" s="3">
        <f>IF('3b-d Exposures'!I587="",0,'3b-d Exposures'!I587)</f>
        <v/>
      </c>
      <c r="I487" s="3">
        <f>IF('3b-d Exposures'!K587="",0,'3b-d Exposures'!K587)</f>
        <v/>
      </c>
      <c r="J487" s="3">
        <f>IF('3b-d Exposures'!M587="",0,'3b-d Exposures'!M587)</f>
        <v/>
      </c>
      <c r="K487" s="3">
        <f>IF('3b-d Exposures'!O587="",0,'3b-d Exposures'!O587)</f>
        <v/>
      </c>
      <c r="L487" s="3">
        <f>IF('3b-d Exposures'!Q587="",0,'3b-d Exposures'!Q587)</f>
        <v/>
      </c>
      <c r="M487" s="3">
        <f>IF('3b-d Exposures'!S587="",0,'3b-d Exposures'!S587)</f>
        <v/>
      </c>
      <c r="N487" s="3">
        <f>IF('3b-d Exposures'!Z587="",0,'3b-d Exposures'!Z587)</f>
        <v/>
      </c>
      <c r="O487" s="3">
        <f>$D487</f>
        <v/>
      </c>
      <c r="P487" s="3">
        <f>E487*$D487</f>
        <v/>
      </c>
      <c r="Q487" s="3">
        <f>F487*$D487</f>
        <v/>
      </c>
      <c r="R487" s="3">
        <f>G487*$D487</f>
        <v/>
      </c>
      <c r="S487" s="3">
        <f>H487*$D487</f>
        <v/>
      </c>
      <c r="T487" s="3">
        <f>I487*$D487</f>
        <v/>
      </c>
      <c r="U487" s="3">
        <f>J487*$D487</f>
        <v/>
      </c>
      <c r="V487" s="3">
        <f>K487*$D487</f>
        <v/>
      </c>
      <c r="W487" s="3">
        <f>L487*$D487</f>
        <v/>
      </c>
      <c r="X487" s="3">
        <f>M487*$D487</f>
        <v/>
      </c>
      <c r="Y487" s="3">
        <f>N487*$D487</f>
        <v/>
      </c>
      <c r="Z487" s="3">
        <f>C487*$D487</f>
        <v/>
      </c>
      <c r="AA487" s="9">
        <f>$L978+$K978*E487+$J978*F487+$I978*G487+$H978*H487+$G978*I487+$F978*J487+$E978*K487+$D978*L487+$C978*M487+$B978*N487</f>
        <v/>
      </c>
      <c r="AB487" s="9">
        <f>C487-AA487</f>
        <v/>
      </c>
      <c r="AC487" s="4">
        <f>AB487^2</f>
        <v/>
      </c>
    </row>
    <row r="488">
      <c r="A488" t="inlineStr">
        <is>
          <t>BBG000TJM7F0</t>
        </is>
      </c>
      <c r="B488" t="inlineStr">
        <is>
          <t>kdp</t>
        </is>
      </c>
      <c r="C488" s="9" t="n">
        <v>-0.003369080008608805</v>
      </c>
      <c r="D488" s="3">
        <f>EXP(0.25*'3b-d Exposures'!G589)</f>
        <v/>
      </c>
      <c r="E488" s="3">
        <f>IF('3b-d Exposures'!C589="",0,'3b-d Exposures'!C589)</f>
        <v/>
      </c>
      <c r="F488" s="3">
        <f>IF('3b-d Exposures'!E589="",0,'3b-d Exposures'!E589)</f>
        <v/>
      </c>
      <c r="G488" s="3">
        <f>IF('3b-d Exposures'!G589="",0,'3b-d Exposures'!G589)</f>
        <v/>
      </c>
      <c r="H488" s="3">
        <f>IF('3b-d Exposures'!I589="",0,'3b-d Exposures'!I589)</f>
        <v/>
      </c>
      <c r="I488" s="3">
        <f>IF('3b-d Exposures'!K589="",0,'3b-d Exposures'!K589)</f>
        <v/>
      </c>
      <c r="J488" s="3">
        <f>IF('3b-d Exposures'!M589="",0,'3b-d Exposures'!M589)</f>
        <v/>
      </c>
      <c r="K488" s="3">
        <f>IF('3b-d Exposures'!O589="",0,'3b-d Exposures'!O589)</f>
        <v/>
      </c>
      <c r="L488" s="3">
        <f>IF('3b-d Exposures'!Q589="",0,'3b-d Exposures'!Q589)</f>
        <v/>
      </c>
      <c r="M488" s="3">
        <f>IF('3b-d Exposures'!S589="",0,'3b-d Exposures'!S589)</f>
        <v/>
      </c>
      <c r="N488" s="3">
        <f>IF('3b-d Exposures'!Z589="",0,'3b-d Exposures'!Z589)</f>
        <v/>
      </c>
      <c r="O488" s="3">
        <f>$D488</f>
        <v/>
      </c>
      <c r="P488" s="3">
        <f>E488*$D488</f>
        <v/>
      </c>
      <c r="Q488" s="3">
        <f>F488*$D488</f>
        <v/>
      </c>
      <c r="R488" s="3">
        <f>G488*$D488</f>
        <v/>
      </c>
      <c r="S488" s="3">
        <f>H488*$D488</f>
        <v/>
      </c>
      <c r="T488" s="3">
        <f>I488*$D488</f>
        <v/>
      </c>
      <c r="U488" s="3">
        <f>J488*$D488</f>
        <v/>
      </c>
      <c r="V488" s="3">
        <f>K488*$D488</f>
        <v/>
      </c>
      <c r="W488" s="3">
        <f>L488*$D488</f>
        <v/>
      </c>
      <c r="X488" s="3">
        <f>M488*$D488</f>
        <v/>
      </c>
      <c r="Y488" s="3">
        <f>N488*$D488</f>
        <v/>
      </c>
      <c r="Z488" s="3">
        <f>C488*$D488</f>
        <v/>
      </c>
      <c r="AA488" s="9">
        <f>$L978+$K978*E488+$J978*F488+$I978*G488+$H978*H488+$G978*I488+$F978*J488+$E978*K488+$D978*L488+$C978*M488+$B978*N488</f>
        <v/>
      </c>
      <c r="AB488" s="9">
        <f>C488-AA488</f>
        <v/>
      </c>
      <c r="AC488" s="4">
        <f>AB488^2</f>
        <v/>
      </c>
    </row>
    <row r="489">
      <c r="A489" t="inlineStr">
        <is>
          <t>BBG000BMQPL1</t>
        </is>
      </c>
      <c r="B489" t="inlineStr">
        <is>
          <t>key</t>
        </is>
      </c>
      <c r="C489" s="9" t="n">
        <v>-0.01899376390181806</v>
      </c>
      <c r="D489" s="3">
        <f>EXP(0.25*'3b-d Exposures'!G590)</f>
        <v/>
      </c>
      <c r="E489" s="3">
        <f>IF('3b-d Exposures'!C590="",0,'3b-d Exposures'!C590)</f>
        <v/>
      </c>
      <c r="F489" s="3">
        <f>IF('3b-d Exposures'!E590="",0,'3b-d Exposures'!E590)</f>
        <v/>
      </c>
      <c r="G489" s="3">
        <f>IF('3b-d Exposures'!G590="",0,'3b-d Exposures'!G590)</f>
        <v/>
      </c>
      <c r="H489" s="3">
        <f>IF('3b-d Exposures'!I590="",0,'3b-d Exposures'!I590)</f>
        <v/>
      </c>
      <c r="I489" s="3">
        <f>IF('3b-d Exposures'!K590="",0,'3b-d Exposures'!K590)</f>
        <v/>
      </c>
      <c r="J489" s="3">
        <f>IF('3b-d Exposures'!M590="",0,'3b-d Exposures'!M590)</f>
        <v/>
      </c>
      <c r="K489" s="3">
        <f>IF('3b-d Exposures'!O590="",0,'3b-d Exposures'!O590)</f>
        <v/>
      </c>
      <c r="L489" s="3">
        <f>IF('3b-d Exposures'!Q590="",0,'3b-d Exposures'!Q590)</f>
        <v/>
      </c>
      <c r="M489" s="3">
        <f>IF('3b-d Exposures'!S590="",0,'3b-d Exposures'!S590)</f>
        <v/>
      </c>
      <c r="N489" s="3">
        <f>IF('3b-d Exposures'!Z590="",0,'3b-d Exposures'!Z590)</f>
        <v/>
      </c>
      <c r="O489" s="3">
        <f>$D489</f>
        <v/>
      </c>
      <c r="P489" s="3">
        <f>E489*$D489</f>
        <v/>
      </c>
      <c r="Q489" s="3">
        <f>F489*$D489</f>
        <v/>
      </c>
      <c r="R489" s="3">
        <f>G489*$D489</f>
        <v/>
      </c>
      <c r="S489" s="3">
        <f>H489*$D489</f>
        <v/>
      </c>
      <c r="T489" s="3">
        <f>I489*$D489</f>
        <v/>
      </c>
      <c r="U489" s="3">
        <f>J489*$D489</f>
        <v/>
      </c>
      <c r="V489" s="3">
        <f>K489*$D489</f>
        <v/>
      </c>
      <c r="W489" s="3">
        <f>L489*$D489</f>
        <v/>
      </c>
      <c r="X489" s="3">
        <f>M489*$D489</f>
        <v/>
      </c>
      <c r="Y489" s="3">
        <f>N489*$D489</f>
        <v/>
      </c>
      <c r="Z489" s="3">
        <f>C489*$D489</f>
        <v/>
      </c>
      <c r="AA489" s="9">
        <f>$L978+$K978*E489+$J978*F489+$I978*G489+$H978*H489+$G978*I489+$F978*J489+$E978*K489+$D978*L489+$C978*M489+$B978*N489</f>
        <v/>
      </c>
      <c r="AB489" s="9">
        <f>C489-AA489</f>
        <v/>
      </c>
      <c r="AC489" s="4">
        <f>AB489^2</f>
        <v/>
      </c>
    </row>
    <row r="490">
      <c r="A490" t="inlineStr">
        <is>
          <t>keys</t>
        </is>
      </c>
      <c r="B490" t="inlineStr">
        <is>
          <t>keys</t>
        </is>
      </c>
      <c r="C490" s="9" t="n">
        <v>0.004390072676638601</v>
      </c>
      <c r="D490" s="3">
        <f>EXP(0.25*'3b-d Exposures'!G591)</f>
        <v/>
      </c>
      <c r="E490" s="3">
        <f>IF('3b-d Exposures'!C591="",0,'3b-d Exposures'!C591)</f>
        <v/>
      </c>
      <c r="F490" s="3">
        <f>IF('3b-d Exposures'!E591="",0,'3b-d Exposures'!E591)</f>
        <v/>
      </c>
      <c r="G490" s="3">
        <f>IF('3b-d Exposures'!G591="",0,'3b-d Exposures'!G591)</f>
        <v/>
      </c>
      <c r="H490" s="3">
        <f>IF('3b-d Exposures'!I591="",0,'3b-d Exposures'!I591)</f>
        <v/>
      </c>
      <c r="I490" s="3">
        <f>IF('3b-d Exposures'!K591="",0,'3b-d Exposures'!K591)</f>
        <v/>
      </c>
      <c r="J490" s="3">
        <f>IF('3b-d Exposures'!M591="",0,'3b-d Exposures'!M591)</f>
        <v/>
      </c>
      <c r="K490" s="3">
        <f>IF('3b-d Exposures'!O591="",0,'3b-d Exposures'!O591)</f>
        <v/>
      </c>
      <c r="L490" s="3">
        <f>IF('3b-d Exposures'!Q591="",0,'3b-d Exposures'!Q591)</f>
        <v/>
      </c>
      <c r="M490" s="3">
        <f>IF('3b-d Exposures'!S591="",0,'3b-d Exposures'!S591)</f>
        <v/>
      </c>
      <c r="N490" s="3">
        <f>IF('3b-d Exposures'!Z591="",0,'3b-d Exposures'!Z591)</f>
        <v/>
      </c>
      <c r="O490" s="3">
        <f>$D490</f>
        <v/>
      </c>
      <c r="P490" s="3">
        <f>E490*$D490</f>
        <v/>
      </c>
      <c r="Q490" s="3">
        <f>F490*$D490</f>
        <v/>
      </c>
      <c r="R490" s="3">
        <f>G490*$D490</f>
        <v/>
      </c>
      <c r="S490" s="3">
        <f>H490*$D490</f>
        <v/>
      </c>
      <c r="T490" s="3">
        <f>I490*$D490</f>
        <v/>
      </c>
      <c r="U490" s="3">
        <f>J490*$D490</f>
        <v/>
      </c>
      <c r="V490" s="3">
        <f>K490*$D490</f>
        <v/>
      </c>
      <c r="W490" s="3">
        <f>L490*$D490</f>
        <v/>
      </c>
      <c r="X490" s="3">
        <f>M490*$D490</f>
        <v/>
      </c>
      <c r="Y490" s="3">
        <f>N490*$D490</f>
        <v/>
      </c>
      <c r="Z490" s="3">
        <f>C490*$D490</f>
        <v/>
      </c>
      <c r="AA490" s="9">
        <f>$L978+$K978*E490+$J978*F490+$I978*G490+$H978*H490+$G978*I490+$F978*J490+$E978*K490+$D978*L490+$C978*M490+$B978*N490</f>
        <v/>
      </c>
      <c r="AB490" s="9">
        <f>C490-AA490</f>
        <v/>
      </c>
      <c r="AC490" s="4">
        <f>AB490^2</f>
        <v/>
      </c>
    </row>
    <row r="491">
      <c r="A491" t="inlineStr">
        <is>
          <t>BBG005CPNTQ2</t>
        </is>
      </c>
      <c r="B491" t="inlineStr">
        <is>
          <t>khc</t>
        </is>
      </c>
      <c r="C491" s="9" t="n">
        <v>-0.01126053003235661</v>
      </c>
      <c r="D491" s="3">
        <f>EXP(0.25*'3b-d Exposures'!G592)</f>
        <v/>
      </c>
      <c r="E491" s="3">
        <f>IF('3b-d Exposures'!C592="",0,'3b-d Exposures'!C592)</f>
        <v/>
      </c>
      <c r="F491" s="3">
        <f>IF('3b-d Exposures'!E592="",0,'3b-d Exposures'!E592)</f>
        <v/>
      </c>
      <c r="G491" s="3">
        <f>IF('3b-d Exposures'!G592="",0,'3b-d Exposures'!G592)</f>
        <v/>
      </c>
      <c r="H491" s="3">
        <f>IF('3b-d Exposures'!I592="",0,'3b-d Exposures'!I592)</f>
        <v/>
      </c>
      <c r="I491" s="3">
        <f>IF('3b-d Exposures'!K592="",0,'3b-d Exposures'!K592)</f>
        <v/>
      </c>
      <c r="J491" s="3">
        <f>IF('3b-d Exposures'!M592="",0,'3b-d Exposures'!M592)</f>
        <v/>
      </c>
      <c r="K491" s="3">
        <f>IF('3b-d Exposures'!O592="",0,'3b-d Exposures'!O592)</f>
        <v/>
      </c>
      <c r="L491" s="3">
        <f>IF('3b-d Exposures'!Q592="",0,'3b-d Exposures'!Q592)</f>
        <v/>
      </c>
      <c r="M491" s="3">
        <f>IF('3b-d Exposures'!S592="",0,'3b-d Exposures'!S592)</f>
        <v/>
      </c>
      <c r="N491" s="3">
        <f>IF('3b-d Exposures'!Z592="",0,'3b-d Exposures'!Z592)</f>
        <v/>
      </c>
      <c r="O491" s="3">
        <f>$D491</f>
        <v/>
      </c>
      <c r="P491" s="3">
        <f>E491*$D491</f>
        <v/>
      </c>
      <c r="Q491" s="3">
        <f>F491*$D491</f>
        <v/>
      </c>
      <c r="R491" s="3">
        <f>G491*$D491</f>
        <v/>
      </c>
      <c r="S491" s="3">
        <f>H491*$D491</f>
        <v/>
      </c>
      <c r="T491" s="3">
        <f>I491*$D491</f>
        <v/>
      </c>
      <c r="U491" s="3">
        <f>J491*$D491</f>
        <v/>
      </c>
      <c r="V491" s="3">
        <f>K491*$D491</f>
        <v/>
      </c>
      <c r="W491" s="3">
        <f>L491*$D491</f>
        <v/>
      </c>
      <c r="X491" s="3">
        <f>M491*$D491</f>
        <v/>
      </c>
      <c r="Y491" s="3">
        <f>N491*$D491</f>
        <v/>
      </c>
      <c r="Z491" s="3">
        <f>C491*$D491</f>
        <v/>
      </c>
      <c r="AA491" s="9">
        <f>$L978+$K978*E491+$J978*F491+$I978*G491+$H978*H491+$G978*I491+$F978*J491+$E978*K491+$D978*L491+$C978*M491+$B978*N491</f>
        <v/>
      </c>
      <c r="AB491" s="9">
        <f>C491-AA491</f>
        <v/>
      </c>
      <c r="AC491" s="4">
        <f>AB491^2</f>
        <v/>
      </c>
    </row>
    <row r="492">
      <c r="A492" t="inlineStr">
        <is>
          <t>BBG000CN3S73</t>
        </is>
      </c>
      <c r="B492" t="inlineStr">
        <is>
          <t>kim</t>
        </is>
      </c>
      <c r="C492" s="9" t="n">
        <v>-0.0136879258242335</v>
      </c>
      <c r="D492" s="3">
        <f>EXP(0.25*'3b-d Exposures'!G593)</f>
        <v/>
      </c>
      <c r="E492" s="3">
        <f>IF('3b-d Exposures'!C593="",0,'3b-d Exposures'!C593)</f>
        <v/>
      </c>
      <c r="F492" s="3">
        <f>IF('3b-d Exposures'!E593="",0,'3b-d Exposures'!E593)</f>
        <v/>
      </c>
      <c r="G492" s="3">
        <f>IF('3b-d Exposures'!G593="",0,'3b-d Exposures'!G593)</f>
        <v/>
      </c>
      <c r="H492" s="3">
        <f>IF('3b-d Exposures'!I593="",0,'3b-d Exposures'!I593)</f>
        <v/>
      </c>
      <c r="I492" s="3">
        <f>IF('3b-d Exposures'!K593="",0,'3b-d Exposures'!K593)</f>
        <v/>
      </c>
      <c r="J492" s="3">
        <f>IF('3b-d Exposures'!M593="",0,'3b-d Exposures'!M593)</f>
        <v/>
      </c>
      <c r="K492" s="3">
        <f>IF('3b-d Exposures'!O593="",0,'3b-d Exposures'!O593)</f>
        <v/>
      </c>
      <c r="L492" s="3">
        <f>IF('3b-d Exposures'!Q593="",0,'3b-d Exposures'!Q593)</f>
        <v/>
      </c>
      <c r="M492" s="3">
        <f>IF('3b-d Exposures'!S593="",0,'3b-d Exposures'!S593)</f>
        <v/>
      </c>
      <c r="N492" s="3">
        <f>IF('3b-d Exposures'!Z593="",0,'3b-d Exposures'!Z593)</f>
        <v/>
      </c>
      <c r="O492" s="3">
        <f>$D492</f>
        <v/>
      </c>
      <c r="P492" s="3">
        <f>E492*$D492</f>
        <v/>
      </c>
      <c r="Q492" s="3">
        <f>F492*$D492</f>
        <v/>
      </c>
      <c r="R492" s="3">
        <f>G492*$D492</f>
        <v/>
      </c>
      <c r="S492" s="3">
        <f>H492*$D492</f>
        <v/>
      </c>
      <c r="T492" s="3">
        <f>I492*$D492</f>
        <v/>
      </c>
      <c r="U492" s="3">
        <f>J492*$D492</f>
        <v/>
      </c>
      <c r="V492" s="3">
        <f>K492*$D492</f>
        <v/>
      </c>
      <c r="W492" s="3">
        <f>L492*$D492</f>
        <v/>
      </c>
      <c r="X492" s="3">
        <f>M492*$D492</f>
        <v/>
      </c>
      <c r="Y492" s="3">
        <f>N492*$D492</f>
        <v/>
      </c>
      <c r="Z492" s="3">
        <f>C492*$D492</f>
        <v/>
      </c>
      <c r="AA492" s="9">
        <f>$L978+$K978*E492+$J978*F492+$I978*G492+$H978*H492+$G978*I492+$F978*J492+$E978*K492+$D978*L492+$C978*M492+$B978*N492</f>
        <v/>
      </c>
      <c r="AB492" s="9">
        <f>C492-AA492</f>
        <v/>
      </c>
      <c r="AC492" s="4">
        <f>AB492^2</f>
        <v/>
      </c>
    </row>
    <row r="493">
      <c r="A493" t="inlineStr">
        <is>
          <t>BBG000BCQ6J8</t>
        </is>
      </c>
      <c r="B493" t="inlineStr">
        <is>
          <t>kkr</t>
        </is>
      </c>
      <c r="C493" s="9" t="n">
        <v>-0.01977048633336509</v>
      </c>
      <c r="D493" s="3">
        <f>EXP(0.25*'3b-d Exposures'!G594)</f>
        <v/>
      </c>
      <c r="E493" s="3">
        <f>IF('3b-d Exposures'!C594="",0,'3b-d Exposures'!C594)</f>
        <v/>
      </c>
      <c r="F493" s="3">
        <f>IF('3b-d Exposures'!E594="",0,'3b-d Exposures'!E594)</f>
        <v/>
      </c>
      <c r="G493" s="3">
        <f>IF('3b-d Exposures'!G594="",0,'3b-d Exposures'!G594)</f>
        <v/>
      </c>
      <c r="H493" s="3">
        <f>IF('3b-d Exposures'!I594="",0,'3b-d Exposures'!I594)</f>
        <v/>
      </c>
      <c r="I493" s="3">
        <f>IF('3b-d Exposures'!K594="",0,'3b-d Exposures'!K594)</f>
        <v/>
      </c>
      <c r="J493" s="3">
        <f>IF('3b-d Exposures'!M594="",0,'3b-d Exposures'!M594)</f>
        <v/>
      </c>
      <c r="K493" s="3">
        <f>IF('3b-d Exposures'!O594="",0,'3b-d Exposures'!O594)</f>
        <v/>
      </c>
      <c r="L493" s="3">
        <f>IF('3b-d Exposures'!Q594="",0,'3b-d Exposures'!Q594)</f>
        <v/>
      </c>
      <c r="M493" s="3">
        <f>IF('3b-d Exposures'!S594="",0,'3b-d Exposures'!S594)</f>
        <v/>
      </c>
      <c r="N493" s="3">
        <f>IF('3b-d Exposures'!Z594="",0,'3b-d Exposures'!Z594)</f>
        <v/>
      </c>
      <c r="O493" s="3">
        <f>$D493</f>
        <v/>
      </c>
      <c r="P493" s="3">
        <f>E493*$D493</f>
        <v/>
      </c>
      <c r="Q493" s="3">
        <f>F493*$D493</f>
        <v/>
      </c>
      <c r="R493" s="3">
        <f>G493*$D493</f>
        <v/>
      </c>
      <c r="S493" s="3">
        <f>H493*$D493</f>
        <v/>
      </c>
      <c r="T493" s="3">
        <f>I493*$D493</f>
        <v/>
      </c>
      <c r="U493" s="3">
        <f>J493*$D493</f>
        <v/>
      </c>
      <c r="V493" s="3">
        <f>K493*$D493</f>
        <v/>
      </c>
      <c r="W493" s="3">
        <f>L493*$D493</f>
        <v/>
      </c>
      <c r="X493" s="3">
        <f>M493*$D493</f>
        <v/>
      </c>
      <c r="Y493" s="3">
        <f>N493*$D493</f>
        <v/>
      </c>
      <c r="Z493" s="3">
        <f>C493*$D493</f>
        <v/>
      </c>
      <c r="AA493" s="9">
        <f>$L978+$K978*E493+$J978*F493+$I978*G493+$H978*H493+$G978*I493+$F978*J493+$E978*K493+$D978*L493+$C978*M493+$B978*N493</f>
        <v/>
      </c>
      <c r="AB493" s="9">
        <f>C493-AA493</f>
        <v/>
      </c>
      <c r="AC493" s="4">
        <f>AB493^2</f>
        <v/>
      </c>
    </row>
    <row r="494">
      <c r="A494" t="inlineStr">
        <is>
          <t>BBG000BMTFR4</t>
        </is>
      </c>
      <c r="B494" t="inlineStr">
        <is>
          <t>klac</t>
        </is>
      </c>
      <c r="C494" s="9" t="n">
        <v>0.02936471330537538</v>
      </c>
      <c r="D494" s="3">
        <f>EXP(0.25*'3b-d Exposures'!G595)</f>
        <v/>
      </c>
      <c r="E494" s="3">
        <f>IF('3b-d Exposures'!C595="",0,'3b-d Exposures'!C595)</f>
        <v/>
      </c>
      <c r="F494" s="3">
        <f>IF('3b-d Exposures'!E595="",0,'3b-d Exposures'!E595)</f>
        <v/>
      </c>
      <c r="G494" s="3">
        <f>IF('3b-d Exposures'!G595="",0,'3b-d Exposures'!G595)</f>
        <v/>
      </c>
      <c r="H494" s="3">
        <f>IF('3b-d Exposures'!I595="",0,'3b-d Exposures'!I595)</f>
        <v/>
      </c>
      <c r="I494" s="3">
        <f>IF('3b-d Exposures'!K595="",0,'3b-d Exposures'!K595)</f>
        <v/>
      </c>
      <c r="J494" s="3">
        <f>IF('3b-d Exposures'!M595="",0,'3b-d Exposures'!M595)</f>
        <v/>
      </c>
      <c r="K494" s="3">
        <f>IF('3b-d Exposures'!O595="",0,'3b-d Exposures'!O595)</f>
        <v/>
      </c>
      <c r="L494" s="3">
        <f>IF('3b-d Exposures'!Q595="",0,'3b-d Exposures'!Q595)</f>
        <v/>
      </c>
      <c r="M494" s="3">
        <f>IF('3b-d Exposures'!S595="",0,'3b-d Exposures'!S595)</f>
        <v/>
      </c>
      <c r="N494" s="3">
        <f>IF('3b-d Exposures'!Z595="",0,'3b-d Exposures'!Z595)</f>
        <v/>
      </c>
      <c r="O494" s="3">
        <f>$D494</f>
        <v/>
      </c>
      <c r="P494" s="3">
        <f>E494*$D494</f>
        <v/>
      </c>
      <c r="Q494" s="3">
        <f>F494*$D494</f>
        <v/>
      </c>
      <c r="R494" s="3">
        <f>G494*$D494</f>
        <v/>
      </c>
      <c r="S494" s="3">
        <f>H494*$D494</f>
        <v/>
      </c>
      <c r="T494" s="3">
        <f>I494*$D494</f>
        <v/>
      </c>
      <c r="U494" s="3">
        <f>J494*$D494</f>
        <v/>
      </c>
      <c r="V494" s="3">
        <f>K494*$D494</f>
        <v/>
      </c>
      <c r="W494" s="3">
        <f>L494*$D494</f>
        <v/>
      </c>
      <c r="X494" s="3">
        <f>M494*$D494</f>
        <v/>
      </c>
      <c r="Y494" s="3">
        <f>N494*$D494</f>
        <v/>
      </c>
      <c r="Z494" s="3">
        <f>C494*$D494</f>
        <v/>
      </c>
      <c r="AA494" s="9">
        <f>$L978+$K978*E494+$J978*F494+$I978*G494+$H978*H494+$G978*I494+$F978*J494+$E978*K494+$D978*L494+$C978*M494+$B978*N494</f>
        <v/>
      </c>
      <c r="AB494" s="9">
        <f>C494-AA494</f>
        <v/>
      </c>
      <c r="AC494" s="4">
        <f>AB494^2</f>
        <v/>
      </c>
    </row>
    <row r="495">
      <c r="A495" t="inlineStr">
        <is>
          <t>BBG000BMW2Z0</t>
        </is>
      </c>
      <c r="B495" t="inlineStr">
        <is>
          <t>kmb</t>
        </is>
      </c>
      <c r="C495" s="9" t="n">
        <v>0.001506733269619476</v>
      </c>
      <c r="D495" s="3">
        <f>EXP(0.25*'3b-d Exposures'!G597)</f>
        <v/>
      </c>
      <c r="E495" s="3">
        <f>IF('3b-d Exposures'!C597="",0,'3b-d Exposures'!C597)</f>
        <v/>
      </c>
      <c r="F495" s="3">
        <f>IF('3b-d Exposures'!E597="",0,'3b-d Exposures'!E597)</f>
        <v/>
      </c>
      <c r="G495" s="3">
        <f>IF('3b-d Exposures'!G597="",0,'3b-d Exposures'!G597)</f>
        <v/>
      </c>
      <c r="H495" s="3">
        <f>IF('3b-d Exposures'!I597="",0,'3b-d Exposures'!I597)</f>
        <v/>
      </c>
      <c r="I495" s="3">
        <f>IF('3b-d Exposures'!K597="",0,'3b-d Exposures'!K597)</f>
        <v/>
      </c>
      <c r="J495" s="3">
        <f>IF('3b-d Exposures'!M597="",0,'3b-d Exposures'!M597)</f>
        <v/>
      </c>
      <c r="K495" s="3">
        <f>IF('3b-d Exposures'!O597="",0,'3b-d Exposures'!O597)</f>
        <v/>
      </c>
      <c r="L495" s="3">
        <f>IF('3b-d Exposures'!Q597="",0,'3b-d Exposures'!Q597)</f>
        <v/>
      </c>
      <c r="M495" s="3">
        <f>IF('3b-d Exposures'!S597="",0,'3b-d Exposures'!S597)</f>
        <v/>
      </c>
      <c r="N495" s="3">
        <f>IF('3b-d Exposures'!Z597="",0,'3b-d Exposures'!Z597)</f>
        <v/>
      </c>
      <c r="O495" s="3">
        <f>$D495</f>
        <v/>
      </c>
      <c r="P495" s="3">
        <f>E495*$D495</f>
        <v/>
      </c>
      <c r="Q495" s="3">
        <f>F495*$D495</f>
        <v/>
      </c>
      <c r="R495" s="3">
        <f>G495*$D495</f>
        <v/>
      </c>
      <c r="S495" s="3">
        <f>H495*$D495</f>
        <v/>
      </c>
      <c r="T495" s="3">
        <f>I495*$D495</f>
        <v/>
      </c>
      <c r="U495" s="3">
        <f>J495*$D495</f>
        <v/>
      </c>
      <c r="V495" s="3">
        <f>K495*$D495</f>
        <v/>
      </c>
      <c r="W495" s="3">
        <f>L495*$D495</f>
        <v/>
      </c>
      <c r="X495" s="3">
        <f>M495*$D495</f>
        <v/>
      </c>
      <c r="Y495" s="3">
        <f>N495*$D495</f>
        <v/>
      </c>
      <c r="Z495" s="3">
        <f>C495*$D495</f>
        <v/>
      </c>
      <c r="AA495" s="9">
        <f>$L978+$K978*E495+$J978*F495+$I978*G495+$H978*H495+$G978*I495+$F978*J495+$E978*K495+$D978*L495+$C978*M495+$B978*N495</f>
        <v/>
      </c>
      <c r="AB495" s="9">
        <f>C495-AA495</f>
        <v/>
      </c>
      <c r="AC495" s="4">
        <f>AB495^2</f>
        <v/>
      </c>
    </row>
    <row r="496">
      <c r="A496" t="inlineStr">
        <is>
          <t>BBG0019JZ882</t>
        </is>
      </c>
      <c r="B496" t="inlineStr">
        <is>
          <t>kmi</t>
        </is>
      </c>
      <c r="C496" s="9" t="n">
        <v>-0.02935977017195679</v>
      </c>
      <c r="D496" s="3">
        <f>EXP(0.25*'3b-d Exposures'!G598)</f>
        <v/>
      </c>
      <c r="E496" s="3">
        <f>IF('3b-d Exposures'!C598="",0,'3b-d Exposures'!C598)</f>
        <v/>
      </c>
      <c r="F496" s="3">
        <f>IF('3b-d Exposures'!E598="",0,'3b-d Exposures'!E598)</f>
        <v/>
      </c>
      <c r="G496" s="3">
        <f>IF('3b-d Exposures'!G598="",0,'3b-d Exposures'!G598)</f>
        <v/>
      </c>
      <c r="H496" s="3">
        <f>IF('3b-d Exposures'!I598="",0,'3b-d Exposures'!I598)</f>
        <v/>
      </c>
      <c r="I496" s="3">
        <f>IF('3b-d Exposures'!K598="",0,'3b-d Exposures'!K598)</f>
        <v/>
      </c>
      <c r="J496" s="3">
        <f>IF('3b-d Exposures'!M598="",0,'3b-d Exposures'!M598)</f>
        <v/>
      </c>
      <c r="K496" s="3">
        <f>IF('3b-d Exposures'!O598="",0,'3b-d Exposures'!O598)</f>
        <v/>
      </c>
      <c r="L496" s="3">
        <f>IF('3b-d Exposures'!Q598="",0,'3b-d Exposures'!Q598)</f>
        <v/>
      </c>
      <c r="M496" s="3">
        <f>IF('3b-d Exposures'!S598="",0,'3b-d Exposures'!S598)</f>
        <v/>
      </c>
      <c r="N496" s="3">
        <f>IF('3b-d Exposures'!Z598="",0,'3b-d Exposures'!Z598)</f>
        <v/>
      </c>
      <c r="O496" s="3">
        <f>$D496</f>
        <v/>
      </c>
      <c r="P496" s="3">
        <f>E496*$D496</f>
        <v/>
      </c>
      <c r="Q496" s="3">
        <f>F496*$D496</f>
        <v/>
      </c>
      <c r="R496" s="3">
        <f>G496*$D496</f>
        <v/>
      </c>
      <c r="S496" s="3">
        <f>H496*$D496</f>
        <v/>
      </c>
      <c r="T496" s="3">
        <f>I496*$D496</f>
        <v/>
      </c>
      <c r="U496" s="3">
        <f>J496*$D496</f>
        <v/>
      </c>
      <c r="V496" s="3">
        <f>K496*$D496</f>
        <v/>
      </c>
      <c r="W496" s="3">
        <f>L496*$D496</f>
        <v/>
      </c>
      <c r="X496" s="3">
        <f>M496*$D496</f>
        <v/>
      </c>
      <c r="Y496" s="3">
        <f>N496*$D496</f>
        <v/>
      </c>
      <c r="Z496" s="3">
        <f>C496*$D496</f>
        <v/>
      </c>
      <c r="AA496" s="9">
        <f>$L978+$K978*E496+$J978*F496+$I978*G496+$H978*H496+$G978*I496+$F978*J496+$E978*K496+$D978*L496+$C978*M496+$B978*N496</f>
        <v/>
      </c>
      <c r="AB496" s="9">
        <f>C496-AA496</f>
        <v/>
      </c>
      <c r="AC496" s="4">
        <f>AB496^2</f>
        <v/>
      </c>
    </row>
    <row r="497">
      <c r="A497" t="inlineStr">
        <is>
          <t>BBG004M8M6J1</t>
        </is>
      </c>
      <c r="B497" t="inlineStr">
        <is>
          <t>kn</t>
        </is>
      </c>
      <c r="C497" s="9" t="n">
        <v>0.03545737751900391</v>
      </c>
      <c r="D497" s="3">
        <f>EXP(0.25*'3b-d Exposures'!G600)</f>
        <v/>
      </c>
      <c r="E497" s="3">
        <f>IF('3b-d Exposures'!C600="",0,'3b-d Exposures'!C600)</f>
        <v/>
      </c>
      <c r="F497" s="3">
        <f>IF('3b-d Exposures'!E600="",0,'3b-d Exposures'!E600)</f>
        <v/>
      </c>
      <c r="G497" s="3">
        <f>IF('3b-d Exposures'!G600="",0,'3b-d Exposures'!G600)</f>
        <v/>
      </c>
      <c r="H497" s="3">
        <f>IF('3b-d Exposures'!I600="",0,'3b-d Exposures'!I600)</f>
        <v/>
      </c>
      <c r="I497" s="3">
        <f>IF('3b-d Exposures'!K600="",0,'3b-d Exposures'!K600)</f>
        <v/>
      </c>
      <c r="J497" s="3">
        <f>IF('3b-d Exposures'!M600="",0,'3b-d Exposures'!M600)</f>
        <v/>
      </c>
      <c r="K497" s="3">
        <f>IF('3b-d Exposures'!O600="",0,'3b-d Exposures'!O600)</f>
        <v/>
      </c>
      <c r="L497" s="3">
        <f>IF('3b-d Exposures'!Q600="",0,'3b-d Exposures'!Q600)</f>
        <v/>
      </c>
      <c r="M497" s="3">
        <f>IF('3b-d Exposures'!S600="",0,'3b-d Exposures'!S600)</f>
        <v/>
      </c>
      <c r="N497" s="3">
        <f>IF('3b-d Exposures'!Z600="",0,'3b-d Exposures'!Z600)</f>
        <v/>
      </c>
      <c r="O497" s="3">
        <f>$D497</f>
        <v/>
      </c>
      <c r="P497" s="3">
        <f>E497*$D497</f>
        <v/>
      </c>
      <c r="Q497" s="3">
        <f>F497*$D497</f>
        <v/>
      </c>
      <c r="R497" s="3">
        <f>G497*$D497</f>
        <v/>
      </c>
      <c r="S497" s="3">
        <f>H497*$D497</f>
        <v/>
      </c>
      <c r="T497" s="3">
        <f>I497*$D497</f>
        <v/>
      </c>
      <c r="U497" s="3">
        <f>J497*$D497</f>
        <v/>
      </c>
      <c r="V497" s="3">
        <f>K497*$D497</f>
        <v/>
      </c>
      <c r="W497" s="3">
        <f>L497*$D497</f>
        <v/>
      </c>
      <c r="X497" s="3">
        <f>M497*$D497</f>
        <v/>
      </c>
      <c r="Y497" s="3">
        <f>N497*$D497</f>
        <v/>
      </c>
      <c r="Z497" s="3">
        <f>C497*$D497</f>
        <v/>
      </c>
      <c r="AA497" s="9">
        <f>$L978+$K978*E497+$J978*F497+$I978*G497+$H978*H497+$G978*I497+$F978*J497+$E978*K497+$D978*L497+$C978*M497+$B978*N497</f>
        <v/>
      </c>
      <c r="AB497" s="9">
        <f>C497-AA497</f>
        <v/>
      </c>
      <c r="AC497" s="4">
        <f>AB497^2</f>
        <v/>
      </c>
    </row>
    <row r="498">
      <c r="A498" t="inlineStr">
        <is>
          <t>BBG00GCLZ7B8</t>
        </is>
      </c>
      <c r="B498" t="inlineStr">
        <is>
          <t>kntk</t>
        </is>
      </c>
      <c r="C498" s="9" t="n">
        <v>-0.03117584219571079</v>
      </c>
      <c r="D498" s="3">
        <f>EXP(0.25*'3b-d Exposures'!G601)</f>
        <v/>
      </c>
      <c r="E498" s="3">
        <f>IF('3b-d Exposures'!C601="",0,'3b-d Exposures'!C601)</f>
        <v/>
      </c>
      <c r="F498" s="3">
        <f>IF('3b-d Exposures'!E601="",0,'3b-d Exposures'!E601)</f>
        <v/>
      </c>
      <c r="G498" s="3">
        <f>IF('3b-d Exposures'!G601="",0,'3b-d Exposures'!G601)</f>
        <v/>
      </c>
      <c r="H498" s="3">
        <f>IF('3b-d Exposures'!I601="",0,'3b-d Exposures'!I601)</f>
        <v/>
      </c>
      <c r="I498" s="3">
        <f>IF('3b-d Exposures'!K601="",0,'3b-d Exposures'!K601)</f>
        <v/>
      </c>
      <c r="J498" s="3">
        <f>IF('3b-d Exposures'!M601="",0,'3b-d Exposures'!M601)</f>
        <v/>
      </c>
      <c r="K498" s="3">
        <f>IF('3b-d Exposures'!O601="",0,'3b-d Exposures'!O601)</f>
        <v/>
      </c>
      <c r="L498" s="3">
        <f>IF('3b-d Exposures'!Q601="",0,'3b-d Exposures'!Q601)</f>
        <v/>
      </c>
      <c r="M498" s="3">
        <f>IF('3b-d Exposures'!S601="",0,'3b-d Exposures'!S601)</f>
        <v/>
      </c>
      <c r="N498" s="3">
        <f>IF('3b-d Exposures'!Z601="",0,'3b-d Exposures'!Z601)</f>
        <v/>
      </c>
      <c r="O498" s="3">
        <f>$D498</f>
        <v/>
      </c>
      <c r="P498" s="3">
        <f>E498*$D498</f>
        <v/>
      </c>
      <c r="Q498" s="3">
        <f>F498*$D498</f>
        <v/>
      </c>
      <c r="R498" s="3">
        <f>G498*$D498</f>
        <v/>
      </c>
      <c r="S498" s="3">
        <f>H498*$D498</f>
        <v/>
      </c>
      <c r="T498" s="3">
        <f>I498*$D498</f>
        <v/>
      </c>
      <c r="U498" s="3">
        <f>J498*$D498</f>
        <v/>
      </c>
      <c r="V498" s="3">
        <f>K498*$D498</f>
        <v/>
      </c>
      <c r="W498" s="3">
        <f>L498*$D498</f>
        <v/>
      </c>
      <c r="X498" s="3">
        <f>M498*$D498</f>
        <v/>
      </c>
      <c r="Y498" s="3">
        <f>N498*$D498</f>
        <v/>
      </c>
      <c r="Z498" s="3">
        <f>C498*$D498</f>
        <v/>
      </c>
      <c r="AA498" s="9">
        <f>$L978+$K978*E498+$J978*F498+$I978*G498+$H978*H498+$G978*I498+$F978*J498+$E978*K498+$D978*L498+$C978*M498+$B978*N498</f>
        <v/>
      </c>
      <c r="AB498" s="9">
        <f>C498-AA498</f>
        <v/>
      </c>
      <c r="AC498" s="4">
        <f>AB498^2</f>
        <v/>
      </c>
    </row>
    <row r="499">
      <c r="A499" t="inlineStr">
        <is>
          <t>BBG000BMX289</t>
        </is>
      </c>
      <c r="B499" t="inlineStr">
        <is>
          <t>ko</t>
        </is>
      </c>
      <c r="C499" s="9" t="n">
        <v>-0.00671043325042664</v>
      </c>
      <c r="D499" s="3">
        <f>EXP(0.25*'3b-d Exposures'!G602)</f>
        <v/>
      </c>
      <c r="E499" s="3">
        <f>IF('3b-d Exposures'!C602="",0,'3b-d Exposures'!C602)</f>
        <v/>
      </c>
      <c r="F499" s="3">
        <f>IF('3b-d Exposures'!E602="",0,'3b-d Exposures'!E602)</f>
        <v/>
      </c>
      <c r="G499" s="3">
        <f>IF('3b-d Exposures'!G602="",0,'3b-d Exposures'!G602)</f>
        <v/>
      </c>
      <c r="H499" s="3">
        <f>IF('3b-d Exposures'!I602="",0,'3b-d Exposures'!I602)</f>
        <v/>
      </c>
      <c r="I499" s="3">
        <f>IF('3b-d Exposures'!K602="",0,'3b-d Exposures'!K602)</f>
        <v/>
      </c>
      <c r="J499" s="3">
        <f>IF('3b-d Exposures'!M602="",0,'3b-d Exposures'!M602)</f>
        <v/>
      </c>
      <c r="K499" s="3">
        <f>IF('3b-d Exposures'!O602="",0,'3b-d Exposures'!O602)</f>
        <v/>
      </c>
      <c r="L499" s="3">
        <f>IF('3b-d Exposures'!Q602="",0,'3b-d Exposures'!Q602)</f>
        <v/>
      </c>
      <c r="M499" s="3">
        <f>IF('3b-d Exposures'!S602="",0,'3b-d Exposures'!S602)</f>
        <v/>
      </c>
      <c r="N499" s="3">
        <f>IF('3b-d Exposures'!Z602="",0,'3b-d Exposures'!Z602)</f>
        <v/>
      </c>
      <c r="O499" s="3">
        <f>$D499</f>
        <v/>
      </c>
      <c r="P499" s="3">
        <f>E499*$D499</f>
        <v/>
      </c>
      <c r="Q499" s="3">
        <f>F499*$D499</f>
        <v/>
      </c>
      <c r="R499" s="3">
        <f>G499*$D499</f>
        <v/>
      </c>
      <c r="S499" s="3">
        <f>H499*$D499</f>
        <v/>
      </c>
      <c r="T499" s="3">
        <f>I499*$D499</f>
        <v/>
      </c>
      <c r="U499" s="3">
        <f>J499*$D499</f>
        <v/>
      </c>
      <c r="V499" s="3">
        <f>K499*$D499</f>
        <v/>
      </c>
      <c r="W499" s="3">
        <f>L499*$D499</f>
        <v/>
      </c>
      <c r="X499" s="3">
        <f>M499*$D499</f>
        <v/>
      </c>
      <c r="Y499" s="3">
        <f>N499*$D499</f>
        <v/>
      </c>
      <c r="Z499" s="3">
        <f>C499*$D499</f>
        <v/>
      </c>
      <c r="AA499" s="9">
        <f>$L978+$K978*E499+$J978*F499+$I978*G499+$H978*H499+$G978*I499+$F978*J499+$E978*K499+$D978*L499+$C978*M499+$B978*N499</f>
        <v/>
      </c>
      <c r="AB499" s="9">
        <f>C499-AA499</f>
        <v/>
      </c>
      <c r="AC499" s="4">
        <f>AB499^2</f>
        <v/>
      </c>
    </row>
    <row r="500">
      <c r="A500" t="inlineStr">
        <is>
          <t>BBG0057GTG80</t>
        </is>
      </c>
      <c r="B500" t="inlineStr">
        <is>
          <t>kodk</t>
        </is>
      </c>
      <c r="C500" s="9" t="n">
        <v>-0.004137959973565475</v>
      </c>
      <c r="D500" s="3">
        <f>EXP(0.25*'3b-d Exposures'!G603)</f>
        <v/>
      </c>
      <c r="E500" s="3">
        <f>IF('3b-d Exposures'!C603="",0,'3b-d Exposures'!C603)</f>
        <v/>
      </c>
      <c r="F500" s="3">
        <f>IF('3b-d Exposures'!E603="",0,'3b-d Exposures'!E603)</f>
        <v/>
      </c>
      <c r="G500" s="3">
        <f>IF('3b-d Exposures'!G603="",0,'3b-d Exposures'!G603)</f>
        <v/>
      </c>
      <c r="H500" s="3">
        <f>IF('3b-d Exposures'!I603="",0,'3b-d Exposures'!I603)</f>
        <v/>
      </c>
      <c r="I500" s="3">
        <f>IF('3b-d Exposures'!K603="",0,'3b-d Exposures'!K603)</f>
        <v/>
      </c>
      <c r="J500" s="3">
        <f>IF('3b-d Exposures'!M603="",0,'3b-d Exposures'!M603)</f>
        <v/>
      </c>
      <c r="K500" s="3">
        <f>IF('3b-d Exposures'!O603="",0,'3b-d Exposures'!O603)</f>
        <v/>
      </c>
      <c r="L500" s="3">
        <f>IF('3b-d Exposures'!Q603="",0,'3b-d Exposures'!Q603)</f>
        <v/>
      </c>
      <c r="M500" s="3">
        <f>IF('3b-d Exposures'!S603="",0,'3b-d Exposures'!S603)</f>
        <v/>
      </c>
      <c r="N500" s="3">
        <f>IF('3b-d Exposures'!Z603="",0,'3b-d Exposures'!Z603)</f>
        <v/>
      </c>
      <c r="O500" s="3">
        <f>$D500</f>
        <v/>
      </c>
      <c r="P500" s="3">
        <f>E500*$D500</f>
        <v/>
      </c>
      <c r="Q500" s="3">
        <f>F500*$D500</f>
        <v/>
      </c>
      <c r="R500" s="3">
        <f>G500*$D500</f>
        <v/>
      </c>
      <c r="S500" s="3">
        <f>H500*$D500</f>
        <v/>
      </c>
      <c r="T500" s="3">
        <f>I500*$D500</f>
        <v/>
      </c>
      <c r="U500" s="3">
        <f>J500*$D500</f>
        <v/>
      </c>
      <c r="V500" s="3">
        <f>K500*$D500</f>
        <v/>
      </c>
      <c r="W500" s="3">
        <f>L500*$D500</f>
        <v/>
      </c>
      <c r="X500" s="3">
        <f>M500*$D500</f>
        <v/>
      </c>
      <c r="Y500" s="3">
        <f>N500*$D500</f>
        <v/>
      </c>
      <c r="Z500" s="3">
        <f>C500*$D500</f>
        <v/>
      </c>
      <c r="AA500" s="9">
        <f>$L978+$K978*E500+$J978*F500+$I978*G500+$H978*H500+$G978*I500+$F978*J500+$E978*K500+$D978*L500+$C978*M500+$B978*N500</f>
        <v/>
      </c>
      <c r="AB500" s="9">
        <f>C500-AA500</f>
        <v/>
      </c>
      <c r="AC500" s="4">
        <f>AB500^2</f>
        <v/>
      </c>
    </row>
    <row r="501">
      <c r="A501" t="inlineStr">
        <is>
          <t>BBG000L2Q7C4</t>
        </is>
      </c>
      <c r="B501" t="inlineStr">
        <is>
          <t>kos</t>
        </is>
      </c>
      <c r="C501" s="9" t="n">
        <v>-0.0355330210332383</v>
      </c>
      <c r="D501" s="3">
        <f>EXP(0.25*'3b-d Exposures'!G604)</f>
        <v/>
      </c>
      <c r="E501" s="3">
        <f>IF('3b-d Exposures'!C604="",0,'3b-d Exposures'!C604)</f>
        <v/>
      </c>
      <c r="F501" s="3">
        <f>IF('3b-d Exposures'!E604="",0,'3b-d Exposures'!E604)</f>
        <v/>
      </c>
      <c r="G501" s="3">
        <f>IF('3b-d Exposures'!G604="",0,'3b-d Exposures'!G604)</f>
        <v/>
      </c>
      <c r="H501" s="3">
        <f>IF('3b-d Exposures'!I604="",0,'3b-d Exposures'!I604)</f>
        <v/>
      </c>
      <c r="I501" s="3">
        <f>IF('3b-d Exposures'!K604="",0,'3b-d Exposures'!K604)</f>
        <v/>
      </c>
      <c r="J501" s="3">
        <f>IF('3b-d Exposures'!M604="",0,'3b-d Exposures'!M604)</f>
        <v/>
      </c>
      <c r="K501" s="3">
        <f>IF('3b-d Exposures'!O604="",0,'3b-d Exposures'!O604)</f>
        <v/>
      </c>
      <c r="L501" s="3">
        <f>IF('3b-d Exposures'!Q604="",0,'3b-d Exposures'!Q604)</f>
        <v/>
      </c>
      <c r="M501" s="3">
        <f>IF('3b-d Exposures'!S604="",0,'3b-d Exposures'!S604)</f>
        <v/>
      </c>
      <c r="N501" s="3">
        <f>IF('3b-d Exposures'!Z604="",0,'3b-d Exposures'!Z604)</f>
        <v/>
      </c>
      <c r="O501" s="3">
        <f>$D501</f>
        <v/>
      </c>
      <c r="P501" s="3">
        <f>E501*$D501</f>
        <v/>
      </c>
      <c r="Q501" s="3">
        <f>F501*$D501</f>
        <v/>
      </c>
      <c r="R501" s="3">
        <f>G501*$D501</f>
        <v/>
      </c>
      <c r="S501" s="3">
        <f>H501*$D501</f>
        <v/>
      </c>
      <c r="T501" s="3">
        <f>I501*$D501</f>
        <v/>
      </c>
      <c r="U501" s="3">
        <f>J501*$D501</f>
        <v/>
      </c>
      <c r="V501" s="3">
        <f>K501*$D501</f>
        <v/>
      </c>
      <c r="W501" s="3">
        <f>L501*$D501</f>
        <v/>
      </c>
      <c r="X501" s="3">
        <f>M501*$D501</f>
        <v/>
      </c>
      <c r="Y501" s="3">
        <f>N501*$D501</f>
        <v/>
      </c>
      <c r="Z501" s="3">
        <f>C501*$D501</f>
        <v/>
      </c>
      <c r="AA501" s="9">
        <f>$L978+$K978*E501+$J978*F501+$I978*G501+$H978*H501+$G978*I501+$F978*J501+$E978*K501+$D978*L501+$C978*M501+$B978*N501</f>
        <v/>
      </c>
      <c r="AB501" s="9">
        <f>C501-AA501</f>
        <v/>
      </c>
      <c r="AC501" s="4">
        <f>AB501^2</f>
        <v/>
      </c>
    </row>
    <row r="502">
      <c r="A502" t="inlineStr">
        <is>
          <t>BBG000BMY992</t>
        </is>
      </c>
      <c r="B502" t="inlineStr">
        <is>
          <t>kr</t>
        </is>
      </c>
      <c r="C502" s="9" t="n">
        <v>-0.01522594989809967</v>
      </c>
      <c r="D502" s="3">
        <f>EXP(0.25*'3b-d Exposures'!G605)</f>
        <v/>
      </c>
      <c r="E502" s="3">
        <f>IF('3b-d Exposures'!C605="",0,'3b-d Exposures'!C605)</f>
        <v/>
      </c>
      <c r="F502" s="3">
        <f>IF('3b-d Exposures'!E605="",0,'3b-d Exposures'!E605)</f>
        <v/>
      </c>
      <c r="G502" s="3">
        <f>IF('3b-d Exposures'!G605="",0,'3b-d Exposures'!G605)</f>
        <v/>
      </c>
      <c r="H502" s="3">
        <f>IF('3b-d Exposures'!I605="",0,'3b-d Exposures'!I605)</f>
        <v/>
      </c>
      <c r="I502" s="3">
        <f>IF('3b-d Exposures'!K605="",0,'3b-d Exposures'!K605)</f>
        <v/>
      </c>
      <c r="J502" s="3">
        <f>IF('3b-d Exposures'!M605="",0,'3b-d Exposures'!M605)</f>
        <v/>
      </c>
      <c r="K502" s="3">
        <f>IF('3b-d Exposures'!O605="",0,'3b-d Exposures'!O605)</f>
        <v/>
      </c>
      <c r="L502" s="3">
        <f>IF('3b-d Exposures'!Q605="",0,'3b-d Exposures'!Q605)</f>
        <v/>
      </c>
      <c r="M502" s="3">
        <f>IF('3b-d Exposures'!S605="",0,'3b-d Exposures'!S605)</f>
        <v/>
      </c>
      <c r="N502" s="3">
        <f>IF('3b-d Exposures'!Z605="",0,'3b-d Exposures'!Z605)</f>
        <v/>
      </c>
      <c r="O502" s="3">
        <f>$D502</f>
        <v/>
      </c>
      <c r="P502" s="3">
        <f>E502*$D502</f>
        <v/>
      </c>
      <c r="Q502" s="3">
        <f>F502*$D502</f>
        <v/>
      </c>
      <c r="R502" s="3">
        <f>G502*$D502</f>
        <v/>
      </c>
      <c r="S502" s="3">
        <f>H502*$D502</f>
        <v/>
      </c>
      <c r="T502" s="3">
        <f>I502*$D502</f>
        <v/>
      </c>
      <c r="U502" s="3">
        <f>J502*$D502</f>
        <v/>
      </c>
      <c r="V502" s="3">
        <f>K502*$D502</f>
        <v/>
      </c>
      <c r="W502" s="3">
        <f>L502*$D502</f>
        <v/>
      </c>
      <c r="X502" s="3">
        <f>M502*$D502</f>
        <v/>
      </c>
      <c r="Y502" s="3">
        <f>N502*$D502</f>
        <v/>
      </c>
      <c r="Z502" s="3">
        <f>C502*$D502</f>
        <v/>
      </c>
      <c r="AA502" s="9">
        <f>$L978+$K978*E502+$J978*F502+$I978*G502+$H978*H502+$G978*I502+$F978*J502+$E978*K502+$D978*L502+$C978*M502+$B978*N502</f>
        <v/>
      </c>
      <c r="AB502" s="9">
        <f>C502-AA502</f>
        <v/>
      </c>
      <c r="AC502" s="4">
        <f>AB502^2</f>
        <v/>
      </c>
    </row>
    <row r="503">
      <c r="A503" t="inlineStr">
        <is>
          <t>BBG000CS7CT9</t>
        </is>
      </c>
      <c r="B503" t="inlineStr">
        <is>
          <t>kss</t>
        </is>
      </c>
      <c r="C503" s="9" t="n">
        <v>0.03072816318330407</v>
      </c>
      <c r="D503" s="3">
        <f>EXP(0.25*'3b-d Exposures'!G608)</f>
        <v/>
      </c>
      <c r="E503" s="3">
        <f>IF('3b-d Exposures'!C608="",0,'3b-d Exposures'!C608)</f>
        <v/>
      </c>
      <c r="F503" s="3">
        <f>IF('3b-d Exposures'!E608="",0,'3b-d Exposures'!E608)</f>
        <v/>
      </c>
      <c r="G503" s="3">
        <f>IF('3b-d Exposures'!G608="",0,'3b-d Exposures'!G608)</f>
        <v/>
      </c>
      <c r="H503" s="3">
        <f>IF('3b-d Exposures'!I608="",0,'3b-d Exposures'!I608)</f>
        <v/>
      </c>
      <c r="I503" s="3">
        <f>IF('3b-d Exposures'!K608="",0,'3b-d Exposures'!K608)</f>
        <v/>
      </c>
      <c r="J503" s="3">
        <f>IF('3b-d Exposures'!M608="",0,'3b-d Exposures'!M608)</f>
        <v/>
      </c>
      <c r="K503" s="3">
        <f>IF('3b-d Exposures'!O608="",0,'3b-d Exposures'!O608)</f>
        <v/>
      </c>
      <c r="L503" s="3">
        <f>IF('3b-d Exposures'!Q608="",0,'3b-d Exposures'!Q608)</f>
        <v/>
      </c>
      <c r="M503" s="3">
        <f>IF('3b-d Exposures'!S608="",0,'3b-d Exposures'!S608)</f>
        <v/>
      </c>
      <c r="N503" s="3">
        <f>IF('3b-d Exposures'!Z608="",0,'3b-d Exposures'!Z608)</f>
        <v/>
      </c>
      <c r="O503" s="3">
        <f>$D503</f>
        <v/>
      </c>
      <c r="P503" s="3">
        <f>E503*$D503</f>
        <v/>
      </c>
      <c r="Q503" s="3">
        <f>F503*$D503</f>
        <v/>
      </c>
      <c r="R503" s="3">
        <f>G503*$D503</f>
        <v/>
      </c>
      <c r="S503" s="3">
        <f>H503*$D503</f>
        <v/>
      </c>
      <c r="T503" s="3">
        <f>I503*$D503</f>
        <v/>
      </c>
      <c r="U503" s="3">
        <f>J503*$D503</f>
        <v/>
      </c>
      <c r="V503" s="3">
        <f>K503*$D503</f>
        <v/>
      </c>
      <c r="W503" s="3">
        <f>L503*$D503</f>
        <v/>
      </c>
      <c r="X503" s="3">
        <f>M503*$D503</f>
        <v/>
      </c>
      <c r="Y503" s="3">
        <f>N503*$D503</f>
        <v/>
      </c>
      <c r="Z503" s="3">
        <f>C503*$D503</f>
        <v/>
      </c>
      <c r="AA503" s="9">
        <f>$L978+$K978*E503+$J978*F503+$I978*G503+$H978*H503+$G978*I503+$F978*J503+$E978*K503+$D978*L503+$C978*M503+$B978*N503</f>
        <v/>
      </c>
      <c r="AB503" s="9">
        <f>C503-AA503</f>
        <v/>
      </c>
      <c r="AC503" s="4">
        <f>AB503^2</f>
        <v/>
      </c>
    </row>
    <row r="504">
      <c r="A504" t="inlineStr">
        <is>
          <t>BBG000C1HQ43</t>
        </is>
      </c>
      <c r="B504" t="inlineStr">
        <is>
          <t>ktos</t>
        </is>
      </c>
      <c r="C504" s="9" t="n">
        <v>-0.006644529500254959</v>
      </c>
      <c r="D504" s="3">
        <f>EXP(0.25*'3b-d Exposures'!G609)</f>
        <v/>
      </c>
      <c r="E504" s="3">
        <f>IF('3b-d Exposures'!C609="",0,'3b-d Exposures'!C609)</f>
        <v/>
      </c>
      <c r="F504" s="3">
        <f>IF('3b-d Exposures'!E609="",0,'3b-d Exposures'!E609)</f>
        <v/>
      </c>
      <c r="G504" s="3">
        <f>IF('3b-d Exposures'!G609="",0,'3b-d Exposures'!G609)</f>
        <v/>
      </c>
      <c r="H504" s="3">
        <f>IF('3b-d Exposures'!I609="",0,'3b-d Exposures'!I609)</f>
        <v/>
      </c>
      <c r="I504" s="3">
        <f>IF('3b-d Exposures'!K609="",0,'3b-d Exposures'!K609)</f>
        <v/>
      </c>
      <c r="J504" s="3">
        <f>IF('3b-d Exposures'!M609="",0,'3b-d Exposures'!M609)</f>
        <v/>
      </c>
      <c r="K504" s="3">
        <f>IF('3b-d Exposures'!O609="",0,'3b-d Exposures'!O609)</f>
        <v/>
      </c>
      <c r="L504" s="3">
        <f>IF('3b-d Exposures'!Q609="",0,'3b-d Exposures'!Q609)</f>
        <v/>
      </c>
      <c r="M504" s="3">
        <f>IF('3b-d Exposures'!S609="",0,'3b-d Exposures'!S609)</f>
        <v/>
      </c>
      <c r="N504" s="3">
        <f>IF('3b-d Exposures'!Z609="",0,'3b-d Exposures'!Z609)</f>
        <v/>
      </c>
      <c r="O504" s="3">
        <f>$D504</f>
        <v/>
      </c>
      <c r="P504" s="3">
        <f>E504*$D504</f>
        <v/>
      </c>
      <c r="Q504" s="3">
        <f>F504*$D504</f>
        <v/>
      </c>
      <c r="R504" s="3">
        <f>G504*$D504</f>
        <v/>
      </c>
      <c r="S504" s="3">
        <f>H504*$D504</f>
        <v/>
      </c>
      <c r="T504" s="3">
        <f>I504*$D504</f>
        <v/>
      </c>
      <c r="U504" s="3">
        <f>J504*$D504</f>
        <v/>
      </c>
      <c r="V504" s="3">
        <f>K504*$D504</f>
        <v/>
      </c>
      <c r="W504" s="3">
        <f>L504*$D504</f>
        <v/>
      </c>
      <c r="X504" s="3">
        <f>M504*$D504</f>
        <v/>
      </c>
      <c r="Y504" s="3">
        <f>N504*$D504</f>
        <v/>
      </c>
      <c r="Z504" s="3">
        <f>C504*$D504</f>
        <v/>
      </c>
      <c r="AA504" s="9">
        <f>$L978+$K978*E504+$J978*F504+$I978*G504+$H978*H504+$G978*I504+$F978*J504+$E978*K504+$D978*L504+$C978*M504+$B978*N504</f>
        <v/>
      </c>
      <c r="AB504" s="9">
        <f>C504-AA504</f>
        <v/>
      </c>
      <c r="AC504" s="4">
        <f>AB504^2</f>
        <v/>
      </c>
    </row>
    <row r="505">
      <c r="A505" t="inlineStr">
        <is>
          <t>BBG01C79X561</t>
        </is>
      </c>
      <c r="B505" t="inlineStr">
        <is>
          <t>kvue</t>
        </is>
      </c>
      <c r="C505" s="9" t="n">
        <v>0.007475152281707143</v>
      </c>
      <c r="D505" s="3">
        <f>EXP(0.25*'3b-d Exposures'!G610)</f>
        <v/>
      </c>
      <c r="E505" s="3">
        <f>IF('3b-d Exposures'!C610="",0,'3b-d Exposures'!C610)</f>
        <v/>
      </c>
      <c r="F505" s="3">
        <f>IF('3b-d Exposures'!E610="",0,'3b-d Exposures'!E610)</f>
        <v/>
      </c>
      <c r="G505" s="3">
        <f>IF('3b-d Exposures'!G610="",0,'3b-d Exposures'!G610)</f>
        <v/>
      </c>
      <c r="H505" s="3">
        <f>IF('3b-d Exposures'!I610="",0,'3b-d Exposures'!I610)</f>
        <v/>
      </c>
      <c r="I505" s="3">
        <f>IF('3b-d Exposures'!K610="",0,'3b-d Exposures'!K610)</f>
        <v/>
      </c>
      <c r="J505" s="3">
        <f>IF('3b-d Exposures'!M610="",0,'3b-d Exposures'!M610)</f>
        <v/>
      </c>
      <c r="K505" s="3">
        <f>IF('3b-d Exposures'!O610="",0,'3b-d Exposures'!O610)</f>
        <v/>
      </c>
      <c r="L505" s="3">
        <f>IF('3b-d Exposures'!Q610="",0,'3b-d Exposures'!Q610)</f>
        <v/>
      </c>
      <c r="M505" s="3">
        <f>IF('3b-d Exposures'!S610="",0,'3b-d Exposures'!S610)</f>
        <v/>
      </c>
      <c r="N505" s="3">
        <f>IF('3b-d Exposures'!Z610="",0,'3b-d Exposures'!Z610)</f>
        <v/>
      </c>
      <c r="O505" s="3">
        <f>$D505</f>
        <v/>
      </c>
      <c r="P505" s="3">
        <f>E505*$D505</f>
        <v/>
      </c>
      <c r="Q505" s="3">
        <f>F505*$D505</f>
        <v/>
      </c>
      <c r="R505" s="3">
        <f>G505*$D505</f>
        <v/>
      </c>
      <c r="S505" s="3">
        <f>H505*$D505</f>
        <v/>
      </c>
      <c r="T505" s="3">
        <f>I505*$D505</f>
        <v/>
      </c>
      <c r="U505" s="3">
        <f>J505*$D505</f>
        <v/>
      </c>
      <c r="V505" s="3">
        <f>K505*$D505</f>
        <v/>
      </c>
      <c r="W505" s="3">
        <f>L505*$D505</f>
        <v/>
      </c>
      <c r="X505" s="3">
        <f>M505*$D505</f>
        <v/>
      </c>
      <c r="Y505" s="3">
        <f>N505*$D505</f>
        <v/>
      </c>
      <c r="Z505" s="3">
        <f>C505*$D505</f>
        <v/>
      </c>
      <c r="AA505" s="9">
        <f>$L978+$K978*E505+$J978*F505+$I978*G505+$H978*H505+$G978*I505+$F978*J505+$E978*K505+$D978*L505+$C978*M505+$B978*N505</f>
        <v/>
      </c>
      <c r="AB505" s="9">
        <f>C505-AA505</f>
        <v/>
      </c>
      <c r="AC505" s="4">
        <f>AB505^2</f>
        <v/>
      </c>
    </row>
    <row r="506">
      <c r="A506" t="inlineStr">
        <is>
          <t>BBG000CTY4J6</t>
        </is>
      </c>
      <c r="B506" t="inlineStr">
        <is>
          <t>kw</t>
        </is>
      </c>
      <c r="C506" s="9" t="n">
        <v>0.0008635970886969879</v>
      </c>
      <c r="D506" s="3">
        <f>EXP(0.25*'3b-d Exposures'!G612)</f>
        <v/>
      </c>
      <c r="E506" s="3">
        <f>IF('3b-d Exposures'!C612="",0,'3b-d Exposures'!C612)</f>
        <v/>
      </c>
      <c r="F506" s="3">
        <f>IF('3b-d Exposures'!E612="",0,'3b-d Exposures'!E612)</f>
        <v/>
      </c>
      <c r="G506" s="3">
        <f>IF('3b-d Exposures'!G612="",0,'3b-d Exposures'!G612)</f>
        <v/>
      </c>
      <c r="H506" s="3">
        <f>IF('3b-d Exposures'!I612="",0,'3b-d Exposures'!I612)</f>
        <v/>
      </c>
      <c r="I506" s="3">
        <f>IF('3b-d Exposures'!K612="",0,'3b-d Exposures'!K612)</f>
        <v/>
      </c>
      <c r="J506" s="3">
        <f>IF('3b-d Exposures'!M612="",0,'3b-d Exposures'!M612)</f>
        <v/>
      </c>
      <c r="K506" s="3">
        <f>IF('3b-d Exposures'!O612="",0,'3b-d Exposures'!O612)</f>
        <v/>
      </c>
      <c r="L506" s="3">
        <f>IF('3b-d Exposures'!Q612="",0,'3b-d Exposures'!Q612)</f>
        <v/>
      </c>
      <c r="M506" s="3">
        <f>IF('3b-d Exposures'!S612="",0,'3b-d Exposures'!S612)</f>
        <v/>
      </c>
      <c r="N506" s="3">
        <f>IF('3b-d Exposures'!Z612="",0,'3b-d Exposures'!Z612)</f>
        <v/>
      </c>
      <c r="O506" s="3">
        <f>$D506</f>
        <v/>
      </c>
      <c r="P506" s="3">
        <f>E506*$D506</f>
        <v/>
      </c>
      <c r="Q506" s="3">
        <f>F506*$D506</f>
        <v/>
      </c>
      <c r="R506" s="3">
        <f>G506*$D506</f>
        <v/>
      </c>
      <c r="S506" s="3">
        <f>H506*$D506</f>
        <v/>
      </c>
      <c r="T506" s="3">
        <f>I506*$D506</f>
        <v/>
      </c>
      <c r="U506" s="3">
        <f>J506*$D506</f>
        <v/>
      </c>
      <c r="V506" s="3">
        <f>K506*$D506</f>
        <v/>
      </c>
      <c r="W506" s="3">
        <f>L506*$D506</f>
        <v/>
      </c>
      <c r="X506" s="3">
        <f>M506*$D506</f>
        <v/>
      </c>
      <c r="Y506" s="3">
        <f>N506*$D506</f>
        <v/>
      </c>
      <c r="Z506" s="3">
        <f>C506*$D506</f>
        <v/>
      </c>
      <c r="AA506" s="9">
        <f>$L978+$K978*E506+$J978*F506+$I978*G506+$H978*H506+$G978*I506+$F978*J506+$E978*K506+$D978*L506+$C978*M506+$B978*N506</f>
        <v/>
      </c>
      <c r="AB506" s="9">
        <f>C506-AA506</f>
        <v/>
      </c>
      <c r="AC506" s="4">
        <f>AB506^2</f>
        <v/>
      </c>
    </row>
    <row r="507">
      <c r="A507" t="inlineStr">
        <is>
          <t>BBG00SDHC8D1</t>
        </is>
      </c>
      <c r="B507" t="inlineStr">
        <is>
          <t>kymr</t>
        </is>
      </c>
      <c r="C507" s="9" t="n">
        <v>0.0189968673069929</v>
      </c>
      <c r="D507" s="3">
        <f>EXP(0.25*'3b-d Exposures'!G613)</f>
        <v/>
      </c>
      <c r="E507" s="3">
        <f>IF('3b-d Exposures'!C613="",0,'3b-d Exposures'!C613)</f>
        <v/>
      </c>
      <c r="F507" s="3">
        <f>IF('3b-d Exposures'!E613="",0,'3b-d Exposures'!E613)</f>
        <v/>
      </c>
      <c r="G507" s="3">
        <f>IF('3b-d Exposures'!G613="",0,'3b-d Exposures'!G613)</f>
        <v/>
      </c>
      <c r="H507" s="3">
        <f>IF('3b-d Exposures'!I613="",0,'3b-d Exposures'!I613)</f>
        <v/>
      </c>
      <c r="I507" s="3">
        <f>IF('3b-d Exposures'!K613="",0,'3b-d Exposures'!K613)</f>
        <v/>
      </c>
      <c r="J507" s="3">
        <f>IF('3b-d Exposures'!M613="",0,'3b-d Exposures'!M613)</f>
        <v/>
      </c>
      <c r="K507" s="3">
        <f>IF('3b-d Exposures'!O613="",0,'3b-d Exposures'!O613)</f>
        <v/>
      </c>
      <c r="L507" s="3">
        <f>IF('3b-d Exposures'!Q613="",0,'3b-d Exposures'!Q613)</f>
        <v/>
      </c>
      <c r="M507" s="3">
        <f>IF('3b-d Exposures'!S613="",0,'3b-d Exposures'!S613)</f>
        <v/>
      </c>
      <c r="N507" s="3">
        <f>IF('3b-d Exposures'!Z613="",0,'3b-d Exposures'!Z613)</f>
        <v/>
      </c>
      <c r="O507" s="3">
        <f>$D507</f>
        <v/>
      </c>
      <c r="P507" s="3">
        <f>E507*$D507</f>
        <v/>
      </c>
      <c r="Q507" s="3">
        <f>F507*$D507</f>
        <v/>
      </c>
      <c r="R507" s="3">
        <f>G507*$D507</f>
        <v/>
      </c>
      <c r="S507" s="3">
        <f>H507*$D507</f>
        <v/>
      </c>
      <c r="T507" s="3">
        <f>I507*$D507</f>
        <v/>
      </c>
      <c r="U507" s="3">
        <f>J507*$D507</f>
        <v/>
      </c>
      <c r="V507" s="3">
        <f>K507*$D507</f>
        <v/>
      </c>
      <c r="W507" s="3">
        <f>L507*$D507</f>
        <v/>
      </c>
      <c r="X507" s="3">
        <f>M507*$D507</f>
        <v/>
      </c>
      <c r="Y507" s="3">
        <f>N507*$D507</f>
        <v/>
      </c>
      <c r="Z507" s="3">
        <f>C507*$D507</f>
        <v/>
      </c>
      <c r="AA507" s="9">
        <f>$L978+$K978*E507+$J978*F507+$I978*G507+$H978*H507+$G978*I507+$F978*J507+$E978*K507+$D978*L507+$C978*M507+$B978*N507</f>
        <v/>
      </c>
      <c r="AB507" s="9">
        <f>C507-AA507</f>
        <v/>
      </c>
      <c r="AC507" s="4">
        <f>AB507^2</f>
        <v/>
      </c>
    </row>
    <row r="508">
      <c r="A508" t="inlineStr">
        <is>
          <t>BBG000C45984</t>
        </is>
      </c>
      <c r="B508" t="inlineStr">
        <is>
          <t>l</t>
        </is>
      </c>
      <c r="C508" s="9" t="n">
        <v>-0.006572171047937392</v>
      </c>
      <c r="D508" s="3">
        <f>EXP(0.25*'3b-d Exposures'!G614)</f>
        <v/>
      </c>
      <c r="E508" s="3">
        <f>IF('3b-d Exposures'!C614="",0,'3b-d Exposures'!C614)</f>
        <v/>
      </c>
      <c r="F508" s="3">
        <f>IF('3b-d Exposures'!E614="",0,'3b-d Exposures'!E614)</f>
        <v/>
      </c>
      <c r="G508" s="3">
        <f>IF('3b-d Exposures'!G614="",0,'3b-d Exposures'!G614)</f>
        <v/>
      </c>
      <c r="H508" s="3">
        <f>IF('3b-d Exposures'!I614="",0,'3b-d Exposures'!I614)</f>
        <v/>
      </c>
      <c r="I508" s="3">
        <f>IF('3b-d Exposures'!K614="",0,'3b-d Exposures'!K614)</f>
        <v/>
      </c>
      <c r="J508" s="3">
        <f>IF('3b-d Exposures'!M614="",0,'3b-d Exposures'!M614)</f>
        <v/>
      </c>
      <c r="K508" s="3">
        <f>IF('3b-d Exposures'!O614="",0,'3b-d Exposures'!O614)</f>
        <v/>
      </c>
      <c r="L508" s="3">
        <f>IF('3b-d Exposures'!Q614="",0,'3b-d Exposures'!Q614)</f>
        <v/>
      </c>
      <c r="M508" s="3">
        <f>IF('3b-d Exposures'!S614="",0,'3b-d Exposures'!S614)</f>
        <v/>
      </c>
      <c r="N508" s="3">
        <f>IF('3b-d Exposures'!Z614="",0,'3b-d Exposures'!Z614)</f>
        <v/>
      </c>
      <c r="O508" s="3">
        <f>$D508</f>
        <v/>
      </c>
      <c r="P508" s="3">
        <f>E508*$D508</f>
        <v/>
      </c>
      <c r="Q508" s="3">
        <f>F508*$D508</f>
        <v/>
      </c>
      <c r="R508" s="3">
        <f>G508*$D508</f>
        <v/>
      </c>
      <c r="S508" s="3">
        <f>H508*$D508</f>
        <v/>
      </c>
      <c r="T508" s="3">
        <f>I508*$D508</f>
        <v/>
      </c>
      <c r="U508" s="3">
        <f>J508*$D508</f>
        <v/>
      </c>
      <c r="V508" s="3">
        <f>K508*$D508</f>
        <v/>
      </c>
      <c r="W508" s="3">
        <f>L508*$D508</f>
        <v/>
      </c>
      <c r="X508" s="3">
        <f>M508*$D508</f>
        <v/>
      </c>
      <c r="Y508" s="3">
        <f>N508*$D508</f>
        <v/>
      </c>
      <c r="Z508" s="3">
        <f>C508*$D508</f>
        <v/>
      </c>
      <c r="AA508" s="9">
        <f>$L978+$K978*E508+$J978*F508+$I978*G508+$H978*H508+$G978*I508+$F978*J508+$E978*K508+$D978*L508+$C978*M508+$B978*N508</f>
        <v/>
      </c>
      <c r="AB508" s="9">
        <f>C508-AA508</f>
        <v/>
      </c>
      <c r="AC508" s="4">
        <f>AB508^2</f>
        <v/>
      </c>
    </row>
    <row r="509">
      <c r="A509" t="inlineStr">
        <is>
          <t>BBG000K3BC83</t>
        </is>
      </c>
      <c r="B509" t="inlineStr">
        <is>
          <t>lad</t>
        </is>
      </c>
      <c r="C509" s="9" t="n">
        <v>0.001033953415536359</v>
      </c>
      <c r="D509" s="3">
        <f>EXP(0.25*'3b-d Exposures'!G615)</f>
        <v/>
      </c>
      <c r="E509" s="3">
        <f>IF('3b-d Exposures'!C615="",0,'3b-d Exposures'!C615)</f>
        <v/>
      </c>
      <c r="F509" s="3">
        <f>IF('3b-d Exposures'!E615="",0,'3b-d Exposures'!E615)</f>
        <v/>
      </c>
      <c r="G509" s="3">
        <f>IF('3b-d Exposures'!G615="",0,'3b-d Exposures'!G615)</f>
        <v/>
      </c>
      <c r="H509" s="3">
        <f>IF('3b-d Exposures'!I615="",0,'3b-d Exposures'!I615)</f>
        <v/>
      </c>
      <c r="I509" s="3">
        <f>IF('3b-d Exposures'!K615="",0,'3b-d Exposures'!K615)</f>
        <v/>
      </c>
      <c r="J509" s="3">
        <f>IF('3b-d Exposures'!M615="",0,'3b-d Exposures'!M615)</f>
        <v/>
      </c>
      <c r="K509" s="3">
        <f>IF('3b-d Exposures'!O615="",0,'3b-d Exposures'!O615)</f>
        <v/>
      </c>
      <c r="L509" s="3">
        <f>IF('3b-d Exposures'!Q615="",0,'3b-d Exposures'!Q615)</f>
        <v/>
      </c>
      <c r="M509" s="3">
        <f>IF('3b-d Exposures'!S615="",0,'3b-d Exposures'!S615)</f>
        <v/>
      </c>
      <c r="N509" s="3">
        <f>IF('3b-d Exposures'!Z615="",0,'3b-d Exposures'!Z615)</f>
        <v/>
      </c>
      <c r="O509" s="3">
        <f>$D509</f>
        <v/>
      </c>
      <c r="P509" s="3">
        <f>E509*$D509</f>
        <v/>
      </c>
      <c r="Q509" s="3">
        <f>F509*$D509</f>
        <v/>
      </c>
      <c r="R509" s="3">
        <f>G509*$D509</f>
        <v/>
      </c>
      <c r="S509" s="3">
        <f>H509*$D509</f>
        <v/>
      </c>
      <c r="T509" s="3">
        <f>I509*$D509</f>
        <v/>
      </c>
      <c r="U509" s="3">
        <f>J509*$D509</f>
        <v/>
      </c>
      <c r="V509" s="3">
        <f>K509*$D509</f>
        <v/>
      </c>
      <c r="W509" s="3">
        <f>L509*$D509</f>
        <v/>
      </c>
      <c r="X509" s="3">
        <f>M509*$D509</f>
        <v/>
      </c>
      <c r="Y509" s="3">
        <f>N509*$D509</f>
        <v/>
      </c>
      <c r="Z509" s="3">
        <f>C509*$D509</f>
        <v/>
      </c>
      <c r="AA509" s="9">
        <f>$L978+$K978*E509+$J978*F509+$I978*G509+$H978*H509+$G978*I509+$F978*J509+$E978*K509+$D978*L509+$C978*M509+$B978*N509</f>
        <v/>
      </c>
      <c r="AB509" s="9">
        <f>C509-AA509</f>
        <v/>
      </c>
      <c r="AC509" s="4">
        <f>AB509^2</f>
        <v/>
      </c>
    </row>
    <row r="510">
      <c r="A510" t="inlineStr">
        <is>
          <t>BBG000BT4C39</t>
        </is>
      </c>
      <c r="B510" t="inlineStr">
        <is>
          <t>laz</t>
        </is>
      </c>
      <c r="C510" s="9" t="n">
        <v>-0.01653172487993937</v>
      </c>
      <c r="D510" s="3">
        <f>EXP(0.25*'3b-d Exposures'!G617)</f>
        <v/>
      </c>
      <c r="E510" s="3">
        <f>IF('3b-d Exposures'!C617="",0,'3b-d Exposures'!C617)</f>
        <v/>
      </c>
      <c r="F510" s="3">
        <f>IF('3b-d Exposures'!E617="",0,'3b-d Exposures'!E617)</f>
        <v/>
      </c>
      <c r="G510" s="3">
        <f>IF('3b-d Exposures'!G617="",0,'3b-d Exposures'!G617)</f>
        <v/>
      </c>
      <c r="H510" s="3">
        <f>IF('3b-d Exposures'!I617="",0,'3b-d Exposures'!I617)</f>
        <v/>
      </c>
      <c r="I510" s="3">
        <f>IF('3b-d Exposures'!K617="",0,'3b-d Exposures'!K617)</f>
        <v/>
      </c>
      <c r="J510" s="3">
        <f>IF('3b-d Exposures'!M617="",0,'3b-d Exposures'!M617)</f>
        <v/>
      </c>
      <c r="K510" s="3">
        <f>IF('3b-d Exposures'!O617="",0,'3b-d Exposures'!O617)</f>
        <v/>
      </c>
      <c r="L510" s="3">
        <f>IF('3b-d Exposures'!Q617="",0,'3b-d Exposures'!Q617)</f>
        <v/>
      </c>
      <c r="M510" s="3">
        <f>IF('3b-d Exposures'!S617="",0,'3b-d Exposures'!S617)</f>
        <v/>
      </c>
      <c r="N510" s="3">
        <f>IF('3b-d Exposures'!Z617="",0,'3b-d Exposures'!Z617)</f>
        <v/>
      </c>
      <c r="O510" s="3">
        <f>$D510</f>
        <v/>
      </c>
      <c r="P510" s="3">
        <f>E510*$D510</f>
        <v/>
      </c>
      <c r="Q510" s="3">
        <f>F510*$D510</f>
        <v/>
      </c>
      <c r="R510" s="3">
        <f>G510*$D510</f>
        <v/>
      </c>
      <c r="S510" s="3">
        <f>H510*$D510</f>
        <v/>
      </c>
      <c r="T510" s="3">
        <f>I510*$D510</f>
        <v/>
      </c>
      <c r="U510" s="3">
        <f>J510*$D510</f>
        <v/>
      </c>
      <c r="V510" s="3">
        <f>K510*$D510</f>
        <v/>
      </c>
      <c r="W510" s="3">
        <f>L510*$D510</f>
        <v/>
      </c>
      <c r="X510" s="3">
        <f>M510*$D510</f>
        <v/>
      </c>
      <c r="Y510" s="3">
        <f>N510*$D510</f>
        <v/>
      </c>
      <c r="Z510" s="3">
        <f>C510*$D510</f>
        <v/>
      </c>
      <c r="AA510" s="9">
        <f>$L978+$K978*E510+$J978*F510+$I978*G510+$H978*H510+$G978*I510+$F978*J510+$E978*K510+$D978*L510+$C978*M510+$B978*N510</f>
        <v/>
      </c>
      <c r="AB510" s="9">
        <f>C510-AA510</f>
        <v/>
      </c>
      <c r="AC510" s="4">
        <f>AB510^2</f>
        <v/>
      </c>
    </row>
    <row r="511">
      <c r="A511" t="inlineStr">
        <is>
          <t>BBG00W7F99V5</t>
        </is>
      </c>
      <c r="B511" t="inlineStr">
        <is>
          <t>lcid</t>
        </is>
      </c>
      <c r="C511" s="9" t="n">
        <v>-0.02293578061920243</v>
      </c>
      <c r="D511" s="3">
        <f>EXP(0.25*'3b-d Exposures'!G619)</f>
        <v/>
      </c>
      <c r="E511" s="3">
        <f>IF('3b-d Exposures'!C619="",0,'3b-d Exposures'!C619)</f>
        <v/>
      </c>
      <c r="F511" s="3">
        <f>IF('3b-d Exposures'!E619="",0,'3b-d Exposures'!E619)</f>
        <v/>
      </c>
      <c r="G511" s="3">
        <f>IF('3b-d Exposures'!G619="",0,'3b-d Exposures'!G619)</f>
        <v/>
      </c>
      <c r="H511" s="3">
        <f>IF('3b-d Exposures'!I619="",0,'3b-d Exposures'!I619)</f>
        <v/>
      </c>
      <c r="I511" s="3">
        <f>IF('3b-d Exposures'!K619="",0,'3b-d Exposures'!K619)</f>
        <v/>
      </c>
      <c r="J511" s="3">
        <f>IF('3b-d Exposures'!M619="",0,'3b-d Exposures'!M619)</f>
        <v/>
      </c>
      <c r="K511" s="3">
        <f>IF('3b-d Exposures'!O619="",0,'3b-d Exposures'!O619)</f>
        <v/>
      </c>
      <c r="L511" s="3">
        <f>IF('3b-d Exposures'!Q619="",0,'3b-d Exposures'!Q619)</f>
        <v/>
      </c>
      <c r="M511" s="3">
        <f>IF('3b-d Exposures'!S619="",0,'3b-d Exposures'!S619)</f>
        <v/>
      </c>
      <c r="N511" s="3">
        <f>IF('3b-d Exposures'!Z619="",0,'3b-d Exposures'!Z619)</f>
        <v/>
      </c>
      <c r="O511" s="3">
        <f>$D511</f>
        <v/>
      </c>
      <c r="P511" s="3">
        <f>E511*$D511</f>
        <v/>
      </c>
      <c r="Q511" s="3">
        <f>F511*$D511</f>
        <v/>
      </c>
      <c r="R511" s="3">
        <f>G511*$D511</f>
        <v/>
      </c>
      <c r="S511" s="3">
        <f>H511*$D511</f>
        <v/>
      </c>
      <c r="T511" s="3">
        <f>I511*$D511</f>
        <v/>
      </c>
      <c r="U511" s="3">
        <f>J511*$D511</f>
        <v/>
      </c>
      <c r="V511" s="3">
        <f>K511*$D511</f>
        <v/>
      </c>
      <c r="W511" s="3">
        <f>L511*$D511</f>
        <v/>
      </c>
      <c r="X511" s="3">
        <f>M511*$D511</f>
        <v/>
      </c>
      <c r="Y511" s="3">
        <f>N511*$D511</f>
        <v/>
      </c>
      <c r="Z511" s="3">
        <f>C511*$D511</f>
        <v/>
      </c>
      <c r="AA511" s="9">
        <f>$L978+$K978*E511+$J978*F511+$I978*G511+$H978*H511+$G978*I511+$F978*J511+$E978*K511+$D978*L511+$C978*M511+$B978*N511</f>
        <v/>
      </c>
      <c r="AB511" s="9">
        <f>C511-AA511</f>
        <v/>
      </c>
      <c r="AC511" s="4">
        <f>AB511^2</f>
        <v/>
      </c>
    </row>
    <row r="512">
      <c r="A512" t="inlineStr">
        <is>
          <t>BBG000DNLMB0</t>
        </is>
      </c>
      <c r="B512" t="inlineStr">
        <is>
          <t>lcii</t>
        </is>
      </c>
      <c r="C512" s="9" t="n">
        <v>0.001655469337453752</v>
      </c>
      <c r="D512" s="3">
        <f>EXP(0.25*'3b-d Exposures'!G620)</f>
        <v/>
      </c>
      <c r="E512" s="3">
        <f>IF('3b-d Exposures'!C620="",0,'3b-d Exposures'!C620)</f>
        <v/>
      </c>
      <c r="F512" s="3">
        <f>IF('3b-d Exposures'!E620="",0,'3b-d Exposures'!E620)</f>
        <v/>
      </c>
      <c r="G512" s="3">
        <f>IF('3b-d Exposures'!G620="",0,'3b-d Exposures'!G620)</f>
        <v/>
      </c>
      <c r="H512" s="3">
        <f>IF('3b-d Exposures'!I620="",0,'3b-d Exposures'!I620)</f>
        <v/>
      </c>
      <c r="I512" s="3">
        <f>IF('3b-d Exposures'!K620="",0,'3b-d Exposures'!K620)</f>
        <v/>
      </c>
      <c r="J512" s="3">
        <f>IF('3b-d Exposures'!M620="",0,'3b-d Exposures'!M620)</f>
        <v/>
      </c>
      <c r="K512" s="3">
        <f>IF('3b-d Exposures'!O620="",0,'3b-d Exposures'!O620)</f>
        <v/>
      </c>
      <c r="L512" s="3">
        <f>IF('3b-d Exposures'!Q620="",0,'3b-d Exposures'!Q620)</f>
        <v/>
      </c>
      <c r="M512" s="3">
        <f>IF('3b-d Exposures'!S620="",0,'3b-d Exposures'!S620)</f>
        <v/>
      </c>
      <c r="N512" s="3">
        <f>IF('3b-d Exposures'!Z620="",0,'3b-d Exposures'!Z620)</f>
        <v/>
      </c>
      <c r="O512" s="3">
        <f>$D512</f>
        <v/>
      </c>
      <c r="P512" s="3">
        <f>E512*$D512</f>
        <v/>
      </c>
      <c r="Q512" s="3">
        <f>F512*$D512</f>
        <v/>
      </c>
      <c r="R512" s="3">
        <f>G512*$D512</f>
        <v/>
      </c>
      <c r="S512" s="3">
        <f>H512*$D512</f>
        <v/>
      </c>
      <c r="T512" s="3">
        <f>I512*$D512</f>
        <v/>
      </c>
      <c r="U512" s="3">
        <f>J512*$D512</f>
        <v/>
      </c>
      <c r="V512" s="3">
        <f>K512*$D512</f>
        <v/>
      </c>
      <c r="W512" s="3">
        <f>L512*$D512</f>
        <v/>
      </c>
      <c r="X512" s="3">
        <f>M512*$D512</f>
        <v/>
      </c>
      <c r="Y512" s="3">
        <f>N512*$D512</f>
        <v/>
      </c>
      <c r="Z512" s="3">
        <f>C512*$D512</f>
        <v/>
      </c>
      <c r="AA512" s="9">
        <f>$L978+$K978*E512+$J978*F512+$I978*G512+$H978*H512+$G978*I512+$F978*J512+$E978*K512+$D978*L512+$C978*M512+$B978*N512</f>
        <v/>
      </c>
      <c r="AB512" s="9">
        <f>C512-AA512</f>
        <v/>
      </c>
      <c r="AC512" s="4">
        <f>AB512^2</f>
        <v/>
      </c>
    </row>
    <row r="513">
      <c r="A513" t="inlineStr">
        <is>
          <t>BBG000C23PB0</t>
        </is>
      </c>
      <c r="B513" t="inlineStr">
        <is>
          <t>ldos</t>
        </is>
      </c>
      <c r="C513" s="9" t="n">
        <v>-0.007678219057760449</v>
      </c>
      <c r="D513" s="3">
        <f>EXP(0.25*'3b-d Exposures'!G621)</f>
        <v/>
      </c>
      <c r="E513" s="3">
        <f>IF('3b-d Exposures'!C621="",0,'3b-d Exposures'!C621)</f>
        <v/>
      </c>
      <c r="F513" s="3">
        <f>IF('3b-d Exposures'!E621="",0,'3b-d Exposures'!E621)</f>
        <v/>
      </c>
      <c r="G513" s="3">
        <f>IF('3b-d Exposures'!G621="",0,'3b-d Exposures'!G621)</f>
        <v/>
      </c>
      <c r="H513" s="3">
        <f>IF('3b-d Exposures'!I621="",0,'3b-d Exposures'!I621)</f>
        <v/>
      </c>
      <c r="I513" s="3">
        <f>IF('3b-d Exposures'!K621="",0,'3b-d Exposures'!K621)</f>
        <v/>
      </c>
      <c r="J513" s="3">
        <f>IF('3b-d Exposures'!M621="",0,'3b-d Exposures'!M621)</f>
        <v/>
      </c>
      <c r="K513" s="3">
        <f>IF('3b-d Exposures'!O621="",0,'3b-d Exposures'!O621)</f>
        <v/>
      </c>
      <c r="L513" s="3">
        <f>IF('3b-d Exposures'!Q621="",0,'3b-d Exposures'!Q621)</f>
        <v/>
      </c>
      <c r="M513" s="3">
        <f>IF('3b-d Exposures'!S621="",0,'3b-d Exposures'!S621)</f>
        <v/>
      </c>
      <c r="N513" s="3">
        <f>IF('3b-d Exposures'!Z621="",0,'3b-d Exposures'!Z621)</f>
        <v/>
      </c>
      <c r="O513" s="3">
        <f>$D513</f>
        <v/>
      </c>
      <c r="P513" s="3">
        <f>E513*$D513</f>
        <v/>
      </c>
      <c r="Q513" s="3">
        <f>F513*$D513</f>
        <v/>
      </c>
      <c r="R513" s="3">
        <f>G513*$D513</f>
        <v/>
      </c>
      <c r="S513" s="3">
        <f>H513*$D513</f>
        <v/>
      </c>
      <c r="T513" s="3">
        <f>I513*$D513</f>
        <v/>
      </c>
      <c r="U513" s="3">
        <f>J513*$D513</f>
        <v/>
      </c>
      <c r="V513" s="3">
        <f>K513*$D513</f>
        <v/>
      </c>
      <c r="W513" s="3">
        <f>L513*$D513</f>
        <v/>
      </c>
      <c r="X513" s="3">
        <f>M513*$D513</f>
        <v/>
      </c>
      <c r="Y513" s="3">
        <f>N513*$D513</f>
        <v/>
      </c>
      <c r="Z513" s="3">
        <f>C513*$D513</f>
        <v/>
      </c>
      <c r="AA513" s="9">
        <f>$L978+$K978*E513+$J978*F513+$I978*G513+$H978*H513+$G978*I513+$F978*J513+$E978*K513+$D978*L513+$C978*M513+$B978*N513</f>
        <v/>
      </c>
      <c r="AB513" s="9">
        <f>C513-AA513</f>
        <v/>
      </c>
      <c r="AC513" s="4">
        <f>AB513^2</f>
        <v/>
      </c>
    </row>
    <row r="514">
      <c r="A514" t="inlineStr">
        <is>
          <t>BBG000BQ2JM1</t>
        </is>
      </c>
      <c r="B514" t="inlineStr">
        <is>
          <t>leu</t>
        </is>
      </c>
      <c r="C514" s="9" t="n">
        <v>-0.09373625032194366</v>
      </c>
      <c r="D514" s="3">
        <f>EXP(0.25*'3b-d Exposures'!G624)</f>
        <v/>
      </c>
      <c r="E514" s="3">
        <f>IF('3b-d Exposures'!C624="",0,'3b-d Exposures'!C624)</f>
        <v/>
      </c>
      <c r="F514" s="3">
        <f>IF('3b-d Exposures'!E624="",0,'3b-d Exposures'!E624)</f>
        <v/>
      </c>
      <c r="G514" s="3">
        <f>IF('3b-d Exposures'!G624="",0,'3b-d Exposures'!G624)</f>
        <v/>
      </c>
      <c r="H514" s="3">
        <f>IF('3b-d Exposures'!I624="",0,'3b-d Exposures'!I624)</f>
        <v/>
      </c>
      <c r="I514" s="3">
        <f>IF('3b-d Exposures'!K624="",0,'3b-d Exposures'!K624)</f>
        <v/>
      </c>
      <c r="J514" s="3">
        <f>IF('3b-d Exposures'!M624="",0,'3b-d Exposures'!M624)</f>
        <v/>
      </c>
      <c r="K514" s="3">
        <f>IF('3b-d Exposures'!O624="",0,'3b-d Exposures'!O624)</f>
        <v/>
      </c>
      <c r="L514" s="3">
        <f>IF('3b-d Exposures'!Q624="",0,'3b-d Exposures'!Q624)</f>
        <v/>
      </c>
      <c r="M514" s="3">
        <f>IF('3b-d Exposures'!S624="",0,'3b-d Exposures'!S624)</f>
        <v/>
      </c>
      <c r="N514" s="3">
        <f>IF('3b-d Exposures'!Z624="",0,'3b-d Exposures'!Z624)</f>
        <v/>
      </c>
      <c r="O514" s="3">
        <f>$D514</f>
        <v/>
      </c>
      <c r="P514" s="3">
        <f>E514*$D514</f>
        <v/>
      </c>
      <c r="Q514" s="3">
        <f>F514*$D514</f>
        <v/>
      </c>
      <c r="R514" s="3">
        <f>G514*$D514</f>
        <v/>
      </c>
      <c r="S514" s="3">
        <f>H514*$D514</f>
        <v/>
      </c>
      <c r="T514" s="3">
        <f>I514*$D514</f>
        <v/>
      </c>
      <c r="U514" s="3">
        <f>J514*$D514</f>
        <v/>
      </c>
      <c r="V514" s="3">
        <f>K514*$D514</f>
        <v/>
      </c>
      <c r="W514" s="3">
        <f>L514*$D514</f>
        <v/>
      </c>
      <c r="X514" s="3">
        <f>M514*$D514</f>
        <v/>
      </c>
      <c r="Y514" s="3">
        <f>N514*$D514</f>
        <v/>
      </c>
      <c r="Z514" s="3">
        <f>C514*$D514</f>
        <v/>
      </c>
      <c r="AA514" s="9">
        <f>$L978+$K978*E514+$J978*F514+$I978*G514+$H978*H514+$G978*I514+$F978*J514+$E978*K514+$D978*L514+$C978*M514+$B978*N514</f>
        <v/>
      </c>
      <c r="AB514" s="9">
        <f>C514-AA514</f>
        <v/>
      </c>
      <c r="AC514" s="4">
        <f>AB514^2</f>
        <v/>
      </c>
    </row>
    <row r="515">
      <c r="A515" t="inlineStr">
        <is>
          <t>lh</t>
        </is>
      </c>
      <c r="B515" t="inlineStr">
        <is>
          <t>lh</t>
        </is>
      </c>
      <c r="C515" s="9" t="n">
        <v>-0.002197705377699477</v>
      </c>
      <c r="D515" s="3">
        <f>EXP(0.25*'3b-d Exposures'!G626)</f>
        <v/>
      </c>
      <c r="E515" s="3">
        <f>IF('3b-d Exposures'!C626="",0,'3b-d Exposures'!C626)</f>
        <v/>
      </c>
      <c r="F515" s="3">
        <f>IF('3b-d Exposures'!E626="",0,'3b-d Exposures'!E626)</f>
        <v/>
      </c>
      <c r="G515" s="3">
        <f>IF('3b-d Exposures'!G626="",0,'3b-d Exposures'!G626)</f>
        <v/>
      </c>
      <c r="H515" s="3">
        <f>IF('3b-d Exposures'!I626="",0,'3b-d Exposures'!I626)</f>
        <v/>
      </c>
      <c r="I515" s="3">
        <f>IF('3b-d Exposures'!K626="",0,'3b-d Exposures'!K626)</f>
        <v/>
      </c>
      <c r="J515" s="3">
        <f>IF('3b-d Exposures'!M626="",0,'3b-d Exposures'!M626)</f>
        <v/>
      </c>
      <c r="K515" s="3">
        <f>IF('3b-d Exposures'!O626="",0,'3b-d Exposures'!O626)</f>
        <v/>
      </c>
      <c r="L515" s="3">
        <f>IF('3b-d Exposures'!Q626="",0,'3b-d Exposures'!Q626)</f>
        <v/>
      </c>
      <c r="M515" s="3">
        <f>IF('3b-d Exposures'!S626="",0,'3b-d Exposures'!S626)</f>
        <v/>
      </c>
      <c r="N515" s="3">
        <f>IF('3b-d Exposures'!Z626="",0,'3b-d Exposures'!Z626)</f>
        <v/>
      </c>
      <c r="O515" s="3">
        <f>$D515</f>
        <v/>
      </c>
      <c r="P515" s="3">
        <f>E515*$D515</f>
        <v/>
      </c>
      <c r="Q515" s="3">
        <f>F515*$D515</f>
        <v/>
      </c>
      <c r="R515" s="3">
        <f>G515*$D515</f>
        <v/>
      </c>
      <c r="S515" s="3">
        <f>H515*$D515</f>
        <v/>
      </c>
      <c r="T515" s="3">
        <f>I515*$D515</f>
        <v/>
      </c>
      <c r="U515" s="3">
        <f>J515*$D515</f>
        <v/>
      </c>
      <c r="V515" s="3">
        <f>K515*$D515</f>
        <v/>
      </c>
      <c r="W515" s="3">
        <f>L515*$D515</f>
        <v/>
      </c>
      <c r="X515" s="3">
        <f>M515*$D515</f>
        <v/>
      </c>
      <c r="Y515" s="3">
        <f>N515*$D515</f>
        <v/>
      </c>
      <c r="Z515" s="3">
        <f>C515*$D515</f>
        <v/>
      </c>
      <c r="AA515" s="9">
        <f>$L978+$K978*E515+$J978*F515+$I978*G515+$H978*H515+$G978*I515+$F978*J515+$E978*K515+$D978*L515+$C978*M515+$B978*N515</f>
        <v/>
      </c>
      <c r="AB515" s="9">
        <f>C515-AA515</f>
        <v/>
      </c>
      <c r="AC515" s="4">
        <f>AB515^2</f>
        <v/>
      </c>
    </row>
    <row r="516">
      <c r="A516" t="inlineStr">
        <is>
          <t>lhx</t>
        </is>
      </c>
      <c r="B516" t="inlineStr">
        <is>
          <t>lhx</t>
        </is>
      </c>
      <c r="C516" s="9" t="n">
        <v>-0.01392888373018442</v>
      </c>
      <c r="D516" s="3">
        <f>EXP(0.25*'3b-d Exposures'!G627)</f>
        <v/>
      </c>
      <c r="E516" s="3">
        <f>IF('3b-d Exposures'!C627="",0,'3b-d Exposures'!C627)</f>
        <v/>
      </c>
      <c r="F516" s="3">
        <f>IF('3b-d Exposures'!E627="",0,'3b-d Exposures'!E627)</f>
        <v/>
      </c>
      <c r="G516" s="3">
        <f>IF('3b-d Exposures'!G627="",0,'3b-d Exposures'!G627)</f>
        <v/>
      </c>
      <c r="H516" s="3">
        <f>IF('3b-d Exposures'!I627="",0,'3b-d Exposures'!I627)</f>
        <v/>
      </c>
      <c r="I516" s="3">
        <f>IF('3b-d Exposures'!K627="",0,'3b-d Exposures'!K627)</f>
        <v/>
      </c>
      <c r="J516" s="3">
        <f>IF('3b-d Exposures'!M627="",0,'3b-d Exposures'!M627)</f>
        <v/>
      </c>
      <c r="K516" s="3">
        <f>IF('3b-d Exposures'!O627="",0,'3b-d Exposures'!O627)</f>
        <v/>
      </c>
      <c r="L516" s="3">
        <f>IF('3b-d Exposures'!Q627="",0,'3b-d Exposures'!Q627)</f>
        <v/>
      </c>
      <c r="M516" s="3">
        <f>IF('3b-d Exposures'!S627="",0,'3b-d Exposures'!S627)</f>
        <v/>
      </c>
      <c r="N516" s="3">
        <f>IF('3b-d Exposures'!Z627="",0,'3b-d Exposures'!Z627)</f>
        <v/>
      </c>
      <c r="O516" s="3">
        <f>$D516</f>
        <v/>
      </c>
      <c r="P516" s="3">
        <f>E516*$D516</f>
        <v/>
      </c>
      <c r="Q516" s="3">
        <f>F516*$D516</f>
        <v/>
      </c>
      <c r="R516" s="3">
        <f>G516*$D516</f>
        <v/>
      </c>
      <c r="S516" s="3">
        <f>H516*$D516</f>
        <v/>
      </c>
      <c r="T516" s="3">
        <f>I516*$D516</f>
        <v/>
      </c>
      <c r="U516" s="3">
        <f>J516*$D516</f>
        <v/>
      </c>
      <c r="V516" s="3">
        <f>K516*$D516</f>
        <v/>
      </c>
      <c r="W516" s="3">
        <f>L516*$D516</f>
        <v/>
      </c>
      <c r="X516" s="3">
        <f>M516*$D516</f>
        <v/>
      </c>
      <c r="Y516" s="3">
        <f>N516*$D516</f>
        <v/>
      </c>
      <c r="Z516" s="3">
        <f>C516*$D516</f>
        <v/>
      </c>
      <c r="AA516" s="9">
        <f>$L978+$K978*E516+$J978*F516+$I978*G516+$H978*H516+$G978*I516+$F978*J516+$E978*K516+$D978*L516+$C978*M516+$B978*N516</f>
        <v/>
      </c>
      <c r="AB516" s="9">
        <f>C516-AA516</f>
        <v/>
      </c>
      <c r="AC516" s="4">
        <f>AB516^2</f>
        <v/>
      </c>
    </row>
    <row r="517">
      <c r="A517" t="inlineStr">
        <is>
          <t>BBG000BB5B84</t>
        </is>
      </c>
      <c r="B517" t="inlineStr">
        <is>
          <t>lii</t>
        </is>
      </c>
      <c r="C517" s="9" t="n">
        <v>0.0004947039299076916</v>
      </c>
      <c r="D517" s="3">
        <f>EXP(0.25*'3b-d Exposures'!G628)</f>
        <v/>
      </c>
      <c r="E517" s="3">
        <f>IF('3b-d Exposures'!C628="",0,'3b-d Exposures'!C628)</f>
        <v/>
      </c>
      <c r="F517" s="3">
        <f>IF('3b-d Exposures'!E628="",0,'3b-d Exposures'!E628)</f>
        <v/>
      </c>
      <c r="G517" s="3">
        <f>IF('3b-d Exposures'!G628="",0,'3b-d Exposures'!G628)</f>
        <v/>
      </c>
      <c r="H517" s="3">
        <f>IF('3b-d Exposures'!I628="",0,'3b-d Exposures'!I628)</f>
        <v/>
      </c>
      <c r="I517" s="3">
        <f>IF('3b-d Exposures'!K628="",0,'3b-d Exposures'!K628)</f>
        <v/>
      </c>
      <c r="J517" s="3">
        <f>IF('3b-d Exposures'!M628="",0,'3b-d Exposures'!M628)</f>
        <v/>
      </c>
      <c r="K517" s="3">
        <f>IF('3b-d Exposures'!O628="",0,'3b-d Exposures'!O628)</f>
        <v/>
      </c>
      <c r="L517" s="3">
        <f>IF('3b-d Exposures'!Q628="",0,'3b-d Exposures'!Q628)</f>
        <v/>
      </c>
      <c r="M517" s="3">
        <f>IF('3b-d Exposures'!S628="",0,'3b-d Exposures'!S628)</f>
        <v/>
      </c>
      <c r="N517" s="3">
        <f>IF('3b-d Exposures'!Z628="",0,'3b-d Exposures'!Z628)</f>
        <v/>
      </c>
      <c r="O517" s="3">
        <f>$D517</f>
        <v/>
      </c>
      <c r="P517" s="3">
        <f>E517*$D517</f>
        <v/>
      </c>
      <c r="Q517" s="3">
        <f>F517*$D517</f>
        <v/>
      </c>
      <c r="R517" s="3">
        <f>G517*$D517</f>
        <v/>
      </c>
      <c r="S517" s="3">
        <f>H517*$D517</f>
        <v/>
      </c>
      <c r="T517" s="3">
        <f>I517*$D517</f>
        <v/>
      </c>
      <c r="U517" s="3">
        <f>J517*$D517</f>
        <v/>
      </c>
      <c r="V517" s="3">
        <f>K517*$D517</f>
        <v/>
      </c>
      <c r="W517" s="3">
        <f>L517*$D517</f>
        <v/>
      </c>
      <c r="X517" s="3">
        <f>M517*$D517</f>
        <v/>
      </c>
      <c r="Y517" s="3">
        <f>N517*$D517</f>
        <v/>
      </c>
      <c r="Z517" s="3">
        <f>C517*$D517</f>
        <v/>
      </c>
      <c r="AA517" s="9">
        <f>$L978+$K978*E517+$J978*F517+$I978*G517+$H978*H517+$G978*I517+$F978*J517+$E978*K517+$D978*L517+$C978*M517+$B978*N517</f>
        <v/>
      </c>
      <c r="AB517" s="9">
        <f>C517-AA517</f>
        <v/>
      </c>
      <c r="AC517" s="4">
        <f>AB517^2</f>
        <v/>
      </c>
    </row>
    <row r="518">
      <c r="A518" t="inlineStr">
        <is>
          <t>lin</t>
        </is>
      </c>
      <c r="B518" t="inlineStr">
        <is>
          <t>lin</t>
        </is>
      </c>
      <c r="C518" s="9" t="n">
        <v>-0.002819991056334681</v>
      </c>
      <c r="D518" s="3">
        <f>EXP(0.25*'3b-d Exposures'!G629)</f>
        <v/>
      </c>
      <c r="E518" s="3">
        <f>IF('3b-d Exposures'!C629="",0,'3b-d Exposures'!C629)</f>
        <v/>
      </c>
      <c r="F518" s="3">
        <f>IF('3b-d Exposures'!E629="",0,'3b-d Exposures'!E629)</f>
        <v/>
      </c>
      <c r="G518" s="3">
        <f>IF('3b-d Exposures'!G629="",0,'3b-d Exposures'!G629)</f>
        <v/>
      </c>
      <c r="H518" s="3">
        <f>IF('3b-d Exposures'!I629="",0,'3b-d Exposures'!I629)</f>
        <v/>
      </c>
      <c r="I518" s="3">
        <f>IF('3b-d Exposures'!K629="",0,'3b-d Exposures'!K629)</f>
        <v/>
      </c>
      <c r="J518" s="3">
        <f>IF('3b-d Exposures'!M629="",0,'3b-d Exposures'!M629)</f>
        <v/>
      </c>
      <c r="K518" s="3">
        <f>IF('3b-d Exposures'!O629="",0,'3b-d Exposures'!O629)</f>
        <v/>
      </c>
      <c r="L518" s="3">
        <f>IF('3b-d Exposures'!Q629="",0,'3b-d Exposures'!Q629)</f>
        <v/>
      </c>
      <c r="M518" s="3">
        <f>IF('3b-d Exposures'!S629="",0,'3b-d Exposures'!S629)</f>
        <v/>
      </c>
      <c r="N518" s="3">
        <f>IF('3b-d Exposures'!Z629="",0,'3b-d Exposures'!Z629)</f>
        <v/>
      </c>
      <c r="O518" s="3">
        <f>$D518</f>
        <v/>
      </c>
      <c r="P518" s="3">
        <f>E518*$D518</f>
        <v/>
      </c>
      <c r="Q518" s="3">
        <f>F518*$D518</f>
        <v/>
      </c>
      <c r="R518" s="3">
        <f>G518*$D518</f>
        <v/>
      </c>
      <c r="S518" s="3">
        <f>H518*$D518</f>
        <v/>
      </c>
      <c r="T518" s="3">
        <f>I518*$D518</f>
        <v/>
      </c>
      <c r="U518" s="3">
        <f>J518*$D518</f>
        <v/>
      </c>
      <c r="V518" s="3">
        <f>K518*$D518</f>
        <v/>
      </c>
      <c r="W518" s="3">
        <f>L518*$D518</f>
        <v/>
      </c>
      <c r="X518" s="3">
        <f>M518*$D518</f>
        <v/>
      </c>
      <c r="Y518" s="3">
        <f>N518*$D518</f>
        <v/>
      </c>
      <c r="Z518" s="3">
        <f>C518*$D518</f>
        <v/>
      </c>
      <c r="AA518" s="9">
        <f>$L978+$K978*E518+$J978*F518+$I978*G518+$H978*H518+$G978*I518+$F978*J518+$E978*K518+$D978*L518+$C978*M518+$B978*N518</f>
        <v/>
      </c>
      <c r="AB518" s="9">
        <f>C518-AA518</f>
        <v/>
      </c>
      <c r="AC518" s="4">
        <f>AB518^2</f>
        <v/>
      </c>
    </row>
    <row r="519">
      <c r="A519" t="inlineStr">
        <is>
          <t>BBG000GM1PH8</t>
        </is>
      </c>
      <c r="B519" t="inlineStr">
        <is>
          <t>linc</t>
        </is>
      </c>
      <c r="C519" s="9" t="n">
        <v>0.00304316714131736</v>
      </c>
      <c r="D519" s="3">
        <f>EXP(0.25*'3b-d Exposures'!G630)</f>
        <v/>
      </c>
      <c r="E519" s="3">
        <f>IF('3b-d Exposures'!C630="",0,'3b-d Exposures'!C630)</f>
        <v/>
      </c>
      <c r="F519" s="3">
        <f>IF('3b-d Exposures'!E630="",0,'3b-d Exposures'!E630)</f>
        <v/>
      </c>
      <c r="G519" s="3">
        <f>IF('3b-d Exposures'!G630="",0,'3b-d Exposures'!G630)</f>
        <v/>
      </c>
      <c r="H519" s="3">
        <f>IF('3b-d Exposures'!I630="",0,'3b-d Exposures'!I630)</f>
        <v/>
      </c>
      <c r="I519" s="3">
        <f>IF('3b-d Exposures'!K630="",0,'3b-d Exposures'!K630)</f>
        <v/>
      </c>
      <c r="J519" s="3">
        <f>IF('3b-d Exposures'!M630="",0,'3b-d Exposures'!M630)</f>
        <v/>
      </c>
      <c r="K519" s="3">
        <f>IF('3b-d Exposures'!O630="",0,'3b-d Exposures'!O630)</f>
        <v/>
      </c>
      <c r="L519" s="3">
        <f>IF('3b-d Exposures'!Q630="",0,'3b-d Exposures'!Q630)</f>
        <v/>
      </c>
      <c r="M519" s="3">
        <f>IF('3b-d Exposures'!S630="",0,'3b-d Exposures'!S630)</f>
        <v/>
      </c>
      <c r="N519" s="3">
        <f>IF('3b-d Exposures'!Z630="",0,'3b-d Exposures'!Z630)</f>
        <v/>
      </c>
      <c r="O519" s="3">
        <f>$D519</f>
        <v/>
      </c>
      <c r="P519" s="3">
        <f>E519*$D519</f>
        <v/>
      </c>
      <c r="Q519" s="3">
        <f>F519*$D519</f>
        <v/>
      </c>
      <c r="R519" s="3">
        <f>G519*$D519</f>
        <v/>
      </c>
      <c r="S519" s="3">
        <f>H519*$D519</f>
        <v/>
      </c>
      <c r="T519" s="3">
        <f>I519*$D519</f>
        <v/>
      </c>
      <c r="U519" s="3">
        <f>J519*$D519</f>
        <v/>
      </c>
      <c r="V519" s="3">
        <f>K519*$D519</f>
        <v/>
      </c>
      <c r="W519" s="3">
        <f>L519*$D519</f>
        <v/>
      </c>
      <c r="X519" s="3">
        <f>M519*$D519</f>
        <v/>
      </c>
      <c r="Y519" s="3">
        <f>N519*$D519</f>
        <v/>
      </c>
      <c r="Z519" s="3">
        <f>C519*$D519</f>
        <v/>
      </c>
      <c r="AA519" s="9">
        <f>$L978+$K978*E519+$J978*F519+$I978*G519+$H978*H519+$G978*I519+$F978*J519+$E978*K519+$D978*L519+$C978*M519+$B978*N519</f>
        <v/>
      </c>
      <c r="AB519" s="9">
        <f>C519-AA519</f>
        <v/>
      </c>
      <c r="AC519" s="4">
        <f>AB519^2</f>
        <v/>
      </c>
    </row>
    <row r="520">
      <c r="A520" t="inlineStr">
        <is>
          <t>BBG0073F9RT7</t>
        </is>
      </c>
      <c r="B520" t="inlineStr">
        <is>
          <t>lite</t>
        </is>
      </c>
      <c r="C520" s="9" t="n">
        <v>-0.006898913024026343</v>
      </c>
      <c r="D520" s="3">
        <f>EXP(0.25*'3b-d Exposures'!G633)</f>
        <v/>
      </c>
      <c r="E520" s="3">
        <f>IF('3b-d Exposures'!C633="",0,'3b-d Exposures'!C633)</f>
        <v/>
      </c>
      <c r="F520" s="3">
        <f>IF('3b-d Exposures'!E633="",0,'3b-d Exposures'!E633)</f>
        <v/>
      </c>
      <c r="G520" s="3">
        <f>IF('3b-d Exposures'!G633="",0,'3b-d Exposures'!G633)</f>
        <v/>
      </c>
      <c r="H520" s="3">
        <f>IF('3b-d Exposures'!I633="",0,'3b-d Exposures'!I633)</f>
        <v/>
      </c>
      <c r="I520" s="3">
        <f>IF('3b-d Exposures'!K633="",0,'3b-d Exposures'!K633)</f>
        <v/>
      </c>
      <c r="J520" s="3">
        <f>IF('3b-d Exposures'!M633="",0,'3b-d Exposures'!M633)</f>
        <v/>
      </c>
      <c r="K520" s="3">
        <f>IF('3b-d Exposures'!O633="",0,'3b-d Exposures'!O633)</f>
        <v/>
      </c>
      <c r="L520" s="3">
        <f>IF('3b-d Exposures'!Q633="",0,'3b-d Exposures'!Q633)</f>
        <v/>
      </c>
      <c r="M520" s="3">
        <f>IF('3b-d Exposures'!S633="",0,'3b-d Exposures'!S633)</f>
        <v/>
      </c>
      <c r="N520" s="3">
        <f>IF('3b-d Exposures'!Z633="",0,'3b-d Exposures'!Z633)</f>
        <v/>
      </c>
      <c r="O520" s="3">
        <f>$D520</f>
        <v/>
      </c>
      <c r="P520" s="3">
        <f>E520*$D520</f>
        <v/>
      </c>
      <c r="Q520" s="3">
        <f>F520*$D520</f>
        <v/>
      </c>
      <c r="R520" s="3">
        <f>G520*$D520</f>
        <v/>
      </c>
      <c r="S520" s="3">
        <f>H520*$D520</f>
        <v/>
      </c>
      <c r="T520" s="3">
        <f>I520*$D520</f>
        <v/>
      </c>
      <c r="U520" s="3">
        <f>J520*$D520</f>
        <v/>
      </c>
      <c r="V520" s="3">
        <f>K520*$D520</f>
        <v/>
      </c>
      <c r="W520" s="3">
        <f>L520*$D520</f>
        <v/>
      </c>
      <c r="X520" s="3">
        <f>M520*$D520</f>
        <v/>
      </c>
      <c r="Y520" s="3">
        <f>N520*$D520</f>
        <v/>
      </c>
      <c r="Z520" s="3">
        <f>C520*$D520</f>
        <v/>
      </c>
      <c r="AA520" s="9">
        <f>$L978+$K978*E520+$J978*F520+$I978*G520+$H978*H520+$G978*I520+$F978*J520+$E978*K520+$D978*L520+$C978*M520+$B978*N520</f>
        <v/>
      </c>
      <c r="AB520" s="9">
        <f>C520-AA520</f>
        <v/>
      </c>
      <c r="AC520" s="4">
        <f>AB520^2</f>
        <v/>
      </c>
    </row>
    <row r="521">
      <c r="A521" t="inlineStr">
        <is>
          <t>BBG000BNBDC2</t>
        </is>
      </c>
      <c r="B521" t="inlineStr">
        <is>
          <t>lly</t>
        </is>
      </c>
      <c r="C521" s="9" t="n">
        <v>0.005595000153210128</v>
      </c>
      <c r="D521" s="3">
        <f>EXP(0.25*'3b-d Exposures'!G634)</f>
        <v/>
      </c>
      <c r="E521" s="3">
        <f>IF('3b-d Exposures'!C634="",0,'3b-d Exposures'!C634)</f>
        <v/>
      </c>
      <c r="F521" s="3">
        <f>IF('3b-d Exposures'!E634="",0,'3b-d Exposures'!E634)</f>
        <v/>
      </c>
      <c r="G521" s="3">
        <f>IF('3b-d Exposures'!G634="",0,'3b-d Exposures'!G634)</f>
        <v/>
      </c>
      <c r="H521" s="3">
        <f>IF('3b-d Exposures'!I634="",0,'3b-d Exposures'!I634)</f>
        <v/>
      </c>
      <c r="I521" s="3">
        <f>IF('3b-d Exposures'!K634="",0,'3b-d Exposures'!K634)</f>
        <v/>
      </c>
      <c r="J521" s="3">
        <f>IF('3b-d Exposures'!M634="",0,'3b-d Exposures'!M634)</f>
        <v/>
      </c>
      <c r="K521" s="3">
        <f>IF('3b-d Exposures'!O634="",0,'3b-d Exposures'!O634)</f>
        <v/>
      </c>
      <c r="L521" s="3">
        <f>IF('3b-d Exposures'!Q634="",0,'3b-d Exposures'!Q634)</f>
        <v/>
      </c>
      <c r="M521" s="3">
        <f>IF('3b-d Exposures'!S634="",0,'3b-d Exposures'!S634)</f>
        <v/>
      </c>
      <c r="N521" s="3">
        <f>IF('3b-d Exposures'!Z634="",0,'3b-d Exposures'!Z634)</f>
        <v/>
      </c>
      <c r="O521" s="3">
        <f>$D521</f>
        <v/>
      </c>
      <c r="P521" s="3">
        <f>E521*$D521</f>
        <v/>
      </c>
      <c r="Q521" s="3">
        <f>F521*$D521</f>
        <v/>
      </c>
      <c r="R521" s="3">
        <f>G521*$D521</f>
        <v/>
      </c>
      <c r="S521" s="3">
        <f>H521*$D521</f>
        <v/>
      </c>
      <c r="T521" s="3">
        <f>I521*$D521</f>
        <v/>
      </c>
      <c r="U521" s="3">
        <f>J521*$D521</f>
        <v/>
      </c>
      <c r="V521" s="3">
        <f>K521*$D521</f>
        <v/>
      </c>
      <c r="W521" s="3">
        <f>L521*$D521</f>
        <v/>
      </c>
      <c r="X521" s="3">
        <f>M521*$D521</f>
        <v/>
      </c>
      <c r="Y521" s="3">
        <f>N521*$D521</f>
        <v/>
      </c>
      <c r="Z521" s="3">
        <f>C521*$D521</f>
        <v/>
      </c>
      <c r="AA521" s="9">
        <f>$L978+$K978*E521+$J978*F521+$I978*G521+$H978*H521+$G978*I521+$F978*J521+$E978*K521+$D978*L521+$C978*M521+$B978*N521</f>
        <v/>
      </c>
      <c r="AB521" s="9">
        <f>C521-AA521</f>
        <v/>
      </c>
      <c r="AC521" s="4">
        <f>AB521^2</f>
        <v/>
      </c>
    </row>
    <row r="522">
      <c r="A522" t="inlineStr">
        <is>
          <t>lmt</t>
        </is>
      </c>
      <c r="B522" t="inlineStr">
        <is>
          <t>lmt</t>
        </is>
      </c>
      <c r="C522" s="9" t="n">
        <v>-0.01096725714280189</v>
      </c>
      <c r="D522" s="3">
        <f>EXP(0.25*'3b-d Exposures'!G635)</f>
        <v/>
      </c>
      <c r="E522" s="3">
        <f>IF('3b-d Exposures'!C635="",0,'3b-d Exposures'!C635)</f>
        <v/>
      </c>
      <c r="F522" s="3">
        <f>IF('3b-d Exposures'!E635="",0,'3b-d Exposures'!E635)</f>
        <v/>
      </c>
      <c r="G522" s="3">
        <f>IF('3b-d Exposures'!G635="",0,'3b-d Exposures'!G635)</f>
        <v/>
      </c>
      <c r="H522" s="3">
        <f>IF('3b-d Exposures'!I635="",0,'3b-d Exposures'!I635)</f>
        <v/>
      </c>
      <c r="I522" s="3">
        <f>IF('3b-d Exposures'!K635="",0,'3b-d Exposures'!K635)</f>
        <v/>
      </c>
      <c r="J522" s="3">
        <f>IF('3b-d Exposures'!M635="",0,'3b-d Exposures'!M635)</f>
        <v/>
      </c>
      <c r="K522" s="3">
        <f>IF('3b-d Exposures'!O635="",0,'3b-d Exposures'!O635)</f>
        <v/>
      </c>
      <c r="L522" s="3">
        <f>IF('3b-d Exposures'!Q635="",0,'3b-d Exposures'!Q635)</f>
        <v/>
      </c>
      <c r="M522" s="3">
        <f>IF('3b-d Exposures'!S635="",0,'3b-d Exposures'!S635)</f>
        <v/>
      </c>
      <c r="N522" s="3">
        <f>IF('3b-d Exposures'!Z635="",0,'3b-d Exposures'!Z635)</f>
        <v/>
      </c>
      <c r="O522" s="3">
        <f>$D522</f>
        <v/>
      </c>
      <c r="P522" s="3">
        <f>E522*$D522</f>
        <v/>
      </c>
      <c r="Q522" s="3">
        <f>F522*$D522</f>
        <v/>
      </c>
      <c r="R522" s="3">
        <f>G522*$D522</f>
        <v/>
      </c>
      <c r="S522" s="3">
        <f>H522*$D522</f>
        <v/>
      </c>
      <c r="T522" s="3">
        <f>I522*$D522</f>
        <v/>
      </c>
      <c r="U522" s="3">
        <f>J522*$D522</f>
        <v/>
      </c>
      <c r="V522" s="3">
        <f>K522*$D522</f>
        <v/>
      </c>
      <c r="W522" s="3">
        <f>L522*$D522</f>
        <v/>
      </c>
      <c r="X522" s="3">
        <f>M522*$D522</f>
        <v/>
      </c>
      <c r="Y522" s="3">
        <f>N522*$D522</f>
        <v/>
      </c>
      <c r="Z522" s="3">
        <f>C522*$D522</f>
        <v/>
      </c>
      <c r="AA522" s="9">
        <f>$L978+$K978*E522+$J978*F522+$I978*G522+$H978*H522+$G978*I522+$F978*J522+$E978*K522+$D978*L522+$C978*M522+$B978*N522</f>
        <v/>
      </c>
      <c r="AB522" s="9">
        <f>C522-AA522</f>
        <v/>
      </c>
      <c r="AC522" s="4">
        <f>AB522^2</f>
        <v/>
      </c>
    </row>
    <row r="523">
      <c r="A523" t="inlineStr">
        <is>
          <t>BBG000BNC3Y9</t>
        </is>
      </c>
      <c r="B523" t="inlineStr">
        <is>
          <t>lnc</t>
        </is>
      </c>
      <c r="C523" s="9" t="n">
        <v>-0.008722599000977493</v>
      </c>
      <c r="D523" s="3">
        <f>EXP(0.25*'3b-d Exposures'!G636)</f>
        <v/>
      </c>
      <c r="E523" s="3">
        <f>IF('3b-d Exposures'!C636="",0,'3b-d Exposures'!C636)</f>
        <v/>
      </c>
      <c r="F523" s="3">
        <f>IF('3b-d Exposures'!E636="",0,'3b-d Exposures'!E636)</f>
        <v/>
      </c>
      <c r="G523" s="3">
        <f>IF('3b-d Exposures'!G636="",0,'3b-d Exposures'!G636)</f>
        <v/>
      </c>
      <c r="H523" s="3">
        <f>IF('3b-d Exposures'!I636="",0,'3b-d Exposures'!I636)</f>
        <v/>
      </c>
      <c r="I523" s="3">
        <f>IF('3b-d Exposures'!K636="",0,'3b-d Exposures'!K636)</f>
        <v/>
      </c>
      <c r="J523" s="3">
        <f>IF('3b-d Exposures'!M636="",0,'3b-d Exposures'!M636)</f>
        <v/>
      </c>
      <c r="K523" s="3">
        <f>IF('3b-d Exposures'!O636="",0,'3b-d Exposures'!O636)</f>
        <v/>
      </c>
      <c r="L523" s="3">
        <f>IF('3b-d Exposures'!Q636="",0,'3b-d Exposures'!Q636)</f>
        <v/>
      </c>
      <c r="M523" s="3">
        <f>IF('3b-d Exposures'!S636="",0,'3b-d Exposures'!S636)</f>
        <v/>
      </c>
      <c r="N523" s="3">
        <f>IF('3b-d Exposures'!Z636="",0,'3b-d Exposures'!Z636)</f>
        <v/>
      </c>
      <c r="O523" s="3">
        <f>$D523</f>
        <v/>
      </c>
      <c r="P523" s="3">
        <f>E523*$D523</f>
        <v/>
      </c>
      <c r="Q523" s="3">
        <f>F523*$D523</f>
        <v/>
      </c>
      <c r="R523" s="3">
        <f>G523*$D523</f>
        <v/>
      </c>
      <c r="S523" s="3">
        <f>H523*$D523</f>
        <v/>
      </c>
      <c r="T523" s="3">
        <f>I523*$D523</f>
        <v/>
      </c>
      <c r="U523" s="3">
        <f>J523*$D523</f>
        <v/>
      </c>
      <c r="V523" s="3">
        <f>K523*$D523</f>
        <v/>
      </c>
      <c r="W523" s="3">
        <f>L523*$D523</f>
        <v/>
      </c>
      <c r="X523" s="3">
        <f>M523*$D523</f>
        <v/>
      </c>
      <c r="Y523" s="3">
        <f>N523*$D523</f>
        <v/>
      </c>
      <c r="Z523" s="3">
        <f>C523*$D523</f>
        <v/>
      </c>
      <c r="AA523" s="9">
        <f>$L978+$K978*E523+$J978*F523+$I978*G523+$H978*H523+$G978*I523+$F978*J523+$E978*K523+$D978*L523+$C978*M523+$B978*N523</f>
        <v/>
      </c>
      <c r="AB523" s="9">
        <f>C523-AA523</f>
        <v/>
      </c>
      <c r="AC523" s="4">
        <f>AB523^2</f>
        <v/>
      </c>
    </row>
    <row r="524">
      <c r="A524" t="inlineStr">
        <is>
          <t>BBG000C3HSR0</t>
        </is>
      </c>
      <c r="B524" t="inlineStr">
        <is>
          <t>lng</t>
        </is>
      </c>
      <c r="C524" s="9" t="n">
        <v>-0.006428233739408151</v>
      </c>
      <c r="D524" s="3">
        <f>EXP(0.25*'3b-d Exposures'!G637)</f>
        <v/>
      </c>
      <c r="E524" s="3">
        <f>IF('3b-d Exposures'!C637="",0,'3b-d Exposures'!C637)</f>
        <v/>
      </c>
      <c r="F524" s="3">
        <f>IF('3b-d Exposures'!E637="",0,'3b-d Exposures'!E637)</f>
        <v/>
      </c>
      <c r="G524" s="3">
        <f>IF('3b-d Exposures'!G637="",0,'3b-d Exposures'!G637)</f>
        <v/>
      </c>
      <c r="H524" s="3">
        <f>IF('3b-d Exposures'!I637="",0,'3b-d Exposures'!I637)</f>
        <v/>
      </c>
      <c r="I524" s="3">
        <f>IF('3b-d Exposures'!K637="",0,'3b-d Exposures'!K637)</f>
        <v/>
      </c>
      <c r="J524" s="3">
        <f>IF('3b-d Exposures'!M637="",0,'3b-d Exposures'!M637)</f>
        <v/>
      </c>
      <c r="K524" s="3">
        <f>IF('3b-d Exposures'!O637="",0,'3b-d Exposures'!O637)</f>
        <v/>
      </c>
      <c r="L524" s="3">
        <f>IF('3b-d Exposures'!Q637="",0,'3b-d Exposures'!Q637)</f>
        <v/>
      </c>
      <c r="M524" s="3">
        <f>IF('3b-d Exposures'!S637="",0,'3b-d Exposures'!S637)</f>
        <v/>
      </c>
      <c r="N524" s="3">
        <f>IF('3b-d Exposures'!Z637="",0,'3b-d Exposures'!Z637)</f>
        <v/>
      </c>
      <c r="O524" s="3">
        <f>$D524</f>
        <v/>
      </c>
      <c r="P524" s="3">
        <f>E524*$D524</f>
        <v/>
      </c>
      <c r="Q524" s="3">
        <f>F524*$D524</f>
        <v/>
      </c>
      <c r="R524" s="3">
        <f>G524*$D524</f>
        <v/>
      </c>
      <c r="S524" s="3">
        <f>H524*$D524</f>
        <v/>
      </c>
      <c r="T524" s="3">
        <f>I524*$D524</f>
        <v/>
      </c>
      <c r="U524" s="3">
        <f>J524*$D524</f>
        <v/>
      </c>
      <c r="V524" s="3">
        <f>K524*$D524</f>
        <v/>
      </c>
      <c r="W524" s="3">
        <f>L524*$D524</f>
        <v/>
      </c>
      <c r="X524" s="3">
        <f>M524*$D524</f>
        <v/>
      </c>
      <c r="Y524" s="3">
        <f>N524*$D524</f>
        <v/>
      </c>
      <c r="Z524" s="3">
        <f>C524*$D524</f>
        <v/>
      </c>
      <c r="AA524" s="9">
        <f>$L978+$K978*E524+$J978*F524+$I978*G524+$H978*H524+$G978*I524+$F978*J524+$E978*K524+$D978*L524+$C978*M524+$B978*N524</f>
        <v/>
      </c>
      <c r="AB524" s="9">
        <f>C524-AA524</f>
        <v/>
      </c>
      <c r="AC524" s="4">
        <f>AB524^2</f>
        <v/>
      </c>
    </row>
    <row r="525">
      <c r="A525" t="inlineStr">
        <is>
          <t>BBG000DW4Q75</t>
        </is>
      </c>
      <c r="B525" t="inlineStr">
        <is>
          <t>lnt</t>
        </is>
      </c>
      <c r="C525" s="9" t="n">
        <v>-0.01455700173398333</v>
      </c>
      <c r="D525" s="3">
        <f>EXP(0.25*'3b-d Exposures'!G638)</f>
        <v/>
      </c>
      <c r="E525" s="3">
        <f>IF('3b-d Exposures'!C638="",0,'3b-d Exposures'!C638)</f>
        <v/>
      </c>
      <c r="F525" s="3">
        <f>IF('3b-d Exposures'!E638="",0,'3b-d Exposures'!E638)</f>
        <v/>
      </c>
      <c r="G525" s="3">
        <f>IF('3b-d Exposures'!G638="",0,'3b-d Exposures'!G638)</f>
        <v/>
      </c>
      <c r="H525" s="3">
        <f>IF('3b-d Exposures'!I638="",0,'3b-d Exposures'!I638)</f>
        <v/>
      </c>
      <c r="I525" s="3">
        <f>IF('3b-d Exposures'!K638="",0,'3b-d Exposures'!K638)</f>
        <v/>
      </c>
      <c r="J525" s="3">
        <f>IF('3b-d Exposures'!M638="",0,'3b-d Exposures'!M638)</f>
        <v/>
      </c>
      <c r="K525" s="3">
        <f>IF('3b-d Exposures'!O638="",0,'3b-d Exposures'!O638)</f>
        <v/>
      </c>
      <c r="L525" s="3">
        <f>IF('3b-d Exposures'!Q638="",0,'3b-d Exposures'!Q638)</f>
        <v/>
      </c>
      <c r="M525" s="3">
        <f>IF('3b-d Exposures'!S638="",0,'3b-d Exposures'!S638)</f>
        <v/>
      </c>
      <c r="N525" s="3">
        <f>IF('3b-d Exposures'!Z638="",0,'3b-d Exposures'!Z638)</f>
        <v/>
      </c>
      <c r="O525" s="3">
        <f>$D525</f>
        <v/>
      </c>
      <c r="P525" s="3">
        <f>E525*$D525</f>
        <v/>
      </c>
      <c r="Q525" s="3">
        <f>F525*$D525</f>
        <v/>
      </c>
      <c r="R525" s="3">
        <f>G525*$D525</f>
        <v/>
      </c>
      <c r="S525" s="3">
        <f>H525*$D525</f>
        <v/>
      </c>
      <c r="T525" s="3">
        <f>I525*$D525</f>
        <v/>
      </c>
      <c r="U525" s="3">
        <f>J525*$D525</f>
        <v/>
      </c>
      <c r="V525" s="3">
        <f>K525*$D525</f>
        <v/>
      </c>
      <c r="W525" s="3">
        <f>L525*$D525</f>
        <v/>
      </c>
      <c r="X525" s="3">
        <f>M525*$D525</f>
        <v/>
      </c>
      <c r="Y525" s="3">
        <f>N525*$D525</f>
        <v/>
      </c>
      <c r="Z525" s="3">
        <f>C525*$D525</f>
        <v/>
      </c>
      <c r="AA525" s="9">
        <f>$L978+$K978*E525+$J978*F525+$I978*G525+$H978*H525+$G978*I525+$F978*J525+$E978*K525+$D978*L525+$C978*M525+$B978*N525</f>
        <v/>
      </c>
      <c r="AB525" s="9">
        <f>C525-AA525</f>
        <v/>
      </c>
      <c r="AC525" s="4">
        <f>AB525^2</f>
        <v/>
      </c>
    </row>
    <row r="526">
      <c r="A526" t="inlineStr">
        <is>
          <t>BBG00JR5MM31</t>
        </is>
      </c>
      <c r="B526" t="inlineStr">
        <is>
          <t>lnwo</t>
        </is>
      </c>
      <c r="C526" s="9" t="n">
        <v>0.03177605864872213</v>
      </c>
      <c r="D526" s="3">
        <f>EXP(0.25*'3b-d Exposures'!G639)</f>
        <v/>
      </c>
      <c r="E526" s="3">
        <f>IF('3b-d Exposures'!C639="",0,'3b-d Exposures'!C639)</f>
        <v/>
      </c>
      <c r="F526" s="3">
        <f>IF('3b-d Exposures'!E639="",0,'3b-d Exposures'!E639)</f>
        <v/>
      </c>
      <c r="G526" s="3">
        <f>IF('3b-d Exposures'!G639="",0,'3b-d Exposures'!G639)</f>
        <v/>
      </c>
      <c r="H526" s="3">
        <f>IF('3b-d Exposures'!I639="",0,'3b-d Exposures'!I639)</f>
        <v/>
      </c>
      <c r="I526" s="3">
        <f>IF('3b-d Exposures'!K639="",0,'3b-d Exposures'!K639)</f>
        <v/>
      </c>
      <c r="J526" s="3">
        <f>IF('3b-d Exposures'!M639="",0,'3b-d Exposures'!M639)</f>
        <v/>
      </c>
      <c r="K526" s="3">
        <f>IF('3b-d Exposures'!O639="",0,'3b-d Exposures'!O639)</f>
        <v/>
      </c>
      <c r="L526" s="3">
        <f>IF('3b-d Exposures'!Q639="",0,'3b-d Exposures'!Q639)</f>
        <v/>
      </c>
      <c r="M526" s="3">
        <f>IF('3b-d Exposures'!S639="",0,'3b-d Exposures'!S639)</f>
        <v/>
      </c>
      <c r="N526" s="3">
        <f>IF('3b-d Exposures'!Z639="",0,'3b-d Exposures'!Z639)</f>
        <v/>
      </c>
      <c r="O526" s="3">
        <f>$D526</f>
        <v/>
      </c>
      <c r="P526" s="3">
        <f>E526*$D526</f>
        <v/>
      </c>
      <c r="Q526" s="3">
        <f>F526*$D526</f>
        <v/>
      </c>
      <c r="R526" s="3">
        <f>G526*$D526</f>
        <v/>
      </c>
      <c r="S526" s="3">
        <f>H526*$D526</f>
        <v/>
      </c>
      <c r="T526" s="3">
        <f>I526*$D526</f>
        <v/>
      </c>
      <c r="U526" s="3">
        <f>J526*$D526</f>
        <v/>
      </c>
      <c r="V526" s="3">
        <f>K526*$D526</f>
        <v/>
      </c>
      <c r="W526" s="3">
        <f>L526*$D526</f>
        <v/>
      </c>
      <c r="X526" s="3">
        <f>M526*$D526</f>
        <v/>
      </c>
      <c r="Y526" s="3">
        <f>N526*$D526</f>
        <v/>
      </c>
      <c r="Z526" s="3">
        <f>C526*$D526</f>
        <v/>
      </c>
      <c r="AA526" s="9">
        <f>$L978+$K978*E526+$J978*F526+$I978*G526+$H978*H526+$G978*I526+$F978*J526+$E978*K526+$D978*L526+$C978*M526+$B978*N526</f>
        <v/>
      </c>
      <c r="AB526" s="9">
        <f>C526-AA526</f>
        <v/>
      </c>
      <c r="AC526" s="4">
        <f>AB526^2</f>
        <v/>
      </c>
    </row>
    <row r="527">
      <c r="A527" t="inlineStr">
        <is>
          <t>BBG01M86F4Y6</t>
        </is>
      </c>
      <c r="B527" t="inlineStr">
        <is>
          <t>loar</t>
        </is>
      </c>
      <c r="C527" s="9" t="n">
        <v>-0.01053433103186563</v>
      </c>
      <c r="D527" s="3">
        <f>EXP(0.25*'3b-d Exposures'!G640)</f>
        <v/>
      </c>
      <c r="E527" s="3">
        <f>IF('3b-d Exposures'!C640="",0,'3b-d Exposures'!C640)</f>
        <v/>
      </c>
      <c r="F527" s="3">
        <f>IF('3b-d Exposures'!E640="",0,'3b-d Exposures'!E640)</f>
        <v/>
      </c>
      <c r="G527" s="3">
        <f>IF('3b-d Exposures'!G640="",0,'3b-d Exposures'!G640)</f>
        <v/>
      </c>
      <c r="H527" s="3">
        <f>IF('3b-d Exposures'!I640="",0,'3b-d Exposures'!I640)</f>
        <v/>
      </c>
      <c r="I527" s="3">
        <f>IF('3b-d Exposures'!K640="",0,'3b-d Exposures'!K640)</f>
        <v/>
      </c>
      <c r="J527" s="3">
        <f>IF('3b-d Exposures'!M640="",0,'3b-d Exposures'!M640)</f>
        <v/>
      </c>
      <c r="K527" s="3">
        <f>IF('3b-d Exposures'!O640="",0,'3b-d Exposures'!O640)</f>
        <v/>
      </c>
      <c r="L527" s="3">
        <f>IF('3b-d Exposures'!Q640="",0,'3b-d Exposures'!Q640)</f>
        <v/>
      </c>
      <c r="M527" s="3">
        <f>IF('3b-d Exposures'!S640="",0,'3b-d Exposures'!S640)</f>
        <v/>
      </c>
      <c r="N527" s="3">
        <f>IF('3b-d Exposures'!Z640="",0,'3b-d Exposures'!Z640)</f>
        <v/>
      </c>
      <c r="O527" s="3">
        <f>$D527</f>
        <v/>
      </c>
      <c r="P527" s="3">
        <f>E527*$D527</f>
        <v/>
      </c>
      <c r="Q527" s="3">
        <f>F527*$D527</f>
        <v/>
      </c>
      <c r="R527" s="3">
        <f>G527*$D527</f>
        <v/>
      </c>
      <c r="S527" s="3">
        <f>H527*$D527</f>
        <v/>
      </c>
      <c r="T527" s="3">
        <f>I527*$D527</f>
        <v/>
      </c>
      <c r="U527" s="3">
        <f>J527*$D527</f>
        <v/>
      </c>
      <c r="V527" s="3">
        <f>K527*$D527</f>
        <v/>
      </c>
      <c r="W527" s="3">
        <f>L527*$D527</f>
        <v/>
      </c>
      <c r="X527" s="3">
        <f>M527*$D527</f>
        <v/>
      </c>
      <c r="Y527" s="3">
        <f>N527*$D527</f>
        <v/>
      </c>
      <c r="Z527" s="3">
        <f>C527*$D527</f>
        <v/>
      </c>
      <c r="AA527" s="9">
        <f>$L978+$K978*E527+$J978*F527+$I978*G527+$H978*H527+$G978*I527+$F978*J527+$E978*K527+$D978*L527+$C978*M527+$B978*N527</f>
        <v/>
      </c>
      <c r="AB527" s="9">
        <f>C527-AA527</f>
        <v/>
      </c>
      <c r="AC527" s="4">
        <f>AB527^2</f>
        <v/>
      </c>
    </row>
    <row r="528">
      <c r="A528" t="inlineStr">
        <is>
          <t>BBG000BNDN65</t>
        </is>
      </c>
      <c r="B528" t="inlineStr">
        <is>
          <t>low</t>
        </is>
      </c>
      <c r="C528" s="9" t="n">
        <v>-0.001394773968540153</v>
      </c>
      <c r="D528" s="3">
        <f>EXP(0.25*'3b-d Exposures'!G642)</f>
        <v/>
      </c>
      <c r="E528" s="3">
        <f>IF('3b-d Exposures'!C642="",0,'3b-d Exposures'!C642)</f>
        <v/>
      </c>
      <c r="F528" s="3">
        <f>IF('3b-d Exposures'!E642="",0,'3b-d Exposures'!E642)</f>
        <v/>
      </c>
      <c r="G528" s="3">
        <f>IF('3b-d Exposures'!G642="",0,'3b-d Exposures'!G642)</f>
        <v/>
      </c>
      <c r="H528" s="3">
        <f>IF('3b-d Exposures'!I642="",0,'3b-d Exposures'!I642)</f>
        <v/>
      </c>
      <c r="I528" s="3">
        <f>IF('3b-d Exposures'!K642="",0,'3b-d Exposures'!K642)</f>
        <v/>
      </c>
      <c r="J528" s="3">
        <f>IF('3b-d Exposures'!M642="",0,'3b-d Exposures'!M642)</f>
        <v/>
      </c>
      <c r="K528" s="3">
        <f>IF('3b-d Exposures'!O642="",0,'3b-d Exposures'!O642)</f>
        <v/>
      </c>
      <c r="L528" s="3">
        <f>IF('3b-d Exposures'!Q642="",0,'3b-d Exposures'!Q642)</f>
        <v/>
      </c>
      <c r="M528" s="3">
        <f>IF('3b-d Exposures'!S642="",0,'3b-d Exposures'!S642)</f>
        <v/>
      </c>
      <c r="N528" s="3">
        <f>IF('3b-d Exposures'!Z642="",0,'3b-d Exposures'!Z642)</f>
        <v/>
      </c>
      <c r="O528" s="3">
        <f>$D528</f>
        <v/>
      </c>
      <c r="P528" s="3">
        <f>E528*$D528</f>
        <v/>
      </c>
      <c r="Q528" s="3">
        <f>F528*$D528</f>
        <v/>
      </c>
      <c r="R528" s="3">
        <f>G528*$D528</f>
        <v/>
      </c>
      <c r="S528" s="3">
        <f>H528*$D528</f>
        <v/>
      </c>
      <c r="T528" s="3">
        <f>I528*$D528</f>
        <v/>
      </c>
      <c r="U528" s="3">
        <f>J528*$D528</f>
        <v/>
      </c>
      <c r="V528" s="3">
        <f>K528*$D528</f>
        <v/>
      </c>
      <c r="W528" s="3">
        <f>L528*$D528</f>
        <v/>
      </c>
      <c r="X528" s="3">
        <f>M528*$D528</f>
        <v/>
      </c>
      <c r="Y528" s="3">
        <f>N528*$D528</f>
        <v/>
      </c>
      <c r="Z528" s="3">
        <f>C528*$D528</f>
        <v/>
      </c>
      <c r="AA528" s="9">
        <f>$L978+$K978*E528+$J978*F528+$I978*G528+$H978*H528+$G978*I528+$F978*J528+$E978*K528+$D978*L528+$C978*M528+$B978*N528</f>
        <v/>
      </c>
      <c r="AB528" s="9">
        <f>C528-AA528</f>
        <v/>
      </c>
      <c r="AC528" s="4">
        <f>AB528^2</f>
        <v/>
      </c>
    </row>
    <row r="529">
      <c r="A529" t="inlineStr">
        <is>
          <t>BBG000P2TYL8</t>
        </is>
      </c>
      <c r="B529" t="inlineStr">
        <is>
          <t>lpla</t>
        </is>
      </c>
      <c r="C529" s="9" t="n">
        <v>-0.003813469875409203</v>
      </c>
      <c r="D529" s="3">
        <f>EXP(0.25*'3b-d Exposures'!G643)</f>
        <v/>
      </c>
      <c r="E529" s="3">
        <f>IF('3b-d Exposures'!C643="",0,'3b-d Exposures'!C643)</f>
        <v/>
      </c>
      <c r="F529" s="3">
        <f>IF('3b-d Exposures'!E643="",0,'3b-d Exposures'!E643)</f>
        <v/>
      </c>
      <c r="G529" s="3">
        <f>IF('3b-d Exposures'!G643="",0,'3b-d Exposures'!G643)</f>
        <v/>
      </c>
      <c r="H529" s="3">
        <f>IF('3b-d Exposures'!I643="",0,'3b-d Exposures'!I643)</f>
        <v/>
      </c>
      <c r="I529" s="3">
        <f>IF('3b-d Exposures'!K643="",0,'3b-d Exposures'!K643)</f>
        <v/>
      </c>
      <c r="J529" s="3">
        <f>IF('3b-d Exposures'!M643="",0,'3b-d Exposures'!M643)</f>
        <v/>
      </c>
      <c r="K529" s="3">
        <f>IF('3b-d Exposures'!O643="",0,'3b-d Exposures'!O643)</f>
        <v/>
      </c>
      <c r="L529" s="3">
        <f>IF('3b-d Exposures'!Q643="",0,'3b-d Exposures'!Q643)</f>
        <v/>
      </c>
      <c r="M529" s="3">
        <f>IF('3b-d Exposures'!S643="",0,'3b-d Exposures'!S643)</f>
        <v/>
      </c>
      <c r="N529" s="3">
        <f>IF('3b-d Exposures'!Z643="",0,'3b-d Exposures'!Z643)</f>
        <v/>
      </c>
      <c r="O529" s="3">
        <f>$D529</f>
        <v/>
      </c>
      <c r="P529" s="3">
        <f>E529*$D529</f>
        <v/>
      </c>
      <c r="Q529" s="3">
        <f>F529*$D529</f>
        <v/>
      </c>
      <c r="R529" s="3">
        <f>G529*$D529</f>
        <v/>
      </c>
      <c r="S529" s="3">
        <f>H529*$D529</f>
        <v/>
      </c>
      <c r="T529" s="3">
        <f>I529*$D529</f>
        <v/>
      </c>
      <c r="U529" s="3">
        <f>J529*$D529</f>
        <v/>
      </c>
      <c r="V529" s="3">
        <f>K529*$D529</f>
        <v/>
      </c>
      <c r="W529" s="3">
        <f>L529*$D529</f>
        <v/>
      </c>
      <c r="X529" s="3">
        <f>M529*$D529</f>
        <v/>
      </c>
      <c r="Y529" s="3">
        <f>N529*$D529</f>
        <v/>
      </c>
      <c r="Z529" s="3">
        <f>C529*$D529</f>
        <v/>
      </c>
      <c r="AA529" s="9">
        <f>$L978+$K978*E529+$J978*F529+$I978*G529+$H978*H529+$G978*I529+$F978*J529+$E978*K529+$D978*L529+$C978*M529+$B978*N529</f>
        <v/>
      </c>
      <c r="AB529" s="9">
        <f>C529-AA529</f>
        <v/>
      </c>
      <c r="AC529" s="4">
        <f>AB529^2</f>
        <v/>
      </c>
    </row>
    <row r="530">
      <c r="A530" t="inlineStr">
        <is>
          <t>BBG00VDHLSQ6</t>
        </is>
      </c>
      <c r="B530" t="inlineStr">
        <is>
          <t>lpro</t>
        </is>
      </c>
      <c r="C530" s="9" t="n">
        <v>-0.0031347931924397</v>
      </c>
      <c r="D530" s="3">
        <f>EXP(0.25*'3b-d Exposures'!G644)</f>
        <v/>
      </c>
      <c r="E530" s="3">
        <f>IF('3b-d Exposures'!C644="",0,'3b-d Exposures'!C644)</f>
        <v/>
      </c>
      <c r="F530" s="3">
        <f>IF('3b-d Exposures'!E644="",0,'3b-d Exposures'!E644)</f>
        <v/>
      </c>
      <c r="G530" s="3">
        <f>IF('3b-d Exposures'!G644="",0,'3b-d Exposures'!G644)</f>
        <v/>
      </c>
      <c r="H530" s="3">
        <f>IF('3b-d Exposures'!I644="",0,'3b-d Exposures'!I644)</f>
        <v/>
      </c>
      <c r="I530" s="3">
        <f>IF('3b-d Exposures'!K644="",0,'3b-d Exposures'!K644)</f>
        <v/>
      </c>
      <c r="J530" s="3">
        <f>IF('3b-d Exposures'!M644="",0,'3b-d Exposures'!M644)</f>
        <v/>
      </c>
      <c r="K530" s="3">
        <f>IF('3b-d Exposures'!O644="",0,'3b-d Exposures'!O644)</f>
        <v/>
      </c>
      <c r="L530" s="3">
        <f>IF('3b-d Exposures'!Q644="",0,'3b-d Exposures'!Q644)</f>
        <v/>
      </c>
      <c r="M530" s="3">
        <f>IF('3b-d Exposures'!S644="",0,'3b-d Exposures'!S644)</f>
        <v/>
      </c>
      <c r="N530" s="3">
        <f>IF('3b-d Exposures'!Z644="",0,'3b-d Exposures'!Z644)</f>
        <v/>
      </c>
      <c r="O530" s="3">
        <f>$D530</f>
        <v/>
      </c>
      <c r="P530" s="3">
        <f>E530*$D530</f>
        <v/>
      </c>
      <c r="Q530" s="3">
        <f>F530*$D530</f>
        <v/>
      </c>
      <c r="R530" s="3">
        <f>G530*$D530</f>
        <v/>
      </c>
      <c r="S530" s="3">
        <f>H530*$D530</f>
        <v/>
      </c>
      <c r="T530" s="3">
        <f>I530*$D530</f>
        <v/>
      </c>
      <c r="U530" s="3">
        <f>J530*$D530</f>
        <v/>
      </c>
      <c r="V530" s="3">
        <f>K530*$D530</f>
        <v/>
      </c>
      <c r="W530" s="3">
        <f>L530*$D530</f>
        <v/>
      </c>
      <c r="X530" s="3">
        <f>M530*$D530</f>
        <v/>
      </c>
      <c r="Y530" s="3">
        <f>N530*$D530</f>
        <v/>
      </c>
      <c r="Z530" s="3">
        <f>C530*$D530</f>
        <v/>
      </c>
      <c r="AA530" s="9">
        <f>$L978+$K978*E530+$J978*F530+$I978*G530+$H978*H530+$G978*I530+$F978*J530+$E978*K530+$D978*L530+$C978*M530+$B978*N530</f>
        <v/>
      </c>
      <c r="AB530" s="9">
        <f>C530-AA530</f>
        <v/>
      </c>
      <c r="AC530" s="4">
        <f>AB530^2</f>
        <v/>
      </c>
    </row>
    <row r="531">
      <c r="A531" t="inlineStr">
        <is>
          <t>lrcx</t>
        </is>
      </c>
      <c r="B531" t="inlineStr">
        <is>
          <t>lrcx</t>
        </is>
      </c>
      <c r="C531" s="9" t="n">
        <v>0.06266922605235825</v>
      </c>
      <c r="D531" s="3">
        <f>EXP(0.25*'3b-d Exposures'!G645)</f>
        <v/>
      </c>
      <c r="E531" s="3">
        <f>IF('3b-d Exposures'!C645="",0,'3b-d Exposures'!C645)</f>
        <v/>
      </c>
      <c r="F531" s="3">
        <f>IF('3b-d Exposures'!E645="",0,'3b-d Exposures'!E645)</f>
        <v/>
      </c>
      <c r="G531" s="3">
        <f>IF('3b-d Exposures'!G645="",0,'3b-d Exposures'!G645)</f>
        <v/>
      </c>
      <c r="H531" s="3">
        <f>IF('3b-d Exposures'!I645="",0,'3b-d Exposures'!I645)</f>
        <v/>
      </c>
      <c r="I531" s="3">
        <f>IF('3b-d Exposures'!K645="",0,'3b-d Exposures'!K645)</f>
        <v/>
      </c>
      <c r="J531" s="3">
        <f>IF('3b-d Exposures'!M645="",0,'3b-d Exposures'!M645)</f>
        <v/>
      </c>
      <c r="K531" s="3">
        <f>IF('3b-d Exposures'!O645="",0,'3b-d Exposures'!O645)</f>
        <v/>
      </c>
      <c r="L531" s="3">
        <f>IF('3b-d Exposures'!Q645="",0,'3b-d Exposures'!Q645)</f>
        <v/>
      </c>
      <c r="M531" s="3">
        <f>IF('3b-d Exposures'!S645="",0,'3b-d Exposures'!S645)</f>
        <v/>
      </c>
      <c r="N531" s="3">
        <f>IF('3b-d Exposures'!Z645="",0,'3b-d Exposures'!Z645)</f>
        <v/>
      </c>
      <c r="O531" s="3">
        <f>$D531</f>
        <v/>
      </c>
      <c r="P531" s="3">
        <f>E531*$D531</f>
        <v/>
      </c>
      <c r="Q531" s="3">
        <f>F531*$D531</f>
        <v/>
      </c>
      <c r="R531" s="3">
        <f>G531*$D531</f>
        <v/>
      </c>
      <c r="S531" s="3">
        <f>H531*$D531</f>
        <v/>
      </c>
      <c r="T531" s="3">
        <f>I531*$D531</f>
        <v/>
      </c>
      <c r="U531" s="3">
        <f>J531*$D531</f>
        <v/>
      </c>
      <c r="V531" s="3">
        <f>K531*$D531</f>
        <v/>
      </c>
      <c r="W531" s="3">
        <f>L531*$D531</f>
        <v/>
      </c>
      <c r="X531" s="3">
        <f>M531*$D531</f>
        <v/>
      </c>
      <c r="Y531" s="3">
        <f>N531*$D531</f>
        <v/>
      </c>
      <c r="Z531" s="3">
        <f>C531*$D531</f>
        <v/>
      </c>
      <c r="AA531" s="9">
        <f>$L978+$K978*E531+$J978*F531+$I978*G531+$H978*H531+$G978*I531+$F978*J531+$E978*K531+$D978*L531+$C978*M531+$B978*N531</f>
        <v/>
      </c>
      <c r="AB531" s="9">
        <f>C531-AA531</f>
        <v/>
      </c>
      <c r="AC531" s="4">
        <f>AB531^2</f>
        <v/>
      </c>
    </row>
    <row r="532">
      <c r="A532" t="inlineStr">
        <is>
          <t>BBG000C2D1C1</t>
        </is>
      </c>
      <c r="B532" t="inlineStr">
        <is>
          <t>lscc</t>
        </is>
      </c>
      <c r="C532" s="9" t="n">
        <v>0.02784144195691085</v>
      </c>
      <c r="D532" s="3">
        <f>EXP(0.25*'3b-d Exposures'!G646)</f>
        <v/>
      </c>
      <c r="E532" s="3">
        <f>IF('3b-d Exposures'!C646="",0,'3b-d Exposures'!C646)</f>
        <v/>
      </c>
      <c r="F532" s="3">
        <f>IF('3b-d Exposures'!E646="",0,'3b-d Exposures'!E646)</f>
        <v/>
      </c>
      <c r="G532" s="3">
        <f>IF('3b-d Exposures'!G646="",0,'3b-d Exposures'!G646)</f>
        <v/>
      </c>
      <c r="H532" s="3">
        <f>IF('3b-d Exposures'!I646="",0,'3b-d Exposures'!I646)</f>
        <v/>
      </c>
      <c r="I532" s="3">
        <f>IF('3b-d Exposures'!K646="",0,'3b-d Exposures'!K646)</f>
        <v/>
      </c>
      <c r="J532" s="3">
        <f>IF('3b-d Exposures'!M646="",0,'3b-d Exposures'!M646)</f>
        <v/>
      </c>
      <c r="K532" s="3">
        <f>IF('3b-d Exposures'!O646="",0,'3b-d Exposures'!O646)</f>
        <v/>
      </c>
      <c r="L532" s="3">
        <f>IF('3b-d Exposures'!Q646="",0,'3b-d Exposures'!Q646)</f>
        <v/>
      </c>
      <c r="M532" s="3">
        <f>IF('3b-d Exposures'!S646="",0,'3b-d Exposures'!S646)</f>
        <v/>
      </c>
      <c r="N532" s="3">
        <f>IF('3b-d Exposures'!Z646="",0,'3b-d Exposures'!Z646)</f>
        <v/>
      </c>
      <c r="O532" s="3">
        <f>$D532</f>
        <v/>
      </c>
      <c r="P532" s="3">
        <f>E532*$D532</f>
        <v/>
      </c>
      <c r="Q532" s="3">
        <f>F532*$D532</f>
        <v/>
      </c>
      <c r="R532" s="3">
        <f>G532*$D532</f>
        <v/>
      </c>
      <c r="S532" s="3">
        <f>H532*$D532</f>
        <v/>
      </c>
      <c r="T532" s="3">
        <f>I532*$D532</f>
        <v/>
      </c>
      <c r="U532" s="3">
        <f>J532*$D532</f>
        <v/>
      </c>
      <c r="V532" s="3">
        <f>K532*$D532</f>
        <v/>
      </c>
      <c r="W532" s="3">
        <f>L532*$D532</f>
        <v/>
      </c>
      <c r="X532" s="3">
        <f>M532*$D532</f>
        <v/>
      </c>
      <c r="Y532" s="3">
        <f>N532*$D532</f>
        <v/>
      </c>
      <c r="Z532" s="3">
        <f>C532*$D532</f>
        <v/>
      </c>
      <c r="AA532" s="9">
        <f>$L978+$K978*E532+$J978*F532+$I978*G532+$H978*H532+$G978*I532+$F978*J532+$E978*K532+$D978*L532+$C978*M532+$B978*N532</f>
        <v/>
      </c>
      <c r="AB532" s="9">
        <f>C532-AA532</f>
        <v/>
      </c>
      <c r="AC532" s="4">
        <f>AB532^2</f>
        <v/>
      </c>
    </row>
    <row r="533">
      <c r="A533" t="inlineStr">
        <is>
          <t>BBG000BB2KN0</t>
        </is>
      </c>
      <c r="B533" t="inlineStr">
        <is>
          <t>lstr</t>
        </is>
      </c>
      <c r="C533" s="9" t="n">
        <v>0.00688472841360932</v>
      </c>
      <c r="D533" s="3">
        <f>EXP(0.25*'3b-d Exposures'!G647)</f>
        <v/>
      </c>
      <c r="E533" s="3">
        <f>IF('3b-d Exposures'!C647="",0,'3b-d Exposures'!C647)</f>
        <v/>
      </c>
      <c r="F533" s="3">
        <f>IF('3b-d Exposures'!E647="",0,'3b-d Exposures'!E647)</f>
        <v/>
      </c>
      <c r="G533" s="3">
        <f>IF('3b-d Exposures'!G647="",0,'3b-d Exposures'!G647)</f>
        <v/>
      </c>
      <c r="H533" s="3">
        <f>IF('3b-d Exposures'!I647="",0,'3b-d Exposures'!I647)</f>
        <v/>
      </c>
      <c r="I533" s="3">
        <f>IF('3b-d Exposures'!K647="",0,'3b-d Exposures'!K647)</f>
        <v/>
      </c>
      <c r="J533" s="3">
        <f>IF('3b-d Exposures'!M647="",0,'3b-d Exposures'!M647)</f>
        <v/>
      </c>
      <c r="K533" s="3">
        <f>IF('3b-d Exposures'!O647="",0,'3b-d Exposures'!O647)</f>
        <v/>
      </c>
      <c r="L533" s="3">
        <f>IF('3b-d Exposures'!Q647="",0,'3b-d Exposures'!Q647)</f>
        <v/>
      </c>
      <c r="M533" s="3">
        <f>IF('3b-d Exposures'!S647="",0,'3b-d Exposures'!S647)</f>
        <v/>
      </c>
      <c r="N533" s="3">
        <f>IF('3b-d Exposures'!Z647="",0,'3b-d Exposures'!Z647)</f>
        <v/>
      </c>
      <c r="O533" s="3">
        <f>$D533</f>
        <v/>
      </c>
      <c r="P533" s="3">
        <f>E533*$D533</f>
        <v/>
      </c>
      <c r="Q533" s="3">
        <f>F533*$D533</f>
        <v/>
      </c>
      <c r="R533" s="3">
        <f>G533*$D533</f>
        <v/>
      </c>
      <c r="S533" s="3">
        <f>H533*$D533</f>
        <v/>
      </c>
      <c r="T533" s="3">
        <f>I533*$D533</f>
        <v/>
      </c>
      <c r="U533" s="3">
        <f>J533*$D533</f>
        <v/>
      </c>
      <c r="V533" s="3">
        <f>K533*$D533</f>
        <v/>
      </c>
      <c r="W533" s="3">
        <f>L533*$D533</f>
        <v/>
      </c>
      <c r="X533" s="3">
        <f>M533*$D533</f>
        <v/>
      </c>
      <c r="Y533" s="3">
        <f>N533*$D533</f>
        <v/>
      </c>
      <c r="Z533" s="3">
        <f>C533*$D533</f>
        <v/>
      </c>
      <c r="AA533" s="9">
        <f>$L978+$K978*E533+$J978*F533+$I978*G533+$H978*H533+$G978*I533+$F978*J533+$E978*K533+$D978*L533+$C978*M533+$B978*N533</f>
        <v/>
      </c>
      <c r="AB533" s="9">
        <f>C533-AA533</f>
        <v/>
      </c>
      <c r="AC533" s="4">
        <f>AB533^2</f>
        <v/>
      </c>
    </row>
    <row r="534">
      <c r="A534" t="inlineStr">
        <is>
          <t>BBG000R8ZVD1</t>
        </is>
      </c>
      <c r="B534" t="inlineStr">
        <is>
          <t>lulu</t>
        </is>
      </c>
      <c r="C534" s="9" t="n">
        <v>0.0428490927382803</v>
      </c>
      <c r="D534" s="3">
        <f>EXP(0.25*'3b-d Exposures'!G649)</f>
        <v/>
      </c>
      <c r="E534" s="3">
        <f>IF('3b-d Exposures'!C649="",0,'3b-d Exposures'!C649)</f>
        <v/>
      </c>
      <c r="F534" s="3">
        <f>IF('3b-d Exposures'!E649="",0,'3b-d Exposures'!E649)</f>
        <v/>
      </c>
      <c r="G534" s="3">
        <f>IF('3b-d Exposures'!G649="",0,'3b-d Exposures'!G649)</f>
        <v/>
      </c>
      <c r="H534" s="3">
        <f>IF('3b-d Exposures'!I649="",0,'3b-d Exposures'!I649)</f>
        <v/>
      </c>
      <c r="I534" s="3">
        <f>IF('3b-d Exposures'!K649="",0,'3b-d Exposures'!K649)</f>
        <v/>
      </c>
      <c r="J534" s="3">
        <f>IF('3b-d Exposures'!M649="",0,'3b-d Exposures'!M649)</f>
        <v/>
      </c>
      <c r="K534" s="3">
        <f>IF('3b-d Exposures'!O649="",0,'3b-d Exposures'!O649)</f>
        <v/>
      </c>
      <c r="L534" s="3">
        <f>IF('3b-d Exposures'!Q649="",0,'3b-d Exposures'!Q649)</f>
        <v/>
      </c>
      <c r="M534" s="3">
        <f>IF('3b-d Exposures'!S649="",0,'3b-d Exposures'!S649)</f>
        <v/>
      </c>
      <c r="N534" s="3">
        <f>IF('3b-d Exposures'!Z649="",0,'3b-d Exposures'!Z649)</f>
        <v/>
      </c>
      <c r="O534" s="3">
        <f>$D534</f>
        <v/>
      </c>
      <c r="P534" s="3">
        <f>E534*$D534</f>
        <v/>
      </c>
      <c r="Q534" s="3">
        <f>F534*$D534</f>
        <v/>
      </c>
      <c r="R534" s="3">
        <f>G534*$D534</f>
        <v/>
      </c>
      <c r="S534" s="3">
        <f>H534*$D534</f>
        <v/>
      </c>
      <c r="T534" s="3">
        <f>I534*$D534</f>
        <v/>
      </c>
      <c r="U534" s="3">
        <f>J534*$D534</f>
        <v/>
      </c>
      <c r="V534" s="3">
        <f>K534*$D534</f>
        <v/>
      </c>
      <c r="W534" s="3">
        <f>L534*$D534</f>
        <v/>
      </c>
      <c r="X534" s="3">
        <f>M534*$D534</f>
        <v/>
      </c>
      <c r="Y534" s="3">
        <f>N534*$D534</f>
        <v/>
      </c>
      <c r="Z534" s="3">
        <f>C534*$D534</f>
        <v/>
      </c>
      <c r="AA534" s="9">
        <f>$L978+$K978*E534+$J978*F534+$I978*G534+$H978*H534+$G978*I534+$F978*J534+$E978*K534+$D978*L534+$C978*M534+$B978*N534</f>
        <v/>
      </c>
      <c r="AB534" s="9">
        <f>C534-AA534</f>
        <v/>
      </c>
      <c r="AC534" s="4">
        <f>AB534^2</f>
        <v/>
      </c>
    </row>
    <row r="535">
      <c r="A535" t="inlineStr">
        <is>
          <t>BBG000BNJHS8</t>
        </is>
      </c>
      <c r="B535" t="inlineStr">
        <is>
          <t>luv</t>
        </is>
      </c>
      <c r="C535" s="9" t="n">
        <v>0.01977737203631347</v>
      </c>
      <c r="D535" s="3">
        <f>EXP(0.25*'3b-d Exposures'!G650)</f>
        <v/>
      </c>
      <c r="E535" s="3">
        <f>IF('3b-d Exposures'!C650="",0,'3b-d Exposures'!C650)</f>
        <v/>
      </c>
      <c r="F535" s="3">
        <f>IF('3b-d Exposures'!E650="",0,'3b-d Exposures'!E650)</f>
        <v/>
      </c>
      <c r="G535" s="3">
        <f>IF('3b-d Exposures'!G650="",0,'3b-d Exposures'!G650)</f>
        <v/>
      </c>
      <c r="H535" s="3">
        <f>IF('3b-d Exposures'!I650="",0,'3b-d Exposures'!I650)</f>
        <v/>
      </c>
      <c r="I535" s="3">
        <f>IF('3b-d Exposures'!K650="",0,'3b-d Exposures'!K650)</f>
        <v/>
      </c>
      <c r="J535" s="3">
        <f>IF('3b-d Exposures'!M650="",0,'3b-d Exposures'!M650)</f>
        <v/>
      </c>
      <c r="K535" s="3">
        <f>IF('3b-d Exposures'!O650="",0,'3b-d Exposures'!O650)</f>
        <v/>
      </c>
      <c r="L535" s="3">
        <f>IF('3b-d Exposures'!Q650="",0,'3b-d Exposures'!Q650)</f>
        <v/>
      </c>
      <c r="M535" s="3">
        <f>IF('3b-d Exposures'!S650="",0,'3b-d Exposures'!S650)</f>
        <v/>
      </c>
      <c r="N535" s="3">
        <f>IF('3b-d Exposures'!Z650="",0,'3b-d Exposures'!Z650)</f>
        <v/>
      </c>
      <c r="O535" s="3">
        <f>$D535</f>
        <v/>
      </c>
      <c r="P535" s="3">
        <f>E535*$D535</f>
        <v/>
      </c>
      <c r="Q535" s="3">
        <f>F535*$D535</f>
        <v/>
      </c>
      <c r="R535" s="3">
        <f>G535*$D535</f>
        <v/>
      </c>
      <c r="S535" s="3">
        <f>H535*$D535</f>
        <v/>
      </c>
      <c r="T535" s="3">
        <f>I535*$D535</f>
        <v/>
      </c>
      <c r="U535" s="3">
        <f>J535*$D535</f>
        <v/>
      </c>
      <c r="V535" s="3">
        <f>K535*$D535</f>
        <v/>
      </c>
      <c r="W535" s="3">
        <f>L535*$D535</f>
        <v/>
      </c>
      <c r="X535" s="3">
        <f>M535*$D535</f>
        <v/>
      </c>
      <c r="Y535" s="3">
        <f>N535*$D535</f>
        <v/>
      </c>
      <c r="Z535" s="3">
        <f>C535*$D535</f>
        <v/>
      </c>
      <c r="AA535" s="9">
        <f>$L978+$K978*E535+$J978*F535+$I978*G535+$H978*H535+$G978*I535+$F978*J535+$E978*K535+$D978*L535+$C978*M535+$B978*N535</f>
        <v/>
      </c>
      <c r="AB535" s="9">
        <f>C535-AA535</f>
        <v/>
      </c>
      <c r="AC535" s="4">
        <f>AB535^2</f>
        <v/>
      </c>
    </row>
    <row r="536">
      <c r="A536" t="inlineStr">
        <is>
          <t>BBG000JWD753</t>
        </is>
      </c>
      <c r="B536" t="inlineStr">
        <is>
          <t>lvs</t>
        </is>
      </c>
      <c r="C536" s="9" t="n">
        <v>0.03656242301340629</v>
      </c>
      <c r="D536" s="3">
        <f>EXP(0.25*'3b-d Exposures'!G651)</f>
        <v/>
      </c>
      <c r="E536" s="3">
        <f>IF('3b-d Exposures'!C651="",0,'3b-d Exposures'!C651)</f>
        <v/>
      </c>
      <c r="F536" s="3">
        <f>IF('3b-d Exposures'!E651="",0,'3b-d Exposures'!E651)</f>
        <v/>
      </c>
      <c r="G536" s="3">
        <f>IF('3b-d Exposures'!G651="",0,'3b-d Exposures'!G651)</f>
        <v/>
      </c>
      <c r="H536" s="3">
        <f>IF('3b-d Exposures'!I651="",0,'3b-d Exposures'!I651)</f>
        <v/>
      </c>
      <c r="I536" s="3">
        <f>IF('3b-d Exposures'!K651="",0,'3b-d Exposures'!K651)</f>
        <v/>
      </c>
      <c r="J536" s="3">
        <f>IF('3b-d Exposures'!M651="",0,'3b-d Exposures'!M651)</f>
        <v/>
      </c>
      <c r="K536" s="3">
        <f>IF('3b-d Exposures'!O651="",0,'3b-d Exposures'!O651)</f>
        <v/>
      </c>
      <c r="L536" s="3">
        <f>IF('3b-d Exposures'!Q651="",0,'3b-d Exposures'!Q651)</f>
        <v/>
      </c>
      <c r="M536" s="3">
        <f>IF('3b-d Exposures'!S651="",0,'3b-d Exposures'!S651)</f>
        <v/>
      </c>
      <c r="N536" s="3">
        <f>IF('3b-d Exposures'!Z651="",0,'3b-d Exposures'!Z651)</f>
        <v/>
      </c>
      <c r="O536" s="3">
        <f>$D536</f>
        <v/>
      </c>
      <c r="P536" s="3">
        <f>E536*$D536</f>
        <v/>
      </c>
      <c r="Q536" s="3">
        <f>F536*$D536</f>
        <v/>
      </c>
      <c r="R536" s="3">
        <f>G536*$D536</f>
        <v/>
      </c>
      <c r="S536" s="3">
        <f>H536*$D536</f>
        <v/>
      </c>
      <c r="T536" s="3">
        <f>I536*$D536</f>
        <v/>
      </c>
      <c r="U536" s="3">
        <f>J536*$D536</f>
        <v/>
      </c>
      <c r="V536" s="3">
        <f>K536*$D536</f>
        <v/>
      </c>
      <c r="W536" s="3">
        <f>L536*$D536</f>
        <v/>
      </c>
      <c r="X536" s="3">
        <f>M536*$D536</f>
        <v/>
      </c>
      <c r="Y536" s="3">
        <f>N536*$D536</f>
        <v/>
      </c>
      <c r="Z536" s="3">
        <f>C536*$D536</f>
        <v/>
      </c>
      <c r="AA536" s="9">
        <f>$L978+$K978*E536+$J978*F536+$I978*G536+$H978*H536+$G978*I536+$F978*J536+$E978*K536+$D978*L536+$C978*M536+$B978*N536</f>
        <v/>
      </c>
      <c r="AB536" s="9">
        <f>C536-AA536</f>
        <v/>
      </c>
      <c r="AC536" s="4">
        <f>AB536^2</f>
        <v/>
      </c>
    </row>
    <row r="537">
      <c r="A537" t="inlineStr">
        <is>
          <t>BBG003CVMLQ2</t>
        </is>
      </c>
      <c r="B537" t="inlineStr">
        <is>
          <t>lw</t>
        </is>
      </c>
      <c r="C537" s="9" t="n">
        <v>0.01424115278512184</v>
      </c>
      <c r="D537" s="3">
        <f>EXP(0.25*'3b-d Exposures'!G652)</f>
        <v/>
      </c>
      <c r="E537" s="3">
        <f>IF('3b-d Exposures'!C652="",0,'3b-d Exposures'!C652)</f>
        <v/>
      </c>
      <c r="F537" s="3">
        <f>IF('3b-d Exposures'!E652="",0,'3b-d Exposures'!E652)</f>
        <v/>
      </c>
      <c r="G537" s="3">
        <f>IF('3b-d Exposures'!G652="",0,'3b-d Exposures'!G652)</f>
        <v/>
      </c>
      <c r="H537" s="3">
        <f>IF('3b-d Exposures'!I652="",0,'3b-d Exposures'!I652)</f>
        <v/>
      </c>
      <c r="I537" s="3">
        <f>IF('3b-d Exposures'!K652="",0,'3b-d Exposures'!K652)</f>
        <v/>
      </c>
      <c r="J537" s="3">
        <f>IF('3b-d Exposures'!M652="",0,'3b-d Exposures'!M652)</f>
        <v/>
      </c>
      <c r="K537" s="3">
        <f>IF('3b-d Exposures'!O652="",0,'3b-d Exposures'!O652)</f>
        <v/>
      </c>
      <c r="L537" s="3">
        <f>IF('3b-d Exposures'!Q652="",0,'3b-d Exposures'!Q652)</f>
        <v/>
      </c>
      <c r="M537" s="3">
        <f>IF('3b-d Exposures'!S652="",0,'3b-d Exposures'!S652)</f>
        <v/>
      </c>
      <c r="N537" s="3">
        <f>IF('3b-d Exposures'!Z652="",0,'3b-d Exposures'!Z652)</f>
        <v/>
      </c>
      <c r="O537" s="3">
        <f>$D537</f>
        <v/>
      </c>
      <c r="P537" s="3">
        <f>E537*$D537</f>
        <v/>
      </c>
      <c r="Q537" s="3">
        <f>F537*$D537</f>
        <v/>
      </c>
      <c r="R537" s="3">
        <f>G537*$D537</f>
        <v/>
      </c>
      <c r="S537" s="3">
        <f>H537*$D537</f>
        <v/>
      </c>
      <c r="T537" s="3">
        <f>I537*$D537</f>
        <v/>
      </c>
      <c r="U537" s="3">
        <f>J537*$D537</f>
        <v/>
      </c>
      <c r="V537" s="3">
        <f>K537*$D537</f>
        <v/>
      </c>
      <c r="W537" s="3">
        <f>L537*$D537</f>
        <v/>
      </c>
      <c r="X537" s="3">
        <f>M537*$D537</f>
        <v/>
      </c>
      <c r="Y537" s="3">
        <f>N537*$D537</f>
        <v/>
      </c>
      <c r="Z537" s="3">
        <f>C537*$D537</f>
        <v/>
      </c>
      <c r="AA537" s="9">
        <f>$L978+$K978*E537+$J978*F537+$I978*G537+$H978*H537+$G978*I537+$F978*J537+$E978*K537+$D978*L537+$C978*M537+$B978*N537</f>
        <v/>
      </c>
      <c r="AB537" s="9">
        <f>C537-AA537</f>
        <v/>
      </c>
      <c r="AC537" s="4">
        <f>AB537^2</f>
        <v/>
      </c>
    </row>
    <row r="538">
      <c r="A538" t="inlineStr">
        <is>
          <t>lyb</t>
        </is>
      </c>
      <c r="B538" t="inlineStr">
        <is>
          <t>lyb</t>
        </is>
      </c>
      <c r="C538" s="9" t="n">
        <v>0.0006098209818974354</v>
      </c>
      <c r="D538" s="3">
        <f>EXP(0.25*'3b-d Exposures'!G653)</f>
        <v/>
      </c>
      <c r="E538" s="3">
        <f>IF('3b-d Exposures'!C653="",0,'3b-d Exposures'!C653)</f>
        <v/>
      </c>
      <c r="F538" s="3">
        <f>IF('3b-d Exposures'!E653="",0,'3b-d Exposures'!E653)</f>
        <v/>
      </c>
      <c r="G538" s="3">
        <f>IF('3b-d Exposures'!G653="",0,'3b-d Exposures'!G653)</f>
        <v/>
      </c>
      <c r="H538" s="3">
        <f>IF('3b-d Exposures'!I653="",0,'3b-d Exposures'!I653)</f>
        <v/>
      </c>
      <c r="I538" s="3">
        <f>IF('3b-d Exposures'!K653="",0,'3b-d Exposures'!K653)</f>
        <v/>
      </c>
      <c r="J538" s="3">
        <f>IF('3b-d Exposures'!M653="",0,'3b-d Exposures'!M653)</f>
        <v/>
      </c>
      <c r="K538" s="3">
        <f>IF('3b-d Exposures'!O653="",0,'3b-d Exposures'!O653)</f>
        <v/>
      </c>
      <c r="L538" s="3">
        <f>IF('3b-d Exposures'!Q653="",0,'3b-d Exposures'!Q653)</f>
        <v/>
      </c>
      <c r="M538" s="3">
        <f>IF('3b-d Exposures'!S653="",0,'3b-d Exposures'!S653)</f>
        <v/>
      </c>
      <c r="N538" s="3">
        <f>IF('3b-d Exposures'!Z653="",0,'3b-d Exposures'!Z653)</f>
        <v/>
      </c>
      <c r="O538" s="3">
        <f>$D538</f>
        <v/>
      </c>
      <c r="P538" s="3">
        <f>E538*$D538</f>
        <v/>
      </c>
      <c r="Q538" s="3">
        <f>F538*$D538</f>
        <v/>
      </c>
      <c r="R538" s="3">
        <f>G538*$D538</f>
        <v/>
      </c>
      <c r="S538" s="3">
        <f>H538*$D538</f>
        <v/>
      </c>
      <c r="T538" s="3">
        <f>I538*$D538</f>
        <v/>
      </c>
      <c r="U538" s="3">
        <f>J538*$D538</f>
        <v/>
      </c>
      <c r="V538" s="3">
        <f>K538*$D538</f>
        <v/>
      </c>
      <c r="W538" s="3">
        <f>L538*$D538</f>
        <v/>
      </c>
      <c r="X538" s="3">
        <f>M538*$D538</f>
        <v/>
      </c>
      <c r="Y538" s="3">
        <f>N538*$D538</f>
        <v/>
      </c>
      <c r="Z538" s="3">
        <f>C538*$D538</f>
        <v/>
      </c>
      <c r="AA538" s="9">
        <f>$L978+$K978*E538+$J978*F538+$I978*G538+$H978*H538+$G978*I538+$F978*J538+$E978*K538+$D978*L538+$C978*M538+$B978*N538</f>
        <v/>
      </c>
      <c r="AB538" s="9">
        <f>C538-AA538</f>
        <v/>
      </c>
      <c r="AC538" s="4">
        <f>AB538^2</f>
        <v/>
      </c>
    </row>
    <row r="539">
      <c r="A539" t="inlineStr">
        <is>
          <t>BBG000FQ7YR4</t>
        </is>
      </c>
      <c r="B539" t="inlineStr">
        <is>
          <t>lyv</t>
        </is>
      </c>
      <c r="C539" s="9" t="n">
        <v>-0.003544343531023952</v>
      </c>
      <c r="D539" s="3">
        <f>EXP(0.25*'3b-d Exposures'!G655)</f>
        <v/>
      </c>
      <c r="E539" s="3">
        <f>IF('3b-d Exposures'!C655="",0,'3b-d Exposures'!C655)</f>
        <v/>
      </c>
      <c r="F539" s="3">
        <f>IF('3b-d Exposures'!E655="",0,'3b-d Exposures'!E655)</f>
        <v/>
      </c>
      <c r="G539" s="3">
        <f>IF('3b-d Exposures'!G655="",0,'3b-d Exposures'!G655)</f>
        <v/>
      </c>
      <c r="H539" s="3">
        <f>IF('3b-d Exposures'!I655="",0,'3b-d Exposures'!I655)</f>
        <v/>
      </c>
      <c r="I539" s="3">
        <f>IF('3b-d Exposures'!K655="",0,'3b-d Exposures'!K655)</f>
        <v/>
      </c>
      <c r="J539" s="3">
        <f>IF('3b-d Exposures'!M655="",0,'3b-d Exposures'!M655)</f>
        <v/>
      </c>
      <c r="K539" s="3">
        <f>IF('3b-d Exposures'!O655="",0,'3b-d Exposures'!O655)</f>
        <v/>
      </c>
      <c r="L539" s="3">
        <f>IF('3b-d Exposures'!Q655="",0,'3b-d Exposures'!Q655)</f>
        <v/>
      </c>
      <c r="M539" s="3">
        <f>IF('3b-d Exposures'!S655="",0,'3b-d Exposures'!S655)</f>
        <v/>
      </c>
      <c r="N539" s="3">
        <f>IF('3b-d Exposures'!Z655="",0,'3b-d Exposures'!Z655)</f>
        <v/>
      </c>
      <c r="O539" s="3">
        <f>$D539</f>
        <v/>
      </c>
      <c r="P539" s="3">
        <f>E539*$D539</f>
        <v/>
      </c>
      <c r="Q539" s="3">
        <f>F539*$D539</f>
        <v/>
      </c>
      <c r="R539" s="3">
        <f>G539*$D539</f>
        <v/>
      </c>
      <c r="S539" s="3">
        <f>H539*$D539</f>
        <v/>
      </c>
      <c r="T539" s="3">
        <f>I539*$D539</f>
        <v/>
      </c>
      <c r="U539" s="3">
        <f>J539*$D539</f>
        <v/>
      </c>
      <c r="V539" s="3">
        <f>K539*$D539</f>
        <v/>
      </c>
      <c r="W539" s="3">
        <f>L539*$D539</f>
        <v/>
      </c>
      <c r="X539" s="3">
        <f>M539*$D539</f>
        <v/>
      </c>
      <c r="Y539" s="3">
        <f>N539*$D539</f>
        <v/>
      </c>
      <c r="Z539" s="3">
        <f>C539*$D539</f>
        <v/>
      </c>
      <c r="AA539" s="9">
        <f>$L978+$K978*E539+$J978*F539+$I978*G539+$H978*H539+$G978*I539+$F978*J539+$E978*K539+$D978*L539+$C978*M539+$B978*N539</f>
        <v/>
      </c>
      <c r="AB539" s="9">
        <f>C539-AA539</f>
        <v/>
      </c>
      <c r="AC539" s="4">
        <f>AB539^2</f>
        <v/>
      </c>
    </row>
    <row r="540">
      <c r="A540" t="inlineStr">
        <is>
          <t>BBG000C46HM9</t>
        </is>
      </c>
      <c r="B540" t="inlineStr">
        <is>
          <t>m</t>
        </is>
      </c>
      <c r="C540" s="9" t="n">
        <v>0.04248798194292158</v>
      </c>
      <c r="D540" s="3">
        <f>EXP(0.25*'3b-d Exposures'!G656)</f>
        <v/>
      </c>
      <c r="E540" s="3">
        <f>IF('3b-d Exposures'!C656="",0,'3b-d Exposures'!C656)</f>
        <v/>
      </c>
      <c r="F540" s="3">
        <f>IF('3b-d Exposures'!E656="",0,'3b-d Exposures'!E656)</f>
        <v/>
      </c>
      <c r="G540" s="3">
        <f>IF('3b-d Exposures'!G656="",0,'3b-d Exposures'!G656)</f>
        <v/>
      </c>
      <c r="H540" s="3">
        <f>IF('3b-d Exposures'!I656="",0,'3b-d Exposures'!I656)</f>
        <v/>
      </c>
      <c r="I540" s="3">
        <f>IF('3b-d Exposures'!K656="",0,'3b-d Exposures'!K656)</f>
        <v/>
      </c>
      <c r="J540" s="3">
        <f>IF('3b-d Exposures'!M656="",0,'3b-d Exposures'!M656)</f>
        <v/>
      </c>
      <c r="K540" s="3">
        <f>IF('3b-d Exposures'!O656="",0,'3b-d Exposures'!O656)</f>
        <v/>
      </c>
      <c r="L540" s="3">
        <f>IF('3b-d Exposures'!Q656="",0,'3b-d Exposures'!Q656)</f>
        <v/>
      </c>
      <c r="M540" s="3">
        <f>IF('3b-d Exposures'!S656="",0,'3b-d Exposures'!S656)</f>
        <v/>
      </c>
      <c r="N540" s="3">
        <f>IF('3b-d Exposures'!Z656="",0,'3b-d Exposures'!Z656)</f>
        <v/>
      </c>
      <c r="O540" s="3">
        <f>$D540</f>
        <v/>
      </c>
      <c r="P540" s="3">
        <f>E540*$D540</f>
        <v/>
      </c>
      <c r="Q540" s="3">
        <f>F540*$D540</f>
        <v/>
      </c>
      <c r="R540" s="3">
        <f>G540*$D540</f>
        <v/>
      </c>
      <c r="S540" s="3">
        <f>H540*$D540</f>
        <v/>
      </c>
      <c r="T540" s="3">
        <f>I540*$D540</f>
        <v/>
      </c>
      <c r="U540" s="3">
        <f>J540*$D540</f>
        <v/>
      </c>
      <c r="V540" s="3">
        <f>K540*$D540</f>
        <v/>
      </c>
      <c r="W540" s="3">
        <f>L540*$D540</f>
        <v/>
      </c>
      <c r="X540" s="3">
        <f>M540*$D540</f>
        <v/>
      </c>
      <c r="Y540" s="3">
        <f>N540*$D540</f>
        <v/>
      </c>
      <c r="Z540" s="3">
        <f>C540*$D540</f>
        <v/>
      </c>
      <c r="AA540" s="9">
        <f>$L978+$K978*E540+$J978*F540+$I978*G540+$H978*H540+$G978*I540+$F978*J540+$E978*K540+$D978*L540+$C978*M540+$B978*N540</f>
        <v/>
      </c>
      <c r="AB540" s="9">
        <f>C540-AA540</f>
        <v/>
      </c>
      <c r="AC540" s="4">
        <f>AB540^2</f>
        <v/>
      </c>
    </row>
    <row r="541">
      <c r="A541" t="inlineStr">
        <is>
          <t>BBG000F1ZSQ2</t>
        </is>
      </c>
      <c r="B541" t="inlineStr">
        <is>
          <t>ma</t>
        </is>
      </c>
      <c r="C541" s="9" t="n">
        <v>-0.002964670090319865</v>
      </c>
      <c r="D541" s="3">
        <f>EXP(0.25*'3b-d Exposures'!G657)</f>
        <v/>
      </c>
      <c r="E541" s="3">
        <f>IF('3b-d Exposures'!C657="",0,'3b-d Exposures'!C657)</f>
        <v/>
      </c>
      <c r="F541" s="3">
        <f>IF('3b-d Exposures'!E657="",0,'3b-d Exposures'!E657)</f>
        <v/>
      </c>
      <c r="G541" s="3">
        <f>IF('3b-d Exposures'!G657="",0,'3b-d Exposures'!G657)</f>
        <v/>
      </c>
      <c r="H541" s="3">
        <f>IF('3b-d Exposures'!I657="",0,'3b-d Exposures'!I657)</f>
        <v/>
      </c>
      <c r="I541" s="3">
        <f>IF('3b-d Exposures'!K657="",0,'3b-d Exposures'!K657)</f>
        <v/>
      </c>
      <c r="J541" s="3">
        <f>IF('3b-d Exposures'!M657="",0,'3b-d Exposures'!M657)</f>
        <v/>
      </c>
      <c r="K541" s="3">
        <f>IF('3b-d Exposures'!O657="",0,'3b-d Exposures'!O657)</f>
        <v/>
      </c>
      <c r="L541" s="3">
        <f>IF('3b-d Exposures'!Q657="",0,'3b-d Exposures'!Q657)</f>
        <v/>
      </c>
      <c r="M541" s="3">
        <f>IF('3b-d Exposures'!S657="",0,'3b-d Exposures'!S657)</f>
        <v/>
      </c>
      <c r="N541" s="3">
        <f>IF('3b-d Exposures'!Z657="",0,'3b-d Exposures'!Z657)</f>
        <v/>
      </c>
      <c r="O541" s="3">
        <f>$D541</f>
        <v/>
      </c>
      <c r="P541" s="3">
        <f>E541*$D541</f>
        <v/>
      </c>
      <c r="Q541" s="3">
        <f>F541*$D541</f>
        <v/>
      </c>
      <c r="R541" s="3">
        <f>G541*$D541</f>
        <v/>
      </c>
      <c r="S541" s="3">
        <f>H541*$D541</f>
        <v/>
      </c>
      <c r="T541" s="3">
        <f>I541*$D541</f>
        <v/>
      </c>
      <c r="U541" s="3">
        <f>J541*$D541</f>
        <v/>
      </c>
      <c r="V541" s="3">
        <f>K541*$D541</f>
        <v/>
      </c>
      <c r="W541" s="3">
        <f>L541*$D541</f>
        <v/>
      </c>
      <c r="X541" s="3">
        <f>M541*$D541</f>
        <v/>
      </c>
      <c r="Y541" s="3">
        <f>N541*$D541</f>
        <v/>
      </c>
      <c r="Z541" s="3">
        <f>C541*$D541</f>
        <v/>
      </c>
      <c r="AA541" s="9">
        <f>$L978+$K978*E541+$J978*F541+$I978*G541+$H978*H541+$G978*I541+$F978*J541+$E978*K541+$D978*L541+$C978*M541+$B978*N541</f>
        <v/>
      </c>
      <c r="AB541" s="9">
        <f>C541-AA541</f>
        <v/>
      </c>
      <c r="AC541" s="4">
        <f>AB541^2</f>
        <v/>
      </c>
    </row>
    <row r="542">
      <c r="A542" t="inlineStr">
        <is>
          <t>BBG000BLMY92</t>
        </is>
      </c>
      <c r="B542" t="inlineStr">
        <is>
          <t>maa</t>
        </is>
      </c>
      <c r="C542" s="9" t="n">
        <v>-0.01133047288601929</v>
      </c>
      <c r="D542" s="3">
        <f>EXP(0.25*'3b-d Exposures'!G658)</f>
        <v/>
      </c>
      <c r="E542" s="3">
        <f>IF('3b-d Exposures'!C658="",0,'3b-d Exposures'!C658)</f>
        <v/>
      </c>
      <c r="F542" s="3">
        <f>IF('3b-d Exposures'!E658="",0,'3b-d Exposures'!E658)</f>
        <v/>
      </c>
      <c r="G542" s="3">
        <f>IF('3b-d Exposures'!G658="",0,'3b-d Exposures'!G658)</f>
        <v/>
      </c>
      <c r="H542" s="3">
        <f>IF('3b-d Exposures'!I658="",0,'3b-d Exposures'!I658)</f>
        <v/>
      </c>
      <c r="I542" s="3">
        <f>IF('3b-d Exposures'!K658="",0,'3b-d Exposures'!K658)</f>
        <v/>
      </c>
      <c r="J542" s="3">
        <f>IF('3b-d Exposures'!M658="",0,'3b-d Exposures'!M658)</f>
        <v/>
      </c>
      <c r="K542" s="3">
        <f>IF('3b-d Exposures'!O658="",0,'3b-d Exposures'!O658)</f>
        <v/>
      </c>
      <c r="L542" s="3">
        <f>IF('3b-d Exposures'!Q658="",0,'3b-d Exposures'!Q658)</f>
        <v/>
      </c>
      <c r="M542" s="3">
        <f>IF('3b-d Exposures'!S658="",0,'3b-d Exposures'!S658)</f>
        <v/>
      </c>
      <c r="N542" s="3">
        <f>IF('3b-d Exposures'!Z658="",0,'3b-d Exposures'!Z658)</f>
        <v/>
      </c>
      <c r="O542" s="3">
        <f>$D542</f>
        <v/>
      </c>
      <c r="P542" s="3">
        <f>E542*$D542</f>
        <v/>
      </c>
      <c r="Q542" s="3">
        <f>F542*$D542</f>
        <v/>
      </c>
      <c r="R542" s="3">
        <f>G542*$D542</f>
        <v/>
      </c>
      <c r="S542" s="3">
        <f>H542*$D542</f>
        <v/>
      </c>
      <c r="T542" s="3">
        <f>I542*$D542</f>
        <v/>
      </c>
      <c r="U542" s="3">
        <f>J542*$D542</f>
        <v/>
      </c>
      <c r="V542" s="3">
        <f>K542*$D542</f>
        <v/>
      </c>
      <c r="W542" s="3">
        <f>L542*$D542</f>
        <v/>
      </c>
      <c r="X542" s="3">
        <f>M542*$D542</f>
        <v/>
      </c>
      <c r="Y542" s="3">
        <f>N542*$D542</f>
        <v/>
      </c>
      <c r="Z542" s="3">
        <f>C542*$D542</f>
        <v/>
      </c>
      <c r="AA542" s="9">
        <f>$L978+$K978*E542+$J978*F542+$I978*G542+$H978*H542+$G978*I542+$F978*J542+$E978*K542+$D978*L542+$C978*M542+$B978*N542</f>
        <v/>
      </c>
      <c r="AB542" s="9">
        <f>C542-AA542</f>
        <v/>
      </c>
      <c r="AC542" s="4">
        <f>AB542^2</f>
        <v/>
      </c>
    </row>
    <row r="543">
      <c r="A543" t="inlineStr">
        <is>
          <t>BBG000BKFNX9</t>
        </is>
      </c>
      <c r="B543" t="inlineStr">
        <is>
          <t>magn</t>
        </is>
      </c>
      <c r="C543" s="9" t="n">
        <v>-0.02099610912046079</v>
      </c>
      <c r="D543" s="3">
        <f>EXP(0.25*'3b-d Exposures'!G659)</f>
        <v/>
      </c>
      <c r="E543" s="3">
        <f>IF('3b-d Exposures'!C659="",0,'3b-d Exposures'!C659)</f>
        <v/>
      </c>
      <c r="F543" s="3">
        <f>IF('3b-d Exposures'!E659="",0,'3b-d Exposures'!E659)</f>
        <v/>
      </c>
      <c r="G543" s="3">
        <f>IF('3b-d Exposures'!G659="",0,'3b-d Exposures'!G659)</f>
        <v/>
      </c>
      <c r="H543" s="3">
        <f>IF('3b-d Exposures'!I659="",0,'3b-d Exposures'!I659)</f>
        <v/>
      </c>
      <c r="I543" s="3">
        <f>IF('3b-d Exposures'!K659="",0,'3b-d Exposures'!K659)</f>
        <v/>
      </c>
      <c r="J543" s="3">
        <f>IF('3b-d Exposures'!M659="",0,'3b-d Exposures'!M659)</f>
        <v/>
      </c>
      <c r="K543" s="3">
        <f>IF('3b-d Exposures'!O659="",0,'3b-d Exposures'!O659)</f>
        <v/>
      </c>
      <c r="L543" s="3">
        <f>IF('3b-d Exposures'!Q659="",0,'3b-d Exposures'!Q659)</f>
        <v/>
      </c>
      <c r="M543" s="3">
        <f>IF('3b-d Exposures'!S659="",0,'3b-d Exposures'!S659)</f>
        <v/>
      </c>
      <c r="N543" s="3">
        <f>IF('3b-d Exposures'!Z659="",0,'3b-d Exposures'!Z659)</f>
        <v/>
      </c>
      <c r="O543" s="3">
        <f>$D543</f>
        <v/>
      </c>
      <c r="P543" s="3">
        <f>E543*$D543</f>
        <v/>
      </c>
      <c r="Q543" s="3">
        <f>F543*$D543</f>
        <v/>
      </c>
      <c r="R543" s="3">
        <f>G543*$D543</f>
        <v/>
      </c>
      <c r="S543" s="3">
        <f>H543*$D543</f>
        <v/>
      </c>
      <c r="T543" s="3">
        <f>I543*$D543</f>
        <v/>
      </c>
      <c r="U543" s="3">
        <f>J543*$D543</f>
        <v/>
      </c>
      <c r="V543" s="3">
        <f>K543*$D543</f>
        <v/>
      </c>
      <c r="W543" s="3">
        <f>L543*$D543</f>
        <v/>
      </c>
      <c r="X543" s="3">
        <f>M543*$D543</f>
        <v/>
      </c>
      <c r="Y543" s="3">
        <f>N543*$D543</f>
        <v/>
      </c>
      <c r="Z543" s="3">
        <f>C543*$D543</f>
        <v/>
      </c>
      <c r="AA543" s="9">
        <f>$L978+$K978*E543+$J978*F543+$I978*G543+$H978*H543+$G978*I543+$F978*J543+$E978*K543+$D978*L543+$C978*M543+$B978*N543</f>
        <v/>
      </c>
      <c r="AB543" s="9">
        <f>C543-AA543</f>
        <v/>
      </c>
      <c r="AC543" s="4">
        <f>AB543^2</f>
        <v/>
      </c>
    </row>
    <row r="544">
      <c r="A544" t="inlineStr">
        <is>
          <t>BBG000BXT422</t>
        </is>
      </c>
      <c r="B544" t="inlineStr">
        <is>
          <t>main</t>
        </is>
      </c>
      <c r="C544" s="9" t="n">
        <v>-0.002163384656854728</v>
      </c>
      <c r="D544" s="3">
        <f>EXP(0.25*'3b-d Exposures'!G660)</f>
        <v/>
      </c>
      <c r="E544" s="3">
        <f>IF('3b-d Exposures'!C660="",0,'3b-d Exposures'!C660)</f>
        <v/>
      </c>
      <c r="F544" s="3">
        <f>IF('3b-d Exposures'!E660="",0,'3b-d Exposures'!E660)</f>
        <v/>
      </c>
      <c r="G544" s="3">
        <f>IF('3b-d Exposures'!G660="",0,'3b-d Exposures'!G660)</f>
        <v/>
      </c>
      <c r="H544" s="3">
        <f>IF('3b-d Exposures'!I660="",0,'3b-d Exposures'!I660)</f>
        <v/>
      </c>
      <c r="I544" s="3">
        <f>IF('3b-d Exposures'!K660="",0,'3b-d Exposures'!K660)</f>
        <v/>
      </c>
      <c r="J544" s="3">
        <f>IF('3b-d Exposures'!M660="",0,'3b-d Exposures'!M660)</f>
        <v/>
      </c>
      <c r="K544" s="3">
        <f>IF('3b-d Exposures'!O660="",0,'3b-d Exposures'!O660)</f>
        <v/>
      </c>
      <c r="L544" s="3">
        <f>IF('3b-d Exposures'!Q660="",0,'3b-d Exposures'!Q660)</f>
        <v/>
      </c>
      <c r="M544" s="3">
        <f>IF('3b-d Exposures'!S660="",0,'3b-d Exposures'!S660)</f>
        <v/>
      </c>
      <c r="N544" s="3">
        <f>IF('3b-d Exposures'!Z660="",0,'3b-d Exposures'!Z660)</f>
        <v/>
      </c>
      <c r="O544" s="3">
        <f>$D544</f>
        <v/>
      </c>
      <c r="P544" s="3">
        <f>E544*$D544</f>
        <v/>
      </c>
      <c r="Q544" s="3">
        <f>F544*$D544</f>
        <v/>
      </c>
      <c r="R544" s="3">
        <f>G544*$D544</f>
        <v/>
      </c>
      <c r="S544" s="3">
        <f>H544*$D544</f>
        <v/>
      </c>
      <c r="T544" s="3">
        <f>I544*$D544</f>
        <v/>
      </c>
      <c r="U544" s="3">
        <f>J544*$D544</f>
        <v/>
      </c>
      <c r="V544" s="3">
        <f>K544*$D544</f>
        <v/>
      </c>
      <c r="W544" s="3">
        <f>L544*$D544</f>
        <v/>
      </c>
      <c r="X544" s="3">
        <f>M544*$D544</f>
        <v/>
      </c>
      <c r="Y544" s="3">
        <f>N544*$D544</f>
        <v/>
      </c>
      <c r="Z544" s="3">
        <f>C544*$D544</f>
        <v/>
      </c>
      <c r="AA544" s="9">
        <f>$L978+$K978*E544+$J978*F544+$I978*G544+$H978*H544+$G978*I544+$F978*J544+$E978*K544+$D978*L544+$C978*M544+$B978*N544</f>
        <v/>
      </c>
      <c r="AB544" s="9">
        <f>C544-AA544</f>
        <v/>
      </c>
      <c r="AC544" s="4">
        <f>AB544^2</f>
        <v/>
      </c>
    </row>
    <row r="545">
      <c r="A545" t="inlineStr">
        <is>
          <t>BBG000BFV758</t>
        </is>
      </c>
      <c r="B545" t="inlineStr">
        <is>
          <t>manh</t>
        </is>
      </c>
      <c r="C545" s="9" t="n">
        <v>0.003258102115424988</v>
      </c>
      <c r="D545" s="3">
        <f>EXP(0.25*'3b-d Exposures'!G661)</f>
        <v/>
      </c>
      <c r="E545" s="3">
        <f>IF('3b-d Exposures'!C661="",0,'3b-d Exposures'!C661)</f>
        <v/>
      </c>
      <c r="F545" s="3">
        <f>IF('3b-d Exposures'!E661="",0,'3b-d Exposures'!E661)</f>
        <v/>
      </c>
      <c r="G545" s="3">
        <f>IF('3b-d Exposures'!G661="",0,'3b-d Exposures'!G661)</f>
        <v/>
      </c>
      <c r="H545" s="3">
        <f>IF('3b-d Exposures'!I661="",0,'3b-d Exposures'!I661)</f>
        <v/>
      </c>
      <c r="I545" s="3">
        <f>IF('3b-d Exposures'!K661="",0,'3b-d Exposures'!K661)</f>
        <v/>
      </c>
      <c r="J545" s="3">
        <f>IF('3b-d Exposures'!M661="",0,'3b-d Exposures'!M661)</f>
        <v/>
      </c>
      <c r="K545" s="3">
        <f>IF('3b-d Exposures'!O661="",0,'3b-d Exposures'!O661)</f>
        <v/>
      </c>
      <c r="L545" s="3">
        <f>IF('3b-d Exposures'!Q661="",0,'3b-d Exposures'!Q661)</f>
        <v/>
      </c>
      <c r="M545" s="3">
        <f>IF('3b-d Exposures'!S661="",0,'3b-d Exposures'!S661)</f>
        <v/>
      </c>
      <c r="N545" s="3">
        <f>IF('3b-d Exposures'!Z661="",0,'3b-d Exposures'!Z661)</f>
        <v/>
      </c>
      <c r="O545" s="3">
        <f>$D545</f>
        <v/>
      </c>
      <c r="P545" s="3">
        <f>E545*$D545</f>
        <v/>
      </c>
      <c r="Q545" s="3">
        <f>F545*$D545</f>
        <v/>
      </c>
      <c r="R545" s="3">
        <f>G545*$D545</f>
        <v/>
      </c>
      <c r="S545" s="3">
        <f>H545*$D545</f>
        <v/>
      </c>
      <c r="T545" s="3">
        <f>I545*$D545</f>
        <v/>
      </c>
      <c r="U545" s="3">
        <f>J545*$D545</f>
        <v/>
      </c>
      <c r="V545" s="3">
        <f>K545*$D545</f>
        <v/>
      </c>
      <c r="W545" s="3">
        <f>L545*$D545</f>
        <v/>
      </c>
      <c r="X545" s="3">
        <f>M545*$D545</f>
        <v/>
      </c>
      <c r="Y545" s="3">
        <f>N545*$D545</f>
        <v/>
      </c>
      <c r="Z545" s="3">
        <f>C545*$D545</f>
        <v/>
      </c>
      <c r="AA545" s="9">
        <f>$L978+$K978*E545+$J978*F545+$I978*G545+$H978*H545+$G978*I545+$F978*J545+$E978*K545+$D978*L545+$C978*M545+$B978*N545</f>
        <v/>
      </c>
      <c r="AB545" s="9">
        <f>C545-AA545</f>
        <v/>
      </c>
      <c r="AC545" s="4">
        <f>AB545^2</f>
        <v/>
      </c>
    </row>
    <row r="546">
      <c r="A546" t="inlineStr">
        <is>
          <t>BBG000BGD7W6</t>
        </is>
      </c>
      <c r="B546" t="inlineStr">
        <is>
          <t>mar</t>
        </is>
      </c>
      <c r="C546" s="9" t="n">
        <v>-0.009858440815753489</v>
      </c>
      <c r="D546" s="3">
        <f>EXP(0.25*'3b-d Exposures'!G662)</f>
        <v/>
      </c>
      <c r="E546" s="3">
        <f>IF('3b-d Exposures'!C662="",0,'3b-d Exposures'!C662)</f>
        <v/>
      </c>
      <c r="F546" s="3">
        <f>IF('3b-d Exposures'!E662="",0,'3b-d Exposures'!E662)</f>
        <v/>
      </c>
      <c r="G546" s="3">
        <f>IF('3b-d Exposures'!G662="",0,'3b-d Exposures'!G662)</f>
        <v/>
      </c>
      <c r="H546" s="3">
        <f>IF('3b-d Exposures'!I662="",0,'3b-d Exposures'!I662)</f>
        <v/>
      </c>
      <c r="I546" s="3">
        <f>IF('3b-d Exposures'!K662="",0,'3b-d Exposures'!K662)</f>
        <v/>
      </c>
      <c r="J546" s="3">
        <f>IF('3b-d Exposures'!M662="",0,'3b-d Exposures'!M662)</f>
        <v/>
      </c>
      <c r="K546" s="3">
        <f>IF('3b-d Exposures'!O662="",0,'3b-d Exposures'!O662)</f>
        <v/>
      </c>
      <c r="L546" s="3">
        <f>IF('3b-d Exposures'!Q662="",0,'3b-d Exposures'!Q662)</f>
        <v/>
      </c>
      <c r="M546" s="3">
        <f>IF('3b-d Exposures'!S662="",0,'3b-d Exposures'!S662)</f>
        <v/>
      </c>
      <c r="N546" s="3">
        <f>IF('3b-d Exposures'!Z662="",0,'3b-d Exposures'!Z662)</f>
        <v/>
      </c>
      <c r="O546" s="3">
        <f>$D546</f>
        <v/>
      </c>
      <c r="P546" s="3">
        <f>E546*$D546</f>
        <v/>
      </c>
      <c r="Q546" s="3">
        <f>F546*$D546</f>
        <v/>
      </c>
      <c r="R546" s="3">
        <f>G546*$D546</f>
        <v/>
      </c>
      <c r="S546" s="3">
        <f>H546*$D546</f>
        <v/>
      </c>
      <c r="T546" s="3">
        <f>I546*$D546</f>
        <v/>
      </c>
      <c r="U546" s="3">
        <f>J546*$D546</f>
        <v/>
      </c>
      <c r="V546" s="3">
        <f>K546*$D546</f>
        <v/>
      </c>
      <c r="W546" s="3">
        <f>L546*$D546</f>
        <v/>
      </c>
      <c r="X546" s="3">
        <f>M546*$D546</f>
        <v/>
      </c>
      <c r="Y546" s="3">
        <f>N546*$D546</f>
        <v/>
      </c>
      <c r="Z546" s="3">
        <f>C546*$D546</f>
        <v/>
      </c>
      <c r="AA546" s="9">
        <f>$L978+$K978*E546+$J978*F546+$I978*G546+$H978*H546+$G978*I546+$F978*J546+$E978*K546+$D978*L546+$C978*M546+$B978*N546</f>
        <v/>
      </c>
      <c r="AB546" s="9">
        <f>C546-AA546</f>
        <v/>
      </c>
      <c r="AC546" s="4">
        <f>AB546^2</f>
        <v/>
      </c>
    </row>
    <row r="547">
      <c r="A547" t="inlineStr">
        <is>
          <t>mas</t>
        </is>
      </c>
      <c r="B547" t="inlineStr">
        <is>
          <t>mas</t>
        </is>
      </c>
      <c r="C547" s="9" t="n">
        <v>-0.0007447366830128921</v>
      </c>
      <c r="D547" s="3">
        <f>EXP(0.25*'3b-d Exposures'!G663)</f>
        <v/>
      </c>
      <c r="E547" s="3">
        <f>IF('3b-d Exposures'!C663="",0,'3b-d Exposures'!C663)</f>
        <v/>
      </c>
      <c r="F547" s="3">
        <f>IF('3b-d Exposures'!E663="",0,'3b-d Exposures'!E663)</f>
        <v/>
      </c>
      <c r="G547" s="3">
        <f>IF('3b-d Exposures'!G663="",0,'3b-d Exposures'!G663)</f>
        <v/>
      </c>
      <c r="H547" s="3">
        <f>IF('3b-d Exposures'!I663="",0,'3b-d Exposures'!I663)</f>
        <v/>
      </c>
      <c r="I547" s="3">
        <f>IF('3b-d Exposures'!K663="",0,'3b-d Exposures'!K663)</f>
        <v/>
      </c>
      <c r="J547" s="3">
        <f>IF('3b-d Exposures'!M663="",0,'3b-d Exposures'!M663)</f>
        <v/>
      </c>
      <c r="K547" s="3">
        <f>IF('3b-d Exposures'!O663="",0,'3b-d Exposures'!O663)</f>
        <v/>
      </c>
      <c r="L547" s="3">
        <f>IF('3b-d Exposures'!Q663="",0,'3b-d Exposures'!Q663)</f>
        <v/>
      </c>
      <c r="M547" s="3">
        <f>IF('3b-d Exposures'!S663="",0,'3b-d Exposures'!S663)</f>
        <v/>
      </c>
      <c r="N547" s="3">
        <f>IF('3b-d Exposures'!Z663="",0,'3b-d Exposures'!Z663)</f>
        <v/>
      </c>
      <c r="O547" s="3">
        <f>$D547</f>
        <v/>
      </c>
      <c r="P547" s="3">
        <f>E547*$D547</f>
        <v/>
      </c>
      <c r="Q547" s="3">
        <f>F547*$D547</f>
        <v/>
      </c>
      <c r="R547" s="3">
        <f>G547*$D547</f>
        <v/>
      </c>
      <c r="S547" s="3">
        <f>H547*$D547</f>
        <v/>
      </c>
      <c r="T547" s="3">
        <f>I547*$D547</f>
        <v/>
      </c>
      <c r="U547" s="3">
        <f>J547*$D547</f>
        <v/>
      </c>
      <c r="V547" s="3">
        <f>K547*$D547</f>
        <v/>
      </c>
      <c r="W547" s="3">
        <f>L547*$D547</f>
        <v/>
      </c>
      <c r="X547" s="3">
        <f>M547*$D547</f>
        <v/>
      </c>
      <c r="Y547" s="3">
        <f>N547*$D547</f>
        <v/>
      </c>
      <c r="Z547" s="3">
        <f>C547*$D547</f>
        <v/>
      </c>
      <c r="AA547" s="9">
        <f>$L978+$K978*E547+$J978*F547+$I978*G547+$H978*H547+$G978*I547+$F978*J547+$E978*K547+$D978*L547+$C978*M547+$B978*N547</f>
        <v/>
      </c>
      <c r="AB547" s="9">
        <f>C547-AA547</f>
        <v/>
      </c>
      <c r="AC547" s="4">
        <f>AB547^2</f>
        <v/>
      </c>
    </row>
    <row r="548">
      <c r="A548" t="inlineStr">
        <is>
          <t>BBG000BNNYW1</t>
        </is>
      </c>
      <c r="B548" t="inlineStr">
        <is>
          <t>mat</t>
        </is>
      </c>
      <c r="C548" s="9" t="n">
        <v>-0.005257643483857488</v>
      </c>
      <c r="D548" s="3">
        <f>EXP(0.25*'3b-d Exposures'!G664)</f>
        <v/>
      </c>
      <c r="E548" s="3">
        <f>IF('3b-d Exposures'!C664="",0,'3b-d Exposures'!C664)</f>
        <v/>
      </c>
      <c r="F548" s="3">
        <f>IF('3b-d Exposures'!E664="",0,'3b-d Exposures'!E664)</f>
        <v/>
      </c>
      <c r="G548" s="3">
        <f>IF('3b-d Exposures'!G664="",0,'3b-d Exposures'!G664)</f>
        <v/>
      </c>
      <c r="H548" s="3">
        <f>IF('3b-d Exposures'!I664="",0,'3b-d Exposures'!I664)</f>
        <v/>
      </c>
      <c r="I548" s="3">
        <f>IF('3b-d Exposures'!K664="",0,'3b-d Exposures'!K664)</f>
        <v/>
      </c>
      <c r="J548" s="3">
        <f>IF('3b-d Exposures'!M664="",0,'3b-d Exposures'!M664)</f>
        <v/>
      </c>
      <c r="K548" s="3">
        <f>IF('3b-d Exposures'!O664="",0,'3b-d Exposures'!O664)</f>
        <v/>
      </c>
      <c r="L548" s="3">
        <f>IF('3b-d Exposures'!Q664="",0,'3b-d Exposures'!Q664)</f>
        <v/>
      </c>
      <c r="M548" s="3">
        <f>IF('3b-d Exposures'!S664="",0,'3b-d Exposures'!S664)</f>
        <v/>
      </c>
      <c r="N548" s="3">
        <f>IF('3b-d Exposures'!Z664="",0,'3b-d Exposures'!Z664)</f>
        <v/>
      </c>
      <c r="O548" s="3">
        <f>$D548</f>
        <v/>
      </c>
      <c r="P548" s="3">
        <f>E548*$D548</f>
        <v/>
      </c>
      <c r="Q548" s="3">
        <f>F548*$D548</f>
        <v/>
      </c>
      <c r="R548" s="3">
        <f>G548*$D548</f>
        <v/>
      </c>
      <c r="S548" s="3">
        <f>H548*$D548</f>
        <v/>
      </c>
      <c r="T548" s="3">
        <f>I548*$D548</f>
        <v/>
      </c>
      <c r="U548" s="3">
        <f>J548*$D548</f>
        <v/>
      </c>
      <c r="V548" s="3">
        <f>K548*$D548</f>
        <v/>
      </c>
      <c r="W548" s="3">
        <f>L548*$D548</f>
        <v/>
      </c>
      <c r="X548" s="3">
        <f>M548*$D548</f>
        <v/>
      </c>
      <c r="Y548" s="3">
        <f>N548*$D548</f>
        <v/>
      </c>
      <c r="Z548" s="3">
        <f>C548*$D548</f>
        <v/>
      </c>
      <c r="AA548" s="9">
        <f>$L978+$K978*E548+$J978*F548+$I978*G548+$H978*H548+$G978*I548+$F978*J548+$E978*K548+$D978*L548+$C978*M548+$B978*N548</f>
        <v/>
      </c>
      <c r="AB548" s="9">
        <f>C548-AA548</f>
        <v/>
      </c>
      <c r="AC548" s="4">
        <f>AB548^2</f>
        <v/>
      </c>
    </row>
    <row r="549">
      <c r="A549" t="inlineStr">
        <is>
          <t>BBG000BNQN34</t>
        </is>
      </c>
      <c r="B549" t="inlineStr">
        <is>
          <t>mbi</t>
        </is>
      </c>
      <c r="C549" s="9" t="n">
        <v>-0.01306236248109516</v>
      </c>
      <c r="D549" s="3">
        <f>EXP(0.25*'3b-d Exposures'!G665)</f>
        <v/>
      </c>
      <c r="E549" s="3">
        <f>IF('3b-d Exposures'!C665="",0,'3b-d Exposures'!C665)</f>
        <v/>
      </c>
      <c r="F549" s="3">
        <f>IF('3b-d Exposures'!E665="",0,'3b-d Exposures'!E665)</f>
        <v/>
      </c>
      <c r="G549" s="3">
        <f>IF('3b-d Exposures'!G665="",0,'3b-d Exposures'!G665)</f>
        <v/>
      </c>
      <c r="H549" s="3">
        <f>IF('3b-d Exposures'!I665="",0,'3b-d Exposures'!I665)</f>
        <v/>
      </c>
      <c r="I549" s="3">
        <f>IF('3b-d Exposures'!K665="",0,'3b-d Exposures'!K665)</f>
        <v/>
      </c>
      <c r="J549" s="3">
        <f>IF('3b-d Exposures'!M665="",0,'3b-d Exposures'!M665)</f>
        <v/>
      </c>
      <c r="K549" s="3">
        <f>IF('3b-d Exposures'!O665="",0,'3b-d Exposures'!O665)</f>
        <v/>
      </c>
      <c r="L549" s="3">
        <f>IF('3b-d Exposures'!Q665="",0,'3b-d Exposures'!Q665)</f>
        <v/>
      </c>
      <c r="M549" s="3">
        <f>IF('3b-d Exposures'!S665="",0,'3b-d Exposures'!S665)</f>
        <v/>
      </c>
      <c r="N549" s="3">
        <f>IF('3b-d Exposures'!Z665="",0,'3b-d Exposures'!Z665)</f>
        <v/>
      </c>
      <c r="O549" s="3">
        <f>$D549</f>
        <v/>
      </c>
      <c r="P549" s="3">
        <f>E549*$D549</f>
        <v/>
      </c>
      <c r="Q549" s="3">
        <f>F549*$D549</f>
        <v/>
      </c>
      <c r="R549" s="3">
        <f>G549*$D549</f>
        <v/>
      </c>
      <c r="S549" s="3">
        <f>H549*$D549</f>
        <v/>
      </c>
      <c r="T549" s="3">
        <f>I549*$D549</f>
        <v/>
      </c>
      <c r="U549" s="3">
        <f>J549*$D549</f>
        <v/>
      </c>
      <c r="V549" s="3">
        <f>K549*$D549</f>
        <v/>
      </c>
      <c r="W549" s="3">
        <f>L549*$D549</f>
        <v/>
      </c>
      <c r="X549" s="3">
        <f>M549*$D549</f>
        <v/>
      </c>
      <c r="Y549" s="3">
        <f>N549*$D549</f>
        <v/>
      </c>
      <c r="Z549" s="3">
        <f>C549*$D549</f>
        <v/>
      </c>
      <c r="AA549" s="9">
        <f>$L978+$K978*E549+$J978*F549+$I978*G549+$H978*H549+$G978*I549+$F978*J549+$E978*K549+$D978*L549+$C978*M549+$B978*N549</f>
        <v/>
      </c>
      <c r="AB549" s="9">
        <f>C549-AA549</f>
        <v/>
      </c>
      <c r="AC549" s="4">
        <f>AB549^2</f>
        <v/>
      </c>
    </row>
    <row r="550">
      <c r="A550" t="inlineStr">
        <is>
          <t>BBG019X46Z37</t>
        </is>
      </c>
      <c r="B550" t="inlineStr">
        <is>
          <t>mbly</t>
        </is>
      </c>
      <c r="C550" s="9" t="n">
        <v>-0.03656509004482322</v>
      </c>
      <c r="D550" s="3">
        <f>EXP(0.25*'3b-d Exposures'!G666)</f>
        <v/>
      </c>
      <c r="E550" s="3">
        <f>IF('3b-d Exposures'!C666="",0,'3b-d Exposures'!C666)</f>
        <v/>
      </c>
      <c r="F550" s="3">
        <f>IF('3b-d Exposures'!E666="",0,'3b-d Exposures'!E666)</f>
        <v/>
      </c>
      <c r="G550" s="3">
        <f>IF('3b-d Exposures'!G666="",0,'3b-d Exposures'!G666)</f>
        <v/>
      </c>
      <c r="H550" s="3">
        <f>IF('3b-d Exposures'!I666="",0,'3b-d Exposures'!I666)</f>
        <v/>
      </c>
      <c r="I550" s="3">
        <f>IF('3b-d Exposures'!K666="",0,'3b-d Exposures'!K666)</f>
        <v/>
      </c>
      <c r="J550" s="3">
        <f>IF('3b-d Exposures'!M666="",0,'3b-d Exposures'!M666)</f>
        <v/>
      </c>
      <c r="K550" s="3">
        <f>IF('3b-d Exposures'!O666="",0,'3b-d Exposures'!O666)</f>
        <v/>
      </c>
      <c r="L550" s="3">
        <f>IF('3b-d Exposures'!Q666="",0,'3b-d Exposures'!Q666)</f>
        <v/>
      </c>
      <c r="M550" s="3">
        <f>IF('3b-d Exposures'!S666="",0,'3b-d Exposures'!S666)</f>
        <v/>
      </c>
      <c r="N550" s="3">
        <f>IF('3b-d Exposures'!Z666="",0,'3b-d Exposures'!Z666)</f>
        <v/>
      </c>
      <c r="O550" s="3">
        <f>$D550</f>
        <v/>
      </c>
      <c r="P550" s="3">
        <f>E550*$D550</f>
        <v/>
      </c>
      <c r="Q550" s="3">
        <f>F550*$D550</f>
        <v/>
      </c>
      <c r="R550" s="3">
        <f>G550*$D550</f>
        <v/>
      </c>
      <c r="S550" s="3">
        <f>H550*$D550</f>
        <v/>
      </c>
      <c r="T550" s="3">
        <f>I550*$D550</f>
        <v/>
      </c>
      <c r="U550" s="3">
        <f>J550*$D550</f>
        <v/>
      </c>
      <c r="V550" s="3">
        <f>K550*$D550</f>
        <v/>
      </c>
      <c r="W550" s="3">
        <f>L550*$D550</f>
        <v/>
      </c>
      <c r="X550" s="3">
        <f>M550*$D550</f>
        <v/>
      </c>
      <c r="Y550" s="3">
        <f>N550*$D550</f>
        <v/>
      </c>
      <c r="Z550" s="3">
        <f>C550*$D550</f>
        <v/>
      </c>
      <c r="AA550" s="9">
        <f>$L978+$K978*E550+$J978*F550+$I978*G550+$H978*H550+$G978*I550+$F978*J550+$E978*K550+$D978*L550+$C978*M550+$B978*N550</f>
        <v/>
      </c>
      <c r="AB550" s="9">
        <f>C550-AA550</f>
        <v/>
      </c>
      <c r="AC550" s="4">
        <f>AB550^2</f>
        <v/>
      </c>
    </row>
    <row r="551">
      <c r="A551" t="inlineStr">
        <is>
          <t>BBG001KHD495</t>
        </is>
      </c>
      <c r="B551" t="inlineStr">
        <is>
          <t>mcb</t>
        </is>
      </c>
      <c r="C551" s="9" t="n">
        <v>0.01601484493027305</v>
      </c>
      <c r="D551" s="3">
        <f>EXP(0.25*'3b-d Exposures'!G668)</f>
        <v/>
      </c>
      <c r="E551" s="3">
        <f>IF('3b-d Exposures'!C668="",0,'3b-d Exposures'!C668)</f>
        <v/>
      </c>
      <c r="F551" s="3">
        <f>IF('3b-d Exposures'!E668="",0,'3b-d Exposures'!E668)</f>
        <v/>
      </c>
      <c r="G551" s="3">
        <f>IF('3b-d Exposures'!G668="",0,'3b-d Exposures'!G668)</f>
        <v/>
      </c>
      <c r="H551" s="3">
        <f>IF('3b-d Exposures'!I668="",0,'3b-d Exposures'!I668)</f>
        <v/>
      </c>
      <c r="I551" s="3">
        <f>IF('3b-d Exposures'!K668="",0,'3b-d Exposures'!K668)</f>
        <v/>
      </c>
      <c r="J551" s="3">
        <f>IF('3b-d Exposures'!M668="",0,'3b-d Exposures'!M668)</f>
        <v/>
      </c>
      <c r="K551" s="3">
        <f>IF('3b-d Exposures'!O668="",0,'3b-d Exposures'!O668)</f>
        <v/>
      </c>
      <c r="L551" s="3">
        <f>IF('3b-d Exposures'!Q668="",0,'3b-d Exposures'!Q668)</f>
        <v/>
      </c>
      <c r="M551" s="3">
        <f>IF('3b-d Exposures'!S668="",0,'3b-d Exposures'!S668)</f>
        <v/>
      </c>
      <c r="N551" s="3">
        <f>IF('3b-d Exposures'!Z668="",0,'3b-d Exposures'!Z668)</f>
        <v/>
      </c>
      <c r="O551" s="3">
        <f>$D551</f>
        <v/>
      </c>
      <c r="P551" s="3">
        <f>E551*$D551</f>
        <v/>
      </c>
      <c r="Q551" s="3">
        <f>F551*$D551</f>
        <v/>
      </c>
      <c r="R551" s="3">
        <f>G551*$D551</f>
        <v/>
      </c>
      <c r="S551" s="3">
        <f>H551*$D551</f>
        <v/>
      </c>
      <c r="T551" s="3">
        <f>I551*$D551</f>
        <v/>
      </c>
      <c r="U551" s="3">
        <f>J551*$D551</f>
        <v/>
      </c>
      <c r="V551" s="3">
        <f>K551*$D551</f>
        <v/>
      </c>
      <c r="W551" s="3">
        <f>L551*$D551</f>
        <v/>
      </c>
      <c r="X551" s="3">
        <f>M551*$D551</f>
        <v/>
      </c>
      <c r="Y551" s="3">
        <f>N551*$D551</f>
        <v/>
      </c>
      <c r="Z551" s="3">
        <f>C551*$D551</f>
        <v/>
      </c>
      <c r="AA551" s="9">
        <f>$L978+$K978*E551+$J978*F551+$I978*G551+$H978*H551+$G978*I551+$F978*J551+$E978*K551+$D978*L551+$C978*M551+$B978*N551</f>
        <v/>
      </c>
      <c r="AB551" s="9">
        <f>C551-AA551</f>
        <v/>
      </c>
      <c r="AC551" s="4">
        <f>AB551^2</f>
        <v/>
      </c>
    </row>
    <row r="552">
      <c r="A552" t="inlineStr">
        <is>
          <t>BBG000BNSZP1</t>
        </is>
      </c>
      <c r="B552" t="inlineStr">
        <is>
          <t>mcd</t>
        </is>
      </c>
      <c r="C552" s="9" t="n">
        <v>-0.00611727261835493</v>
      </c>
      <c r="D552" s="3">
        <f>EXP(0.25*'3b-d Exposures'!G669)</f>
        <v/>
      </c>
      <c r="E552" s="3">
        <f>IF('3b-d Exposures'!C669="",0,'3b-d Exposures'!C669)</f>
        <v/>
      </c>
      <c r="F552" s="3">
        <f>IF('3b-d Exposures'!E669="",0,'3b-d Exposures'!E669)</f>
        <v/>
      </c>
      <c r="G552" s="3">
        <f>IF('3b-d Exposures'!G669="",0,'3b-d Exposures'!G669)</f>
        <v/>
      </c>
      <c r="H552" s="3">
        <f>IF('3b-d Exposures'!I669="",0,'3b-d Exposures'!I669)</f>
        <v/>
      </c>
      <c r="I552" s="3">
        <f>IF('3b-d Exposures'!K669="",0,'3b-d Exposures'!K669)</f>
        <v/>
      </c>
      <c r="J552" s="3">
        <f>IF('3b-d Exposures'!M669="",0,'3b-d Exposures'!M669)</f>
        <v/>
      </c>
      <c r="K552" s="3">
        <f>IF('3b-d Exposures'!O669="",0,'3b-d Exposures'!O669)</f>
        <v/>
      </c>
      <c r="L552" s="3">
        <f>IF('3b-d Exposures'!Q669="",0,'3b-d Exposures'!Q669)</f>
        <v/>
      </c>
      <c r="M552" s="3">
        <f>IF('3b-d Exposures'!S669="",0,'3b-d Exposures'!S669)</f>
        <v/>
      </c>
      <c r="N552" s="3">
        <f>IF('3b-d Exposures'!Z669="",0,'3b-d Exposures'!Z669)</f>
        <v/>
      </c>
      <c r="O552" s="3">
        <f>$D552</f>
        <v/>
      </c>
      <c r="P552" s="3">
        <f>E552*$D552</f>
        <v/>
      </c>
      <c r="Q552" s="3">
        <f>F552*$D552</f>
        <v/>
      </c>
      <c r="R552" s="3">
        <f>G552*$D552</f>
        <v/>
      </c>
      <c r="S552" s="3">
        <f>H552*$D552</f>
        <v/>
      </c>
      <c r="T552" s="3">
        <f>I552*$D552</f>
        <v/>
      </c>
      <c r="U552" s="3">
        <f>J552*$D552</f>
        <v/>
      </c>
      <c r="V552" s="3">
        <f>K552*$D552</f>
        <v/>
      </c>
      <c r="W552" s="3">
        <f>L552*$D552</f>
        <v/>
      </c>
      <c r="X552" s="3">
        <f>M552*$D552</f>
        <v/>
      </c>
      <c r="Y552" s="3">
        <f>N552*$D552</f>
        <v/>
      </c>
      <c r="Z552" s="3">
        <f>C552*$D552</f>
        <v/>
      </c>
      <c r="AA552" s="9">
        <f>$L978+$K978*E552+$J978*F552+$I978*G552+$H978*H552+$G978*I552+$F978*J552+$E978*K552+$D978*L552+$C978*M552+$B978*N552</f>
        <v/>
      </c>
      <c r="AB552" s="9">
        <f>C552-AA552</f>
        <v/>
      </c>
      <c r="AC552" s="4">
        <f>AB552^2</f>
        <v/>
      </c>
    </row>
    <row r="553">
      <c r="A553" t="inlineStr">
        <is>
          <t>BBG000BHCP19</t>
        </is>
      </c>
      <c r="B553" t="inlineStr">
        <is>
          <t>mchp</t>
        </is>
      </c>
      <c r="C553" s="9" t="n">
        <v>0.03139205687708024</v>
      </c>
      <c r="D553" s="3">
        <f>EXP(0.25*'3b-d Exposures'!G670)</f>
        <v/>
      </c>
      <c r="E553" s="3">
        <f>IF('3b-d Exposures'!C670="",0,'3b-d Exposures'!C670)</f>
        <v/>
      </c>
      <c r="F553" s="3">
        <f>IF('3b-d Exposures'!E670="",0,'3b-d Exposures'!E670)</f>
        <v/>
      </c>
      <c r="G553" s="3">
        <f>IF('3b-d Exposures'!G670="",0,'3b-d Exposures'!G670)</f>
        <v/>
      </c>
      <c r="H553" s="3">
        <f>IF('3b-d Exposures'!I670="",0,'3b-d Exposures'!I670)</f>
        <v/>
      </c>
      <c r="I553" s="3">
        <f>IF('3b-d Exposures'!K670="",0,'3b-d Exposures'!K670)</f>
        <v/>
      </c>
      <c r="J553" s="3">
        <f>IF('3b-d Exposures'!M670="",0,'3b-d Exposures'!M670)</f>
        <v/>
      </c>
      <c r="K553" s="3">
        <f>IF('3b-d Exposures'!O670="",0,'3b-d Exposures'!O670)</f>
        <v/>
      </c>
      <c r="L553" s="3">
        <f>IF('3b-d Exposures'!Q670="",0,'3b-d Exposures'!Q670)</f>
        <v/>
      </c>
      <c r="M553" s="3">
        <f>IF('3b-d Exposures'!S670="",0,'3b-d Exposures'!S670)</f>
        <v/>
      </c>
      <c r="N553" s="3">
        <f>IF('3b-d Exposures'!Z670="",0,'3b-d Exposures'!Z670)</f>
        <v/>
      </c>
      <c r="O553" s="3">
        <f>$D553</f>
        <v/>
      </c>
      <c r="P553" s="3">
        <f>E553*$D553</f>
        <v/>
      </c>
      <c r="Q553" s="3">
        <f>F553*$D553</f>
        <v/>
      </c>
      <c r="R553" s="3">
        <f>G553*$D553</f>
        <v/>
      </c>
      <c r="S553" s="3">
        <f>H553*$D553</f>
        <v/>
      </c>
      <c r="T553" s="3">
        <f>I553*$D553</f>
        <v/>
      </c>
      <c r="U553" s="3">
        <f>J553*$D553</f>
        <v/>
      </c>
      <c r="V553" s="3">
        <f>K553*$D553</f>
        <v/>
      </c>
      <c r="W553" s="3">
        <f>L553*$D553</f>
        <v/>
      </c>
      <c r="X553" s="3">
        <f>M553*$D553</f>
        <v/>
      </c>
      <c r="Y553" s="3">
        <f>N553*$D553</f>
        <v/>
      </c>
      <c r="Z553" s="3">
        <f>C553*$D553</f>
        <v/>
      </c>
      <c r="AA553" s="9">
        <f>$L978+$K978*E553+$J978*F553+$I978*G553+$H978*H553+$G978*I553+$F978*J553+$E978*K553+$D978*L553+$C978*M553+$B978*N553</f>
        <v/>
      </c>
      <c r="AB553" s="9">
        <f>C553-AA553</f>
        <v/>
      </c>
      <c r="AC553" s="4">
        <f>AB553^2</f>
        <v/>
      </c>
    </row>
    <row r="554">
      <c r="A554" t="inlineStr">
        <is>
          <t>BBG000DYGNW7</t>
        </is>
      </c>
      <c r="B554" t="inlineStr">
        <is>
          <t>mck</t>
        </is>
      </c>
      <c r="C554" s="9" t="n">
        <v>-0.01035396221690066</v>
      </c>
      <c r="D554" s="3">
        <f>EXP(0.25*'3b-d Exposures'!G671)</f>
        <v/>
      </c>
      <c r="E554" s="3">
        <f>IF('3b-d Exposures'!C671="",0,'3b-d Exposures'!C671)</f>
        <v/>
      </c>
      <c r="F554" s="3">
        <f>IF('3b-d Exposures'!E671="",0,'3b-d Exposures'!E671)</f>
        <v/>
      </c>
      <c r="G554" s="3">
        <f>IF('3b-d Exposures'!G671="",0,'3b-d Exposures'!G671)</f>
        <v/>
      </c>
      <c r="H554" s="3">
        <f>IF('3b-d Exposures'!I671="",0,'3b-d Exposures'!I671)</f>
        <v/>
      </c>
      <c r="I554" s="3">
        <f>IF('3b-d Exposures'!K671="",0,'3b-d Exposures'!K671)</f>
        <v/>
      </c>
      <c r="J554" s="3">
        <f>IF('3b-d Exposures'!M671="",0,'3b-d Exposures'!M671)</f>
        <v/>
      </c>
      <c r="K554" s="3">
        <f>IF('3b-d Exposures'!O671="",0,'3b-d Exposures'!O671)</f>
        <v/>
      </c>
      <c r="L554" s="3">
        <f>IF('3b-d Exposures'!Q671="",0,'3b-d Exposures'!Q671)</f>
        <v/>
      </c>
      <c r="M554" s="3">
        <f>IF('3b-d Exposures'!S671="",0,'3b-d Exposures'!S671)</f>
        <v/>
      </c>
      <c r="N554" s="3">
        <f>IF('3b-d Exposures'!Z671="",0,'3b-d Exposures'!Z671)</f>
        <v/>
      </c>
      <c r="O554" s="3">
        <f>$D554</f>
        <v/>
      </c>
      <c r="P554" s="3">
        <f>E554*$D554</f>
        <v/>
      </c>
      <c r="Q554" s="3">
        <f>F554*$D554</f>
        <v/>
      </c>
      <c r="R554" s="3">
        <f>G554*$D554</f>
        <v/>
      </c>
      <c r="S554" s="3">
        <f>H554*$D554</f>
        <v/>
      </c>
      <c r="T554" s="3">
        <f>I554*$D554</f>
        <v/>
      </c>
      <c r="U554" s="3">
        <f>J554*$D554</f>
        <v/>
      </c>
      <c r="V554" s="3">
        <f>K554*$D554</f>
        <v/>
      </c>
      <c r="W554" s="3">
        <f>L554*$D554</f>
        <v/>
      </c>
      <c r="X554" s="3">
        <f>M554*$D554</f>
        <v/>
      </c>
      <c r="Y554" s="3">
        <f>N554*$D554</f>
        <v/>
      </c>
      <c r="Z554" s="3">
        <f>C554*$D554</f>
        <v/>
      </c>
      <c r="AA554" s="9">
        <f>$L978+$K978*E554+$J978*F554+$I978*G554+$H978*H554+$G978*I554+$F978*J554+$E978*K554+$D978*L554+$C978*M554+$B978*N554</f>
        <v/>
      </c>
      <c r="AB554" s="9">
        <f>C554-AA554</f>
        <v/>
      </c>
      <c r="AC554" s="4">
        <f>AB554^2</f>
        <v/>
      </c>
    </row>
    <row r="555">
      <c r="A555" t="inlineStr">
        <is>
          <t>mco</t>
        </is>
      </c>
      <c r="B555" t="inlineStr">
        <is>
          <t>mco</t>
        </is>
      </c>
      <c r="C555" s="9" t="n">
        <v>-0.005140225573595281</v>
      </c>
      <c r="D555" s="3">
        <f>EXP(0.25*'3b-d Exposures'!G672)</f>
        <v/>
      </c>
      <c r="E555" s="3">
        <f>IF('3b-d Exposures'!C672="",0,'3b-d Exposures'!C672)</f>
        <v/>
      </c>
      <c r="F555" s="3">
        <f>IF('3b-d Exposures'!E672="",0,'3b-d Exposures'!E672)</f>
        <v/>
      </c>
      <c r="G555" s="3">
        <f>IF('3b-d Exposures'!G672="",0,'3b-d Exposures'!G672)</f>
        <v/>
      </c>
      <c r="H555" s="3">
        <f>IF('3b-d Exposures'!I672="",0,'3b-d Exposures'!I672)</f>
        <v/>
      </c>
      <c r="I555" s="3">
        <f>IF('3b-d Exposures'!K672="",0,'3b-d Exposures'!K672)</f>
        <v/>
      </c>
      <c r="J555" s="3">
        <f>IF('3b-d Exposures'!M672="",0,'3b-d Exposures'!M672)</f>
        <v/>
      </c>
      <c r="K555" s="3">
        <f>IF('3b-d Exposures'!O672="",0,'3b-d Exposures'!O672)</f>
        <v/>
      </c>
      <c r="L555" s="3">
        <f>IF('3b-d Exposures'!Q672="",0,'3b-d Exposures'!Q672)</f>
        <v/>
      </c>
      <c r="M555" s="3">
        <f>IF('3b-d Exposures'!S672="",0,'3b-d Exposures'!S672)</f>
        <v/>
      </c>
      <c r="N555" s="3">
        <f>IF('3b-d Exposures'!Z672="",0,'3b-d Exposures'!Z672)</f>
        <v/>
      </c>
      <c r="O555" s="3">
        <f>$D555</f>
        <v/>
      </c>
      <c r="P555" s="3">
        <f>E555*$D555</f>
        <v/>
      </c>
      <c r="Q555" s="3">
        <f>F555*$D555</f>
        <v/>
      </c>
      <c r="R555" s="3">
        <f>G555*$D555</f>
        <v/>
      </c>
      <c r="S555" s="3">
        <f>H555*$D555</f>
        <v/>
      </c>
      <c r="T555" s="3">
        <f>I555*$D555</f>
        <v/>
      </c>
      <c r="U555" s="3">
        <f>J555*$D555</f>
        <v/>
      </c>
      <c r="V555" s="3">
        <f>K555*$D555</f>
        <v/>
      </c>
      <c r="W555" s="3">
        <f>L555*$D555</f>
        <v/>
      </c>
      <c r="X555" s="3">
        <f>M555*$D555</f>
        <v/>
      </c>
      <c r="Y555" s="3">
        <f>N555*$D555</f>
        <v/>
      </c>
      <c r="Z555" s="3">
        <f>C555*$D555</f>
        <v/>
      </c>
      <c r="AA555" s="9">
        <f>$L978+$K978*E555+$J978*F555+$I978*G555+$H978*H555+$G978*I555+$F978*J555+$E978*K555+$D978*L555+$C978*M555+$B978*N555</f>
        <v/>
      </c>
      <c r="AB555" s="9">
        <f>C555-AA555</f>
        <v/>
      </c>
      <c r="AC555" s="4">
        <f>AB555^2</f>
        <v/>
      </c>
    </row>
    <row r="556">
      <c r="A556" t="inlineStr">
        <is>
          <t>BBG000D6HL06</t>
        </is>
      </c>
      <c r="B556" t="inlineStr">
        <is>
          <t>mcs</t>
        </is>
      </c>
      <c r="C556" s="9" t="n">
        <v>0.02252658156882537</v>
      </c>
      <c r="D556" s="3">
        <f>EXP(0.25*'3b-d Exposures'!G673)</f>
        <v/>
      </c>
      <c r="E556" s="3">
        <f>IF('3b-d Exposures'!C673="",0,'3b-d Exposures'!C673)</f>
        <v/>
      </c>
      <c r="F556" s="3">
        <f>IF('3b-d Exposures'!E673="",0,'3b-d Exposures'!E673)</f>
        <v/>
      </c>
      <c r="G556" s="3">
        <f>IF('3b-d Exposures'!G673="",0,'3b-d Exposures'!G673)</f>
        <v/>
      </c>
      <c r="H556" s="3">
        <f>IF('3b-d Exposures'!I673="",0,'3b-d Exposures'!I673)</f>
        <v/>
      </c>
      <c r="I556" s="3">
        <f>IF('3b-d Exposures'!K673="",0,'3b-d Exposures'!K673)</f>
        <v/>
      </c>
      <c r="J556" s="3">
        <f>IF('3b-d Exposures'!M673="",0,'3b-d Exposures'!M673)</f>
        <v/>
      </c>
      <c r="K556" s="3">
        <f>IF('3b-d Exposures'!O673="",0,'3b-d Exposures'!O673)</f>
        <v/>
      </c>
      <c r="L556" s="3">
        <f>IF('3b-d Exposures'!Q673="",0,'3b-d Exposures'!Q673)</f>
        <v/>
      </c>
      <c r="M556" s="3">
        <f>IF('3b-d Exposures'!S673="",0,'3b-d Exposures'!S673)</f>
        <v/>
      </c>
      <c r="N556" s="3">
        <f>IF('3b-d Exposures'!Z673="",0,'3b-d Exposures'!Z673)</f>
        <v/>
      </c>
      <c r="O556" s="3">
        <f>$D556</f>
        <v/>
      </c>
      <c r="P556" s="3">
        <f>E556*$D556</f>
        <v/>
      </c>
      <c r="Q556" s="3">
        <f>F556*$D556</f>
        <v/>
      </c>
      <c r="R556" s="3">
        <f>G556*$D556</f>
        <v/>
      </c>
      <c r="S556" s="3">
        <f>H556*$D556</f>
        <v/>
      </c>
      <c r="T556" s="3">
        <f>I556*$D556</f>
        <v/>
      </c>
      <c r="U556" s="3">
        <f>J556*$D556</f>
        <v/>
      </c>
      <c r="V556" s="3">
        <f>K556*$D556</f>
        <v/>
      </c>
      <c r="W556" s="3">
        <f>L556*$D556</f>
        <v/>
      </c>
      <c r="X556" s="3">
        <f>M556*$D556</f>
        <v/>
      </c>
      <c r="Y556" s="3">
        <f>N556*$D556</f>
        <v/>
      </c>
      <c r="Z556" s="3">
        <f>C556*$D556</f>
        <v/>
      </c>
      <c r="AA556" s="9">
        <f>$L978+$K978*E556+$J978*F556+$I978*G556+$H978*H556+$G978*I556+$F978*J556+$E978*K556+$D978*L556+$C978*M556+$B978*N556</f>
        <v/>
      </c>
      <c r="AB556" s="9">
        <f>C556-AA556</f>
        <v/>
      </c>
      <c r="AC556" s="4">
        <f>AB556^2</f>
        <v/>
      </c>
    </row>
    <row r="557">
      <c r="A557" t="inlineStr">
        <is>
          <t>BBG0022FDRY8</t>
        </is>
      </c>
      <c r="B557" t="inlineStr">
        <is>
          <t>mdb</t>
        </is>
      </c>
      <c r="C557" s="9" t="n">
        <v>0.008248329382800845</v>
      </c>
      <c r="D557" s="3">
        <f>EXP(0.25*'3b-d Exposures'!G674)</f>
        <v/>
      </c>
      <c r="E557" s="3">
        <f>IF('3b-d Exposures'!C674="",0,'3b-d Exposures'!C674)</f>
        <v/>
      </c>
      <c r="F557" s="3">
        <f>IF('3b-d Exposures'!E674="",0,'3b-d Exposures'!E674)</f>
        <v/>
      </c>
      <c r="G557" s="3">
        <f>IF('3b-d Exposures'!G674="",0,'3b-d Exposures'!G674)</f>
        <v/>
      </c>
      <c r="H557" s="3">
        <f>IF('3b-d Exposures'!I674="",0,'3b-d Exposures'!I674)</f>
        <v/>
      </c>
      <c r="I557" s="3">
        <f>IF('3b-d Exposures'!K674="",0,'3b-d Exposures'!K674)</f>
        <v/>
      </c>
      <c r="J557" s="3">
        <f>IF('3b-d Exposures'!M674="",0,'3b-d Exposures'!M674)</f>
        <v/>
      </c>
      <c r="K557" s="3">
        <f>IF('3b-d Exposures'!O674="",0,'3b-d Exposures'!O674)</f>
        <v/>
      </c>
      <c r="L557" s="3">
        <f>IF('3b-d Exposures'!Q674="",0,'3b-d Exposures'!Q674)</f>
        <v/>
      </c>
      <c r="M557" s="3">
        <f>IF('3b-d Exposures'!S674="",0,'3b-d Exposures'!S674)</f>
        <v/>
      </c>
      <c r="N557" s="3">
        <f>IF('3b-d Exposures'!Z674="",0,'3b-d Exposures'!Z674)</f>
        <v/>
      </c>
      <c r="O557" s="3">
        <f>$D557</f>
        <v/>
      </c>
      <c r="P557" s="3">
        <f>E557*$D557</f>
        <v/>
      </c>
      <c r="Q557" s="3">
        <f>F557*$D557</f>
        <v/>
      </c>
      <c r="R557" s="3">
        <f>G557*$D557</f>
        <v/>
      </c>
      <c r="S557" s="3">
        <f>H557*$D557</f>
        <v/>
      </c>
      <c r="T557" s="3">
        <f>I557*$D557</f>
        <v/>
      </c>
      <c r="U557" s="3">
        <f>J557*$D557</f>
        <v/>
      </c>
      <c r="V557" s="3">
        <f>K557*$D557</f>
        <v/>
      </c>
      <c r="W557" s="3">
        <f>L557*$D557</f>
        <v/>
      </c>
      <c r="X557" s="3">
        <f>M557*$D557</f>
        <v/>
      </c>
      <c r="Y557" s="3">
        <f>N557*$D557</f>
        <v/>
      </c>
      <c r="Z557" s="3">
        <f>C557*$D557</f>
        <v/>
      </c>
      <c r="AA557" s="9">
        <f>$L978+$K978*E557+$J978*F557+$I978*G557+$H978*H557+$G978*I557+$F978*J557+$E978*K557+$D978*L557+$C978*M557+$B978*N557</f>
        <v/>
      </c>
      <c r="AB557" s="9">
        <f>C557-AA557</f>
        <v/>
      </c>
      <c r="AC557" s="4">
        <f>AB557^2</f>
        <v/>
      </c>
    </row>
    <row r="558">
      <c r="A558" t="inlineStr">
        <is>
          <t>BBG000QS6NV8</t>
        </is>
      </c>
      <c r="B558" t="inlineStr">
        <is>
          <t>mdgl</t>
        </is>
      </c>
      <c r="C558" s="9" t="n">
        <v>-0.02937327333777817</v>
      </c>
      <c r="D558" s="3">
        <f>EXP(0.25*'3b-d Exposures'!G675)</f>
        <v/>
      </c>
      <c r="E558" s="3">
        <f>IF('3b-d Exposures'!C675="",0,'3b-d Exposures'!C675)</f>
        <v/>
      </c>
      <c r="F558" s="3">
        <f>IF('3b-d Exposures'!E675="",0,'3b-d Exposures'!E675)</f>
        <v/>
      </c>
      <c r="G558" s="3">
        <f>IF('3b-d Exposures'!G675="",0,'3b-d Exposures'!G675)</f>
        <v/>
      </c>
      <c r="H558" s="3">
        <f>IF('3b-d Exposures'!I675="",0,'3b-d Exposures'!I675)</f>
        <v/>
      </c>
      <c r="I558" s="3">
        <f>IF('3b-d Exposures'!K675="",0,'3b-d Exposures'!K675)</f>
        <v/>
      </c>
      <c r="J558" s="3">
        <f>IF('3b-d Exposures'!M675="",0,'3b-d Exposures'!M675)</f>
        <v/>
      </c>
      <c r="K558" s="3">
        <f>IF('3b-d Exposures'!O675="",0,'3b-d Exposures'!O675)</f>
        <v/>
      </c>
      <c r="L558" s="3">
        <f>IF('3b-d Exposures'!Q675="",0,'3b-d Exposures'!Q675)</f>
        <v/>
      </c>
      <c r="M558" s="3">
        <f>IF('3b-d Exposures'!S675="",0,'3b-d Exposures'!S675)</f>
        <v/>
      </c>
      <c r="N558" s="3">
        <f>IF('3b-d Exposures'!Z675="",0,'3b-d Exposures'!Z675)</f>
        <v/>
      </c>
      <c r="O558" s="3">
        <f>$D558</f>
        <v/>
      </c>
      <c r="P558" s="3">
        <f>E558*$D558</f>
        <v/>
      </c>
      <c r="Q558" s="3">
        <f>F558*$D558</f>
        <v/>
      </c>
      <c r="R558" s="3">
        <f>G558*$D558</f>
        <v/>
      </c>
      <c r="S558" s="3">
        <f>H558*$D558</f>
        <v/>
      </c>
      <c r="T558" s="3">
        <f>I558*$D558</f>
        <v/>
      </c>
      <c r="U558" s="3">
        <f>J558*$D558</f>
        <v/>
      </c>
      <c r="V558" s="3">
        <f>K558*$D558</f>
        <v/>
      </c>
      <c r="W558" s="3">
        <f>L558*$D558</f>
        <v/>
      </c>
      <c r="X558" s="3">
        <f>M558*$D558</f>
        <v/>
      </c>
      <c r="Y558" s="3">
        <f>N558*$D558</f>
        <v/>
      </c>
      <c r="Z558" s="3">
        <f>C558*$D558</f>
        <v/>
      </c>
      <c r="AA558" s="9">
        <f>$L978+$K978*E558+$J978*F558+$I978*G558+$H978*H558+$G978*I558+$F978*J558+$E978*K558+$D978*L558+$C978*M558+$B978*N558</f>
        <v/>
      </c>
      <c r="AB558" s="9">
        <f>C558-AA558</f>
        <v/>
      </c>
      <c r="AC558" s="4">
        <f>AB558^2</f>
        <v/>
      </c>
    </row>
    <row r="559">
      <c r="A559" t="inlineStr">
        <is>
          <t>BBG000D4LWF6</t>
        </is>
      </c>
      <c r="B559" t="inlineStr">
        <is>
          <t>mdlz</t>
        </is>
      </c>
      <c r="C559" s="9" t="n">
        <v>0.004311125700480201</v>
      </c>
      <c r="D559" s="3">
        <f>EXP(0.25*'3b-d Exposures'!G677)</f>
        <v/>
      </c>
      <c r="E559" s="3">
        <f>IF('3b-d Exposures'!C677="",0,'3b-d Exposures'!C677)</f>
        <v/>
      </c>
      <c r="F559" s="3">
        <f>IF('3b-d Exposures'!E677="",0,'3b-d Exposures'!E677)</f>
        <v/>
      </c>
      <c r="G559" s="3">
        <f>IF('3b-d Exposures'!G677="",0,'3b-d Exposures'!G677)</f>
        <v/>
      </c>
      <c r="H559" s="3">
        <f>IF('3b-d Exposures'!I677="",0,'3b-d Exposures'!I677)</f>
        <v/>
      </c>
      <c r="I559" s="3">
        <f>IF('3b-d Exposures'!K677="",0,'3b-d Exposures'!K677)</f>
        <v/>
      </c>
      <c r="J559" s="3">
        <f>IF('3b-d Exposures'!M677="",0,'3b-d Exposures'!M677)</f>
        <v/>
      </c>
      <c r="K559" s="3">
        <f>IF('3b-d Exposures'!O677="",0,'3b-d Exposures'!O677)</f>
        <v/>
      </c>
      <c r="L559" s="3">
        <f>IF('3b-d Exposures'!Q677="",0,'3b-d Exposures'!Q677)</f>
        <v/>
      </c>
      <c r="M559" s="3">
        <f>IF('3b-d Exposures'!S677="",0,'3b-d Exposures'!S677)</f>
        <v/>
      </c>
      <c r="N559" s="3">
        <f>IF('3b-d Exposures'!Z677="",0,'3b-d Exposures'!Z677)</f>
        <v/>
      </c>
      <c r="O559" s="3">
        <f>$D559</f>
        <v/>
      </c>
      <c r="P559" s="3">
        <f>E559*$D559</f>
        <v/>
      </c>
      <c r="Q559" s="3">
        <f>F559*$D559</f>
        <v/>
      </c>
      <c r="R559" s="3">
        <f>G559*$D559</f>
        <v/>
      </c>
      <c r="S559" s="3">
        <f>H559*$D559</f>
        <v/>
      </c>
      <c r="T559" s="3">
        <f>I559*$D559</f>
        <v/>
      </c>
      <c r="U559" s="3">
        <f>J559*$D559</f>
        <v/>
      </c>
      <c r="V559" s="3">
        <f>K559*$D559</f>
        <v/>
      </c>
      <c r="W559" s="3">
        <f>L559*$D559</f>
        <v/>
      </c>
      <c r="X559" s="3">
        <f>M559*$D559</f>
        <v/>
      </c>
      <c r="Y559" s="3">
        <f>N559*$D559</f>
        <v/>
      </c>
      <c r="Z559" s="3">
        <f>C559*$D559</f>
        <v/>
      </c>
      <c r="AA559" s="9">
        <f>$L978+$K978*E559+$J978*F559+$I978*G559+$H978*H559+$G978*I559+$F978*J559+$E978*K559+$D978*L559+$C978*M559+$B978*N559</f>
        <v/>
      </c>
      <c r="AB559" s="9">
        <f>C559-AA559</f>
        <v/>
      </c>
      <c r="AC559" s="4">
        <f>AB559^2</f>
        <v/>
      </c>
    </row>
    <row r="560">
      <c r="A560" t="inlineStr">
        <is>
          <t>mdt</t>
        </is>
      </c>
      <c r="B560" t="inlineStr">
        <is>
          <t>mdt</t>
        </is>
      </c>
      <c r="C560" s="9" t="n">
        <v>0</v>
      </c>
      <c r="D560" s="3">
        <f>EXP(0.25*'3b-d Exposures'!G678)</f>
        <v/>
      </c>
      <c r="E560" s="3">
        <f>IF('3b-d Exposures'!C678="",0,'3b-d Exposures'!C678)</f>
        <v/>
      </c>
      <c r="F560" s="3">
        <f>IF('3b-d Exposures'!E678="",0,'3b-d Exposures'!E678)</f>
        <v/>
      </c>
      <c r="G560" s="3">
        <f>IF('3b-d Exposures'!G678="",0,'3b-d Exposures'!G678)</f>
        <v/>
      </c>
      <c r="H560" s="3">
        <f>IF('3b-d Exposures'!I678="",0,'3b-d Exposures'!I678)</f>
        <v/>
      </c>
      <c r="I560" s="3">
        <f>IF('3b-d Exposures'!K678="",0,'3b-d Exposures'!K678)</f>
        <v/>
      </c>
      <c r="J560" s="3">
        <f>IF('3b-d Exposures'!M678="",0,'3b-d Exposures'!M678)</f>
        <v/>
      </c>
      <c r="K560" s="3">
        <f>IF('3b-d Exposures'!O678="",0,'3b-d Exposures'!O678)</f>
        <v/>
      </c>
      <c r="L560" s="3">
        <f>IF('3b-d Exposures'!Q678="",0,'3b-d Exposures'!Q678)</f>
        <v/>
      </c>
      <c r="M560" s="3">
        <f>IF('3b-d Exposures'!S678="",0,'3b-d Exposures'!S678)</f>
        <v/>
      </c>
      <c r="N560" s="3">
        <f>IF('3b-d Exposures'!Z678="",0,'3b-d Exposures'!Z678)</f>
        <v/>
      </c>
      <c r="O560" s="3">
        <f>$D560</f>
        <v/>
      </c>
      <c r="P560" s="3">
        <f>E560*$D560</f>
        <v/>
      </c>
      <c r="Q560" s="3">
        <f>F560*$D560</f>
        <v/>
      </c>
      <c r="R560" s="3">
        <f>G560*$D560</f>
        <v/>
      </c>
      <c r="S560" s="3">
        <f>H560*$D560</f>
        <v/>
      </c>
      <c r="T560" s="3">
        <f>I560*$D560</f>
        <v/>
      </c>
      <c r="U560" s="3">
        <f>J560*$D560</f>
        <v/>
      </c>
      <c r="V560" s="3">
        <f>K560*$D560</f>
        <v/>
      </c>
      <c r="W560" s="3">
        <f>L560*$D560</f>
        <v/>
      </c>
      <c r="X560" s="3">
        <f>M560*$D560</f>
        <v/>
      </c>
      <c r="Y560" s="3">
        <f>N560*$D560</f>
        <v/>
      </c>
      <c r="Z560" s="3">
        <f>C560*$D560</f>
        <v/>
      </c>
      <c r="AA560" s="9">
        <f>$L978+$K978*E560+$J978*F560+$I978*G560+$H978*H560+$G978*I560+$F978*J560+$E978*K560+$D978*L560+$C978*M560+$B978*N560</f>
        <v/>
      </c>
      <c r="AB560" s="9">
        <f>C560-AA560</f>
        <v/>
      </c>
      <c r="AC560" s="4">
        <f>AB560^2</f>
        <v/>
      </c>
    </row>
    <row r="561">
      <c r="A561" t="inlineStr">
        <is>
          <t>BBG000GQPB11</t>
        </is>
      </c>
      <c r="B561" t="inlineStr">
        <is>
          <t>meli</t>
        </is>
      </c>
      <c r="C561" s="9" t="n">
        <v>-0.01648730426841161</v>
      </c>
      <c r="D561" s="3">
        <f>EXP(0.25*'3b-d Exposures'!G679)</f>
        <v/>
      </c>
      <c r="E561" s="3">
        <f>IF('3b-d Exposures'!C679="",0,'3b-d Exposures'!C679)</f>
        <v/>
      </c>
      <c r="F561" s="3">
        <f>IF('3b-d Exposures'!E679="",0,'3b-d Exposures'!E679)</f>
        <v/>
      </c>
      <c r="G561" s="3">
        <f>IF('3b-d Exposures'!G679="",0,'3b-d Exposures'!G679)</f>
        <v/>
      </c>
      <c r="H561" s="3">
        <f>IF('3b-d Exposures'!I679="",0,'3b-d Exposures'!I679)</f>
        <v/>
      </c>
      <c r="I561" s="3">
        <f>IF('3b-d Exposures'!K679="",0,'3b-d Exposures'!K679)</f>
        <v/>
      </c>
      <c r="J561" s="3">
        <f>IF('3b-d Exposures'!M679="",0,'3b-d Exposures'!M679)</f>
        <v/>
      </c>
      <c r="K561" s="3">
        <f>IF('3b-d Exposures'!O679="",0,'3b-d Exposures'!O679)</f>
        <v/>
      </c>
      <c r="L561" s="3">
        <f>IF('3b-d Exposures'!Q679="",0,'3b-d Exposures'!Q679)</f>
        <v/>
      </c>
      <c r="M561" s="3">
        <f>IF('3b-d Exposures'!S679="",0,'3b-d Exposures'!S679)</f>
        <v/>
      </c>
      <c r="N561" s="3">
        <f>IF('3b-d Exposures'!Z679="",0,'3b-d Exposures'!Z679)</f>
        <v/>
      </c>
      <c r="O561" s="3">
        <f>$D561</f>
        <v/>
      </c>
      <c r="P561" s="3">
        <f>E561*$D561</f>
        <v/>
      </c>
      <c r="Q561" s="3">
        <f>F561*$D561</f>
        <v/>
      </c>
      <c r="R561" s="3">
        <f>G561*$D561</f>
        <v/>
      </c>
      <c r="S561" s="3">
        <f>H561*$D561</f>
        <v/>
      </c>
      <c r="T561" s="3">
        <f>I561*$D561</f>
        <v/>
      </c>
      <c r="U561" s="3">
        <f>J561*$D561</f>
        <v/>
      </c>
      <c r="V561" s="3">
        <f>K561*$D561</f>
        <v/>
      </c>
      <c r="W561" s="3">
        <f>L561*$D561</f>
        <v/>
      </c>
      <c r="X561" s="3">
        <f>M561*$D561</f>
        <v/>
      </c>
      <c r="Y561" s="3">
        <f>N561*$D561</f>
        <v/>
      </c>
      <c r="Z561" s="3">
        <f>C561*$D561</f>
        <v/>
      </c>
      <c r="AA561" s="9">
        <f>$L978+$K978*E561+$J978*F561+$I978*G561+$H978*H561+$G978*I561+$F978*J561+$E978*K561+$D978*L561+$C978*M561+$B978*N561</f>
        <v/>
      </c>
      <c r="AB561" s="9">
        <f>C561-AA561</f>
        <v/>
      </c>
      <c r="AC561" s="4">
        <f>AB561^2</f>
        <v/>
      </c>
    </row>
    <row r="562">
      <c r="A562" t="inlineStr">
        <is>
          <t>BBG000BB6KF5</t>
        </is>
      </c>
      <c r="B562" t="inlineStr">
        <is>
          <t>met</t>
        </is>
      </c>
      <c r="C562" s="9" t="n">
        <v>-0.01530097565719801</v>
      </c>
      <c r="D562" s="3">
        <f>EXP(0.25*'3b-d Exposures'!G681)</f>
        <v/>
      </c>
      <c r="E562" s="3">
        <f>IF('3b-d Exposures'!C681="",0,'3b-d Exposures'!C681)</f>
        <v/>
      </c>
      <c r="F562" s="3">
        <f>IF('3b-d Exposures'!E681="",0,'3b-d Exposures'!E681)</f>
        <v/>
      </c>
      <c r="G562" s="3">
        <f>IF('3b-d Exposures'!G681="",0,'3b-d Exposures'!G681)</f>
        <v/>
      </c>
      <c r="H562" s="3">
        <f>IF('3b-d Exposures'!I681="",0,'3b-d Exposures'!I681)</f>
        <v/>
      </c>
      <c r="I562" s="3">
        <f>IF('3b-d Exposures'!K681="",0,'3b-d Exposures'!K681)</f>
        <v/>
      </c>
      <c r="J562" s="3">
        <f>IF('3b-d Exposures'!M681="",0,'3b-d Exposures'!M681)</f>
        <v/>
      </c>
      <c r="K562" s="3">
        <f>IF('3b-d Exposures'!O681="",0,'3b-d Exposures'!O681)</f>
        <v/>
      </c>
      <c r="L562" s="3">
        <f>IF('3b-d Exposures'!Q681="",0,'3b-d Exposures'!Q681)</f>
        <v/>
      </c>
      <c r="M562" s="3">
        <f>IF('3b-d Exposures'!S681="",0,'3b-d Exposures'!S681)</f>
        <v/>
      </c>
      <c r="N562" s="3">
        <f>IF('3b-d Exposures'!Z681="",0,'3b-d Exposures'!Z681)</f>
        <v/>
      </c>
      <c r="O562" s="3">
        <f>$D562</f>
        <v/>
      </c>
      <c r="P562" s="3">
        <f>E562*$D562</f>
        <v/>
      </c>
      <c r="Q562" s="3">
        <f>F562*$D562</f>
        <v/>
      </c>
      <c r="R562" s="3">
        <f>G562*$D562</f>
        <v/>
      </c>
      <c r="S562" s="3">
        <f>H562*$D562</f>
        <v/>
      </c>
      <c r="T562" s="3">
        <f>I562*$D562</f>
        <v/>
      </c>
      <c r="U562" s="3">
        <f>J562*$D562</f>
        <v/>
      </c>
      <c r="V562" s="3">
        <f>K562*$D562</f>
        <v/>
      </c>
      <c r="W562" s="3">
        <f>L562*$D562</f>
        <v/>
      </c>
      <c r="X562" s="3">
        <f>M562*$D562</f>
        <v/>
      </c>
      <c r="Y562" s="3">
        <f>N562*$D562</f>
        <v/>
      </c>
      <c r="Z562" s="3">
        <f>C562*$D562</f>
        <v/>
      </c>
      <c r="AA562" s="9">
        <f>$L978+$K978*E562+$J978*F562+$I978*G562+$H978*H562+$G978*I562+$F978*J562+$E978*K562+$D978*L562+$C978*M562+$B978*N562</f>
        <v/>
      </c>
      <c r="AB562" s="9">
        <f>C562-AA562</f>
        <v/>
      </c>
      <c r="AC562" s="4">
        <f>AB562^2</f>
        <v/>
      </c>
    </row>
    <row r="563">
      <c r="A563" t="inlineStr">
        <is>
          <t>BBG000GPQ7M8</t>
        </is>
      </c>
      <c r="B563" t="inlineStr">
        <is>
          <t>mfin</t>
        </is>
      </c>
      <c r="C563" s="9" t="n">
        <v>0.02441594941155811</v>
      </c>
      <c r="D563" s="3">
        <f>EXP(0.25*'3b-d Exposures'!G685)</f>
        <v/>
      </c>
      <c r="E563" s="3">
        <f>IF('3b-d Exposures'!C685="",0,'3b-d Exposures'!C685)</f>
        <v/>
      </c>
      <c r="F563" s="3">
        <f>IF('3b-d Exposures'!E685="",0,'3b-d Exposures'!E685)</f>
        <v/>
      </c>
      <c r="G563" s="3">
        <f>IF('3b-d Exposures'!G685="",0,'3b-d Exposures'!G685)</f>
        <v/>
      </c>
      <c r="H563" s="3">
        <f>IF('3b-d Exposures'!I685="",0,'3b-d Exposures'!I685)</f>
        <v/>
      </c>
      <c r="I563" s="3">
        <f>IF('3b-d Exposures'!K685="",0,'3b-d Exposures'!K685)</f>
        <v/>
      </c>
      <c r="J563" s="3">
        <f>IF('3b-d Exposures'!M685="",0,'3b-d Exposures'!M685)</f>
        <v/>
      </c>
      <c r="K563" s="3">
        <f>IF('3b-d Exposures'!O685="",0,'3b-d Exposures'!O685)</f>
        <v/>
      </c>
      <c r="L563" s="3">
        <f>IF('3b-d Exposures'!Q685="",0,'3b-d Exposures'!Q685)</f>
        <v/>
      </c>
      <c r="M563" s="3">
        <f>IF('3b-d Exposures'!S685="",0,'3b-d Exposures'!S685)</f>
        <v/>
      </c>
      <c r="N563" s="3">
        <f>IF('3b-d Exposures'!Z685="",0,'3b-d Exposures'!Z685)</f>
        <v/>
      </c>
      <c r="O563" s="3">
        <f>$D563</f>
        <v/>
      </c>
      <c r="P563" s="3">
        <f>E563*$D563</f>
        <v/>
      </c>
      <c r="Q563" s="3">
        <f>F563*$D563</f>
        <v/>
      </c>
      <c r="R563" s="3">
        <f>G563*$D563</f>
        <v/>
      </c>
      <c r="S563" s="3">
        <f>H563*$D563</f>
        <v/>
      </c>
      <c r="T563" s="3">
        <f>I563*$D563</f>
        <v/>
      </c>
      <c r="U563" s="3">
        <f>J563*$D563</f>
        <v/>
      </c>
      <c r="V563" s="3">
        <f>K563*$D563</f>
        <v/>
      </c>
      <c r="W563" s="3">
        <f>L563*$D563</f>
        <v/>
      </c>
      <c r="X563" s="3">
        <f>M563*$D563</f>
        <v/>
      </c>
      <c r="Y563" s="3">
        <f>N563*$D563</f>
        <v/>
      </c>
      <c r="Z563" s="3">
        <f>C563*$D563</f>
        <v/>
      </c>
      <c r="AA563" s="9">
        <f>$L978+$K978*E563+$J978*F563+$I978*G563+$H978*H563+$G978*I563+$F978*J563+$E978*K563+$D978*L563+$C978*M563+$B978*N563</f>
        <v/>
      </c>
      <c r="AB563" s="9">
        <f>C563-AA563</f>
        <v/>
      </c>
      <c r="AC563" s="4">
        <f>AB563^2</f>
        <v/>
      </c>
    </row>
    <row r="564">
      <c r="A564" t="inlineStr">
        <is>
          <t>BBG000C2BXK4</t>
        </is>
      </c>
      <c r="B564" t="inlineStr">
        <is>
          <t>mgm</t>
        </is>
      </c>
      <c r="C564" s="9" t="n">
        <v>-0.00130410111793311</v>
      </c>
      <c r="D564" s="3">
        <f>EXP(0.25*'3b-d Exposures'!G686)</f>
        <v/>
      </c>
      <c r="E564" s="3">
        <f>IF('3b-d Exposures'!C686="",0,'3b-d Exposures'!C686)</f>
        <v/>
      </c>
      <c r="F564" s="3">
        <f>IF('3b-d Exposures'!E686="",0,'3b-d Exposures'!E686)</f>
        <v/>
      </c>
      <c r="G564" s="3">
        <f>IF('3b-d Exposures'!G686="",0,'3b-d Exposures'!G686)</f>
        <v/>
      </c>
      <c r="H564" s="3">
        <f>IF('3b-d Exposures'!I686="",0,'3b-d Exposures'!I686)</f>
        <v/>
      </c>
      <c r="I564" s="3">
        <f>IF('3b-d Exposures'!K686="",0,'3b-d Exposures'!K686)</f>
        <v/>
      </c>
      <c r="J564" s="3">
        <f>IF('3b-d Exposures'!M686="",0,'3b-d Exposures'!M686)</f>
        <v/>
      </c>
      <c r="K564" s="3">
        <f>IF('3b-d Exposures'!O686="",0,'3b-d Exposures'!O686)</f>
        <v/>
      </c>
      <c r="L564" s="3">
        <f>IF('3b-d Exposures'!Q686="",0,'3b-d Exposures'!Q686)</f>
        <v/>
      </c>
      <c r="M564" s="3">
        <f>IF('3b-d Exposures'!S686="",0,'3b-d Exposures'!S686)</f>
        <v/>
      </c>
      <c r="N564" s="3">
        <f>IF('3b-d Exposures'!Z686="",0,'3b-d Exposures'!Z686)</f>
        <v/>
      </c>
      <c r="O564" s="3">
        <f>$D564</f>
        <v/>
      </c>
      <c r="P564" s="3">
        <f>E564*$D564</f>
        <v/>
      </c>
      <c r="Q564" s="3">
        <f>F564*$D564</f>
        <v/>
      </c>
      <c r="R564" s="3">
        <f>G564*$D564</f>
        <v/>
      </c>
      <c r="S564" s="3">
        <f>H564*$D564</f>
        <v/>
      </c>
      <c r="T564" s="3">
        <f>I564*$D564</f>
        <v/>
      </c>
      <c r="U564" s="3">
        <f>J564*$D564</f>
        <v/>
      </c>
      <c r="V564" s="3">
        <f>K564*$D564</f>
        <v/>
      </c>
      <c r="W564" s="3">
        <f>L564*$D564</f>
        <v/>
      </c>
      <c r="X564" s="3">
        <f>M564*$D564</f>
        <v/>
      </c>
      <c r="Y564" s="3">
        <f>N564*$D564</f>
        <v/>
      </c>
      <c r="Z564" s="3">
        <f>C564*$D564</f>
        <v/>
      </c>
      <c r="AA564" s="9">
        <f>$L978+$K978*E564+$J978*F564+$I978*G564+$H978*H564+$G978*I564+$F978*J564+$E978*K564+$D978*L564+$C978*M564+$B978*N564</f>
        <v/>
      </c>
      <c r="AB564" s="9">
        <f>C564-AA564</f>
        <v/>
      </c>
      <c r="AC564" s="4">
        <f>AB564^2</f>
        <v/>
      </c>
    </row>
    <row r="565">
      <c r="A565" t="inlineStr">
        <is>
          <t>BBG000BM2SF8</t>
        </is>
      </c>
      <c r="B565" t="inlineStr">
        <is>
          <t>mgnx</t>
        </is>
      </c>
      <c r="C565" s="9" t="n">
        <v>0.02785519371642842</v>
      </c>
      <c r="D565" s="3">
        <f>EXP(0.25*'3b-d Exposures'!G687)</f>
        <v/>
      </c>
      <c r="E565" s="3">
        <f>IF('3b-d Exposures'!C687="",0,'3b-d Exposures'!C687)</f>
        <v/>
      </c>
      <c r="F565" s="3">
        <f>IF('3b-d Exposures'!E687="",0,'3b-d Exposures'!E687)</f>
        <v/>
      </c>
      <c r="G565" s="3">
        <f>IF('3b-d Exposures'!G687="",0,'3b-d Exposures'!G687)</f>
        <v/>
      </c>
      <c r="H565" s="3">
        <f>IF('3b-d Exposures'!I687="",0,'3b-d Exposures'!I687)</f>
        <v/>
      </c>
      <c r="I565" s="3">
        <f>IF('3b-d Exposures'!K687="",0,'3b-d Exposures'!K687)</f>
        <v/>
      </c>
      <c r="J565" s="3">
        <f>IF('3b-d Exposures'!M687="",0,'3b-d Exposures'!M687)</f>
        <v/>
      </c>
      <c r="K565" s="3">
        <f>IF('3b-d Exposures'!O687="",0,'3b-d Exposures'!O687)</f>
        <v/>
      </c>
      <c r="L565" s="3">
        <f>IF('3b-d Exposures'!Q687="",0,'3b-d Exposures'!Q687)</f>
        <v/>
      </c>
      <c r="M565" s="3">
        <f>IF('3b-d Exposures'!S687="",0,'3b-d Exposures'!S687)</f>
        <v/>
      </c>
      <c r="N565" s="3">
        <f>IF('3b-d Exposures'!Z687="",0,'3b-d Exposures'!Z687)</f>
        <v/>
      </c>
      <c r="O565" s="3">
        <f>$D565</f>
        <v/>
      </c>
      <c r="P565" s="3">
        <f>E565*$D565</f>
        <v/>
      </c>
      <c r="Q565" s="3">
        <f>F565*$D565</f>
        <v/>
      </c>
      <c r="R565" s="3">
        <f>G565*$D565</f>
        <v/>
      </c>
      <c r="S565" s="3">
        <f>H565*$D565</f>
        <v/>
      </c>
      <c r="T565" s="3">
        <f>I565*$D565</f>
        <v/>
      </c>
      <c r="U565" s="3">
        <f>J565*$D565</f>
        <v/>
      </c>
      <c r="V565" s="3">
        <f>K565*$D565</f>
        <v/>
      </c>
      <c r="W565" s="3">
        <f>L565*$D565</f>
        <v/>
      </c>
      <c r="X565" s="3">
        <f>M565*$D565</f>
        <v/>
      </c>
      <c r="Y565" s="3">
        <f>N565*$D565</f>
        <v/>
      </c>
      <c r="Z565" s="3">
        <f>C565*$D565</f>
        <v/>
      </c>
      <c r="AA565" s="9">
        <f>$L978+$K978*E565+$J978*F565+$I978*G565+$H978*H565+$G978*I565+$F978*J565+$E978*K565+$D978*L565+$C978*M565+$B978*N565</f>
        <v/>
      </c>
      <c r="AB565" s="9">
        <f>C565-AA565</f>
        <v/>
      </c>
      <c r="AC565" s="4">
        <f>AB565^2</f>
        <v/>
      </c>
    </row>
    <row r="566">
      <c r="A566" t="inlineStr">
        <is>
          <t>BBG000FLZN98</t>
        </is>
      </c>
      <c r="B566" t="inlineStr">
        <is>
          <t>mhk</t>
        </is>
      </c>
      <c r="C566" s="9" t="n">
        <v>-0.0180076349998346</v>
      </c>
      <c r="D566" s="3">
        <f>EXP(0.25*'3b-d Exposures'!G690)</f>
        <v/>
      </c>
      <c r="E566" s="3">
        <f>IF('3b-d Exposures'!C690="",0,'3b-d Exposures'!C690)</f>
        <v/>
      </c>
      <c r="F566" s="3">
        <f>IF('3b-d Exposures'!E690="",0,'3b-d Exposures'!E690)</f>
        <v/>
      </c>
      <c r="G566" s="3">
        <f>IF('3b-d Exposures'!G690="",0,'3b-d Exposures'!G690)</f>
        <v/>
      </c>
      <c r="H566" s="3">
        <f>IF('3b-d Exposures'!I690="",0,'3b-d Exposures'!I690)</f>
        <v/>
      </c>
      <c r="I566" s="3">
        <f>IF('3b-d Exposures'!K690="",0,'3b-d Exposures'!K690)</f>
        <v/>
      </c>
      <c r="J566" s="3">
        <f>IF('3b-d Exposures'!M690="",0,'3b-d Exposures'!M690)</f>
        <v/>
      </c>
      <c r="K566" s="3">
        <f>IF('3b-d Exposures'!O690="",0,'3b-d Exposures'!O690)</f>
        <v/>
      </c>
      <c r="L566" s="3">
        <f>IF('3b-d Exposures'!Q690="",0,'3b-d Exposures'!Q690)</f>
        <v/>
      </c>
      <c r="M566" s="3">
        <f>IF('3b-d Exposures'!S690="",0,'3b-d Exposures'!S690)</f>
        <v/>
      </c>
      <c r="N566" s="3">
        <f>IF('3b-d Exposures'!Z690="",0,'3b-d Exposures'!Z690)</f>
        <v/>
      </c>
      <c r="O566" s="3">
        <f>$D566</f>
        <v/>
      </c>
      <c r="P566" s="3">
        <f>E566*$D566</f>
        <v/>
      </c>
      <c r="Q566" s="3">
        <f>F566*$D566</f>
        <v/>
      </c>
      <c r="R566" s="3">
        <f>G566*$D566</f>
        <v/>
      </c>
      <c r="S566" s="3">
        <f>H566*$D566</f>
        <v/>
      </c>
      <c r="T566" s="3">
        <f>I566*$D566</f>
        <v/>
      </c>
      <c r="U566" s="3">
        <f>J566*$D566</f>
        <v/>
      </c>
      <c r="V566" s="3">
        <f>K566*$D566</f>
        <v/>
      </c>
      <c r="W566" s="3">
        <f>L566*$D566</f>
        <v/>
      </c>
      <c r="X566" s="3">
        <f>M566*$D566</f>
        <v/>
      </c>
      <c r="Y566" s="3">
        <f>N566*$D566</f>
        <v/>
      </c>
      <c r="Z566" s="3">
        <f>C566*$D566</f>
        <v/>
      </c>
      <c r="AA566" s="9">
        <f>$L978+$K978*E566+$J978*F566+$I978*G566+$H978*H566+$G978*I566+$F978*J566+$E978*K566+$D978*L566+$C978*M566+$B978*N566</f>
        <v/>
      </c>
      <c r="AB566" s="9">
        <f>C566-AA566</f>
        <v/>
      </c>
      <c r="AC566" s="4">
        <f>AB566^2</f>
        <v/>
      </c>
    </row>
    <row r="567">
      <c r="A567" t="inlineStr">
        <is>
          <t>BBG000DQN9R3</t>
        </is>
      </c>
      <c r="B567" t="inlineStr">
        <is>
          <t>midd</t>
        </is>
      </c>
      <c r="C567" s="9" t="n">
        <v>-0.009275415556984079</v>
      </c>
      <c r="D567" s="3">
        <f>EXP(0.25*'3b-d Exposures'!G692)</f>
        <v/>
      </c>
      <c r="E567" s="3">
        <f>IF('3b-d Exposures'!C692="",0,'3b-d Exposures'!C692)</f>
        <v/>
      </c>
      <c r="F567" s="3">
        <f>IF('3b-d Exposures'!E692="",0,'3b-d Exposures'!E692)</f>
        <v/>
      </c>
      <c r="G567" s="3">
        <f>IF('3b-d Exposures'!G692="",0,'3b-d Exposures'!G692)</f>
        <v/>
      </c>
      <c r="H567" s="3">
        <f>IF('3b-d Exposures'!I692="",0,'3b-d Exposures'!I692)</f>
        <v/>
      </c>
      <c r="I567" s="3">
        <f>IF('3b-d Exposures'!K692="",0,'3b-d Exposures'!K692)</f>
        <v/>
      </c>
      <c r="J567" s="3">
        <f>IF('3b-d Exposures'!M692="",0,'3b-d Exposures'!M692)</f>
        <v/>
      </c>
      <c r="K567" s="3">
        <f>IF('3b-d Exposures'!O692="",0,'3b-d Exposures'!O692)</f>
        <v/>
      </c>
      <c r="L567" s="3">
        <f>IF('3b-d Exposures'!Q692="",0,'3b-d Exposures'!Q692)</f>
        <v/>
      </c>
      <c r="M567" s="3">
        <f>IF('3b-d Exposures'!S692="",0,'3b-d Exposures'!S692)</f>
        <v/>
      </c>
      <c r="N567" s="3">
        <f>IF('3b-d Exposures'!Z692="",0,'3b-d Exposures'!Z692)</f>
        <v/>
      </c>
      <c r="O567" s="3">
        <f>$D567</f>
        <v/>
      </c>
      <c r="P567" s="3">
        <f>E567*$D567</f>
        <v/>
      </c>
      <c r="Q567" s="3">
        <f>F567*$D567</f>
        <v/>
      </c>
      <c r="R567" s="3">
        <f>G567*$D567</f>
        <v/>
      </c>
      <c r="S567" s="3">
        <f>H567*$D567</f>
        <v/>
      </c>
      <c r="T567" s="3">
        <f>I567*$D567</f>
        <v/>
      </c>
      <c r="U567" s="3">
        <f>J567*$D567</f>
        <v/>
      </c>
      <c r="V567" s="3">
        <f>K567*$D567</f>
        <v/>
      </c>
      <c r="W567" s="3">
        <f>L567*$D567</f>
        <v/>
      </c>
      <c r="X567" s="3">
        <f>M567*$D567</f>
        <v/>
      </c>
      <c r="Y567" s="3">
        <f>N567*$D567</f>
        <v/>
      </c>
      <c r="Z567" s="3">
        <f>C567*$D567</f>
        <v/>
      </c>
      <c r="AA567" s="9">
        <f>$L978+$K978*E567+$J978*F567+$I978*G567+$H978*H567+$G978*I567+$F978*J567+$E978*K567+$D978*L567+$C978*M567+$B978*N567</f>
        <v/>
      </c>
      <c r="AB567" s="9">
        <f>C567-AA567</f>
        <v/>
      </c>
      <c r="AC567" s="4">
        <f>AB567^2</f>
        <v/>
      </c>
    </row>
    <row r="568">
      <c r="A568" t="inlineStr">
        <is>
          <t>BBG00VHJ1K96</t>
        </is>
      </c>
      <c r="B568" t="inlineStr">
        <is>
          <t>mir</t>
        </is>
      </c>
      <c r="C568" s="9" t="n">
        <v>-0.02489626884411178</v>
      </c>
      <c r="D568" s="3">
        <f>EXP(0.25*'3b-d Exposures'!G693)</f>
        <v/>
      </c>
      <c r="E568" s="3">
        <f>IF('3b-d Exposures'!C693="",0,'3b-d Exposures'!C693)</f>
        <v/>
      </c>
      <c r="F568" s="3">
        <f>IF('3b-d Exposures'!E693="",0,'3b-d Exposures'!E693)</f>
        <v/>
      </c>
      <c r="G568" s="3">
        <f>IF('3b-d Exposures'!G693="",0,'3b-d Exposures'!G693)</f>
        <v/>
      </c>
      <c r="H568" s="3">
        <f>IF('3b-d Exposures'!I693="",0,'3b-d Exposures'!I693)</f>
        <v/>
      </c>
      <c r="I568" s="3">
        <f>IF('3b-d Exposures'!K693="",0,'3b-d Exposures'!K693)</f>
        <v/>
      </c>
      <c r="J568" s="3">
        <f>IF('3b-d Exposures'!M693="",0,'3b-d Exposures'!M693)</f>
        <v/>
      </c>
      <c r="K568" s="3">
        <f>IF('3b-d Exposures'!O693="",0,'3b-d Exposures'!O693)</f>
        <v/>
      </c>
      <c r="L568" s="3">
        <f>IF('3b-d Exposures'!Q693="",0,'3b-d Exposures'!Q693)</f>
        <v/>
      </c>
      <c r="M568" s="3">
        <f>IF('3b-d Exposures'!S693="",0,'3b-d Exposures'!S693)</f>
        <v/>
      </c>
      <c r="N568" s="3">
        <f>IF('3b-d Exposures'!Z693="",0,'3b-d Exposures'!Z693)</f>
        <v/>
      </c>
      <c r="O568" s="3">
        <f>$D568</f>
        <v/>
      </c>
      <c r="P568" s="3">
        <f>E568*$D568</f>
        <v/>
      </c>
      <c r="Q568" s="3">
        <f>F568*$D568</f>
        <v/>
      </c>
      <c r="R568" s="3">
        <f>G568*$D568</f>
        <v/>
      </c>
      <c r="S568" s="3">
        <f>H568*$D568</f>
        <v/>
      </c>
      <c r="T568" s="3">
        <f>I568*$D568</f>
        <v/>
      </c>
      <c r="U568" s="3">
        <f>J568*$D568</f>
        <v/>
      </c>
      <c r="V568" s="3">
        <f>K568*$D568</f>
        <v/>
      </c>
      <c r="W568" s="3">
        <f>L568*$D568</f>
        <v/>
      </c>
      <c r="X568" s="3">
        <f>M568*$D568</f>
        <v/>
      </c>
      <c r="Y568" s="3">
        <f>N568*$D568</f>
        <v/>
      </c>
      <c r="Z568" s="3">
        <f>C568*$D568</f>
        <v/>
      </c>
      <c r="AA568" s="9">
        <f>$L978+$K978*E568+$J978*F568+$I978*G568+$H978*H568+$G978*I568+$F978*J568+$E978*K568+$D978*L568+$C978*M568+$B978*N568</f>
        <v/>
      </c>
      <c r="AB568" s="9">
        <f>C568-AA568</f>
        <v/>
      </c>
      <c r="AC568" s="4">
        <f>AB568^2</f>
        <v/>
      </c>
    </row>
    <row r="569">
      <c r="A569" t="inlineStr">
        <is>
          <t>BBG000BP3D45</t>
        </is>
      </c>
      <c r="B569" t="inlineStr">
        <is>
          <t>mitk</t>
        </is>
      </c>
      <c r="C569" s="9" t="n">
        <v>0.007510799441056815</v>
      </c>
      <c r="D569" s="3">
        <f>EXP(0.25*'3b-d Exposures'!G694)</f>
        <v/>
      </c>
      <c r="E569" s="3">
        <f>IF('3b-d Exposures'!C694="",0,'3b-d Exposures'!C694)</f>
        <v/>
      </c>
      <c r="F569" s="3">
        <f>IF('3b-d Exposures'!E694="",0,'3b-d Exposures'!E694)</f>
        <v/>
      </c>
      <c r="G569" s="3">
        <f>IF('3b-d Exposures'!G694="",0,'3b-d Exposures'!G694)</f>
        <v/>
      </c>
      <c r="H569" s="3">
        <f>IF('3b-d Exposures'!I694="",0,'3b-d Exposures'!I694)</f>
        <v/>
      </c>
      <c r="I569" s="3">
        <f>IF('3b-d Exposures'!K694="",0,'3b-d Exposures'!K694)</f>
        <v/>
      </c>
      <c r="J569" s="3">
        <f>IF('3b-d Exposures'!M694="",0,'3b-d Exposures'!M694)</f>
        <v/>
      </c>
      <c r="K569" s="3">
        <f>IF('3b-d Exposures'!O694="",0,'3b-d Exposures'!O694)</f>
        <v/>
      </c>
      <c r="L569" s="3">
        <f>IF('3b-d Exposures'!Q694="",0,'3b-d Exposures'!Q694)</f>
        <v/>
      </c>
      <c r="M569" s="3">
        <f>IF('3b-d Exposures'!S694="",0,'3b-d Exposures'!S694)</f>
        <v/>
      </c>
      <c r="N569" s="3">
        <f>IF('3b-d Exposures'!Z694="",0,'3b-d Exposures'!Z694)</f>
        <v/>
      </c>
      <c r="O569" s="3">
        <f>$D569</f>
        <v/>
      </c>
      <c r="P569" s="3">
        <f>E569*$D569</f>
        <v/>
      </c>
      <c r="Q569" s="3">
        <f>F569*$D569</f>
        <v/>
      </c>
      <c r="R569" s="3">
        <f>G569*$D569</f>
        <v/>
      </c>
      <c r="S569" s="3">
        <f>H569*$D569</f>
        <v/>
      </c>
      <c r="T569" s="3">
        <f>I569*$D569</f>
        <v/>
      </c>
      <c r="U569" s="3">
        <f>J569*$D569</f>
        <v/>
      </c>
      <c r="V569" s="3">
        <f>K569*$D569</f>
        <v/>
      </c>
      <c r="W569" s="3">
        <f>L569*$D569</f>
        <v/>
      </c>
      <c r="X569" s="3">
        <f>M569*$D569</f>
        <v/>
      </c>
      <c r="Y569" s="3">
        <f>N569*$D569</f>
        <v/>
      </c>
      <c r="Z569" s="3">
        <f>C569*$D569</f>
        <v/>
      </c>
      <c r="AA569" s="9">
        <f>$L978+$K978*E569+$J978*F569+$I978*G569+$H978*H569+$G978*I569+$F978*J569+$E978*K569+$D978*L569+$C978*M569+$B978*N569</f>
        <v/>
      </c>
      <c r="AB569" s="9">
        <f>C569-AA569</f>
        <v/>
      </c>
      <c r="AC569" s="4">
        <f>AB569^2</f>
        <v/>
      </c>
    </row>
    <row r="570">
      <c r="A570" t="inlineStr">
        <is>
          <t>BBG000BVMG26</t>
        </is>
      </c>
      <c r="B570" t="inlineStr">
        <is>
          <t>mksi</t>
        </is>
      </c>
      <c r="C570" s="9" t="n">
        <v>0.03775077550344985</v>
      </c>
      <c r="D570" s="3">
        <f>EXP(0.25*'3b-d Exposures'!G696)</f>
        <v/>
      </c>
      <c r="E570" s="3">
        <f>IF('3b-d Exposures'!C696="",0,'3b-d Exposures'!C696)</f>
        <v/>
      </c>
      <c r="F570" s="3">
        <f>IF('3b-d Exposures'!E696="",0,'3b-d Exposures'!E696)</f>
        <v/>
      </c>
      <c r="G570" s="3">
        <f>IF('3b-d Exposures'!G696="",0,'3b-d Exposures'!G696)</f>
        <v/>
      </c>
      <c r="H570" s="3">
        <f>IF('3b-d Exposures'!I696="",0,'3b-d Exposures'!I696)</f>
        <v/>
      </c>
      <c r="I570" s="3">
        <f>IF('3b-d Exposures'!K696="",0,'3b-d Exposures'!K696)</f>
        <v/>
      </c>
      <c r="J570" s="3">
        <f>IF('3b-d Exposures'!M696="",0,'3b-d Exposures'!M696)</f>
        <v/>
      </c>
      <c r="K570" s="3">
        <f>IF('3b-d Exposures'!O696="",0,'3b-d Exposures'!O696)</f>
        <v/>
      </c>
      <c r="L570" s="3">
        <f>IF('3b-d Exposures'!Q696="",0,'3b-d Exposures'!Q696)</f>
        <v/>
      </c>
      <c r="M570" s="3">
        <f>IF('3b-d Exposures'!S696="",0,'3b-d Exposures'!S696)</f>
        <v/>
      </c>
      <c r="N570" s="3">
        <f>IF('3b-d Exposures'!Z696="",0,'3b-d Exposures'!Z696)</f>
        <v/>
      </c>
      <c r="O570" s="3">
        <f>$D570</f>
        <v/>
      </c>
      <c r="P570" s="3">
        <f>E570*$D570</f>
        <v/>
      </c>
      <c r="Q570" s="3">
        <f>F570*$D570</f>
        <v/>
      </c>
      <c r="R570" s="3">
        <f>G570*$D570</f>
        <v/>
      </c>
      <c r="S570" s="3">
        <f>H570*$D570</f>
        <v/>
      </c>
      <c r="T570" s="3">
        <f>I570*$D570</f>
        <v/>
      </c>
      <c r="U570" s="3">
        <f>J570*$D570</f>
        <v/>
      </c>
      <c r="V570" s="3">
        <f>K570*$D570</f>
        <v/>
      </c>
      <c r="W570" s="3">
        <f>L570*$D570</f>
        <v/>
      </c>
      <c r="X570" s="3">
        <f>M570*$D570</f>
        <v/>
      </c>
      <c r="Y570" s="3">
        <f>N570*$D570</f>
        <v/>
      </c>
      <c r="Z570" s="3">
        <f>C570*$D570</f>
        <v/>
      </c>
      <c r="AA570" s="9">
        <f>$L978+$K978*E570+$J978*F570+$I978*G570+$H978*H570+$G978*I570+$F978*J570+$E978*K570+$D978*L570+$C978*M570+$B978*N570</f>
        <v/>
      </c>
      <c r="AB570" s="9">
        <f>C570-AA570</f>
        <v/>
      </c>
      <c r="AC570" s="4">
        <f>AB570^2</f>
        <v/>
      </c>
    </row>
    <row r="571">
      <c r="A571" t="inlineStr">
        <is>
          <t>BBG000BJBZ23</t>
        </is>
      </c>
      <c r="B571" t="inlineStr">
        <is>
          <t>mktx</t>
        </is>
      </c>
      <c r="C571" s="9" t="n">
        <v>0.01847796181014649</v>
      </c>
      <c r="D571" s="3">
        <f>EXP(0.25*'3b-d Exposures'!G697)</f>
        <v/>
      </c>
      <c r="E571" s="3">
        <f>IF('3b-d Exposures'!C697="",0,'3b-d Exposures'!C697)</f>
        <v/>
      </c>
      <c r="F571" s="3">
        <f>IF('3b-d Exposures'!E697="",0,'3b-d Exposures'!E697)</f>
        <v/>
      </c>
      <c r="G571" s="3">
        <f>IF('3b-d Exposures'!G697="",0,'3b-d Exposures'!G697)</f>
        <v/>
      </c>
      <c r="H571" s="3">
        <f>IF('3b-d Exposures'!I697="",0,'3b-d Exposures'!I697)</f>
        <v/>
      </c>
      <c r="I571" s="3">
        <f>IF('3b-d Exposures'!K697="",0,'3b-d Exposures'!K697)</f>
        <v/>
      </c>
      <c r="J571" s="3">
        <f>IF('3b-d Exposures'!M697="",0,'3b-d Exposures'!M697)</f>
        <v/>
      </c>
      <c r="K571" s="3">
        <f>IF('3b-d Exposures'!O697="",0,'3b-d Exposures'!O697)</f>
        <v/>
      </c>
      <c r="L571" s="3">
        <f>IF('3b-d Exposures'!Q697="",0,'3b-d Exposures'!Q697)</f>
        <v/>
      </c>
      <c r="M571" s="3">
        <f>IF('3b-d Exposures'!S697="",0,'3b-d Exposures'!S697)</f>
        <v/>
      </c>
      <c r="N571" s="3">
        <f>IF('3b-d Exposures'!Z697="",0,'3b-d Exposures'!Z697)</f>
        <v/>
      </c>
      <c r="O571" s="3">
        <f>$D571</f>
        <v/>
      </c>
      <c r="P571" s="3">
        <f>E571*$D571</f>
        <v/>
      </c>
      <c r="Q571" s="3">
        <f>F571*$D571</f>
        <v/>
      </c>
      <c r="R571" s="3">
        <f>G571*$D571</f>
        <v/>
      </c>
      <c r="S571" s="3">
        <f>H571*$D571</f>
        <v/>
      </c>
      <c r="T571" s="3">
        <f>I571*$D571</f>
        <v/>
      </c>
      <c r="U571" s="3">
        <f>J571*$D571</f>
        <v/>
      </c>
      <c r="V571" s="3">
        <f>K571*$D571</f>
        <v/>
      </c>
      <c r="W571" s="3">
        <f>L571*$D571</f>
        <v/>
      </c>
      <c r="X571" s="3">
        <f>M571*$D571</f>
        <v/>
      </c>
      <c r="Y571" s="3">
        <f>N571*$D571</f>
        <v/>
      </c>
      <c r="Z571" s="3">
        <f>C571*$D571</f>
        <v/>
      </c>
      <c r="AA571" s="9">
        <f>$L978+$K978*E571+$J978*F571+$I978*G571+$H978*H571+$G978*I571+$F978*J571+$E978*K571+$D978*L571+$C978*M571+$B978*N571</f>
        <v/>
      </c>
      <c r="AB571" s="9">
        <f>C571-AA571</f>
        <v/>
      </c>
      <c r="AC571" s="4">
        <f>AB571^2</f>
        <v/>
      </c>
    </row>
    <row r="572">
      <c r="A572" t="inlineStr">
        <is>
          <t>BBG000BHP8J4</t>
        </is>
      </c>
      <c r="B572" t="inlineStr">
        <is>
          <t>mlco</t>
        </is>
      </c>
      <c r="C572" s="9" t="n">
        <v>0.0218068325267704</v>
      </c>
      <c r="D572" s="3">
        <f>EXP(0.25*'3b-d Exposures'!G698)</f>
        <v/>
      </c>
      <c r="E572" s="3">
        <f>IF('3b-d Exposures'!C698="",0,'3b-d Exposures'!C698)</f>
        <v/>
      </c>
      <c r="F572" s="3">
        <f>IF('3b-d Exposures'!E698="",0,'3b-d Exposures'!E698)</f>
        <v/>
      </c>
      <c r="G572" s="3">
        <f>IF('3b-d Exposures'!G698="",0,'3b-d Exposures'!G698)</f>
        <v/>
      </c>
      <c r="H572" s="3">
        <f>IF('3b-d Exposures'!I698="",0,'3b-d Exposures'!I698)</f>
        <v/>
      </c>
      <c r="I572" s="3">
        <f>IF('3b-d Exposures'!K698="",0,'3b-d Exposures'!K698)</f>
        <v/>
      </c>
      <c r="J572" s="3">
        <f>IF('3b-d Exposures'!M698="",0,'3b-d Exposures'!M698)</f>
        <v/>
      </c>
      <c r="K572" s="3">
        <f>IF('3b-d Exposures'!O698="",0,'3b-d Exposures'!O698)</f>
        <v/>
      </c>
      <c r="L572" s="3">
        <f>IF('3b-d Exposures'!Q698="",0,'3b-d Exposures'!Q698)</f>
        <v/>
      </c>
      <c r="M572" s="3">
        <f>IF('3b-d Exposures'!S698="",0,'3b-d Exposures'!S698)</f>
        <v/>
      </c>
      <c r="N572" s="3">
        <f>IF('3b-d Exposures'!Z698="",0,'3b-d Exposures'!Z698)</f>
        <v/>
      </c>
      <c r="O572" s="3">
        <f>$D572</f>
        <v/>
      </c>
      <c r="P572" s="3">
        <f>E572*$D572</f>
        <v/>
      </c>
      <c r="Q572" s="3">
        <f>F572*$D572</f>
        <v/>
      </c>
      <c r="R572" s="3">
        <f>G572*$D572</f>
        <v/>
      </c>
      <c r="S572" s="3">
        <f>H572*$D572</f>
        <v/>
      </c>
      <c r="T572" s="3">
        <f>I572*$D572</f>
        <v/>
      </c>
      <c r="U572" s="3">
        <f>J572*$D572</f>
        <v/>
      </c>
      <c r="V572" s="3">
        <f>K572*$D572</f>
        <v/>
      </c>
      <c r="W572" s="3">
        <f>L572*$D572</f>
        <v/>
      </c>
      <c r="X572" s="3">
        <f>M572*$D572</f>
        <v/>
      </c>
      <c r="Y572" s="3">
        <f>N572*$D572</f>
        <v/>
      </c>
      <c r="Z572" s="3">
        <f>C572*$D572</f>
        <v/>
      </c>
      <c r="AA572" s="9">
        <f>$L978+$K978*E572+$J978*F572+$I978*G572+$H978*H572+$G978*I572+$F978*J572+$E978*K572+$D978*L572+$C978*M572+$B978*N572</f>
        <v/>
      </c>
      <c r="AB572" s="9">
        <f>C572-AA572</f>
        <v/>
      </c>
      <c r="AC572" s="4">
        <f>AB572^2</f>
        <v/>
      </c>
    </row>
    <row r="573">
      <c r="A573" t="inlineStr">
        <is>
          <t>BBG000BGYMH7</t>
        </is>
      </c>
      <c r="B573" t="inlineStr">
        <is>
          <t>mlm</t>
        </is>
      </c>
      <c r="C573" s="9" t="n">
        <v>-0.009996527029132785</v>
      </c>
      <c r="D573" s="3">
        <f>EXP(0.25*'3b-d Exposures'!G699)</f>
        <v/>
      </c>
      <c r="E573" s="3">
        <f>IF('3b-d Exposures'!C699="",0,'3b-d Exposures'!C699)</f>
        <v/>
      </c>
      <c r="F573" s="3">
        <f>IF('3b-d Exposures'!E699="",0,'3b-d Exposures'!E699)</f>
        <v/>
      </c>
      <c r="G573" s="3">
        <f>IF('3b-d Exposures'!G699="",0,'3b-d Exposures'!G699)</f>
        <v/>
      </c>
      <c r="H573" s="3">
        <f>IF('3b-d Exposures'!I699="",0,'3b-d Exposures'!I699)</f>
        <v/>
      </c>
      <c r="I573" s="3">
        <f>IF('3b-d Exposures'!K699="",0,'3b-d Exposures'!K699)</f>
        <v/>
      </c>
      <c r="J573" s="3">
        <f>IF('3b-d Exposures'!M699="",0,'3b-d Exposures'!M699)</f>
        <v/>
      </c>
      <c r="K573" s="3">
        <f>IF('3b-d Exposures'!O699="",0,'3b-d Exposures'!O699)</f>
        <v/>
      </c>
      <c r="L573" s="3">
        <f>IF('3b-d Exposures'!Q699="",0,'3b-d Exposures'!Q699)</f>
        <v/>
      </c>
      <c r="M573" s="3">
        <f>IF('3b-d Exposures'!S699="",0,'3b-d Exposures'!S699)</f>
        <v/>
      </c>
      <c r="N573" s="3">
        <f>IF('3b-d Exposures'!Z699="",0,'3b-d Exposures'!Z699)</f>
        <v/>
      </c>
      <c r="O573" s="3">
        <f>$D573</f>
        <v/>
      </c>
      <c r="P573" s="3">
        <f>E573*$D573</f>
        <v/>
      </c>
      <c r="Q573" s="3">
        <f>F573*$D573</f>
        <v/>
      </c>
      <c r="R573" s="3">
        <f>G573*$D573</f>
        <v/>
      </c>
      <c r="S573" s="3">
        <f>H573*$D573</f>
        <v/>
      </c>
      <c r="T573" s="3">
        <f>I573*$D573</f>
        <v/>
      </c>
      <c r="U573" s="3">
        <f>J573*$D573</f>
        <v/>
      </c>
      <c r="V573" s="3">
        <f>K573*$D573</f>
        <v/>
      </c>
      <c r="W573" s="3">
        <f>L573*$D573</f>
        <v/>
      </c>
      <c r="X573" s="3">
        <f>M573*$D573</f>
        <v/>
      </c>
      <c r="Y573" s="3">
        <f>N573*$D573</f>
        <v/>
      </c>
      <c r="Z573" s="3">
        <f>C573*$D573</f>
        <v/>
      </c>
      <c r="AA573" s="9">
        <f>$L978+$K978*E573+$J978*F573+$I978*G573+$H978*H573+$G978*I573+$F978*J573+$E978*K573+$D978*L573+$C978*M573+$B978*N573</f>
        <v/>
      </c>
      <c r="AB573" s="9">
        <f>C573-AA573</f>
        <v/>
      </c>
      <c r="AC573" s="4">
        <f>AB573^2</f>
        <v/>
      </c>
    </row>
    <row r="574">
      <c r="A574" t="inlineStr">
        <is>
          <t>BBG000BP52R2</t>
        </is>
      </c>
      <c r="B574" t="inlineStr">
        <is>
          <t>mmm</t>
        </is>
      </c>
      <c r="C574" s="9" t="n">
        <v>-0.004793038362175595</v>
      </c>
      <c r="D574" s="3">
        <f>EXP(0.25*'3b-d Exposures'!G701)</f>
        <v/>
      </c>
      <c r="E574" s="3">
        <f>IF('3b-d Exposures'!C701="",0,'3b-d Exposures'!C701)</f>
        <v/>
      </c>
      <c r="F574" s="3">
        <f>IF('3b-d Exposures'!E701="",0,'3b-d Exposures'!E701)</f>
        <v/>
      </c>
      <c r="G574" s="3">
        <f>IF('3b-d Exposures'!G701="",0,'3b-d Exposures'!G701)</f>
        <v/>
      </c>
      <c r="H574" s="3">
        <f>IF('3b-d Exposures'!I701="",0,'3b-d Exposures'!I701)</f>
        <v/>
      </c>
      <c r="I574" s="3">
        <f>IF('3b-d Exposures'!K701="",0,'3b-d Exposures'!K701)</f>
        <v/>
      </c>
      <c r="J574" s="3">
        <f>IF('3b-d Exposures'!M701="",0,'3b-d Exposures'!M701)</f>
        <v/>
      </c>
      <c r="K574" s="3">
        <f>IF('3b-d Exposures'!O701="",0,'3b-d Exposures'!O701)</f>
        <v/>
      </c>
      <c r="L574" s="3">
        <f>IF('3b-d Exposures'!Q701="",0,'3b-d Exposures'!Q701)</f>
        <v/>
      </c>
      <c r="M574" s="3">
        <f>IF('3b-d Exposures'!S701="",0,'3b-d Exposures'!S701)</f>
        <v/>
      </c>
      <c r="N574" s="3">
        <f>IF('3b-d Exposures'!Z701="",0,'3b-d Exposures'!Z701)</f>
        <v/>
      </c>
      <c r="O574" s="3">
        <f>$D574</f>
        <v/>
      </c>
      <c r="P574" s="3">
        <f>E574*$D574</f>
        <v/>
      </c>
      <c r="Q574" s="3">
        <f>F574*$D574</f>
        <v/>
      </c>
      <c r="R574" s="3">
        <f>G574*$D574</f>
        <v/>
      </c>
      <c r="S574" s="3">
        <f>H574*$D574</f>
        <v/>
      </c>
      <c r="T574" s="3">
        <f>I574*$D574</f>
        <v/>
      </c>
      <c r="U574" s="3">
        <f>J574*$D574</f>
        <v/>
      </c>
      <c r="V574" s="3">
        <f>K574*$D574</f>
        <v/>
      </c>
      <c r="W574" s="3">
        <f>L574*$D574</f>
        <v/>
      </c>
      <c r="X574" s="3">
        <f>M574*$D574</f>
        <v/>
      </c>
      <c r="Y574" s="3">
        <f>N574*$D574</f>
        <v/>
      </c>
      <c r="Z574" s="3">
        <f>C574*$D574</f>
        <v/>
      </c>
      <c r="AA574" s="9">
        <f>$L978+$K978*E574+$J978*F574+$I978*G574+$H978*H574+$G978*I574+$F978*J574+$E978*K574+$D978*L574+$C978*M574+$B978*N574</f>
        <v/>
      </c>
      <c r="AB574" s="9">
        <f>C574-AA574</f>
        <v/>
      </c>
      <c r="AC574" s="4">
        <f>AB574^2</f>
        <v/>
      </c>
    </row>
    <row r="575">
      <c r="A575" t="inlineStr">
        <is>
          <t>BBG000BC5WJ4</t>
        </is>
      </c>
      <c r="B575" t="inlineStr">
        <is>
          <t>mms</t>
        </is>
      </c>
      <c r="C575" s="9" t="n">
        <v>-0.004563563347616317</v>
      </c>
      <c r="D575" s="3">
        <f>EXP(0.25*'3b-d Exposures'!G702)</f>
        <v/>
      </c>
      <c r="E575" s="3">
        <f>IF('3b-d Exposures'!C702="",0,'3b-d Exposures'!C702)</f>
        <v/>
      </c>
      <c r="F575" s="3">
        <f>IF('3b-d Exposures'!E702="",0,'3b-d Exposures'!E702)</f>
        <v/>
      </c>
      <c r="G575" s="3">
        <f>IF('3b-d Exposures'!G702="",0,'3b-d Exposures'!G702)</f>
        <v/>
      </c>
      <c r="H575" s="3">
        <f>IF('3b-d Exposures'!I702="",0,'3b-d Exposures'!I702)</f>
        <v/>
      </c>
      <c r="I575" s="3">
        <f>IF('3b-d Exposures'!K702="",0,'3b-d Exposures'!K702)</f>
        <v/>
      </c>
      <c r="J575" s="3">
        <f>IF('3b-d Exposures'!M702="",0,'3b-d Exposures'!M702)</f>
        <v/>
      </c>
      <c r="K575" s="3">
        <f>IF('3b-d Exposures'!O702="",0,'3b-d Exposures'!O702)</f>
        <v/>
      </c>
      <c r="L575" s="3">
        <f>IF('3b-d Exposures'!Q702="",0,'3b-d Exposures'!Q702)</f>
        <v/>
      </c>
      <c r="M575" s="3">
        <f>IF('3b-d Exposures'!S702="",0,'3b-d Exposures'!S702)</f>
        <v/>
      </c>
      <c r="N575" s="3">
        <f>IF('3b-d Exposures'!Z702="",0,'3b-d Exposures'!Z702)</f>
        <v/>
      </c>
      <c r="O575" s="3">
        <f>$D575</f>
        <v/>
      </c>
      <c r="P575" s="3">
        <f>E575*$D575</f>
        <v/>
      </c>
      <c r="Q575" s="3">
        <f>F575*$D575</f>
        <v/>
      </c>
      <c r="R575" s="3">
        <f>G575*$D575</f>
        <v/>
      </c>
      <c r="S575" s="3">
        <f>H575*$D575</f>
        <v/>
      </c>
      <c r="T575" s="3">
        <f>I575*$D575</f>
        <v/>
      </c>
      <c r="U575" s="3">
        <f>J575*$D575</f>
        <v/>
      </c>
      <c r="V575" s="3">
        <f>K575*$D575</f>
        <v/>
      </c>
      <c r="W575" s="3">
        <f>L575*$D575</f>
        <v/>
      </c>
      <c r="X575" s="3">
        <f>M575*$D575</f>
        <v/>
      </c>
      <c r="Y575" s="3">
        <f>N575*$D575</f>
        <v/>
      </c>
      <c r="Z575" s="3">
        <f>C575*$D575</f>
        <v/>
      </c>
      <c r="AA575" s="9">
        <f>$L978+$K978*E575+$J978*F575+$I978*G575+$H978*H575+$G978*I575+$F978*J575+$E978*K575+$D978*L575+$C978*M575+$B978*N575</f>
        <v/>
      </c>
      <c r="AB575" s="9">
        <f>C575-AA575</f>
        <v/>
      </c>
      <c r="AC575" s="4">
        <f>AB575^2</f>
        <v/>
      </c>
    </row>
    <row r="576">
      <c r="A576" t="inlineStr">
        <is>
          <t>BBG000C42VX0</t>
        </is>
      </c>
      <c r="B576" t="inlineStr">
        <is>
          <t>mmsi</t>
        </is>
      </c>
      <c r="C576" s="9" t="n">
        <v>0.008950917146465454</v>
      </c>
      <c r="D576" s="3">
        <f>EXP(0.25*'3b-d Exposures'!G703)</f>
        <v/>
      </c>
      <c r="E576" s="3">
        <f>IF('3b-d Exposures'!C703="",0,'3b-d Exposures'!C703)</f>
        <v/>
      </c>
      <c r="F576" s="3">
        <f>IF('3b-d Exposures'!E703="",0,'3b-d Exposures'!E703)</f>
        <v/>
      </c>
      <c r="G576" s="3">
        <f>IF('3b-d Exposures'!G703="",0,'3b-d Exposures'!G703)</f>
        <v/>
      </c>
      <c r="H576" s="3">
        <f>IF('3b-d Exposures'!I703="",0,'3b-d Exposures'!I703)</f>
        <v/>
      </c>
      <c r="I576" s="3">
        <f>IF('3b-d Exposures'!K703="",0,'3b-d Exposures'!K703)</f>
        <v/>
      </c>
      <c r="J576" s="3">
        <f>IF('3b-d Exposures'!M703="",0,'3b-d Exposures'!M703)</f>
        <v/>
      </c>
      <c r="K576" s="3">
        <f>IF('3b-d Exposures'!O703="",0,'3b-d Exposures'!O703)</f>
        <v/>
      </c>
      <c r="L576" s="3">
        <f>IF('3b-d Exposures'!Q703="",0,'3b-d Exposures'!Q703)</f>
        <v/>
      </c>
      <c r="M576" s="3">
        <f>IF('3b-d Exposures'!S703="",0,'3b-d Exposures'!S703)</f>
        <v/>
      </c>
      <c r="N576" s="3">
        <f>IF('3b-d Exposures'!Z703="",0,'3b-d Exposures'!Z703)</f>
        <v/>
      </c>
      <c r="O576" s="3">
        <f>$D576</f>
        <v/>
      </c>
      <c r="P576" s="3">
        <f>E576*$D576</f>
        <v/>
      </c>
      <c r="Q576" s="3">
        <f>F576*$D576</f>
        <v/>
      </c>
      <c r="R576" s="3">
        <f>G576*$D576</f>
        <v/>
      </c>
      <c r="S576" s="3">
        <f>H576*$D576</f>
        <v/>
      </c>
      <c r="T576" s="3">
        <f>I576*$D576</f>
        <v/>
      </c>
      <c r="U576" s="3">
        <f>J576*$D576</f>
        <v/>
      </c>
      <c r="V576" s="3">
        <f>K576*$D576</f>
        <v/>
      </c>
      <c r="W576" s="3">
        <f>L576*$D576</f>
        <v/>
      </c>
      <c r="X576" s="3">
        <f>M576*$D576</f>
        <v/>
      </c>
      <c r="Y576" s="3">
        <f>N576*$D576</f>
        <v/>
      </c>
      <c r="Z576" s="3">
        <f>C576*$D576</f>
        <v/>
      </c>
      <c r="AA576" s="9">
        <f>$L978+$K978*E576+$J978*F576+$I978*G576+$H978*H576+$G978*I576+$F978*J576+$E978*K576+$D978*L576+$C978*M576+$B978*N576</f>
        <v/>
      </c>
      <c r="AB576" s="9">
        <f>C576-AA576</f>
        <v/>
      </c>
      <c r="AC576" s="4">
        <f>AB576^2</f>
        <v/>
      </c>
    </row>
    <row r="577">
      <c r="A577" t="inlineStr">
        <is>
          <t>BBG008NVB1C0</t>
        </is>
      </c>
      <c r="B577" t="inlineStr">
        <is>
          <t>mnst</t>
        </is>
      </c>
      <c r="C577" s="9" t="n">
        <v>-0.002720869272133219</v>
      </c>
      <c r="D577" s="3">
        <f>EXP(0.25*'3b-d Exposures'!G704)</f>
        <v/>
      </c>
      <c r="E577" s="3">
        <f>IF('3b-d Exposures'!C704="",0,'3b-d Exposures'!C704)</f>
        <v/>
      </c>
      <c r="F577" s="3">
        <f>IF('3b-d Exposures'!E704="",0,'3b-d Exposures'!E704)</f>
        <v/>
      </c>
      <c r="G577" s="3">
        <f>IF('3b-d Exposures'!G704="",0,'3b-d Exposures'!G704)</f>
        <v/>
      </c>
      <c r="H577" s="3">
        <f>IF('3b-d Exposures'!I704="",0,'3b-d Exposures'!I704)</f>
        <v/>
      </c>
      <c r="I577" s="3">
        <f>IF('3b-d Exposures'!K704="",0,'3b-d Exposures'!K704)</f>
        <v/>
      </c>
      <c r="J577" s="3">
        <f>IF('3b-d Exposures'!M704="",0,'3b-d Exposures'!M704)</f>
        <v/>
      </c>
      <c r="K577" s="3">
        <f>IF('3b-d Exposures'!O704="",0,'3b-d Exposures'!O704)</f>
        <v/>
      </c>
      <c r="L577" s="3">
        <f>IF('3b-d Exposures'!Q704="",0,'3b-d Exposures'!Q704)</f>
        <v/>
      </c>
      <c r="M577" s="3">
        <f>IF('3b-d Exposures'!S704="",0,'3b-d Exposures'!S704)</f>
        <v/>
      </c>
      <c r="N577" s="3">
        <f>IF('3b-d Exposures'!Z704="",0,'3b-d Exposures'!Z704)</f>
        <v/>
      </c>
      <c r="O577" s="3">
        <f>$D577</f>
        <v/>
      </c>
      <c r="P577" s="3">
        <f>E577*$D577</f>
        <v/>
      </c>
      <c r="Q577" s="3">
        <f>F577*$D577</f>
        <v/>
      </c>
      <c r="R577" s="3">
        <f>G577*$D577</f>
        <v/>
      </c>
      <c r="S577" s="3">
        <f>H577*$D577</f>
        <v/>
      </c>
      <c r="T577" s="3">
        <f>I577*$D577</f>
        <v/>
      </c>
      <c r="U577" s="3">
        <f>J577*$D577</f>
        <v/>
      </c>
      <c r="V577" s="3">
        <f>K577*$D577</f>
        <v/>
      </c>
      <c r="W577" s="3">
        <f>L577*$D577</f>
        <v/>
      </c>
      <c r="X577" s="3">
        <f>M577*$D577</f>
        <v/>
      </c>
      <c r="Y577" s="3">
        <f>N577*$D577</f>
        <v/>
      </c>
      <c r="Z577" s="3">
        <f>C577*$D577</f>
        <v/>
      </c>
      <c r="AA577" s="9">
        <f>$L978+$K978*E577+$J978*F577+$I978*G577+$H978*H577+$G978*I577+$F978*J577+$E978*K577+$D978*L577+$C978*M577+$B978*N577</f>
        <v/>
      </c>
      <c r="AB577" s="9">
        <f>C577-AA577</f>
        <v/>
      </c>
      <c r="AC577" s="4">
        <f>AB577^2</f>
        <v/>
      </c>
    </row>
    <row r="578">
      <c r="A578" t="inlineStr">
        <is>
          <t>BBG000BP6LJ8</t>
        </is>
      </c>
      <c r="B578" t="inlineStr">
        <is>
          <t>mo</t>
        </is>
      </c>
      <c r="C578" s="9" t="n">
        <v>-0.009698772735408867</v>
      </c>
      <c r="D578" s="3">
        <f>EXP(0.25*'3b-d Exposures'!G706)</f>
        <v/>
      </c>
      <c r="E578" s="3">
        <f>IF('3b-d Exposures'!C706="",0,'3b-d Exposures'!C706)</f>
        <v/>
      </c>
      <c r="F578" s="3">
        <f>IF('3b-d Exposures'!E706="",0,'3b-d Exposures'!E706)</f>
        <v/>
      </c>
      <c r="G578" s="3">
        <f>IF('3b-d Exposures'!G706="",0,'3b-d Exposures'!G706)</f>
        <v/>
      </c>
      <c r="H578" s="3">
        <f>IF('3b-d Exposures'!I706="",0,'3b-d Exposures'!I706)</f>
        <v/>
      </c>
      <c r="I578" s="3">
        <f>IF('3b-d Exposures'!K706="",0,'3b-d Exposures'!K706)</f>
        <v/>
      </c>
      <c r="J578" s="3">
        <f>IF('3b-d Exposures'!M706="",0,'3b-d Exposures'!M706)</f>
        <v/>
      </c>
      <c r="K578" s="3">
        <f>IF('3b-d Exposures'!O706="",0,'3b-d Exposures'!O706)</f>
        <v/>
      </c>
      <c r="L578" s="3">
        <f>IF('3b-d Exposures'!Q706="",0,'3b-d Exposures'!Q706)</f>
        <v/>
      </c>
      <c r="M578" s="3">
        <f>IF('3b-d Exposures'!S706="",0,'3b-d Exposures'!S706)</f>
        <v/>
      </c>
      <c r="N578" s="3">
        <f>IF('3b-d Exposures'!Z706="",0,'3b-d Exposures'!Z706)</f>
        <v/>
      </c>
      <c r="O578" s="3">
        <f>$D578</f>
        <v/>
      </c>
      <c r="P578" s="3">
        <f>E578*$D578</f>
        <v/>
      </c>
      <c r="Q578" s="3">
        <f>F578*$D578</f>
        <v/>
      </c>
      <c r="R578" s="3">
        <f>G578*$D578</f>
        <v/>
      </c>
      <c r="S578" s="3">
        <f>H578*$D578</f>
        <v/>
      </c>
      <c r="T578" s="3">
        <f>I578*$D578</f>
        <v/>
      </c>
      <c r="U578" s="3">
        <f>J578*$D578</f>
        <v/>
      </c>
      <c r="V578" s="3">
        <f>K578*$D578</f>
        <v/>
      </c>
      <c r="W578" s="3">
        <f>L578*$D578</f>
        <v/>
      </c>
      <c r="X578" s="3">
        <f>M578*$D578</f>
        <v/>
      </c>
      <c r="Y578" s="3">
        <f>N578*$D578</f>
        <v/>
      </c>
      <c r="Z578" s="3">
        <f>C578*$D578</f>
        <v/>
      </c>
      <c r="AA578" s="9">
        <f>$L978+$K978*E578+$J978*F578+$I978*G578+$H978*H578+$G978*I578+$F978*J578+$E978*K578+$D978*L578+$C978*M578+$B978*N578</f>
        <v/>
      </c>
      <c r="AB578" s="9">
        <f>C578-AA578</f>
        <v/>
      </c>
      <c r="AC578" s="4">
        <f>AB578^2</f>
        <v/>
      </c>
    </row>
    <row r="579">
      <c r="A579" t="inlineStr">
        <is>
          <t>BBG000MBHNC8</t>
        </is>
      </c>
      <c r="B579" t="inlineStr">
        <is>
          <t>moh</t>
        </is>
      </c>
      <c r="C579" s="9" t="n">
        <v>0.01332662404176688</v>
      </c>
      <c r="D579" s="3">
        <f>EXP(0.25*'3b-d Exposures'!G707)</f>
        <v/>
      </c>
      <c r="E579" s="3">
        <f>IF('3b-d Exposures'!C707="",0,'3b-d Exposures'!C707)</f>
        <v/>
      </c>
      <c r="F579" s="3">
        <f>IF('3b-d Exposures'!E707="",0,'3b-d Exposures'!E707)</f>
        <v/>
      </c>
      <c r="G579" s="3">
        <f>IF('3b-d Exposures'!G707="",0,'3b-d Exposures'!G707)</f>
        <v/>
      </c>
      <c r="H579" s="3">
        <f>IF('3b-d Exposures'!I707="",0,'3b-d Exposures'!I707)</f>
        <v/>
      </c>
      <c r="I579" s="3">
        <f>IF('3b-d Exposures'!K707="",0,'3b-d Exposures'!K707)</f>
        <v/>
      </c>
      <c r="J579" s="3">
        <f>IF('3b-d Exposures'!M707="",0,'3b-d Exposures'!M707)</f>
        <v/>
      </c>
      <c r="K579" s="3">
        <f>IF('3b-d Exposures'!O707="",0,'3b-d Exposures'!O707)</f>
        <v/>
      </c>
      <c r="L579" s="3">
        <f>IF('3b-d Exposures'!Q707="",0,'3b-d Exposures'!Q707)</f>
        <v/>
      </c>
      <c r="M579" s="3">
        <f>IF('3b-d Exposures'!S707="",0,'3b-d Exposures'!S707)</f>
        <v/>
      </c>
      <c r="N579" s="3">
        <f>IF('3b-d Exposures'!Z707="",0,'3b-d Exposures'!Z707)</f>
        <v/>
      </c>
      <c r="O579" s="3">
        <f>$D579</f>
        <v/>
      </c>
      <c r="P579" s="3">
        <f>E579*$D579</f>
        <v/>
      </c>
      <c r="Q579" s="3">
        <f>F579*$D579</f>
        <v/>
      </c>
      <c r="R579" s="3">
        <f>G579*$D579</f>
        <v/>
      </c>
      <c r="S579" s="3">
        <f>H579*$D579</f>
        <v/>
      </c>
      <c r="T579" s="3">
        <f>I579*$D579</f>
        <v/>
      </c>
      <c r="U579" s="3">
        <f>J579*$D579</f>
        <v/>
      </c>
      <c r="V579" s="3">
        <f>K579*$D579</f>
        <v/>
      </c>
      <c r="W579" s="3">
        <f>L579*$D579</f>
        <v/>
      </c>
      <c r="X579" s="3">
        <f>M579*$D579</f>
        <v/>
      </c>
      <c r="Y579" s="3">
        <f>N579*$D579</f>
        <v/>
      </c>
      <c r="Z579" s="3">
        <f>C579*$D579</f>
        <v/>
      </c>
      <c r="AA579" s="9">
        <f>$L978+$K978*E579+$J978*F579+$I978*G579+$H978*H579+$G978*I579+$F978*J579+$E978*K579+$D978*L579+$C978*M579+$B978*N579</f>
        <v/>
      </c>
      <c r="AB579" s="9">
        <f>C579-AA579</f>
        <v/>
      </c>
      <c r="AC579" s="4">
        <f>AB579^2</f>
        <v/>
      </c>
    </row>
    <row r="580">
      <c r="A580" t="inlineStr">
        <is>
          <t>BBG000BFXHL6</t>
        </is>
      </c>
      <c r="B580" t="inlineStr">
        <is>
          <t>mos</t>
        </is>
      </c>
      <c r="C580" s="9" t="n">
        <v>0.04232807262545313</v>
      </c>
      <c r="D580" s="3">
        <f>EXP(0.25*'3b-d Exposures'!G708)</f>
        <v/>
      </c>
      <c r="E580" s="3">
        <f>IF('3b-d Exposures'!C708="",0,'3b-d Exposures'!C708)</f>
        <v/>
      </c>
      <c r="F580" s="3">
        <f>IF('3b-d Exposures'!E708="",0,'3b-d Exposures'!E708)</f>
        <v/>
      </c>
      <c r="G580" s="3">
        <f>IF('3b-d Exposures'!G708="",0,'3b-d Exposures'!G708)</f>
        <v/>
      </c>
      <c r="H580" s="3">
        <f>IF('3b-d Exposures'!I708="",0,'3b-d Exposures'!I708)</f>
        <v/>
      </c>
      <c r="I580" s="3">
        <f>IF('3b-d Exposures'!K708="",0,'3b-d Exposures'!K708)</f>
        <v/>
      </c>
      <c r="J580" s="3">
        <f>IF('3b-d Exposures'!M708="",0,'3b-d Exposures'!M708)</f>
        <v/>
      </c>
      <c r="K580" s="3">
        <f>IF('3b-d Exposures'!O708="",0,'3b-d Exposures'!O708)</f>
        <v/>
      </c>
      <c r="L580" s="3">
        <f>IF('3b-d Exposures'!Q708="",0,'3b-d Exposures'!Q708)</f>
        <v/>
      </c>
      <c r="M580" s="3">
        <f>IF('3b-d Exposures'!S708="",0,'3b-d Exposures'!S708)</f>
        <v/>
      </c>
      <c r="N580" s="3">
        <f>IF('3b-d Exposures'!Z708="",0,'3b-d Exposures'!Z708)</f>
        <v/>
      </c>
      <c r="O580" s="3">
        <f>$D580</f>
        <v/>
      </c>
      <c r="P580" s="3">
        <f>E580*$D580</f>
        <v/>
      </c>
      <c r="Q580" s="3">
        <f>F580*$D580</f>
        <v/>
      </c>
      <c r="R580" s="3">
        <f>G580*$D580</f>
        <v/>
      </c>
      <c r="S580" s="3">
        <f>H580*$D580</f>
        <v/>
      </c>
      <c r="T580" s="3">
        <f>I580*$D580</f>
        <v/>
      </c>
      <c r="U580" s="3">
        <f>J580*$D580</f>
        <v/>
      </c>
      <c r="V580" s="3">
        <f>K580*$D580</f>
        <v/>
      </c>
      <c r="W580" s="3">
        <f>L580*$D580</f>
        <v/>
      </c>
      <c r="X580" s="3">
        <f>M580*$D580</f>
        <v/>
      </c>
      <c r="Y580" s="3">
        <f>N580*$D580</f>
        <v/>
      </c>
      <c r="Z580" s="3">
        <f>C580*$D580</f>
        <v/>
      </c>
      <c r="AA580" s="9">
        <f>$L978+$K978*E580+$J978*F580+$I978*G580+$H978*H580+$G978*I580+$F978*J580+$E978*K580+$D978*L580+$C978*M580+$B978*N580</f>
        <v/>
      </c>
      <c r="AB580" s="9">
        <f>C580-AA580</f>
        <v/>
      </c>
      <c r="AC580" s="4">
        <f>AB580^2</f>
        <v/>
      </c>
    </row>
    <row r="581">
      <c r="A581" t="inlineStr">
        <is>
          <t>BBG00TJGL0F0</t>
        </is>
      </c>
      <c r="B581" t="inlineStr">
        <is>
          <t>mp</t>
        </is>
      </c>
      <c r="C581" s="9" t="n">
        <v>-0.01233983069044398</v>
      </c>
      <c r="D581" s="3">
        <f>EXP(0.25*'3b-d Exposures'!G709)</f>
        <v/>
      </c>
      <c r="E581" s="3">
        <f>IF('3b-d Exposures'!C709="",0,'3b-d Exposures'!C709)</f>
        <v/>
      </c>
      <c r="F581" s="3">
        <f>IF('3b-d Exposures'!E709="",0,'3b-d Exposures'!E709)</f>
        <v/>
      </c>
      <c r="G581" s="3">
        <f>IF('3b-d Exposures'!G709="",0,'3b-d Exposures'!G709)</f>
        <v/>
      </c>
      <c r="H581" s="3">
        <f>IF('3b-d Exposures'!I709="",0,'3b-d Exposures'!I709)</f>
        <v/>
      </c>
      <c r="I581" s="3">
        <f>IF('3b-d Exposures'!K709="",0,'3b-d Exposures'!K709)</f>
        <v/>
      </c>
      <c r="J581" s="3">
        <f>IF('3b-d Exposures'!M709="",0,'3b-d Exposures'!M709)</f>
        <v/>
      </c>
      <c r="K581" s="3">
        <f>IF('3b-d Exposures'!O709="",0,'3b-d Exposures'!O709)</f>
        <v/>
      </c>
      <c r="L581" s="3">
        <f>IF('3b-d Exposures'!Q709="",0,'3b-d Exposures'!Q709)</f>
        <v/>
      </c>
      <c r="M581" s="3">
        <f>IF('3b-d Exposures'!S709="",0,'3b-d Exposures'!S709)</f>
        <v/>
      </c>
      <c r="N581" s="3">
        <f>IF('3b-d Exposures'!Z709="",0,'3b-d Exposures'!Z709)</f>
        <v/>
      </c>
      <c r="O581" s="3">
        <f>$D581</f>
        <v/>
      </c>
      <c r="P581" s="3">
        <f>E581*$D581</f>
        <v/>
      </c>
      <c r="Q581" s="3">
        <f>F581*$D581</f>
        <v/>
      </c>
      <c r="R581" s="3">
        <f>G581*$D581</f>
        <v/>
      </c>
      <c r="S581" s="3">
        <f>H581*$D581</f>
        <v/>
      </c>
      <c r="T581" s="3">
        <f>I581*$D581</f>
        <v/>
      </c>
      <c r="U581" s="3">
        <f>J581*$D581</f>
        <v/>
      </c>
      <c r="V581" s="3">
        <f>K581*$D581</f>
        <v/>
      </c>
      <c r="W581" s="3">
        <f>L581*$D581</f>
        <v/>
      </c>
      <c r="X581" s="3">
        <f>M581*$D581</f>
        <v/>
      </c>
      <c r="Y581" s="3">
        <f>N581*$D581</f>
        <v/>
      </c>
      <c r="Z581" s="3">
        <f>C581*$D581</f>
        <v/>
      </c>
      <c r="AA581" s="9">
        <f>$L978+$K978*E581+$J978*F581+$I978*G581+$H978*H581+$G978*I581+$F978*J581+$E978*K581+$D978*L581+$C978*M581+$B978*N581</f>
        <v/>
      </c>
      <c r="AB581" s="9">
        <f>C581-AA581</f>
        <v/>
      </c>
      <c r="AC581" s="4">
        <f>AB581^2</f>
        <v/>
      </c>
    </row>
    <row r="582">
      <c r="A582" t="inlineStr">
        <is>
          <t>BBG000BJS1P5</t>
        </is>
      </c>
      <c r="B582" t="inlineStr">
        <is>
          <t>mpaa</t>
        </is>
      </c>
      <c r="C582" s="9" t="n">
        <v>0.05761317949131883</v>
      </c>
      <c r="D582" s="3">
        <f>EXP(0.25*'3b-d Exposures'!G710)</f>
        <v/>
      </c>
      <c r="E582" s="3">
        <f>IF('3b-d Exposures'!C710="",0,'3b-d Exposures'!C710)</f>
        <v/>
      </c>
      <c r="F582" s="3">
        <f>IF('3b-d Exposures'!E710="",0,'3b-d Exposures'!E710)</f>
        <v/>
      </c>
      <c r="G582" s="3">
        <f>IF('3b-d Exposures'!G710="",0,'3b-d Exposures'!G710)</f>
        <v/>
      </c>
      <c r="H582" s="3">
        <f>IF('3b-d Exposures'!I710="",0,'3b-d Exposures'!I710)</f>
        <v/>
      </c>
      <c r="I582" s="3">
        <f>IF('3b-d Exposures'!K710="",0,'3b-d Exposures'!K710)</f>
        <v/>
      </c>
      <c r="J582" s="3">
        <f>IF('3b-d Exposures'!M710="",0,'3b-d Exposures'!M710)</f>
        <v/>
      </c>
      <c r="K582" s="3">
        <f>IF('3b-d Exposures'!O710="",0,'3b-d Exposures'!O710)</f>
        <v/>
      </c>
      <c r="L582" s="3">
        <f>IF('3b-d Exposures'!Q710="",0,'3b-d Exposures'!Q710)</f>
        <v/>
      </c>
      <c r="M582" s="3">
        <f>IF('3b-d Exposures'!S710="",0,'3b-d Exposures'!S710)</f>
        <v/>
      </c>
      <c r="N582" s="3">
        <f>IF('3b-d Exposures'!Z710="",0,'3b-d Exposures'!Z710)</f>
        <v/>
      </c>
      <c r="O582" s="3">
        <f>$D582</f>
        <v/>
      </c>
      <c r="P582" s="3">
        <f>E582*$D582</f>
        <v/>
      </c>
      <c r="Q582" s="3">
        <f>F582*$D582</f>
        <v/>
      </c>
      <c r="R582" s="3">
        <f>G582*$D582</f>
        <v/>
      </c>
      <c r="S582" s="3">
        <f>H582*$D582</f>
        <v/>
      </c>
      <c r="T582" s="3">
        <f>I582*$D582</f>
        <v/>
      </c>
      <c r="U582" s="3">
        <f>J582*$D582</f>
        <v/>
      </c>
      <c r="V582" s="3">
        <f>K582*$D582</f>
        <v/>
      </c>
      <c r="W582" s="3">
        <f>L582*$D582</f>
        <v/>
      </c>
      <c r="X582" s="3">
        <f>M582*$D582</f>
        <v/>
      </c>
      <c r="Y582" s="3">
        <f>N582*$D582</f>
        <v/>
      </c>
      <c r="Z582" s="3">
        <f>C582*$D582</f>
        <v/>
      </c>
      <c r="AA582" s="9">
        <f>$L978+$K978*E582+$J978*F582+$I978*G582+$H978*H582+$G978*I582+$F978*J582+$E978*K582+$D978*L582+$C978*M582+$B978*N582</f>
        <v/>
      </c>
      <c r="AB582" s="9">
        <f>C582-AA582</f>
        <v/>
      </c>
      <c r="AC582" s="4">
        <f>AB582^2</f>
        <v/>
      </c>
    </row>
    <row r="583">
      <c r="A583" t="inlineStr">
        <is>
          <t>BBG001DCCGR8</t>
        </is>
      </c>
      <c r="B583" t="inlineStr">
        <is>
          <t>mpc</t>
        </is>
      </c>
      <c r="C583" s="9" t="n">
        <v>0.008069347514021219</v>
      </c>
      <c r="D583" s="3">
        <f>EXP(0.25*'3b-d Exposures'!G711)</f>
        <v/>
      </c>
      <c r="E583" s="3">
        <f>IF('3b-d Exposures'!C711="",0,'3b-d Exposures'!C711)</f>
        <v/>
      </c>
      <c r="F583" s="3">
        <f>IF('3b-d Exposures'!E711="",0,'3b-d Exposures'!E711)</f>
        <v/>
      </c>
      <c r="G583" s="3">
        <f>IF('3b-d Exposures'!G711="",0,'3b-d Exposures'!G711)</f>
        <v/>
      </c>
      <c r="H583" s="3">
        <f>IF('3b-d Exposures'!I711="",0,'3b-d Exposures'!I711)</f>
        <v/>
      </c>
      <c r="I583" s="3">
        <f>IF('3b-d Exposures'!K711="",0,'3b-d Exposures'!K711)</f>
        <v/>
      </c>
      <c r="J583" s="3">
        <f>IF('3b-d Exposures'!M711="",0,'3b-d Exposures'!M711)</f>
        <v/>
      </c>
      <c r="K583" s="3">
        <f>IF('3b-d Exposures'!O711="",0,'3b-d Exposures'!O711)</f>
        <v/>
      </c>
      <c r="L583" s="3">
        <f>IF('3b-d Exposures'!Q711="",0,'3b-d Exposures'!Q711)</f>
        <v/>
      </c>
      <c r="M583" s="3">
        <f>IF('3b-d Exposures'!S711="",0,'3b-d Exposures'!S711)</f>
        <v/>
      </c>
      <c r="N583" s="3">
        <f>IF('3b-d Exposures'!Z711="",0,'3b-d Exposures'!Z711)</f>
        <v/>
      </c>
      <c r="O583" s="3">
        <f>$D583</f>
        <v/>
      </c>
      <c r="P583" s="3">
        <f>E583*$D583</f>
        <v/>
      </c>
      <c r="Q583" s="3">
        <f>F583*$D583</f>
        <v/>
      </c>
      <c r="R583" s="3">
        <f>G583*$D583</f>
        <v/>
      </c>
      <c r="S583" s="3">
        <f>H583*$D583</f>
        <v/>
      </c>
      <c r="T583" s="3">
        <f>I583*$D583</f>
        <v/>
      </c>
      <c r="U583" s="3">
        <f>J583*$D583</f>
        <v/>
      </c>
      <c r="V583" s="3">
        <f>K583*$D583</f>
        <v/>
      </c>
      <c r="W583" s="3">
        <f>L583*$D583</f>
        <v/>
      </c>
      <c r="X583" s="3">
        <f>M583*$D583</f>
        <v/>
      </c>
      <c r="Y583" s="3">
        <f>N583*$D583</f>
        <v/>
      </c>
      <c r="Z583" s="3">
        <f>C583*$D583</f>
        <v/>
      </c>
      <c r="AA583" s="9">
        <f>$L978+$K978*E583+$J978*F583+$I978*G583+$H978*H583+$G978*I583+$F978*J583+$E978*K583+$D978*L583+$C978*M583+$B978*N583</f>
        <v/>
      </c>
      <c r="AB583" s="9">
        <f>C583-AA583</f>
        <v/>
      </c>
      <c r="AC583" s="4">
        <f>AB583^2</f>
        <v/>
      </c>
    </row>
    <row r="584">
      <c r="A584" t="inlineStr">
        <is>
          <t>mpwr</t>
        </is>
      </c>
      <c r="B584" t="inlineStr">
        <is>
          <t>mpwr</t>
        </is>
      </c>
      <c r="C584" s="9" t="n">
        <v>0.02239090547381739</v>
      </c>
      <c r="D584" s="3">
        <f>EXP(0.25*'3b-d Exposures'!G712)</f>
        <v/>
      </c>
      <c r="E584" s="3">
        <f>IF('3b-d Exposures'!C712="",0,'3b-d Exposures'!C712)</f>
        <v/>
      </c>
      <c r="F584" s="3">
        <f>IF('3b-d Exposures'!E712="",0,'3b-d Exposures'!E712)</f>
        <v/>
      </c>
      <c r="G584" s="3">
        <f>IF('3b-d Exposures'!G712="",0,'3b-d Exposures'!G712)</f>
        <v/>
      </c>
      <c r="H584" s="3">
        <f>IF('3b-d Exposures'!I712="",0,'3b-d Exposures'!I712)</f>
        <v/>
      </c>
      <c r="I584" s="3">
        <f>IF('3b-d Exposures'!K712="",0,'3b-d Exposures'!K712)</f>
        <v/>
      </c>
      <c r="J584" s="3">
        <f>IF('3b-d Exposures'!M712="",0,'3b-d Exposures'!M712)</f>
        <v/>
      </c>
      <c r="K584" s="3">
        <f>IF('3b-d Exposures'!O712="",0,'3b-d Exposures'!O712)</f>
        <v/>
      </c>
      <c r="L584" s="3">
        <f>IF('3b-d Exposures'!Q712="",0,'3b-d Exposures'!Q712)</f>
        <v/>
      </c>
      <c r="M584" s="3">
        <f>IF('3b-d Exposures'!S712="",0,'3b-d Exposures'!S712)</f>
        <v/>
      </c>
      <c r="N584" s="3">
        <f>IF('3b-d Exposures'!Z712="",0,'3b-d Exposures'!Z712)</f>
        <v/>
      </c>
      <c r="O584" s="3">
        <f>$D584</f>
        <v/>
      </c>
      <c r="P584" s="3">
        <f>E584*$D584</f>
        <v/>
      </c>
      <c r="Q584" s="3">
        <f>F584*$D584</f>
        <v/>
      </c>
      <c r="R584" s="3">
        <f>G584*$D584</f>
        <v/>
      </c>
      <c r="S584" s="3">
        <f>H584*$D584</f>
        <v/>
      </c>
      <c r="T584" s="3">
        <f>I584*$D584</f>
        <v/>
      </c>
      <c r="U584" s="3">
        <f>J584*$D584</f>
        <v/>
      </c>
      <c r="V584" s="3">
        <f>K584*$D584</f>
        <v/>
      </c>
      <c r="W584" s="3">
        <f>L584*$D584</f>
        <v/>
      </c>
      <c r="X584" s="3">
        <f>M584*$D584</f>
        <v/>
      </c>
      <c r="Y584" s="3">
        <f>N584*$D584</f>
        <v/>
      </c>
      <c r="Z584" s="3">
        <f>C584*$D584</f>
        <v/>
      </c>
      <c r="AA584" s="9">
        <f>$L978+$K978*E584+$J978*F584+$I978*G584+$H978*H584+$G978*I584+$F978*J584+$E978*K584+$D978*L584+$C978*M584+$B978*N584</f>
        <v/>
      </c>
      <c r="AB584" s="9">
        <f>C584-AA584</f>
        <v/>
      </c>
      <c r="AC584" s="4">
        <f>AB584^2</f>
        <v/>
      </c>
    </row>
    <row r="585">
      <c r="A585" t="inlineStr">
        <is>
          <t>BBG000BX5GS3</t>
        </is>
      </c>
      <c r="B585" t="inlineStr">
        <is>
          <t>mrcy</t>
        </is>
      </c>
      <c r="C585" s="9" t="n">
        <v>-0.0272307978968247</v>
      </c>
      <c r="D585" s="3">
        <f>EXP(0.25*'3b-d Exposures'!G714)</f>
        <v/>
      </c>
      <c r="E585" s="3">
        <f>IF('3b-d Exposures'!C714="",0,'3b-d Exposures'!C714)</f>
        <v/>
      </c>
      <c r="F585" s="3">
        <f>IF('3b-d Exposures'!E714="",0,'3b-d Exposures'!E714)</f>
        <v/>
      </c>
      <c r="G585" s="3">
        <f>IF('3b-d Exposures'!G714="",0,'3b-d Exposures'!G714)</f>
        <v/>
      </c>
      <c r="H585" s="3">
        <f>IF('3b-d Exposures'!I714="",0,'3b-d Exposures'!I714)</f>
        <v/>
      </c>
      <c r="I585" s="3">
        <f>IF('3b-d Exposures'!K714="",0,'3b-d Exposures'!K714)</f>
        <v/>
      </c>
      <c r="J585" s="3">
        <f>IF('3b-d Exposures'!M714="",0,'3b-d Exposures'!M714)</f>
        <v/>
      </c>
      <c r="K585" s="3">
        <f>IF('3b-d Exposures'!O714="",0,'3b-d Exposures'!O714)</f>
        <v/>
      </c>
      <c r="L585" s="3">
        <f>IF('3b-d Exposures'!Q714="",0,'3b-d Exposures'!Q714)</f>
        <v/>
      </c>
      <c r="M585" s="3">
        <f>IF('3b-d Exposures'!S714="",0,'3b-d Exposures'!S714)</f>
        <v/>
      </c>
      <c r="N585" s="3">
        <f>IF('3b-d Exposures'!Z714="",0,'3b-d Exposures'!Z714)</f>
        <v/>
      </c>
      <c r="O585" s="3">
        <f>$D585</f>
        <v/>
      </c>
      <c r="P585" s="3">
        <f>E585*$D585</f>
        <v/>
      </c>
      <c r="Q585" s="3">
        <f>F585*$D585</f>
        <v/>
      </c>
      <c r="R585" s="3">
        <f>G585*$D585</f>
        <v/>
      </c>
      <c r="S585" s="3">
        <f>H585*$D585</f>
        <v/>
      </c>
      <c r="T585" s="3">
        <f>I585*$D585</f>
        <v/>
      </c>
      <c r="U585" s="3">
        <f>J585*$D585</f>
        <v/>
      </c>
      <c r="V585" s="3">
        <f>K585*$D585</f>
        <v/>
      </c>
      <c r="W585" s="3">
        <f>L585*$D585</f>
        <v/>
      </c>
      <c r="X585" s="3">
        <f>M585*$D585</f>
        <v/>
      </c>
      <c r="Y585" s="3">
        <f>N585*$D585</f>
        <v/>
      </c>
      <c r="Z585" s="3">
        <f>C585*$D585</f>
        <v/>
      </c>
      <c r="AA585" s="9">
        <f>$L978+$K978*E585+$J978*F585+$I978*G585+$H978*H585+$G978*I585+$F978*J585+$E978*K585+$D978*L585+$C978*M585+$B978*N585</f>
        <v/>
      </c>
      <c r="AB585" s="9">
        <f>C585-AA585</f>
        <v/>
      </c>
      <c r="AC585" s="4">
        <f>AB585^2</f>
        <v/>
      </c>
    </row>
    <row r="586">
      <c r="A586" t="inlineStr">
        <is>
          <t>BBG000BPD168</t>
        </is>
      </c>
      <c r="B586" t="inlineStr">
        <is>
          <t>mrk</t>
        </is>
      </c>
      <c r="C586" s="9" t="n">
        <v>-0.01013376102533925</v>
      </c>
      <c r="D586" s="3">
        <f>EXP(0.25*'3b-d Exposures'!G715)</f>
        <v/>
      </c>
      <c r="E586" s="3">
        <f>IF('3b-d Exposures'!C715="",0,'3b-d Exposures'!C715)</f>
        <v/>
      </c>
      <c r="F586" s="3">
        <f>IF('3b-d Exposures'!E715="",0,'3b-d Exposures'!E715)</f>
        <v/>
      </c>
      <c r="G586" s="3">
        <f>IF('3b-d Exposures'!G715="",0,'3b-d Exposures'!G715)</f>
        <v/>
      </c>
      <c r="H586" s="3">
        <f>IF('3b-d Exposures'!I715="",0,'3b-d Exposures'!I715)</f>
        <v/>
      </c>
      <c r="I586" s="3">
        <f>IF('3b-d Exposures'!K715="",0,'3b-d Exposures'!K715)</f>
        <v/>
      </c>
      <c r="J586" s="3">
        <f>IF('3b-d Exposures'!M715="",0,'3b-d Exposures'!M715)</f>
        <v/>
      </c>
      <c r="K586" s="3">
        <f>IF('3b-d Exposures'!O715="",0,'3b-d Exposures'!O715)</f>
        <v/>
      </c>
      <c r="L586" s="3">
        <f>IF('3b-d Exposures'!Q715="",0,'3b-d Exposures'!Q715)</f>
        <v/>
      </c>
      <c r="M586" s="3">
        <f>IF('3b-d Exposures'!S715="",0,'3b-d Exposures'!S715)</f>
        <v/>
      </c>
      <c r="N586" s="3">
        <f>IF('3b-d Exposures'!Z715="",0,'3b-d Exposures'!Z715)</f>
        <v/>
      </c>
      <c r="O586" s="3">
        <f>$D586</f>
        <v/>
      </c>
      <c r="P586" s="3">
        <f>E586*$D586</f>
        <v/>
      </c>
      <c r="Q586" s="3">
        <f>F586*$D586</f>
        <v/>
      </c>
      <c r="R586" s="3">
        <f>G586*$D586</f>
        <v/>
      </c>
      <c r="S586" s="3">
        <f>H586*$D586</f>
        <v/>
      </c>
      <c r="T586" s="3">
        <f>I586*$D586</f>
        <v/>
      </c>
      <c r="U586" s="3">
        <f>J586*$D586</f>
        <v/>
      </c>
      <c r="V586" s="3">
        <f>K586*$D586</f>
        <v/>
      </c>
      <c r="W586" s="3">
        <f>L586*$D586</f>
        <v/>
      </c>
      <c r="X586" s="3">
        <f>M586*$D586</f>
        <v/>
      </c>
      <c r="Y586" s="3">
        <f>N586*$D586</f>
        <v/>
      </c>
      <c r="Z586" s="3">
        <f>C586*$D586</f>
        <v/>
      </c>
      <c r="AA586" s="9">
        <f>$L978+$K978*E586+$J978*F586+$I978*G586+$H978*H586+$G978*I586+$F978*J586+$E978*K586+$D978*L586+$C978*M586+$B978*N586</f>
        <v/>
      </c>
      <c r="AB586" s="9">
        <f>C586-AA586</f>
        <v/>
      </c>
      <c r="AC586" s="4">
        <f>AB586^2</f>
        <v/>
      </c>
    </row>
    <row r="587">
      <c r="A587" t="inlineStr">
        <is>
          <t>mrna</t>
        </is>
      </c>
      <c r="B587" t="inlineStr">
        <is>
          <t>mrna</t>
        </is>
      </c>
      <c r="C587" s="9" t="n">
        <v>0.0278680192747629</v>
      </c>
      <c r="D587" s="3">
        <f>EXP(0.25*'3b-d Exposures'!G716)</f>
        <v/>
      </c>
      <c r="E587" s="3">
        <f>IF('3b-d Exposures'!C716="",0,'3b-d Exposures'!C716)</f>
        <v/>
      </c>
      <c r="F587" s="3">
        <f>IF('3b-d Exposures'!E716="",0,'3b-d Exposures'!E716)</f>
        <v/>
      </c>
      <c r="G587" s="3">
        <f>IF('3b-d Exposures'!G716="",0,'3b-d Exposures'!G716)</f>
        <v/>
      </c>
      <c r="H587" s="3">
        <f>IF('3b-d Exposures'!I716="",0,'3b-d Exposures'!I716)</f>
        <v/>
      </c>
      <c r="I587" s="3">
        <f>IF('3b-d Exposures'!K716="",0,'3b-d Exposures'!K716)</f>
        <v/>
      </c>
      <c r="J587" s="3">
        <f>IF('3b-d Exposures'!M716="",0,'3b-d Exposures'!M716)</f>
        <v/>
      </c>
      <c r="K587" s="3">
        <f>IF('3b-d Exposures'!O716="",0,'3b-d Exposures'!O716)</f>
        <v/>
      </c>
      <c r="L587" s="3">
        <f>IF('3b-d Exposures'!Q716="",0,'3b-d Exposures'!Q716)</f>
        <v/>
      </c>
      <c r="M587" s="3">
        <f>IF('3b-d Exposures'!S716="",0,'3b-d Exposures'!S716)</f>
        <v/>
      </c>
      <c r="N587" s="3">
        <f>IF('3b-d Exposures'!Z716="",0,'3b-d Exposures'!Z716)</f>
        <v/>
      </c>
      <c r="O587" s="3">
        <f>$D587</f>
        <v/>
      </c>
      <c r="P587" s="3">
        <f>E587*$D587</f>
        <v/>
      </c>
      <c r="Q587" s="3">
        <f>F587*$D587</f>
        <v/>
      </c>
      <c r="R587" s="3">
        <f>G587*$D587</f>
        <v/>
      </c>
      <c r="S587" s="3">
        <f>H587*$D587</f>
        <v/>
      </c>
      <c r="T587" s="3">
        <f>I587*$D587</f>
        <v/>
      </c>
      <c r="U587" s="3">
        <f>J587*$D587</f>
        <v/>
      </c>
      <c r="V587" s="3">
        <f>K587*$D587</f>
        <v/>
      </c>
      <c r="W587" s="3">
        <f>L587*$D587</f>
        <v/>
      </c>
      <c r="X587" s="3">
        <f>M587*$D587</f>
        <v/>
      </c>
      <c r="Y587" s="3">
        <f>N587*$D587</f>
        <v/>
      </c>
      <c r="Z587" s="3">
        <f>C587*$D587</f>
        <v/>
      </c>
      <c r="AA587" s="9">
        <f>$L978+$K978*E587+$J978*F587+$I978*G587+$H978*H587+$G978*I587+$F978*J587+$E978*K587+$D978*L587+$C978*M587+$B978*N587</f>
        <v/>
      </c>
      <c r="AB587" s="9">
        <f>C587-AA587</f>
        <v/>
      </c>
      <c r="AC587" s="4">
        <f>AB587^2</f>
        <v/>
      </c>
    </row>
    <row r="588">
      <c r="A588" t="inlineStr">
        <is>
          <t>BBG000BP4MH0</t>
        </is>
      </c>
      <c r="B588" t="inlineStr">
        <is>
          <t>mrsh</t>
        </is>
      </c>
      <c r="C588" s="9" t="n">
        <v>-0.0008146696404480736</v>
      </c>
      <c r="D588" s="3">
        <f>EXP(0.25*'3b-d Exposures'!G717)</f>
        <v/>
      </c>
      <c r="E588" s="3">
        <f>IF('3b-d Exposures'!C717="",0,'3b-d Exposures'!C717)</f>
        <v/>
      </c>
      <c r="F588" s="3">
        <f>IF('3b-d Exposures'!E717="",0,'3b-d Exposures'!E717)</f>
        <v/>
      </c>
      <c r="G588" s="3">
        <f>IF('3b-d Exposures'!G717="",0,'3b-d Exposures'!G717)</f>
        <v/>
      </c>
      <c r="H588" s="3">
        <f>IF('3b-d Exposures'!I717="",0,'3b-d Exposures'!I717)</f>
        <v/>
      </c>
      <c r="I588" s="3">
        <f>IF('3b-d Exposures'!K717="",0,'3b-d Exposures'!K717)</f>
        <v/>
      </c>
      <c r="J588" s="3">
        <f>IF('3b-d Exposures'!M717="",0,'3b-d Exposures'!M717)</f>
        <v/>
      </c>
      <c r="K588" s="3">
        <f>IF('3b-d Exposures'!O717="",0,'3b-d Exposures'!O717)</f>
        <v/>
      </c>
      <c r="L588" s="3">
        <f>IF('3b-d Exposures'!Q717="",0,'3b-d Exposures'!Q717)</f>
        <v/>
      </c>
      <c r="M588" s="3">
        <f>IF('3b-d Exposures'!S717="",0,'3b-d Exposures'!S717)</f>
        <v/>
      </c>
      <c r="N588" s="3">
        <f>IF('3b-d Exposures'!Z717="",0,'3b-d Exposures'!Z717)</f>
        <v/>
      </c>
      <c r="O588" s="3">
        <f>$D588</f>
        <v/>
      </c>
      <c r="P588" s="3">
        <f>E588*$D588</f>
        <v/>
      </c>
      <c r="Q588" s="3">
        <f>F588*$D588</f>
        <v/>
      </c>
      <c r="R588" s="3">
        <f>G588*$D588</f>
        <v/>
      </c>
      <c r="S588" s="3">
        <f>H588*$D588</f>
        <v/>
      </c>
      <c r="T588" s="3">
        <f>I588*$D588</f>
        <v/>
      </c>
      <c r="U588" s="3">
        <f>J588*$D588</f>
        <v/>
      </c>
      <c r="V588" s="3">
        <f>K588*$D588</f>
        <v/>
      </c>
      <c r="W588" s="3">
        <f>L588*$D588</f>
        <v/>
      </c>
      <c r="X588" s="3">
        <f>M588*$D588</f>
        <v/>
      </c>
      <c r="Y588" s="3">
        <f>N588*$D588</f>
        <v/>
      </c>
      <c r="Z588" s="3">
        <f>C588*$D588</f>
        <v/>
      </c>
      <c r="AA588" s="9">
        <f>$L978+$K978*E588+$J978*F588+$I978*G588+$H978*H588+$G978*I588+$F978*J588+$E978*K588+$D978*L588+$C978*M588+$B978*N588</f>
        <v/>
      </c>
      <c r="AB588" s="9">
        <f>C588-AA588</f>
        <v/>
      </c>
      <c r="AC588" s="4">
        <f>AB588^2</f>
        <v/>
      </c>
    </row>
    <row r="589">
      <c r="A589" t="inlineStr">
        <is>
          <t>BBG000BPDJM1</t>
        </is>
      </c>
      <c r="B589" t="inlineStr">
        <is>
          <t>mrtn</t>
        </is>
      </c>
      <c r="C589" s="9" t="n">
        <v>0.008055287972482894</v>
      </c>
      <c r="D589" s="3">
        <f>EXP(0.25*'3b-d Exposures'!G718)</f>
        <v/>
      </c>
      <c r="E589" s="3">
        <f>IF('3b-d Exposures'!C718="",0,'3b-d Exposures'!C718)</f>
        <v/>
      </c>
      <c r="F589" s="3">
        <f>IF('3b-d Exposures'!E718="",0,'3b-d Exposures'!E718)</f>
        <v/>
      </c>
      <c r="G589" s="3">
        <f>IF('3b-d Exposures'!G718="",0,'3b-d Exposures'!G718)</f>
        <v/>
      </c>
      <c r="H589" s="3">
        <f>IF('3b-d Exposures'!I718="",0,'3b-d Exposures'!I718)</f>
        <v/>
      </c>
      <c r="I589" s="3">
        <f>IF('3b-d Exposures'!K718="",0,'3b-d Exposures'!K718)</f>
        <v/>
      </c>
      <c r="J589" s="3">
        <f>IF('3b-d Exposures'!M718="",0,'3b-d Exposures'!M718)</f>
        <v/>
      </c>
      <c r="K589" s="3">
        <f>IF('3b-d Exposures'!O718="",0,'3b-d Exposures'!O718)</f>
        <v/>
      </c>
      <c r="L589" s="3">
        <f>IF('3b-d Exposures'!Q718="",0,'3b-d Exposures'!Q718)</f>
        <v/>
      </c>
      <c r="M589" s="3">
        <f>IF('3b-d Exposures'!S718="",0,'3b-d Exposures'!S718)</f>
        <v/>
      </c>
      <c r="N589" s="3">
        <f>IF('3b-d Exposures'!Z718="",0,'3b-d Exposures'!Z718)</f>
        <v/>
      </c>
      <c r="O589" s="3">
        <f>$D589</f>
        <v/>
      </c>
      <c r="P589" s="3">
        <f>E589*$D589</f>
        <v/>
      </c>
      <c r="Q589" s="3">
        <f>F589*$D589</f>
        <v/>
      </c>
      <c r="R589" s="3">
        <f>G589*$D589</f>
        <v/>
      </c>
      <c r="S589" s="3">
        <f>H589*$D589</f>
        <v/>
      </c>
      <c r="T589" s="3">
        <f>I589*$D589</f>
        <v/>
      </c>
      <c r="U589" s="3">
        <f>J589*$D589</f>
        <v/>
      </c>
      <c r="V589" s="3">
        <f>K589*$D589</f>
        <v/>
      </c>
      <c r="W589" s="3">
        <f>L589*$D589</f>
        <v/>
      </c>
      <c r="X589" s="3">
        <f>M589*$D589</f>
        <v/>
      </c>
      <c r="Y589" s="3">
        <f>N589*$D589</f>
        <v/>
      </c>
      <c r="Z589" s="3">
        <f>C589*$D589</f>
        <v/>
      </c>
      <c r="AA589" s="9">
        <f>$L978+$K978*E589+$J978*F589+$I978*G589+$H978*H589+$G978*I589+$F978*J589+$E978*K589+$D978*L589+$C978*M589+$B978*N589</f>
        <v/>
      </c>
      <c r="AB589" s="9">
        <f>C589-AA589</f>
        <v/>
      </c>
      <c r="AC589" s="4">
        <f>AB589^2</f>
        <v/>
      </c>
    </row>
    <row r="590">
      <c r="A590" t="inlineStr">
        <is>
          <t>BBG000BLZRJ2</t>
        </is>
      </c>
      <c r="B590" t="inlineStr">
        <is>
          <t>ms</t>
        </is>
      </c>
      <c r="C590" s="9" t="n">
        <v>-0.004407050920011146</v>
      </c>
      <c r="D590" s="3">
        <f>EXP(0.25*'3b-d Exposures'!G719)</f>
        <v/>
      </c>
      <c r="E590" s="3">
        <f>IF('3b-d Exposures'!C719="",0,'3b-d Exposures'!C719)</f>
        <v/>
      </c>
      <c r="F590" s="3">
        <f>IF('3b-d Exposures'!E719="",0,'3b-d Exposures'!E719)</f>
        <v/>
      </c>
      <c r="G590" s="3">
        <f>IF('3b-d Exposures'!G719="",0,'3b-d Exposures'!G719)</f>
        <v/>
      </c>
      <c r="H590" s="3">
        <f>IF('3b-d Exposures'!I719="",0,'3b-d Exposures'!I719)</f>
        <v/>
      </c>
      <c r="I590" s="3">
        <f>IF('3b-d Exposures'!K719="",0,'3b-d Exposures'!K719)</f>
        <v/>
      </c>
      <c r="J590" s="3">
        <f>IF('3b-d Exposures'!M719="",0,'3b-d Exposures'!M719)</f>
        <v/>
      </c>
      <c r="K590" s="3">
        <f>IF('3b-d Exposures'!O719="",0,'3b-d Exposures'!O719)</f>
        <v/>
      </c>
      <c r="L590" s="3">
        <f>IF('3b-d Exposures'!Q719="",0,'3b-d Exposures'!Q719)</f>
        <v/>
      </c>
      <c r="M590" s="3">
        <f>IF('3b-d Exposures'!S719="",0,'3b-d Exposures'!S719)</f>
        <v/>
      </c>
      <c r="N590" s="3">
        <f>IF('3b-d Exposures'!Z719="",0,'3b-d Exposures'!Z719)</f>
        <v/>
      </c>
      <c r="O590" s="3">
        <f>$D590</f>
        <v/>
      </c>
      <c r="P590" s="3">
        <f>E590*$D590</f>
        <v/>
      </c>
      <c r="Q590" s="3">
        <f>F590*$D590</f>
        <v/>
      </c>
      <c r="R590" s="3">
        <f>G590*$D590</f>
        <v/>
      </c>
      <c r="S590" s="3">
        <f>H590*$D590</f>
        <v/>
      </c>
      <c r="T590" s="3">
        <f>I590*$D590</f>
        <v/>
      </c>
      <c r="U590" s="3">
        <f>J590*$D590</f>
        <v/>
      </c>
      <c r="V590" s="3">
        <f>K590*$D590</f>
        <v/>
      </c>
      <c r="W590" s="3">
        <f>L590*$D590</f>
        <v/>
      </c>
      <c r="X590" s="3">
        <f>M590*$D590</f>
        <v/>
      </c>
      <c r="Y590" s="3">
        <f>N590*$D590</f>
        <v/>
      </c>
      <c r="Z590" s="3">
        <f>C590*$D590</f>
        <v/>
      </c>
      <c r="AA590" s="9">
        <f>$L978+$K978*E590+$J978*F590+$I978*G590+$H978*H590+$G978*I590+$F978*J590+$E978*K590+$D978*L590+$C978*M590+$B978*N590</f>
        <v/>
      </c>
      <c r="AB590" s="9">
        <f>C590-AA590</f>
        <v/>
      </c>
      <c r="AC590" s="4">
        <f>AB590^2</f>
        <v/>
      </c>
    </row>
    <row r="591">
      <c r="A591" t="inlineStr">
        <is>
          <t>BBG000RTDY25</t>
        </is>
      </c>
      <c r="B591" t="inlineStr">
        <is>
          <t>msci</t>
        </is>
      </c>
      <c r="C591" s="9" t="n">
        <v>-0.001082450420123782</v>
      </c>
      <c r="D591" s="3">
        <f>EXP(0.25*'3b-d Exposures'!G720)</f>
        <v/>
      </c>
      <c r="E591" s="3">
        <f>IF('3b-d Exposures'!C720="",0,'3b-d Exposures'!C720)</f>
        <v/>
      </c>
      <c r="F591" s="3">
        <f>IF('3b-d Exposures'!E720="",0,'3b-d Exposures'!E720)</f>
        <v/>
      </c>
      <c r="G591" s="3">
        <f>IF('3b-d Exposures'!G720="",0,'3b-d Exposures'!G720)</f>
        <v/>
      </c>
      <c r="H591" s="3">
        <f>IF('3b-d Exposures'!I720="",0,'3b-d Exposures'!I720)</f>
        <v/>
      </c>
      <c r="I591" s="3">
        <f>IF('3b-d Exposures'!K720="",0,'3b-d Exposures'!K720)</f>
        <v/>
      </c>
      <c r="J591" s="3">
        <f>IF('3b-d Exposures'!M720="",0,'3b-d Exposures'!M720)</f>
        <v/>
      </c>
      <c r="K591" s="3">
        <f>IF('3b-d Exposures'!O720="",0,'3b-d Exposures'!O720)</f>
        <v/>
      </c>
      <c r="L591" s="3">
        <f>IF('3b-d Exposures'!Q720="",0,'3b-d Exposures'!Q720)</f>
        <v/>
      </c>
      <c r="M591" s="3">
        <f>IF('3b-d Exposures'!S720="",0,'3b-d Exposures'!S720)</f>
        <v/>
      </c>
      <c r="N591" s="3">
        <f>IF('3b-d Exposures'!Z720="",0,'3b-d Exposures'!Z720)</f>
        <v/>
      </c>
      <c r="O591" s="3">
        <f>$D591</f>
        <v/>
      </c>
      <c r="P591" s="3">
        <f>E591*$D591</f>
        <v/>
      </c>
      <c r="Q591" s="3">
        <f>F591*$D591</f>
        <v/>
      </c>
      <c r="R591" s="3">
        <f>G591*$D591</f>
        <v/>
      </c>
      <c r="S591" s="3">
        <f>H591*$D591</f>
        <v/>
      </c>
      <c r="T591" s="3">
        <f>I591*$D591</f>
        <v/>
      </c>
      <c r="U591" s="3">
        <f>J591*$D591</f>
        <v/>
      </c>
      <c r="V591" s="3">
        <f>K591*$D591</f>
        <v/>
      </c>
      <c r="W591" s="3">
        <f>L591*$D591</f>
        <v/>
      </c>
      <c r="X591" s="3">
        <f>M591*$D591</f>
        <v/>
      </c>
      <c r="Y591" s="3">
        <f>N591*$D591</f>
        <v/>
      </c>
      <c r="Z591" s="3">
        <f>C591*$D591</f>
        <v/>
      </c>
      <c r="AA591" s="9">
        <f>$L978+$K978*E591+$J978*F591+$I978*G591+$H978*H591+$G978*I591+$F978*J591+$E978*K591+$D978*L591+$C978*M591+$B978*N591</f>
        <v/>
      </c>
      <c r="AB591" s="9">
        <f>C591-AA591</f>
        <v/>
      </c>
      <c r="AC591" s="4">
        <f>AB591^2</f>
        <v/>
      </c>
    </row>
    <row r="592">
      <c r="A592" t="inlineStr">
        <is>
          <t>BBG000BPH459</t>
        </is>
      </c>
      <c r="B592" t="inlineStr">
        <is>
          <t>msft</t>
        </is>
      </c>
      <c r="C592" s="9" t="n">
        <v>0.01775843493938489</v>
      </c>
      <c r="D592" s="3">
        <f>EXP(0.25*'3b-d Exposures'!G721)</f>
        <v/>
      </c>
      <c r="E592" s="3">
        <f>IF('3b-d Exposures'!C721="",0,'3b-d Exposures'!C721)</f>
        <v/>
      </c>
      <c r="F592" s="3">
        <f>IF('3b-d Exposures'!E721="",0,'3b-d Exposures'!E721)</f>
        <v/>
      </c>
      <c r="G592" s="3">
        <f>IF('3b-d Exposures'!G721="",0,'3b-d Exposures'!G721)</f>
        <v/>
      </c>
      <c r="H592" s="3">
        <f>IF('3b-d Exposures'!I721="",0,'3b-d Exposures'!I721)</f>
        <v/>
      </c>
      <c r="I592" s="3">
        <f>IF('3b-d Exposures'!K721="",0,'3b-d Exposures'!K721)</f>
        <v/>
      </c>
      <c r="J592" s="3">
        <f>IF('3b-d Exposures'!M721="",0,'3b-d Exposures'!M721)</f>
        <v/>
      </c>
      <c r="K592" s="3">
        <f>IF('3b-d Exposures'!O721="",0,'3b-d Exposures'!O721)</f>
        <v/>
      </c>
      <c r="L592" s="3">
        <f>IF('3b-d Exposures'!Q721="",0,'3b-d Exposures'!Q721)</f>
        <v/>
      </c>
      <c r="M592" s="3">
        <f>IF('3b-d Exposures'!S721="",0,'3b-d Exposures'!S721)</f>
        <v/>
      </c>
      <c r="N592" s="3">
        <f>IF('3b-d Exposures'!Z721="",0,'3b-d Exposures'!Z721)</f>
        <v/>
      </c>
      <c r="O592" s="3">
        <f>$D592</f>
        <v/>
      </c>
      <c r="P592" s="3">
        <f>E592*$D592</f>
        <v/>
      </c>
      <c r="Q592" s="3">
        <f>F592*$D592</f>
        <v/>
      </c>
      <c r="R592" s="3">
        <f>G592*$D592</f>
        <v/>
      </c>
      <c r="S592" s="3">
        <f>H592*$D592</f>
        <v/>
      </c>
      <c r="T592" s="3">
        <f>I592*$D592</f>
        <v/>
      </c>
      <c r="U592" s="3">
        <f>J592*$D592</f>
        <v/>
      </c>
      <c r="V592" s="3">
        <f>K592*$D592</f>
        <v/>
      </c>
      <c r="W592" s="3">
        <f>L592*$D592</f>
        <v/>
      </c>
      <c r="X592" s="3">
        <f>M592*$D592</f>
        <v/>
      </c>
      <c r="Y592" s="3">
        <f>N592*$D592</f>
        <v/>
      </c>
      <c r="Z592" s="3">
        <f>C592*$D592</f>
        <v/>
      </c>
      <c r="AA592" s="9">
        <f>$L978+$K978*E592+$J978*F592+$I978*G592+$H978*H592+$G978*I592+$F978*J592+$E978*K592+$D978*L592+$C978*M592+$B978*N592</f>
        <v/>
      </c>
      <c r="AB592" s="9">
        <f>C592-AA592</f>
        <v/>
      </c>
      <c r="AC592" s="4">
        <f>AB592^2</f>
        <v/>
      </c>
    </row>
    <row r="593">
      <c r="A593" t="inlineStr">
        <is>
          <t>BBG007FG0C23</t>
        </is>
      </c>
      <c r="B593" t="inlineStr">
        <is>
          <t>msgs</t>
        </is>
      </c>
      <c r="C593" s="9" t="n">
        <v>-0.003783409996666931</v>
      </c>
      <c r="D593" s="3">
        <f>EXP(0.25*'3b-d Exposures'!G722)</f>
        <v/>
      </c>
      <c r="E593" s="3">
        <f>IF('3b-d Exposures'!C722="",0,'3b-d Exposures'!C722)</f>
        <v/>
      </c>
      <c r="F593" s="3">
        <f>IF('3b-d Exposures'!E722="",0,'3b-d Exposures'!E722)</f>
        <v/>
      </c>
      <c r="G593" s="3">
        <f>IF('3b-d Exposures'!G722="",0,'3b-d Exposures'!G722)</f>
        <v/>
      </c>
      <c r="H593" s="3">
        <f>IF('3b-d Exposures'!I722="",0,'3b-d Exposures'!I722)</f>
        <v/>
      </c>
      <c r="I593" s="3">
        <f>IF('3b-d Exposures'!K722="",0,'3b-d Exposures'!K722)</f>
        <v/>
      </c>
      <c r="J593" s="3">
        <f>IF('3b-d Exposures'!M722="",0,'3b-d Exposures'!M722)</f>
        <v/>
      </c>
      <c r="K593" s="3">
        <f>IF('3b-d Exposures'!O722="",0,'3b-d Exposures'!O722)</f>
        <v/>
      </c>
      <c r="L593" s="3">
        <f>IF('3b-d Exposures'!Q722="",0,'3b-d Exposures'!Q722)</f>
        <v/>
      </c>
      <c r="M593" s="3">
        <f>IF('3b-d Exposures'!S722="",0,'3b-d Exposures'!S722)</f>
        <v/>
      </c>
      <c r="N593" s="3">
        <f>IF('3b-d Exposures'!Z722="",0,'3b-d Exposures'!Z722)</f>
        <v/>
      </c>
      <c r="O593" s="3">
        <f>$D593</f>
        <v/>
      </c>
      <c r="P593" s="3">
        <f>E593*$D593</f>
        <v/>
      </c>
      <c r="Q593" s="3">
        <f>F593*$D593</f>
        <v/>
      </c>
      <c r="R593" s="3">
        <f>G593*$D593</f>
        <v/>
      </c>
      <c r="S593" s="3">
        <f>H593*$D593</f>
        <v/>
      </c>
      <c r="T593" s="3">
        <f>I593*$D593</f>
        <v/>
      </c>
      <c r="U593" s="3">
        <f>J593*$D593</f>
        <v/>
      </c>
      <c r="V593" s="3">
        <f>K593*$D593</f>
        <v/>
      </c>
      <c r="W593" s="3">
        <f>L593*$D593</f>
        <v/>
      </c>
      <c r="X593" s="3">
        <f>M593*$D593</f>
        <v/>
      </c>
      <c r="Y593" s="3">
        <f>N593*$D593</f>
        <v/>
      </c>
      <c r="Z593" s="3">
        <f>C593*$D593</f>
        <v/>
      </c>
      <c r="AA593" s="9">
        <f>$L978+$K978*E593+$J978*F593+$I978*G593+$H978*H593+$G978*I593+$F978*J593+$E978*K593+$D978*L593+$C978*M593+$B978*N593</f>
        <v/>
      </c>
      <c r="AB593" s="9">
        <f>C593-AA593</f>
        <v/>
      </c>
      <c r="AC593" s="4">
        <f>AB593^2</f>
        <v/>
      </c>
    </row>
    <row r="594">
      <c r="A594" t="inlineStr">
        <is>
          <t>BBG000BP8Z50</t>
        </is>
      </c>
      <c r="B594" t="inlineStr">
        <is>
          <t>msi</t>
        </is>
      </c>
      <c r="C594" s="9" t="n">
        <v>-0.006003642105720353</v>
      </c>
      <c r="D594" s="3">
        <f>EXP(0.25*'3b-d Exposures'!G723)</f>
        <v/>
      </c>
      <c r="E594" s="3">
        <f>IF('3b-d Exposures'!C723="",0,'3b-d Exposures'!C723)</f>
        <v/>
      </c>
      <c r="F594" s="3">
        <f>IF('3b-d Exposures'!E723="",0,'3b-d Exposures'!E723)</f>
        <v/>
      </c>
      <c r="G594" s="3">
        <f>IF('3b-d Exposures'!G723="",0,'3b-d Exposures'!G723)</f>
        <v/>
      </c>
      <c r="H594" s="3">
        <f>IF('3b-d Exposures'!I723="",0,'3b-d Exposures'!I723)</f>
        <v/>
      </c>
      <c r="I594" s="3">
        <f>IF('3b-d Exposures'!K723="",0,'3b-d Exposures'!K723)</f>
        <v/>
      </c>
      <c r="J594" s="3">
        <f>IF('3b-d Exposures'!M723="",0,'3b-d Exposures'!M723)</f>
        <v/>
      </c>
      <c r="K594" s="3">
        <f>IF('3b-d Exposures'!O723="",0,'3b-d Exposures'!O723)</f>
        <v/>
      </c>
      <c r="L594" s="3">
        <f>IF('3b-d Exposures'!Q723="",0,'3b-d Exposures'!Q723)</f>
        <v/>
      </c>
      <c r="M594" s="3">
        <f>IF('3b-d Exposures'!S723="",0,'3b-d Exposures'!S723)</f>
        <v/>
      </c>
      <c r="N594" s="3">
        <f>IF('3b-d Exposures'!Z723="",0,'3b-d Exposures'!Z723)</f>
        <v/>
      </c>
      <c r="O594" s="3">
        <f>$D594</f>
        <v/>
      </c>
      <c r="P594" s="3">
        <f>E594*$D594</f>
        <v/>
      </c>
      <c r="Q594" s="3">
        <f>F594*$D594</f>
        <v/>
      </c>
      <c r="R594" s="3">
        <f>G594*$D594</f>
        <v/>
      </c>
      <c r="S594" s="3">
        <f>H594*$D594</f>
        <v/>
      </c>
      <c r="T594" s="3">
        <f>I594*$D594</f>
        <v/>
      </c>
      <c r="U594" s="3">
        <f>J594*$D594</f>
        <v/>
      </c>
      <c r="V594" s="3">
        <f>K594*$D594</f>
        <v/>
      </c>
      <c r="W594" s="3">
        <f>L594*$D594</f>
        <v/>
      </c>
      <c r="X594" s="3">
        <f>M594*$D594</f>
        <v/>
      </c>
      <c r="Y594" s="3">
        <f>N594*$D594</f>
        <v/>
      </c>
      <c r="Z594" s="3">
        <f>C594*$D594</f>
        <v/>
      </c>
      <c r="AA594" s="9">
        <f>$L978+$K978*E594+$J978*F594+$I978*G594+$H978*H594+$G978*I594+$F978*J594+$E978*K594+$D978*L594+$C978*M594+$B978*N594</f>
        <v/>
      </c>
      <c r="AB594" s="9">
        <f>C594-AA594</f>
        <v/>
      </c>
      <c r="AC594" s="4">
        <f>AB594^2</f>
        <v/>
      </c>
    </row>
    <row r="595">
      <c r="A595" t="inlineStr">
        <is>
          <t>BBG000D9KWL9</t>
        </is>
      </c>
      <c r="B595" t="inlineStr">
        <is>
          <t>mtb</t>
        </is>
      </c>
      <c r="C595" s="9" t="n">
        <v>-0.01349253452753674</v>
      </c>
      <c r="D595" s="3">
        <f>EXP(0.25*'3b-d Exposures'!G726)</f>
        <v/>
      </c>
      <c r="E595" s="3">
        <f>IF('3b-d Exposures'!C726="",0,'3b-d Exposures'!C726)</f>
        <v/>
      </c>
      <c r="F595" s="3">
        <f>IF('3b-d Exposures'!E726="",0,'3b-d Exposures'!E726)</f>
        <v/>
      </c>
      <c r="G595" s="3">
        <f>IF('3b-d Exposures'!G726="",0,'3b-d Exposures'!G726)</f>
        <v/>
      </c>
      <c r="H595" s="3">
        <f>IF('3b-d Exposures'!I726="",0,'3b-d Exposures'!I726)</f>
        <v/>
      </c>
      <c r="I595" s="3">
        <f>IF('3b-d Exposures'!K726="",0,'3b-d Exposures'!K726)</f>
        <v/>
      </c>
      <c r="J595" s="3">
        <f>IF('3b-d Exposures'!M726="",0,'3b-d Exposures'!M726)</f>
        <v/>
      </c>
      <c r="K595" s="3">
        <f>IF('3b-d Exposures'!O726="",0,'3b-d Exposures'!O726)</f>
        <v/>
      </c>
      <c r="L595" s="3">
        <f>IF('3b-d Exposures'!Q726="",0,'3b-d Exposures'!Q726)</f>
        <v/>
      </c>
      <c r="M595" s="3">
        <f>IF('3b-d Exposures'!S726="",0,'3b-d Exposures'!S726)</f>
        <v/>
      </c>
      <c r="N595" s="3">
        <f>IF('3b-d Exposures'!Z726="",0,'3b-d Exposures'!Z726)</f>
        <v/>
      </c>
      <c r="O595" s="3">
        <f>$D595</f>
        <v/>
      </c>
      <c r="P595" s="3">
        <f>E595*$D595</f>
        <v/>
      </c>
      <c r="Q595" s="3">
        <f>F595*$D595</f>
        <v/>
      </c>
      <c r="R595" s="3">
        <f>G595*$D595</f>
        <v/>
      </c>
      <c r="S595" s="3">
        <f>H595*$D595</f>
        <v/>
      </c>
      <c r="T595" s="3">
        <f>I595*$D595</f>
        <v/>
      </c>
      <c r="U595" s="3">
        <f>J595*$D595</f>
        <v/>
      </c>
      <c r="V595" s="3">
        <f>K595*$D595</f>
        <v/>
      </c>
      <c r="W595" s="3">
        <f>L595*$D595</f>
        <v/>
      </c>
      <c r="X595" s="3">
        <f>M595*$D595</f>
        <v/>
      </c>
      <c r="Y595" s="3">
        <f>N595*$D595</f>
        <v/>
      </c>
      <c r="Z595" s="3">
        <f>C595*$D595</f>
        <v/>
      </c>
      <c r="AA595" s="9">
        <f>$L978+$K978*E595+$J978*F595+$I978*G595+$H978*H595+$G978*I595+$F978*J595+$E978*K595+$D978*L595+$C978*M595+$B978*N595</f>
        <v/>
      </c>
      <c r="AB595" s="9">
        <f>C595-AA595</f>
        <v/>
      </c>
      <c r="AC595" s="4">
        <f>AB595^2</f>
        <v/>
      </c>
    </row>
    <row r="596">
      <c r="A596" t="inlineStr">
        <is>
          <t>mtd</t>
        </is>
      </c>
      <c r="B596" t="inlineStr">
        <is>
          <t>mtd</t>
        </is>
      </c>
      <c r="C596" s="9" t="n">
        <v>0.006138150583960833</v>
      </c>
      <c r="D596" s="3">
        <f>EXP(0.25*'3b-d Exposures'!G727)</f>
        <v/>
      </c>
      <c r="E596" s="3">
        <f>IF('3b-d Exposures'!C727="",0,'3b-d Exposures'!C727)</f>
        <v/>
      </c>
      <c r="F596" s="3">
        <f>IF('3b-d Exposures'!E727="",0,'3b-d Exposures'!E727)</f>
        <v/>
      </c>
      <c r="G596" s="3">
        <f>IF('3b-d Exposures'!G727="",0,'3b-d Exposures'!G727)</f>
        <v/>
      </c>
      <c r="H596" s="3">
        <f>IF('3b-d Exposures'!I727="",0,'3b-d Exposures'!I727)</f>
        <v/>
      </c>
      <c r="I596" s="3">
        <f>IF('3b-d Exposures'!K727="",0,'3b-d Exposures'!K727)</f>
        <v/>
      </c>
      <c r="J596" s="3">
        <f>IF('3b-d Exposures'!M727="",0,'3b-d Exposures'!M727)</f>
        <v/>
      </c>
      <c r="K596" s="3">
        <f>IF('3b-d Exposures'!O727="",0,'3b-d Exposures'!O727)</f>
        <v/>
      </c>
      <c r="L596" s="3">
        <f>IF('3b-d Exposures'!Q727="",0,'3b-d Exposures'!Q727)</f>
        <v/>
      </c>
      <c r="M596" s="3">
        <f>IF('3b-d Exposures'!S727="",0,'3b-d Exposures'!S727)</f>
        <v/>
      </c>
      <c r="N596" s="3">
        <f>IF('3b-d Exposures'!Z727="",0,'3b-d Exposures'!Z727)</f>
        <v/>
      </c>
      <c r="O596" s="3">
        <f>$D596</f>
        <v/>
      </c>
      <c r="P596" s="3">
        <f>E596*$D596</f>
        <v/>
      </c>
      <c r="Q596" s="3">
        <f>F596*$D596</f>
        <v/>
      </c>
      <c r="R596" s="3">
        <f>G596*$D596</f>
        <v/>
      </c>
      <c r="S596" s="3">
        <f>H596*$D596</f>
        <v/>
      </c>
      <c r="T596" s="3">
        <f>I596*$D596</f>
        <v/>
      </c>
      <c r="U596" s="3">
        <f>J596*$D596</f>
        <v/>
      </c>
      <c r="V596" s="3">
        <f>K596*$D596</f>
        <v/>
      </c>
      <c r="W596" s="3">
        <f>L596*$D596</f>
        <v/>
      </c>
      <c r="X596" s="3">
        <f>M596*$D596</f>
        <v/>
      </c>
      <c r="Y596" s="3">
        <f>N596*$D596</f>
        <v/>
      </c>
      <c r="Z596" s="3">
        <f>C596*$D596</f>
        <v/>
      </c>
      <c r="AA596" s="9">
        <f>$L978+$K978*E596+$J978*F596+$I978*G596+$H978*H596+$G978*I596+$F978*J596+$E978*K596+$D978*L596+$C978*M596+$B978*N596</f>
        <v/>
      </c>
      <c r="AB596" s="9">
        <f>C596-AA596</f>
        <v/>
      </c>
      <c r="AC596" s="4">
        <f>AB596^2</f>
        <v/>
      </c>
    </row>
    <row r="597">
      <c r="A597" t="inlineStr">
        <is>
          <t>BBG000JCPGZ1</t>
        </is>
      </c>
      <c r="B597" t="inlineStr">
        <is>
          <t>mtdr</t>
        </is>
      </c>
      <c r="C597" s="9" t="n">
        <v>-0.01866347014458469</v>
      </c>
      <c r="D597" s="3">
        <f>EXP(0.25*'3b-d Exposures'!G728)</f>
        <v/>
      </c>
      <c r="E597" s="3">
        <f>IF('3b-d Exposures'!C728="",0,'3b-d Exposures'!C728)</f>
        <v/>
      </c>
      <c r="F597" s="3">
        <f>IF('3b-d Exposures'!E728="",0,'3b-d Exposures'!E728)</f>
        <v/>
      </c>
      <c r="G597" s="3">
        <f>IF('3b-d Exposures'!G728="",0,'3b-d Exposures'!G728)</f>
        <v/>
      </c>
      <c r="H597" s="3">
        <f>IF('3b-d Exposures'!I728="",0,'3b-d Exposures'!I728)</f>
        <v/>
      </c>
      <c r="I597" s="3">
        <f>IF('3b-d Exposures'!K728="",0,'3b-d Exposures'!K728)</f>
        <v/>
      </c>
      <c r="J597" s="3">
        <f>IF('3b-d Exposures'!M728="",0,'3b-d Exposures'!M728)</f>
        <v/>
      </c>
      <c r="K597" s="3">
        <f>IF('3b-d Exposures'!O728="",0,'3b-d Exposures'!O728)</f>
        <v/>
      </c>
      <c r="L597" s="3">
        <f>IF('3b-d Exposures'!Q728="",0,'3b-d Exposures'!Q728)</f>
        <v/>
      </c>
      <c r="M597" s="3">
        <f>IF('3b-d Exposures'!S728="",0,'3b-d Exposures'!S728)</f>
        <v/>
      </c>
      <c r="N597" s="3">
        <f>IF('3b-d Exposures'!Z728="",0,'3b-d Exposures'!Z728)</f>
        <v/>
      </c>
      <c r="O597" s="3">
        <f>$D597</f>
        <v/>
      </c>
      <c r="P597" s="3">
        <f>E597*$D597</f>
        <v/>
      </c>
      <c r="Q597" s="3">
        <f>F597*$D597</f>
        <v/>
      </c>
      <c r="R597" s="3">
        <f>G597*$D597</f>
        <v/>
      </c>
      <c r="S597" s="3">
        <f>H597*$D597</f>
        <v/>
      </c>
      <c r="T597" s="3">
        <f>I597*$D597</f>
        <v/>
      </c>
      <c r="U597" s="3">
        <f>J597*$D597</f>
        <v/>
      </c>
      <c r="V597" s="3">
        <f>K597*$D597</f>
        <v/>
      </c>
      <c r="W597" s="3">
        <f>L597*$D597</f>
        <v/>
      </c>
      <c r="X597" s="3">
        <f>M597*$D597</f>
        <v/>
      </c>
      <c r="Y597" s="3">
        <f>N597*$D597</f>
        <v/>
      </c>
      <c r="Z597" s="3">
        <f>C597*$D597</f>
        <v/>
      </c>
      <c r="AA597" s="9">
        <f>$L978+$K978*E597+$J978*F597+$I978*G597+$H978*H597+$G978*I597+$F978*J597+$E978*K597+$D978*L597+$C978*M597+$B978*N597</f>
        <v/>
      </c>
      <c r="AB597" s="9">
        <f>C597-AA597</f>
        <v/>
      </c>
      <c r="AC597" s="4">
        <f>AB597^2</f>
        <v/>
      </c>
    </row>
    <row r="598">
      <c r="A598" t="inlineStr">
        <is>
          <t>BBG000CBMH27</t>
        </is>
      </c>
      <c r="B598" t="inlineStr">
        <is>
          <t>mtg</t>
        </is>
      </c>
      <c r="C598" s="9" t="n">
        <v>-0.008758479869520608</v>
      </c>
      <c r="D598" s="3">
        <f>EXP(0.25*'3b-d Exposures'!G729)</f>
        <v/>
      </c>
      <c r="E598" s="3">
        <f>IF('3b-d Exposures'!C729="",0,'3b-d Exposures'!C729)</f>
        <v/>
      </c>
      <c r="F598" s="3">
        <f>IF('3b-d Exposures'!E729="",0,'3b-d Exposures'!E729)</f>
        <v/>
      </c>
      <c r="G598" s="3">
        <f>IF('3b-d Exposures'!G729="",0,'3b-d Exposures'!G729)</f>
        <v/>
      </c>
      <c r="H598" s="3">
        <f>IF('3b-d Exposures'!I729="",0,'3b-d Exposures'!I729)</f>
        <v/>
      </c>
      <c r="I598" s="3">
        <f>IF('3b-d Exposures'!K729="",0,'3b-d Exposures'!K729)</f>
        <v/>
      </c>
      <c r="J598" s="3">
        <f>IF('3b-d Exposures'!M729="",0,'3b-d Exposures'!M729)</f>
        <v/>
      </c>
      <c r="K598" s="3">
        <f>IF('3b-d Exposures'!O729="",0,'3b-d Exposures'!O729)</f>
        <v/>
      </c>
      <c r="L598" s="3">
        <f>IF('3b-d Exposures'!Q729="",0,'3b-d Exposures'!Q729)</f>
        <v/>
      </c>
      <c r="M598" s="3">
        <f>IF('3b-d Exposures'!S729="",0,'3b-d Exposures'!S729)</f>
        <v/>
      </c>
      <c r="N598" s="3">
        <f>IF('3b-d Exposures'!Z729="",0,'3b-d Exposures'!Z729)</f>
        <v/>
      </c>
      <c r="O598" s="3">
        <f>$D598</f>
        <v/>
      </c>
      <c r="P598" s="3">
        <f>E598*$D598</f>
        <v/>
      </c>
      <c r="Q598" s="3">
        <f>F598*$D598</f>
        <v/>
      </c>
      <c r="R598" s="3">
        <f>G598*$D598</f>
        <v/>
      </c>
      <c r="S598" s="3">
        <f>H598*$D598</f>
        <v/>
      </c>
      <c r="T598" s="3">
        <f>I598*$D598</f>
        <v/>
      </c>
      <c r="U598" s="3">
        <f>J598*$D598</f>
        <v/>
      </c>
      <c r="V598" s="3">
        <f>K598*$D598</f>
        <v/>
      </c>
      <c r="W598" s="3">
        <f>L598*$D598</f>
        <v/>
      </c>
      <c r="X598" s="3">
        <f>M598*$D598</f>
        <v/>
      </c>
      <c r="Y598" s="3">
        <f>N598*$D598</f>
        <v/>
      </c>
      <c r="Z598" s="3">
        <f>C598*$D598</f>
        <v/>
      </c>
      <c r="AA598" s="9">
        <f>$L978+$K978*E598+$J978*F598+$I978*G598+$H978*H598+$G978*I598+$F978*J598+$E978*K598+$D978*L598+$C978*M598+$B978*N598</f>
        <v/>
      </c>
      <c r="AB598" s="9">
        <f>C598-AA598</f>
        <v/>
      </c>
      <c r="AC598" s="4">
        <f>AB598^2</f>
        <v/>
      </c>
    </row>
    <row r="599">
      <c r="A599" t="inlineStr">
        <is>
          <t>BBG000F4F1N0</t>
        </is>
      </c>
      <c r="B599" t="inlineStr">
        <is>
          <t>mth</t>
        </is>
      </c>
      <c r="C599" s="9" t="n">
        <v>5.235264242919868e-05</v>
      </c>
      <c r="D599" s="3">
        <f>EXP(0.25*'3b-d Exposures'!G730)</f>
        <v/>
      </c>
      <c r="E599" s="3">
        <f>IF('3b-d Exposures'!C730="",0,'3b-d Exposures'!C730)</f>
        <v/>
      </c>
      <c r="F599" s="3">
        <f>IF('3b-d Exposures'!E730="",0,'3b-d Exposures'!E730)</f>
        <v/>
      </c>
      <c r="G599" s="3">
        <f>IF('3b-d Exposures'!G730="",0,'3b-d Exposures'!G730)</f>
        <v/>
      </c>
      <c r="H599" s="3">
        <f>IF('3b-d Exposures'!I730="",0,'3b-d Exposures'!I730)</f>
        <v/>
      </c>
      <c r="I599" s="3">
        <f>IF('3b-d Exposures'!K730="",0,'3b-d Exposures'!K730)</f>
        <v/>
      </c>
      <c r="J599" s="3">
        <f>IF('3b-d Exposures'!M730="",0,'3b-d Exposures'!M730)</f>
        <v/>
      </c>
      <c r="K599" s="3">
        <f>IF('3b-d Exposures'!O730="",0,'3b-d Exposures'!O730)</f>
        <v/>
      </c>
      <c r="L599" s="3">
        <f>IF('3b-d Exposures'!Q730="",0,'3b-d Exposures'!Q730)</f>
        <v/>
      </c>
      <c r="M599" s="3">
        <f>IF('3b-d Exposures'!S730="",0,'3b-d Exposures'!S730)</f>
        <v/>
      </c>
      <c r="N599" s="3">
        <f>IF('3b-d Exposures'!Z730="",0,'3b-d Exposures'!Z730)</f>
        <v/>
      </c>
      <c r="O599" s="3">
        <f>$D599</f>
        <v/>
      </c>
      <c r="P599" s="3">
        <f>E599*$D599</f>
        <v/>
      </c>
      <c r="Q599" s="3">
        <f>F599*$D599</f>
        <v/>
      </c>
      <c r="R599" s="3">
        <f>G599*$D599</f>
        <v/>
      </c>
      <c r="S599" s="3">
        <f>H599*$D599</f>
        <v/>
      </c>
      <c r="T599" s="3">
        <f>I599*$D599</f>
        <v/>
      </c>
      <c r="U599" s="3">
        <f>J599*$D599</f>
        <v/>
      </c>
      <c r="V599" s="3">
        <f>K599*$D599</f>
        <v/>
      </c>
      <c r="W599" s="3">
        <f>L599*$D599</f>
        <v/>
      </c>
      <c r="X599" s="3">
        <f>M599*$D599</f>
        <v/>
      </c>
      <c r="Y599" s="3">
        <f>N599*$D599</f>
        <v/>
      </c>
      <c r="Z599" s="3">
        <f>C599*$D599</f>
        <v/>
      </c>
      <c r="AA599" s="9">
        <f>$L978+$K978*E599+$J978*F599+$I978*G599+$H978*H599+$G978*I599+$F978*J599+$E978*K599+$D978*L599+$C978*M599+$B978*N599</f>
        <v/>
      </c>
      <c r="AB599" s="9">
        <f>C599-AA599</f>
        <v/>
      </c>
      <c r="AC599" s="4">
        <f>AB599^2</f>
        <v/>
      </c>
    </row>
    <row r="600">
      <c r="A600" t="inlineStr">
        <is>
          <t>BBG000BCMWM1</t>
        </is>
      </c>
      <c r="B600" t="inlineStr">
        <is>
          <t>mtn</t>
        </is>
      </c>
      <c r="C600" s="9" t="n">
        <v>-0.01333401570006976</v>
      </c>
      <c r="D600" s="3">
        <f>EXP(0.25*'3b-d Exposures'!G731)</f>
        <v/>
      </c>
      <c r="E600" s="3">
        <f>IF('3b-d Exposures'!C731="",0,'3b-d Exposures'!C731)</f>
        <v/>
      </c>
      <c r="F600" s="3">
        <f>IF('3b-d Exposures'!E731="",0,'3b-d Exposures'!E731)</f>
        <v/>
      </c>
      <c r="G600" s="3">
        <f>IF('3b-d Exposures'!G731="",0,'3b-d Exposures'!G731)</f>
        <v/>
      </c>
      <c r="H600" s="3">
        <f>IF('3b-d Exposures'!I731="",0,'3b-d Exposures'!I731)</f>
        <v/>
      </c>
      <c r="I600" s="3">
        <f>IF('3b-d Exposures'!K731="",0,'3b-d Exposures'!K731)</f>
        <v/>
      </c>
      <c r="J600" s="3">
        <f>IF('3b-d Exposures'!M731="",0,'3b-d Exposures'!M731)</f>
        <v/>
      </c>
      <c r="K600" s="3">
        <f>IF('3b-d Exposures'!O731="",0,'3b-d Exposures'!O731)</f>
        <v/>
      </c>
      <c r="L600" s="3">
        <f>IF('3b-d Exposures'!Q731="",0,'3b-d Exposures'!Q731)</f>
        <v/>
      </c>
      <c r="M600" s="3">
        <f>IF('3b-d Exposures'!S731="",0,'3b-d Exposures'!S731)</f>
        <v/>
      </c>
      <c r="N600" s="3">
        <f>IF('3b-d Exposures'!Z731="",0,'3b-d Exposures'!Z731)</f>
        <v/>
      </c>
      <c r="O600" s="3">
        <f>$D600</f>
        <v/>
      </c>
      <c r="P600" s="3">
        <f>E600*$D600</f>
        <v/>
      </c>
      <c r="Q600" s="3">
        <f>F600*$D600</f>
        <v/>
      </c>
      <c r="R600" s="3">
        <f>G600*$D600</f>
        <v/>
      </c>
      <c r="S600" s="3">
        <f>H600*$D600</f>
        <v/>
      </c>
      <c r="T600" s="3">
        <f>I600*$D600</f>
        <v/>
      </c>
      <c r="U600" s="3">
        <f>J600*$D600</f>
        <v/>
      </c>
      <c r="V600" s="3">
        <f>K600*$D600</f>
        <v/>
      </c>
      <c r="W600" s="3">
        <f>L600*$D600</f>
        <v/>
      </c>
      <c r="X600" s="3">
        <f>M600*$D600</f>
        <v/>
      </c>
      <c r="Y600" s="3">
        <f>N600*$D600</f>
        <v/>
      </c>
      <c r="Z600" s="3">
        <f>C600*$D600</f>
        <v/>
      </c>
      <c r="AA600" s="9">
        <f>$L978+$K978*E600+$J978*F600+$I978*G600+$H978*H600+$G978*I600+$F978*J600+$E978*K600+$D978*L600+$C978*M600+$B978*N600</f>
        <v/>
      </c>
      <c r="AB600" s="9">
        <f>C600-AA600</f>
        <v/>
      </c>
      <c r="AC600" s="4">
        <f>AB600^2</f>
        <v/>
      </c>
    </row>
    <row r="601">
      <c r="A601" t="inlineStr">
        <is>
          <t>BBG000BDTT76</t>
        </is>
      </c>
      <c r="B601" t="inlineStr">
        <is>
          <t>mtrn</t>
        </is>
      </c>
      <c r="C601" s="9" t="n">
        <v>0.02023872295804763</v>
      </c>
      <c r="D601" s="3">
        <f>EXP(0.25*'3b-d Exposures'!G732)</f>
        <v/>
      </c>
      <c r="E601" s="3">
        <f>IF('3b-d Exposures'!C732="",0,'3b-d Exposures'!C732)</f>
        <v/>
      </c>
      <c r="F601" s="3">
        <f>IF('3b-d Exposures'!E732="",0,'3b-d Exposures'!E732)</f>
        <v/>
      </c>
      <c r="G601" s="3">
        <f>IF('3b-d Exposures'!G732="",0,'3b-d Exposures'!G732)</f>
        <v/>
      </c>
      <c r="H601" s="3">
        <f>IF('3b-d Exposures'!I732="",0,'3b-d Exposures'!I732)</f>
        <v/>
      </c>
      <c r="I601" s="3">
        <f>IF('3b-d Exposures'!K732="",0,'3b-d Exposures'!K732)</f>
        <v/>
      </c>
      <c r="J601" s="3">
        <f>IF('3b-d Exposures'!M732="",0,'3b-d Exposures'!M732)</f>
        <v/>
      </c>
      <c r="K601" s="3">
        <f>IF('3b-d Exposures'!O732="",0,'3b-d Exposures'!O732)</f>
        <v/>
      </c>
      <c r="L601" s="3">
        <f>IF('3b-d Exposures'!Q732="",0,'3b-d Exposures'!Q732)</f>
        <v/>
      </c>
      <c r="M601" s="3">
        <f>IF('3b-d Exposures'!S732="",0,'3b-d Exposures'!S732)</f>
        <v/>
      </c>
      <c r="N601" s="3">
        <f>IF('3b-d Exposures'!Z732="",0,'3b-d Exposures'!Z732)</f>
        <v/>
      </c>
      <c r="O601" s="3">
        <f>$D601</f>
        <v/>
      </c>
      <c r="P601" s="3">
        <f>E601*$D601</f>
        <v/>
      </c>
      <c r="Q601" s="3">
        <f>F601*$D601</f>
        <v/>
      </c>
      <c r="R601" s="3">
        <f>G601*$D601</f>
        <v/>
      </c>
      <c r="S601" s="3">
        <f>H601*$D601</f>
        <v/>
      </c>
      <c r="T601" s="3">
        <f>I601*$D601</f>
        <v/>
      </c>
      <c r="U601" s="3">
        <f>J601*$D601</f>
        <v/>
      </c>
      <c r="V601" s="3">
        <f>K601*$D601</f>
        <v/>
      </c>
      <c r="W601" s="3">
        <f>L601*$D601</f>
        <v/>
      </c>
      <c r="X601" s="3">
        <f>M601*$D601</f>
        <v/>
      </c>
      <c r="Y601" s="3">
        <f>N601*$D601</f>
        <v/>
      </c>
      <c r="Z601" s="3">
        <f>C601*$D601</f>
        <v/>
      </c>
      <c r="AA601" s="9">
        <f>$L978+$K978*E601+$J978*F601+$I978*G601+$H978*H601+$G978*I601+$F978*J601+$E978*K601+$D978*L601+$C978*M601+$B978*N601</f>
        <v/>
      </c>
      <c r="AB601" s="9">
        <f>C601-AA601</f>
        <v/>
      </c>
      <c r="AC601" s="4">
        <f>AB601^2</f>
        <v/>
      </c>
    </row>
    <row r="602">
      <c r="A602" t="inlineStr">
        <is>
          <t>BBG000DYXD23</t>
        </is>
      </c>
      <c r="B602" t="inlineStr">
        <is>
          <t>mtz</t>
        </is>
      </c>
      <c r="C602" s="9" t="n">
        <v>-0.01395248188879361</v>
      </c>
      <c r="D602" s="3">
        <f>EXP(0.25*'3b-d Exposures'!G733)</f>
        <v/>
      </c>
      <c r="E602" s="3">
        <f>IF('3b-d Exposures'!C733="",0,'3b-d Exposures'!C733)</f>
        <v/>
      </c>
      <c r="F602" s="3">
        <f>IF('3b-d Exposures'!E733="",0,'3b-d Exposures'!E733)</f>
        <v/>
      </c>
      <c r="G602" s="3">
        <f>IF('3b-d Exposures'!G733="",0,'3b-d Exposures'!G733)</f>
        <v/>
      </c>
      <c r="H602" s="3">
        <f>IF('3b-d Exposures'!I733="",0,'3b-d Exposures'!I733)</f>
        <v/>
      </c>
      <c r="I602" s="3">
        <f>IF('3b-d Exposures'!K733="",0,'3b-d Exposures'!K733)</f>
        <v/>
      </c>
      <c r="J602" s="3">
        <f>IF('3b-d Exposures'!M733="",0,'3b-d Exposures'!M733)</f>
        <v/>
      </c>
      <c r="K602" s="3">
        <f>IF('3b-d Exposures'!O733="",0,'3b-d Exposures'!O733)</f>
        <v/>
      </c>
      <c r="L602" s="3">
        <f>IF('3b-d Exposures'!Q733="",0,'3b-d Exposures'!Q733)</f>
        <v/>
      </c>
      <c r="M602" s="3">
        <f>IF('3b-d Exposures'!S733="",0,'3b-d Exposures'!S733)</f>
        <v/>
      </c>
      <c r="N602" s="3">
        <f>IF('3b-d Exposures'!Z733="",0,'3b-d Exposures'!Z733)</f>
        <v/>
      </c>
      <c r="O602" s="3">
        <f>$D602</f>
        <v/>
      </c>
      <c r="P602" s="3">
        <f>E602*$D602</f>
        <v/>
      </c>
      <c r="Q602" s="3">
        <f>F602*$D602</f>
        <v/>
      </c>
      <c r="R602" s="3">
        <f>G602*$D602</f>
        <v/>
      </c>
      <c r="S602" s="3">
        <f>H602*$D602</f>
        <v/>
      </c>
      <c r="T602" s="3">
        <f>I602*$D602</f>
        <v/>
      </c>
      <c r="U602" s="3">
        <f>J602*$D602</f>
        <v/>
      </c>
      <c r="V602" s="3">
        <f>K602*$D602</f>
        <v/>
      </c>
      <c r="W602" s="3">
        <f>L602*$D602</f>
        <v/>
      </c>
      <c r="X602" s="3">
        <f>M602*$D602</f>
        <v/>
      </c>
      <c r="Y602" s="3">
        <f>N602*$D602</f>
        <v/>
      </c>
      <c r="Z602" s="3">
        <f>C602*$D602</f>
        <v/>
      </c>
      <c r="AA602" s="9">
        <f>$L978+$K978*E602+$J978*F602+$I978*G602+$H978*H602+$G978*I602+$F978*J602+$E978*K602+$D978*L602+$C978*M602+$B978*N602</f>
        <v/>
      </c>
      <c r="AB602" s="9">
        <f>C602-AA602</f>
        <v/>
      </c>
      <c r="AC602" s="4">
        <f>AB602^2</f>
        <v/>
      </c>
    </row>
    <row r="603">
      <c r="A603" t="inlineStr">
        <is>
          <t>BBG000C5Z1S3</t>
        </is>
      </c>
      <c r="B603" t="inlineStr">
        <is>
          <t>mu</t>
        </is>
      </c>
      <c r="C603" s="9" t="n">
        <v>0.006125596330153193</v>
      </c>
      <c r="D603" s="3">
        <f>EXP(0.25*'3b-d Exposures'!G734)</f>
        <v/>
      </c>
      <c r="E603" s="3">
        <f>IF('3b-d Exposures'!C734="",0,'3b-d Exposures'!C734)</f>
        <v/>
      </c>
      <c r="F603" s="3">
        <f>IF('3b-d Exposures'!E734="",0,'3b-d Exposures'!E734)</f>
        <v/>
      </c>
      <c r="G603" s="3">
        <f>IF('3b-d Exposures'!G734="",0,'3b-d Exposures'!G734)</f>
        <v/>
      </c>
      <c r="H603" s="3">
        <f>IF('3b-d Exposures'!I734="",0,'3b-d Exposures'!I734)</f>
        <v/>
      </c>
      <c r="I603" s="3">
        <f>IF('3b-d Exposures'!K734="",0,'3b-d Exposures'!K734)</f>
        <v/>
      </c>
      <c r="J603" s="3">
        <f>IF('3b-d Exposures'!M734="",0,'3b-d Exposures'!M734)</f>
        <v/>
      </c>
      <c r="K603" s="3">
        <f>IF('3b-d Exposures'!O734="",0,'3b-d Exposures'!O734)</f>
        <v/>
      </c>
      <c r="L603" s="3">
        <f>IF('3b-d Exposures'!Q734="",0,'3b-d Exposures'!Q734)</f>
        <v/>
      </c>
      <c r="M603" s="3">
        <f>IF('3b-d Exposures'!S734="",0,'3b-d Exposures'!S734)</f>
        <v/>
      </c>
      <c r="N603" s="3">
        <f>IF('3b-d Exposures'!Z734="",0,'3b-d Exposures'!Z734)</f>
        <v/>
      </c>
      <c r="O603" s="3">
        <f>$D603</f>
        <v/>
      </c>
      <c r="P603" s="3">
        <f>E603*$D603</f>
        <v/>
      </c>
      <c r="Q603" s="3">
        <f>F603*$D603</f>
        <v/>
      </c>
      <c r="R603" s="3">
        <f>G603*$D603</f>
        <v/>
      </c>
      <c r="S603" s="3">
        <f>H603*$D603</f>
        <v/>
      </c>
      <c r="T603" s="3">
        <f>I603*$D603</f>
        <v/>
      </c>
      <c r="U603" s="3">
        <f>J603*$D603</f>
        <v/>
      </c>
      <c r="V603" s="3">
        <f>K603*$D603</f>
        <v/>
      </c>
      <c r="W603" s="3">
        <f>L603*$D603</f>
        <v/>
      </c>
      <c r="X603" s="3">
        <f>M603*$D603</f>
        <v/>
      </c>
      <c r="Y603" s="3">
        <f>N603*$D603</f>
        <v/>
      </c>
      <c r="Z603" s="3">
        <f>C603*$D603</f>
        <v/>
      </c>
      <c r="AA603" s="9">
        <f>$L978+$K978*E603+$J978*F603+$I978*G603+$H978*H603+$G978*I603+$F978*J603+$E978*K603+$D978*L603+$C978*M603+$B978*N603</f>
        <v/>
      </c>
      <c r="AB603" s="9">
        <f>C603-AA603</f>
        <v/>
      </c>
      <c r="AC603" s="4">
        <f>AB603^2</f>
        <v/>
      </c>
    </row>
    <row r="604">
      <c r="A604" t="inlineStr">
        <is>
          <t>BBG000BB6R33</t>
        </is>
      </c>
      <c r="B604" t="inlineStr">
        <is>
          <t>mxl</t>
        </is>
      </c>
      <c r="C604" s="9" t="n">
        <v>0.06873760436131082</v>
      </c>
      <c r="D604" s="3">
        <f>EXP(0.25*'3b-d Exposures'!G736)</f>
        <v/>
      </c>
      <c r="E604" s="3">
        <f>IF('3b-d Exposures'!C736="",0,'3b-d Exposures'!C736)</f>
        <v/>
      </c>
      <c r="F604" s="3">
        <f>IF('3b-d Exposures'!E736="",0,'3b-d Exposures'!E736)</f>
        <v/>
      </c>
      <c r="G604" s="3">
        <f>IF('3b-d Exposures'!G736="",0,'3b-d Exposures'!G736)</f>
        <v/>
      </c>
      <c r="H604" s="3">
        <f>IF('3b-d Exposures'!I736="",0,'3b-d Exposures'!I736)</f>
        <v/>
      </c>
      <c r="I604" s="3">
        <f>IF('3b-d Exposures'!K736="",0,'3b-d Exposures'!K736)</f>
        <v/>
      </c>
      <c r="J604" s="3">
        <f>IF('3b-d Exposures'!M736="",0,'3b-d Exposures'!M736)</f>
        <v/>
      </c>
      <c r="K604" s="3">
        <f>IF('3b-d Exposures'!O736="",0,'3b-d Exposures'!O736)</f>
        <v/>
      </c>
      <c r="L604" s="3">
        <f>IF('3b-d Exposures'!Q736="",0,'3b-d Exposures'!Q736)</f>
        <v/>
      </c>
      <c r="M604" s="3">
        <f>IF('3b-d Exposures'!S736="",0,'3b-d Exposures'!S736)</f>
        <v/>
      </c>
      <c r="N604" s="3">
        <f>IF('3b-d Exposures'!Z736="",0,'3b-d Exposures'!Z736)</f>
        <v/>
      </c>
      <c r="O604" s="3">
        <f>$D604</f>
        <v/>
      </c>
      <c r="P604" s="3">
        <f>E604*$D604</f>
        <v/>
      </c>
      <c r="Q604" s="3">
        <f>F604*$D604</f>
        <v/>
      </c>
      <c r="R604" s="3">
        <f>G604*$D604</f>
        <v/>
      </c>
      <c r="S604" s="3">
        <f>H604*$D604</f>
        <v/>
      </c>
      <c r="T604" s="3">
        <f>I604*$D604</f>
        <v/>
      </c>
      <c r="U604" s="3">
        <f>J604*$D604</f>
        <v/>
      </c>
      <c r="V604" s="3">
        <f>K604*$D604</f>
        <v/>
      </c>
      <c r="W604" s="3">
        <f>L604*$D604</f>
        <v/>
      </c>
      <c r="X604" s="3">
        <f>M604*$D604</f>
        <v/>
      </c>
      <c r="Y604" s="3">
        <f>N604*$D604</f>
        <v/>
      </c>
      <c r="Z604" s="3">
        <f>C604*$D604</f>
        <v/>
      </c>
      <c r="AA604" s="9">
        <f>$L978+$K978*E604+$J978*F604+$I978*G604+$H978*H604+$G978*I604+$F978*J604+$E978*K604+$D978*L604+$C978*M604+$B978*N604</f>
        <v/>
      </c>
      <c r="AB604" s="9">
        <f>C604-AA604</f>
        <v/>
      </c>
      <c r="AC604" s="4">
        <f>AB604^2</f>
        <v/>
      </c>
    </row>
    <row r="605">
      <c r="A605" t="inlineStr">
        <is>
          <t>BBG019Y0WP19</t>
        </is>
      </c>
      <c r="B605" t="inlineStr">
        <is>
          <t>natl</t>
        </is>
      </c>
      <c r="C605" s="9" t="n">
        <v>0.02925934301405242</v>
      </c>
      <c r="D605" s="3">
        <f>EXP(0.25*'3b-d Exposures'!G738)</f>
        <v/>
      </c>
      <c r="E605" s="3">
        <f>IF('3b-d Exposures'!C738="",0,'3b-d Exposures'!C738)</f>
        <v/>
      </c>
      <c r="F605" s="3">
        <f>IF('3b-d Exposures'!E738="",0,'3b-d Exposures'!E738)</f>
        <v/>
      </c>
      <c r="G605" s="3">
        <f>IF('3b-d Exposures'!G738="",0,'3b-d Exposures'!G738)</f>
        <v/>
      </c>
      <c r="H605" s="3">
        <f>IF('3b-d Exposures'!I738="",0,'3b-d Exposures'!I738)</f>
        <v/>
      </c>
      <c r="I605" s="3">
        <f>IF('3b-d Exposures'!K738="",0,'3b-d Exposures'!K738)</f>
        <v/>
      </c>
      <c r="J605" s="3">
        <f>IF('3b-d Exposures'!M738="",0,'3b-d Exposures'!M738)</f>
        <v/>
      </c>
      <c r="K605" s="3">
        <f>IF('3b-d Exposures'!O738="",0,'3b-d Exposures'!O738)</f>
        <v/>
      </c>
      <c r="L605" s="3">
        <f>IF('3b-d Exposures'!Q738="",0,'3b-d Exposures'!Q738)</f>
        <v/>
      </c>
      <c r="M605" s="3">
        <f>IF('3b-d Exposures'!S738="",0,'3b-d Exposures'!S738)</f>
        <v/>
      </c>
      <c r="N605" s="3">
        <f>IF('3b-d Exposures'!Z738="",0,'3b-d Exposures'!Z738)</f>
        <v/>
      </c>
      <c r="O605" s="3">
        <f>$D605</f>
        <v/>
      </c>
      <c r="P605" s="3">
        <f>E605*$D605</f>
        <v/>
      </c>
      <c r="Q605" s="3">
        <f>F605*$D605</f>
        <v/>
      </c>
      <c r="R605" s="3">
        <f>G605*$D605</f>
        <v/>
      </c>
      <c r="S605" s="3">
        <f>H605*$D605</f>
        <v/>
      </c>
      <c r="T605" s="3">
        <f>I605*$D605</f>
        <v/>
      </c>
      <c r="U605" s="3">
        <f>J605*$D605</f>
        <v/>
      </c>
      <c r="V605" s="3">
        <f>K605*$D605</f>
        <v/>
      </c>
      <c r="W605" s="3">
        <f>L605*$D605</f>
        <v/>
      </c>
      <c r="X605" s="3">
        <f>M605*$D605</f>
        <v/>
      </c>
      <c r="Y605" s="3">
        <f>N605*$D605</f>
        <v/>
      </c>
      <c r="Z605" s="3">
        <f>C605*$D605</f>
        <v/>
      </c>
      <c r="AA605" s="9">
        <f>$L978+$K978*E605+$J978*F605+$I978*G605+$H978*H605+$G978*I605+$F978*J605+$E978*K605+$D978*L605+$C978*M605+$B978*N605</f>
        <v/>
      </c>
      <c r="AB605" s="9">
        <f>C605-AA605</f>
        <v/>
      </c>
      <c r="AC605" s="4">
        <f>AB605^2</f>
        <v/>
      </c>
    </row>
    <row r="606">
      <c r="A606" t="inlineStr">
        <is>
          <t>BBG004MN1R41</t>
        </is>
      </c>
      <c r="B606" t="inlineStr">
        <is>
          <t>navi</t>
        </is>
      </c>
      <c r="C606" s="9" t="n">
        <v>-0.01925552290283405</v>
      </c>
      <c r="D606" s="3">
        <f>EXP(0.25*'3b-d Exposures'!G739)</f>
        <v/>
      </c>
      <c r="E606" s="3">
        <f>IF('3b-d Exposures'!C739="",0,'3b-d Exposures'!C739)</f>
        <v/>
      </c>
      <c r="F606" s="3">
        <f>IF('3b-d Exposures'!E739="",0,'3b-d Exposures'!E739)</f>
        <v/>
      </c>
      <c r="G606" s="3">
        <f>IF('3b-d Exposures'!G739="",0,'3b-d Exposures'!G739)</f>
        <v/>
      </c>
      <c r="H606" s="3">
        <f>IF('3b-d Exposures'!I739="",0,'3b-d Exposures'!I739)</f>
        <v/>
      </c>
      <c r="I606" s="3">
        <f>IF('3b-d Exposures'!K739="",0,'3b-d Exposures'!K739)</f>
        <v/>
      </c>
      <c r="J606" s="3">
        <f>IF('3b-d Exposures'!M739="",0,'3b-d Exposures'!M739)</f>
        <v/>
      </c>
      <c r="K606" s="3">
        <f>IF('3b-d Exposures'!O739="",0,'3b-d Exposures'!O739)</f>
        <v/>
      </c>
      <c r="L606" s="3">
        <f>IF('3b-d Exposures'!Q739="",0,'3b-d Exposures'!Q739)</f>
        <v/>
      </c>
      <c r="M606" s="3">
        <f>IF('3b-d Exposures'!S739="",0,'3b-d Exposures'!S739)</f>
        <v/>
      </c>
      <c r="N606" s="3">
        <f>IF('3b-d Exposures'!Z739="",0,'3b-d Exposures'!Z739)</f>
        <v/>
      </c>
      <c r="O606" s="3">
        <f>$D606</f>
        <v/>
      </c>
      <c r="P606" s="3">
        <f>E606*$D606</f>
        <v/>
      </c>
      <c r="Q606" s="3">
        <f>F606*$D606</f>
        <v/>
      </c>
      <c r="R606" s="3">
        <f>G606*$D606</f>
        <v/>
      </c>
      <c r="S606" s="3">
        <f>H606*$D606</f>
        <v/>
      </c>
      <c r="T606" s="3">
        <f>I606*$D606</f>
        <v/>
      </c>
      <c r="U606" s="3">
        <f>J606*$D606</f>
        <v/>
      </c>
      <c r="V606" s="3">
        <f>K606*$D606</f>
        <v/>
      </c>
      <c r="W606" s="3">
        <f>L606*$D606</f>
        <v/>
      </c>
      <c r="X606" s="3">
        <f>M606*$D606</f>
        <v/>
      </c>
      <c r="Y606" s="3">
        <f>N606*$D606</f>
        <v/>
      </c>
      <c r="Z606" s="3">
        <f>C606*$D606</f>
        <v/>
      </c>
      <c r="AA606" s="9">
        <f>$L978+$K978*E606+$J978*F606+$I978*G606+$H978*H606+$G978*I606+$F978*J606+$E978*K606+$D978*L606+$C978*M606+$B978*N606</f>
        <v/>
      </c>
      <c r="AB606" s="9">
        <f>C606-AA606</f>
        <v/>
      </c>
      <c r="AC606" s="4">
        <f>AB606^2</f>
        <v/>
      </c>
    </row>
    <row r="607">
      <c r="A607" t="inlineStr">
        <is>
          <t>BBG01KS1NK29</t>
        </is>
      </c>
      <c r="B607" t="inlineStr">
        <is>
          <t>nbbk</t>
        </is>
      </c>
      <c r="C607" s="9" t="n">
        <v>-0.0039722592444279</v>
      </c>
      <c r="D607" s="3">
        <f>EXP(0.25*'3b-d Exposures'!G740)</f>
        <v/>
      </c>
      <c r="E607" s="3">
        <f>IF('3b-d Exposures'!C740="",0,'3b-d Exposures'!C740)</f>
        <v/>
      </c>
      <c r="F607" s="3">
        <f>IF('3b-d Exposures'!E740="",0,'3b-d Exposures'!E740)</f>
        <v/>
      </c>
      <c r="G607" s="3">
        <f>IF('3b-d Exposures'!G740="",0,'3b-d Exposures'!G740)</f>
        <v/>
      </c>
      <c r="H607" s="3">
        <f>IF('3b-d Exposures'!I740="",0,'3b-d Exposures'!I740)</f>
        <v/>
      </c>
      <c r="I607" s="3">
        <f>IF('3b-d Exposures'!K740="",0,'3b-d Exposures'!K740)</f>
        <v/>
      </c>
      <c r="J607" s="3">
        <f>IF('3b-d Exposures'!M740="",0,'3b-d Exposures'!M740)</f>
        <v/>
      </c>
      <c r="K607" s="3">
        <f>IF('3b-d Exposures'!O740="",0,'3b-d Exposures'!O740)</f>
        <v/>
      </c>
      <c r="L607" s="3">
        <f>IF('3b-d Exposures'!Q740="",0,'3b-d Exposures'!Q740)</f>
        <v/>
      </c>
      <c r="M607" s="3">
        <f>IF('3b-d Exposures'!S740="",0,'3b-d Exposures'!S740)</f>
        <v/>
      </c>
      <c r="N607" s="3">
        <f>IF('3b-d Exposures'!Z740="",0,'3b-d Exposures'!Z740)</f>
        <v/>
      </c>
      <c r="O607" s="3">
        <f>$D607</f>
        <v/>
      </c>
      <c r="P607" s="3">
        <f>E607*$D607</f>
        <v/>
      </c>
      <c r="Q607" s="3">
        <f>F607*$D607</f>
        <v/>
      </c>
      <c r="R607" s="3">
        <f>G607*$D607</f>
        <v/>
      </c>
      <c r="S607" s="3">
        <f>H607*$D607</f>
        <v/>
      </c>
      <c r="T607" s="3">
        <f>I607*$D607</f>
        <v/>
      </c>
      <c r="U607" s="3">
        <f>J607*$D607</f>
        <v/>
      </c>
      <c r="V607" s="3">
        <f>K607*$D607</f>
        <v/>
      </c>
      <c r="W607" s="3">
        <f>L607*$D607</f>
        <v/>
      </c>
      <c r="X607" s="3">
        <f>M607*$D607</f>
        <v/>
      </c>
      <c r="Y607" s="3">
        <f>N607*$D607</f>
        <v/>
      </c>
      <c r="Z607" s="3">
        <f>C607*$D607</f>
        <v/>
      </c>
      <c r="AA607" s="9">
        <f>$L978+$K978*E607+$J978*F607+$I978*G607+$H978*H607+$G978*I607+$F978*J607+$E978*K607+$D978*L607+$C978*M607+$B978*N607</f>
        <v/>
      </c>
      <c r="AB607" s="9">
        <f>C607-AA607</f>
        <v/>
      </c>
      <c r="AC607" s="4">
        <f>AB607^2</f>
        <v/>
      </c>
    </row>
    <row r="608">
      <c r="A608" t="inlineStr">
        <is>
          <t>BBG000GJS7C1</t>
        </is>
      </c>
      <c r="B608" t="inlineStr">
        <is>
          <t>nbix</t>
        </is>
      </c>
      <c r="C608" s="9" t="n">
        <v>-0.006785014677329837</v>
      </c>
      <c r="D608" s="3">
        <f>EXP(0.25*'3b-d Exposures'!G741)</f>
        <v/>
      </c>
      <c r="E608" s="3">
        <f>IF('3b-d Exposures'!C741="",0,'3b-d Exposures'!C741)</f>
        <v/>
      </c>
      <c r="F608" s="3">
        <f>IF('3b-d Exposures'!E741="",0,'3b-d Exposures'!E741)</f>
        <v/>
      </c>
      <c r="G608" s="3">
        <f>IF('3b-d Exposures'!G741="",0,'3b-d Exposures'!G741)</f>
        <v/>
      </c>
      <c r="H608" s="3">
        <f>IF('3b-d Exposures'!I741="",0,'3b-d Exposures'!I741)</f>
        <v/>
      </c>
      <c r="I608" s="3">
        <f>IF('3b-d Exposures'!K741="",0,'3b-d Exposures'!K741)</f>
        <v/>
      </c>
      <c r="J608" s="3">
        <f>IF('3b-d Exposures'!M741="",0,'3b-d Exposures'!M741)</f>
        <v/>
      </c>
      <c r="K608" s="3">
        <f>IF('3b-d Exposures'!O741="",0,'3b-d Exposures'!O741)</f>
        <v/>
      </c>
      <c r="L608" s="3">
        <f>IF('3b-d Exposures'!Q741="",0,'3b-d Exposures'!Q741)</f>
        <v/>
      </c>
      <c r="M608" s="3">
        <f>IF('3b-d Exposures'!S741="",0,'3b-d Exposures'!S741)</f>
        <v/>
      </c>
      <c r="N608" s="3">
        <f>IF('3b-d Exposures'!Z741="",0,'3b-d Exposures'!Z741)</f>
        <v/>
      </c>
      <c r="O608" s="3">
        <f>$D608</f>
        <v/>
      </c>
      <c r="P608" s="3">
        <f>E608*$D608</f>
        <v/>
      </c>
      <c r="Q608" s="3">
        <f>F608*$D608</f>
        <v/>
      </c>
      <c r="R608" s="3">
        <f>G608*$D608</f>
        <v/>
      </c>
      <c r="S608" s="3">
        <f>H608*$D608</f>
        <v/>
      </c>
      <c r="T608" s="3">
        <f>I608*$D608</f>
        <v/>
      </c>
      <c r="U608" s="3">
        <f>J608*$D608</f>
        <v/>
      </c>
      <c r="V608" s="3">
        <f>K608*$D608</f>
        <v/>
      </c>
      <c r="W608" s="3">
        <f>L608*$D608</f>
        <v/>
      </c>
      <c r="X608" s="3">
        <f>M608*$D608</f>
        <v/>
      </c>
      <c r="Y608" s="3">
        <f>N608*$D608</f>
        <v/>
      </c>
      <c r="Z608" s="3">
        <f>C608*$D608</f>
        <v/>
      </c>
      <c r="AA608" s="9">
        <f>$L978+$K978*E608+$J978*F608+$I978*G608+$H978*H608+$G978*I608+$F978*J608+$E978*K608+$D978*L608+$C978*M608+$B978*N608</f>
        <v/>
      </c>
      <c r="AB608" s="9">
        <f>C608-AA608</f>
        <v/>
      </c>
      <c r="AC608" s="4">
        <f>AB608^2</f>
        <v/>
      </c>
    </row>
    <row r="609">
      <c r="A609" t="inlineStr">
        <is>
          <t>nclh</t>
        </is>
      </c>
      <c r="B609" t="inlineStr">
        <is>
          <t>nclh</t>
        </is>
      </c>
      <c r="C609" s="9" t="n">
        <v>0.05429531517145847</v>
      </c>
      <c r="D609" s="3">
        <f>EXP(0.25*'3b-d Exposures'!G742)</f>
        <v/>
      </c>
      <c r="E609" s="3">
        <f>IF('3b-d Exposures'!C742="",0,'3b-d Exposures'!C742)</f>
        <v/>
      </c>
      <c r="F609" s="3">
        <f>IF('3b-d Exposures'!E742="",0,'3b-d Exposures'!E742)</f>
        <v/>
      </c>
      <c r="G609" s="3">
        <f>IF('3b-d Exposures'!G742="",0,'3b-d Exposures'!G742)</f>
        <v/>
      </c>
      <c r="H609" s="3">
        <f>IF('3b-d Exposures'!I742="",0,'3b-d Exposures'!I742)</f>
        <v/>
      </c>
      <c r="I609" s="3">
        <f>IF('3b-d Exposures'!K742="",0,'3b-d Exposures'!K742)</f>
        <v/>
      </c>
      <c r="J609" s="3">
        <f>IF('3b-d Exposures'!M742="",0,'3b-d Exposures'!M742)</f>
        <v/>
      </c>
      <c r="K609" s="3">
        <f>IF('3b-d Exposures'!O742="",0,'3b-d Exposures'!O742)</f>
        <v/>
      </c>
      <c r="L609" s="3">
        <f>IF('3b-d Exposures'!Q742="",0,'3b-d Exposures'!Q742)</f>
        <v/>
      </c>
      <c r="M609" s="3">
        <f>IF('3b-d Exposures'!S742="",0,'3b-d Exposures'!S742)</f>
        <v/>
      </c>
      <c r="N609" s="3">
        <f>IF('3b-d Exposures'!Z742="",0,'3b-d Exposures'!Z742)</f>
        <v/>
      </c>
      <c r="O609" s="3">
        <f>$D609</f>
        <v/>
      </c>
      <c r="P609" s="3">
        <f>E609*$D609</f>
        <v/>
      </c>
      <c r="Q609" s="3">
        <f>F609*$D609</f>
        <v/>
      </c>
      <c r="R609" s="3">
        <f>G609*$D609</f>
        <v/>
      </c>
      <c r="S609" s="3">
        <f>H609*$D609</f>
        <v/>
      </c>
      <c r="T609" s="3">
        <f>I609*$D609</f>
        <v/>
      </c>
      <c r="U609" s="3">
        <f>J609*$D609</f>
        <v/>
      </c>
      <c r="V609" s="3">
        <f>K609*$D609</f>
        <v/>
      </c>
      <c r="W609" s="3">
        <f>L609*$D609</f>
        <v/>
      </c>
      <c r="X609" s="3">
        <f>M609*$D609</f>
        <v/>
      </c>
      <c r="Y609" s="3">
        <f>N609*$D609</f>
        <v/>
      </c>
      <c r="Z609" s="3">
        <f>C609*$D609</f>
        <v/>
      </c>
      <c r="AA609" s="9">
        <f>$L978+$K978*E609+$J978*F609+$I978*G609+$H978*H609+$G978*I609+$F978*J609+$E978*K609+$D978*L609+$C978*M609+$B978*N609</f>
        <v/>
      </c>
      <c r="AB609" s="9">
        <f>C609-AA609</f>
        <v/>
      </c>
      <c r="AC609" s="4">
        <f>AB609^2</f>
        <v/>
      </c>
    </row>
    <row r="610">
      <c r="A610" t="inlineStr">
        <is>
          <t>BBG000F5VVB6</t>
        </is>
      </c>
      <c r="B610" t="inlineStr">
        <is>
          <t>ndaq</t>
        </is>
      </c>
      <c r="C610" s="9" t="n">
        <v>-0.01614642927487897</v>
      </c>
      <c r="D610" s="3">
        <f>EXP(0.25*'3b-d Exposures'!G743)</f>
        <v/>
      </c>
      <c r="E610" s="3">
        <f>IF('3b-d Exposures'!C743="",0,'3b-d Exposures'!C743)</f>
        <v/>
      </c>
      <c r="F610" s="3">
        <f>IF('3b-d Exposures'!E743="",0,'3b-d Exposures'!E743)</f>
        <v/>
      </c>
      <c r="G610" s="3">
        <f>IF('3b-d Exposures'!G743="",0,'3b-d Exposures'!G743)</f>
        <v/>
      </c>
      <c r="H610" s="3">
        <f>IF('3b-d Exposures'!I743="",0,'3b-d Exposures'!I743)</f>
        <v/>
      </c>
      <c r="I610" s="3">
        <f>IF('3b-d Exposures'!K743="",0,'3b-d Exposures'!K743)</f>
        <v/>
      </c>
      <c r="J610" s="3">
        <f>IF('3b-d Exposures'!M743="",0,'3b-d Exposures'!M743)</f>
        <v/>
      </c>
      <c r="K610" s="3">
        <f>IF('3b-d Exposures'!O743="",0,'3b-d Exposures'!O743)</f>
        <v/>
      </c>
      <c r="L610" s="3">
        <f>IF('3b-d Exposures'!Q743="",0,'3b-d Exposures'!Q743)</f>
        <v/>
      </c>
      <c r="M610" s="3">
        <f>IF('3b-d Exposures'!S743="",0,'3b-d Exposures'!S743)</f>
        <v/>
      </c>
      <c r="N610" s="3">
        <f>IF('3b-d Exposures'!Z743="",0,'3b-d Exposures'!Z743)</f>
        <v/>
      </c>
      <c r="O610" s="3">
        <f>$D610</f>
        <v/>
      </c>
      <c r="P610" s="3">
        <f>E610*$D610</f>
        <v/>
      </c>
      <c r="Q610" s="3">
        <f>F610*$D610</f>
        <v/>
      </c>
      <c r="R610" s="3">
        <f>G610*$D610</f>
        <v/>
      </c>
      <c r="S610" s="3">
        <f>H610*$D610</f>
        <v/>
      </c>
      <c r="T610" s="3">
        <f>I610*$D610</f>
        <v/>
      </c>
      <c r="U610" s="3">
        <f>J610*$D610</f>
        <v/>
      </c>
      <c r="V610" s="3">
        <f>K610*$D610</f>
        <v/>
      </c>
      <c r="W610" s="3">
        <f>L610*$D610</f>
        <v/>
      </c>
      <c r="X610" s="3">
        <f>M610*$D610</f>
        <v/>
      </c>
      <c r="Y610" s="3">
        <f>N610*$D610</f>
        <v/>
      </c>
      <c r="Z610" s="3">
        <f>C610*$D610</f>
        <v/>
      </c>
      <c r="AA610" s="9">
        <f>$L978+$K978*E610+$J978*F610+$I978*G610+$H978*H610+$G978*I610+$F978*J610+$E978*K610+$D978*L610+$C978*M610+$B978*N610</f>
        <v/>
      </c>
      <c r="AB610" s="9">
        <f>C610-AA610</f>
        <v/>
      </c>
      <c r="AC610" s="4">
        <f>AB610^2</f>
        <v/>
      </c>
    </row>
    <row r="611">
      <c r="A611" t="inlineStr">
        <is>
          <t>BBG000BPWGR1</t>
        </is>
      </c>
      <c r="B611" t="inlineStr">
        <is>
          <t>ndsn</t>
        </is>
      </c>
      <c r="C611" s="9" t="n">
        <v>-0.007050062136515378</v>
      </c>
      <c r="D611" s="3">
        <f>EXP(0.25*'3b-d Exposures'!G744)</f>
        <v/>
      </c>
      <c r="E611" s="3">
        <f>IF('3b-d Exposures'!C744="",0,'3b-d Exposures'!C744)</f>
        <v/>
      </c>
      <c r="F611" s="3">
        <f>IF('3b-d Exposures'!E744="",0,'3b-d Exposures'!E744)</f>
        <v/>
      </c>
      <c r="G611" s="3">
        <f>IF('3b-d Exposures'!G744="",0,'3b-d Exposures'!G744)</f>
        <v/>
      </c>
      <c r="H611" s="3">
        <f>IF('3b-d Exposures'!I744="",0,'3b-d Exposures'!I744)</f>
        <v/>
      </c>
      <c r="I611" s="3">
        <f>IF('3b-d Exposures'!K744="",0,'3b-d Exposures'!K744)</f>
        <v/>
      </c>
      <c r="J611" s="3">
        <f>IF('3b-d Exposures'!M744="",0,'3b-d Exposures'!M744)</f>
        <v/>
      </c>
      <c r="K611" s="3">
        <f>IF('3b-d Exposures'!O744="",0,'3b-d Exposures'!O744)</f>
        <v/>
      </c>
      <c r="L611" s="3">
        <f>IF('3b-d Exposures'!Q744="",0,'3b-d Exposures'!Q744)</f>
        <v/>
      </c>
      <c r="M611" s="3">
        <f>IF('3b-d Exposures'!S744="",0,'3b-d Exposures'!S744)</f>
        <v/>
      </c>
      <c r="N611" s="3">
        <f>IF('3b-d Exposures'!Z744="",0,'3b-d Exposures'!Z744)</f>
        <v/>
      </c>
      <c r="O611" s="3">
        <f>$D611</f>
        <v/>
      </c>
      <c r="P611" s="3">
        <f>E611*$D611</f>
        <v/>
      </c>
      <c r="Q611" s="3">
        <f>F611*$D611</f>
        <v/>
      </c>
      <c r="R611" s="3">
        <f>G611*$D611</f>
        <v/>
      </c>
      <c r="S611" s="3">
        <f>H611*$D611</f>
        <v/>
      </c>
      <c r="T611" s="3">
        <f>I611*$D611</f>
        <v/>
      </c>
      <c r="U611" s="3">
        <f>J611*$D611</f>
        <v/>
      </c>
      <c r="V611" s="3">
        <f>K611*$D611</f>
        <v/>
      </c>
      <c r="W611" s="3">
        <f>L611*$D611</f>
        <v/>
      </c>
      <c r="X611" s="3">
        <f>M611*$D611</f>
        <v/>
      </c>
      <c r="Y611" s="3">
        <f>N611*$D611</f>
        <v/>
      </c>
      <c r="Z611" s="3">
        <f>C611*$D611</f>
        <v/>
      </c>
      <c r="AA611" s="9">
        <f>$L978+$K978*E611+$J978*F611+$I978*G611+$H978*H611+$G978*I611+$F978*J611+$E978*K611+$D978*L611+$C978*M611+$B978*N611</f>
        <v/>
      </c>
      <c r="AB611" s="9">
        <f>C611-AA611</f>
        <v/>
      </c>
      <c r="AC611" s="4">
        <f>AB611^2</f>
        <v/>
      </c>
    </row>
    <row r="612">
      <c r="A612" t="inlineStr">
        <is>
          <t>BBG000BJSBJ0</t>
        </is>
      </c>
      <c r="B612" t="inlineStr">
        <is>
          <t>nee</t>
        </is>
      </c>
      <c r="C612" s="9" t="n">
        <v>-0.02033819297337069</v>
      </c>
      <c r="D612" s="3">
        <f>EXP(0.25*'3b-d Exposures'!G745)</f>
        <v/>
      </c>
      <c r="E612" s="3">
        <f>IF('3b-d Exposures'!C745="",0,'3b-d Exposures'!C745)</f>
        <v/>
      </c>
      <c r="F612" s="3">
        <f>IF('3b-d Exposures'!E745="",0,'3b-d Exposures'!E745)</f>
        <v/>
      </c>
      <c r="G612" s="3">
        <f>IF('3b-d Exposures'!G745="",0,'3b-d Exposures'!G745)</f>
        <v/>
      </c>
      <c r="H612" s="3">
        <f>IF('3b-d Exposures'!I745="",0,'3b-d Exposures'!I745)</f>
        <v/>
      </c>
      <c r="I612" s="3">
        <f>IF('3b-d Exposures'!K745="",0,'3b-d Exposures'!K745)</f>
        <v/>
      </c>
      <c r="J612" s="3">
        <f>IF('3b-d Exposures'!M745="",0,'3b-d Exposures'!M745)</f>
        <v/>
      </c>
      <c r="K612" s="3">
        <f>IF('3b-d Exposures'!O745="",0,'3b-d Exposures'!O745)</f>
        <v/>
      </c>
      <c r="L612" s="3">
        <f>IF('3b-d Exposures'!Q745="",0,'3b-d Exposures'!Q745)</f>
        <v/>
      </c>
      <c r="M612" s="3">
        <f>IF('3b-d Exposures'!S745="",0,'3b-d Exposures'!S745)</f>
        <v/>
      </c>
      <c r="N612" s="3">
        <f>IF('3b-d Exposures'!Z745="",0,'3b-d Exposures'!Z745)</f>
        <v/>
      </c>
      <c r="O612" s="3">
        <f>$D612</f>
        <v/>
      </c>
      <c r="P612" s="3">
        <f>E612*$D612</f>
        <v/>
      </c>
      <c r="Q612" s="3">
        <f>F612*$D612</f>
        <v/>
      </c>
      <c r="R612" s="3">
        <f>G612*$D612</f>
        <v/>
      </c>
      <c r="S612" s="3">
        <f>H612*$D612</f>
        <v/>
      </c>
      <c r="T612" s="3">
        <f>I612*$D612</f>
        <v/>
      </c>
      <c r="U612" s="3">
        <f>J612*$D612</f>
        <v/>
      </c>
      <c r="V612" s="3">
        <f>K612*$D612</f>
        <v/>
      </c>
      <c r="W612" s="3">
        <f>L612*$D612</f>
        <v/>
      </c>
      <c r="X612" s="3">
        <f>M612*$D612</f>
        <v/>
      </c>
      <c r="Y612" s="3">
        <f>N612*$D612</f>
        <v/>
      </c>
      <c r="Z612" s="3">
        <f>C612*$D612</f>
        <v/>
      </c>
      <c r="AA612" s="9">
        <f>$L978+$K978*E612+$J978*F612+$I978*G612+$H978*H612+$G978*I612+$F978*J612+$E978*K612+$D978*L612+$C978*M612+$B978*N612</f>
        <v/>
      </c>
      <c r="AB612" s="9">
        <f>C612-AA612</f>
        <v/>
      </c>
      <c r="AC612" s="4">
        <f>AB612^2</f>
        <v/>
      </c>
    </row>
    <row r="613">
      <c r="A613" t="inlineStr">
        <is>
          <t>nem</t>
        </is>
      </c>
      <c r="B613" t="inlineStr">
        <is>
          <t>nem</t>
        </is>
      </c>
      <c r="C613" s="9" t="n">
        <v>-0.02455886745283264</v>
      </c>
      <c r="D613" s="3">
        <f>EXP(0.25*'3b-d Exposures'!G746)</f>
        <v/>
      </c>
      <c r="E613" s="3">
        <f>IF('3b-d Exposures'!C746="",0,'3b-d Exposures'!C746)</f>
        <v/>
      </c>
      <c r="F613" s="3">
        <f>IF('3b-d Exposures'!E746="",0,'3b-d Exposures'!E746)</f>
        <v/>
      </c>
      <c r="G613" s="3">
        <f>IF('3b-d Exposures'!G746="",0,'3b-d Exposures'!G746)</f>
        <v/>
      </c>
      <c r="H613" s="3">
        <f>IF('3b-d Exposures'!I746="",0,'3b-d Exposures'!I746)</f>
        <v/>
      </c>
      <c r="I613" s="3">
        <f>IF('3b-d Exposures'!K746="",0,'3b-d Exposures'!K746)</f>
        <v/>
      </c>
      <c r="J613" s="3">
        <f>IF('3b-d Exposures'!M746="",0,'3b-d Exposures'!M746)</f>
        <v/>
      </c>
      <c r="K613" s="3">
        <f>IF('3b-d Exposures'!O746="",0,'3b-d Exposures'!O746)</f>
        <v/>
      </c>
      <c r="L613" s="3">
        <f>IF('3b-d Exposures'!Q746="",0,'3b-d Exposures'!Q746)</f>
        <v/>
      </c>
      <c r="M613" s="3">
        <f>IF('3b-d Exposures'!S746="",0,'3b-d Exposures'!S746)</f>
        <v/>
      </c>
      <c r="N613" s="3">
        <f>IF('3b-d Exposures'!Z746="",0,'3b-d Exposures'!Z746)</f>
        <v/>
      </c>
      <c r="O613" s="3">
        <f>$D613</f>
        <v/>
      </c>
      <c r="P613" s="3">
        <f>E613*$D613</f>
        <v/>
      </c>
      <c r="Q613" s="3">
        <f>F613*$D613</f>
        <v/>
      </c>
      <c r="R613" s="3">
        <f>G613*$D613</f>
        <v/>
      </c>
      <c r="S613" s="3">
        <f>H613*$D613</f>
        <v/>
      </c>
      <c r="T613" s="3">
        <f>I613*$D613</f>
        <v/>
      </c>
      <c r="U613" s="3">
        <f>J613*$D613</f>
        <v/>
      </c>
      <c r="V613" s="3">
        <f>K613*$D613</f>
        <v/>
      </c>
      <c r="W613" s="3">
        <f>L613*$D613</f>
        <v/>
      </c>
      <c r="X613" s="3">
        <f>M613*$D613</f>
        <v/>
      </c>
      <c r="Y613" s="3">
        <f>N613*$D613</f>
        <v/>
      </c>
      <c r="Z613" s="3">
        <f>C613*$D613</f>
        <v/>
      </c>
      <c r="AA613" s="9">
        <f>$L978+$K978*E613+$J978*F613+$I978*G613+$H978*H613+$G978*I613+$F978*J613+$E978*K613+$D978*L613+$C978*M613+$B978*N613</f>
        <v/>
      </c>
      <c r="AB613" s="9">
        <f>C613-AA613</f>
        <v/>
      </c>
      <c r="AC613" s="4">
        <f>AB613^2</f>
        <v/>
      </c>
    </row>
    <row r="614">
      <c r="A614" t="inlineStr">
        <is>
          <t>BBG000BJ5SS8</t>
        </is>
      </c>
      <c r="B614" t="inlineStr">
        <is>
          <t>neu</t>
        </is>
      </c>
      <c r="C614" s="9" t="n">
        <v>0.01617458531072491</v>
      </c>
      <c r="D614" s="3">
        <f>EXP(0.25*'3b-d Exposures'!G748)</f>
        <v/>
      </c>
      <c r="E614" s="3">
        <f>IF('3b-d Exposures'!C748="",0,'3b-d Exposures'!C748)</f>
        <v/>
      </c>
      <c r="F614" s="3">
        <f>IF('3b-d Exposures'!E748="",0,'3b-d Exposures'!E748)</f>
        <v/>
      </c>
      <c r="G614" s="3">
        <f>IF('3b-d Exposures'!G748="",0,'3b-d Exposures'!G748)</f>
        <v/>
      </c>
      <c r="H614" s="3">
        <f>IF('3b-d Exposures'!I748="",0,'3b-d Exposures'!I748)</f>
        <v/>
      </c>
      <c r="I614" s="3">
        <f>IF('3b-d Exposures'!K748="",0,'3b-d Exposures'!K748)</f>
        <v/>
      </c>
      <c r="J614" s="3">
        <f>IF('3b-d Exposures'!M748="",0,'3b-d Exposures'!M748)</f>
        <v/>
      </c>
      <c r="K614" s="3">
        <f>IF('3b-d Exposures'!O748="",0,'3b-d Exposures'!O748)</f>
        <v/>
      </c>
      <c r="L614" s="3">
        <f>IF('3b-d Exposures'!Q748="",0,'3b-d Exposures'!Q748)</f>
        <v/>
      </c>
      <c r="M614" s="3">
        <f>IF('3b-d Exposures'!S748="",0,'3b-d Exposures'!S748)</f>
        <v/>
      </c>
      <c r="N614" s="3">
        <f>IF('3b-d Exposures'!Z748="",0,'3b-d Exposures'!Z748)</f>
        <v/>
      </c>
      <c r="O614" s="3">
        <f>$D614</f>
        <v/>
      </c>
      <c r="P614" s="3">
        <f>E614*$D614</f>
        <v/>
      </c>
      <c r="Q614" s="3">
        <f>F614*$D614</f>
        <v/>
      </c>
      <c r="R614" s="3">
        <f>G614*$D614</f>
        <v/>
      </c>
      <c r="S614" s="3">
        <f>H614*$D614</f>
        <v/>
      </c>
      <c r="T614" s="3">
        <f>I614*$D614</f>
        <v/>
      </c>
      <c r="U614" s="3">
        <f>J614*$D614</f>
        <v/>
      </c>
      <c r="V614" s="3">
        <f>K614*$D614</f>
        <v/>
      </c>
      <c r="W614" s="3">
        <f>L614*$D614</f>
        <v/>
      </c>
      <c r="X614" s="3">
        <f>M614*$D614</f>
        <v/>
      </c>
      <c r="Y614" s="3">
        <f>N614*$D614</f>
        <v/>
      </c>
      <c r="Z614" s="3">
        <f>C614*$D614</f>
        <v/>
      </c>
      <c r="AA614" s="9">
        <f>$L978+$K978*E614+$J978*F614+$I978*G614+$H978*H614+$G978*I614+$F978*J614+$E978*K614+$D978*L614+$C978*M614+$B978*N614</f>
        <v/>
      </c>
      <c r="AB614" s="9">
        <f>C614-AA614</f>
        <v/>
      </c>
      <c r="AC614" s="4">
        <f>AB614^2</f>
        <v/>
      </c>
    </row>
    <row r="615">
      <c r="A615" t="inlineStr">
        <is>
          <t>BBG000CL9VN6</t>
        </is>
      </c>
      <c r="B615" t="inlineStr">
        <is>
          <t>nflx</t>
        </is>
      </c>
      <c r="C615" s="9" t="n">
        <v>0.01232510145741483</v>
      </c>
      <c r="D615" s="3">
        <f>EXP(0.25*'3b-d Exposures'!G749)</f>
        <v/>
      </c>
      <c r="E615" s="3">
        <f>IF('3b-d Exposures'!C749="",0,'3b-d Exposures'!C749)</f>
        <v/>
      </c>
      <c r="F615" s="3">
        <f>IF('3b-d Exposures'!E749="",0,'3b-d Exposures'!E749)</f>
        <v/>
      </c>
      <c r="G615" s="3">
        <f>IF('3b-d Exposures'!G749="",0,'3b-d Exposures'!G749)</f>
        <v/>
      </c>
      <c r="H615" s="3">
        <f>IF('3b-d Exposures'!I749="",0,'3b-d Exposures'!I749)</f>
        <v/>
      </c>
      <c r="I615" s="3">
        <f>IF('3b-d Exposures'!K749="",0,'3b-d Exposures'!K749)</f>
        <v/>
      </c>
      <c r="J615" s="3">
        <f>IF('3b-d Exposures'!M749="",0,'3b-d Exposures'!M749)</f>
        <v/>
      </c>
      <c r="K615" s="3">
        <f>IF('3b-d Exposures'!O749="",0,'3b-d Exposures'!O749)</f>
        <v/>
      </c>
      <c r="L615" s="3">
        <f>IF('3b-d Exposures'!Q749="",0,'3b-d Exposures'!Q749)</f>
        <v/>
      </c>
      <c r="M615" s="3">
        <f>IF('3b-d Exposures'!S749="",0,'3b-d Exposures'!S749)</f>
        <v/>
      </c>
      <c r="N615" s="3">
        <f>IF('3b-d Exposures'!Z749="",0,'3b-d Exposures'!Z749)</f>
        <v/>
      </c>
      <c r="O615" s="3">
        <f>$D615</f>
        <v/>
      </c>
      <c r="P615" s="3">
        <f>E615*$D615</f>
        <v/>
      </c>
      <c r="Q615" s="3">
        <f>F615*$D615</f>
        <v/>
      </c>
      <c r="R615" s="3">
        <f>G615*$D615</f>
        <v/>
      </c>
      <c r="S615" s="3">
        <f>H615*$D615</f>
        <v/>
      </c>
      <c r="T615" s="3">
        <f>I615*$D615</f>
        <v/>
      </c>
      <c r="U615" s="3">
        <f>J615*$D615</f>
        <v/>
      </c>
      <c r="V615" s="3">
        <f>K615*$D615</f>
        <v/>
      </c>
      <c r="W615" s="3">
        <f>L615*$D615</f>
        <v/>
      </c>
      <c r="X615" s="3">
        <f>M615*$D615</f>
        <v/>
      </c>
      <c r="Y615" s="3">
        <f>N615*$D615</f>
        <v/>
      </c>
      <c r="Z615" s="3">
        <f>C615*$D615</f>
        <v/>
      </c>
      <c r="AA615" s="9">
        <f>$L978+$K978*E615+$J978*F615+$I978*G615+$H978*H615+$G978*I615+$F978*J615+$E978*K615+$D978*L615+$C978*M615+$B978*N615</f>
        <v/>
      </c>
      <c r="AB615" s="9">
        <f>C615-AA615</f>
        <v/>
      </c>
      <c r="AC615" s="4">
        <f>AB615^2</f>
        <v/>
      </c>
    </row>
    <row r="616">
      <c r="A616" t="inlineStr">
        <is>
          <t>BBG000D25424</t>
        </is>
      </c>
      <c r="B616" t="inlineStr">
        <is>
          <t>ng</t>
        </is>
      </c>
      <c r="C616" s="9" t="n">
        <v>-0.03005468058327609</v>
      </c>
      <c r="D616" s="3">
        <f>EXP(0.25*'3b-d Exposures'!G750)</f>
        <v/>
      </c>
      <c r="E616" s="3">
        <f>IF('3b-d Exposures'!C750="",0,'3b-d Exposures'!C750)</f>
        <v/>
      </c>
      <c r="F616" s="3">
        <f>IF('3b-d Exposures'!E750="",0,'3b-d Exposures'!E750)</f>
        <v/>
      </c>
      <c r="G616" s="3">
        <f>IF('3b-d Exposures'!G750="",0,'3b-d Exposures'!G750)</f>
        <v/>
      </c>
      <c r="H616" s="3">
        <f>IF('3b-d Exposures'!I750="",0,'3b-d Exposures'!I750)</f>
        <v/>
      </c>
      <c r="I616" s="3">
        <f>IF('3b-d Exposures'!K750="",0,'3b-d Exposures'!K750)</f>
        <v/>
      </c>
      <c r="J616" s="3">
        <f>IF('3b-d Exposures'!M750="",0,'3b-d Exposures'!M750)</f>
        <v/>
      </c>
      <c r="K616" s="3">
        <f>IF('3b-d Exposures'!O750="",0,'3b-d Exposures'!O750)</f>
        <v/>
      </c>
      <c r="L616" s="3">
        <f>IF('3b-d Exposures'!Q750="",0,'3b-d Exposures'!Q750)</f>
        <v/>
      </c>
      <c r="M616" s="3">
        <f>IF('3b-d Exposures'!S750="",0,'3b-d Exposures'!S750)</f>
        <v/>
      </c>
      <c r="N616" s="3">
        <f>IF('3b-d Exposures'!Z750="",0,'3b-d Exposures'!Z750)</f>
        <v/>
      </c>
      <c r="O616" s="3">
        <f>$D616</f>
        <v/>
      </c>
      <c r="P616" s="3">
        <f>E616*$D616</f>
        <v/>
      </c>
      <c r="Q616" s="3">
        <f>F616*$D616</f>
        <v/>
      </c>
      <c r="R616" s="3">
        <f>G616*$D616</f>
        <v/>
      </c>
      <c r="S616" s="3">
        <f>H616*$D616</f>
        <v/>
      </c>
      <c r="T616" s="3">
        <f>I616*$D616</f>
        <v/>
      </c>
      <c r="U616" s="3">
        <f>J616*$D616</f>
        <v/>
      </c>
      <c r="V616" s="3">
        <f>K616*$D616</f>
        <v/>
      </c>
      <c r="W616" s="3">
        <f>L616*$D616</f>
        <v/>
      </c>
      <c r="X616" s="3">
        <f>M616*$D616</f>
        <v/>
      </c>
      <c r="Y616" s="3">
        <f>N616*$D616</f>
        <v/>
      </c>
      <c r="Z616" s="3">
        <f>C616*$D616</f>
        <v/>
      </c>
      <c r="AA616" s="9">
        <f>$L978+$K978*E616+$J978*F616+$I978*G616+$H978*H616+$G978*I616+$F978*J616+$E978*K616+$D978*L616+$C978*M616+$B978*N616</f>
        <v/>
      </c>
      <c r="AB616" s="9">
        <f>C616-AA616</f>
        <v/>
      </c>
      <c r="AC616" s="4">
        <f>AB616^2</f>
        <v/>
      </c>
    </row>
    <row r="617">
      <c r="A617" t="inlineStr">
        <is>
          <t>BBG000BPZBB6</t>
        </is>
      </c>
      <c r="B617" t="inlineStr">
        <is>
          <t>ni</t>
        </is>
      </c>
      <c r="C617" s="9" t="n">
        <v>-0.01942771811878163</v>
      </c>
      <c r="D617" s="3">
        <f>EXP(0.25*'3b-d Exposures'!G751)</f>
        <v/>
      </c>
      <c r="E617" s="3">
        <f>IF('3b-d Exposures'!C751="",0,'3b-d Exposures'!C751)</f>
        <v/>
      </c>
      <c r="F617" s="3">
        <f>IF('3b-d Exposures'!E751="",0,'3b-d Exposures'!E751)</f>
        <v/>
      </c>
      <c r="G617" s="3">
        <f>IF('3b-d Exposures'!G751="",0,'3b-d Exposures'!G751)</f>
        <v/>
      </c>
      <c r="H617" s="3">
        <f>IF('3b-d Exposures'!I751="",0,'3b-d Exposures'!I751)</f>
        <v/>
      </c>
      <c r="I617" s="3">
        <f>IF('3b-d Exposures'!K751="",0,'3b-d Exposures'!K751)</f>
        <v/>
      </c>
      <c r="J617" s="3">
        <f>IF('3b-d Exposures'!M751="",0,'3b-d Exposures'!M751)</f>
        <v/>
      </c>
      <c r="K617" s="3">
        <f>IF('3b-d Exposures'!O751="",0,'3b-d Exposures'!O751)</f>
        <v/>
      </c>
      <c r="L617" s="3">
        <f>IF('3b-d Exposures'!Q751="",0,'3b-d Exposures'!Q751)</f>
        <v/>
      </c>
      <c r="M617" s="3">
        <f>IF('3b-d Exposures'!S751="",0,'3b-d Exposures'!S751)</f>
        <v/>
      </c>
      <c r="N617" s="3">
        <f>IF('3b-d Exposures'!Z751="",0,'3b-d Exposures'!Z751)</f>
        <v/>
      </c>
      <c r="O617" s="3">
        <f>$D617</f>
        <v/>
      </c>
      <c r="P617" s="3">
        <f>E617*$D617</f>
        <v/>
      </c>
      <c r="Q617" s="3">
        <f>F617*$D617</f>
        <v/>
      </c>
      <c r="R617" s="3">
        <f>G617*$D617</f>
        <v/>
      </c>
      <c r="S617" s="3">
        <f>H617*$D617</f>
        <v/>
      </c>
      <c r="T617" s="3">
        <f>I617*$D617</f>
        <v/>
      </c>
      <c r="U617" s="3">
        <f>J617*$D617</f>
        <v/>
      </c>
      <c r="V617" s="3">
        <f>K617*$D617</f>
        <v/>
      </c>
      <c r="W617" s="3">
        <f>L617*$D617</f>
        <v/>
      </c>
      <c r="X617" s="3">
        <f>M617*$D617</f>
        <v/>
      </c>
      <c r="Y617" s="3">
        <f>N617*$D617</f>
        <v/>
      </c>
      <c r="Z617" s="3">
        <f>C617*$D617</f>
        <v/>
      </c>
      <c r="AA617" s="9">
        <f>$L978+$K978*E617+$J978*F617+$I978*G617+$H978*H617+$G978*I617+$F978*J617+$E978*K617+$D978*L617+$C978*M617+$B978*N617</f>
        <v/>
      </c>
      <c r="AB617" s="9">
        <f>C617-AA617</f>
        <v/>
      </c>
      <c r="AC617" s="4">
        <f>AB617^2</f>
        <v/>
      </c>
    </row>
    <row r="618">
      <c r="A618" t="inlineStr">
        <is>
          <t>BBG000KC17R4</t>
        </is>
      </c>
      <c r="B618" t="inlineStr">
        <is>
          <t>nice</t>
        </is>
      </c>
      <c r="C618" s="9" t="n">
        <v>0.01134615236641712</v>
      </c>
      <c r="D618" s="3">
        <f>EXP(0.25*'3b-d Exposures'!G752)</f>
        <v/>
      </c>
      <c r="E618" s="3">
        <f>IF('3b-d Exposures'!C752="",0,'3b-d Exposures'!C752)</f>
        <v/>
      </c>
      <c r="F618" s="3">
        <f>IF('3b-d Exposures'!E752="",0,'3b-d Exposures'!E752)</f>
        <v/>
      </c>
      <c r="G618" s="3">
        <f>IF('3b-d Exposures'!G752="",0,'3b-d Exposures'!G752)</f>
        <v/>
      </c>
      <c r="H618" s="3">
        <f>IF('3b-d Exposures'!I752="",0,'3b-d Exposures'!I752)</f>
        <v/>
      </c>
      <c r="I618" s="3">
        <f>IF('3b-d Exposures'!K752="",0,'3b-d Exposures'!K752)</f>
        <v/>
      </c>
      <c r="J618" s="3">
        <f>IF('3b-d Exposures'!M752="",0,'3b-d Exposures'!M752)</f>
        <v/>
      </c>
      <c r="K618" s="3">
        <f>IF('3b-d Exposures'!O752="",0,'3b-d Exposures'!O752)</f>
        <v/>
      </c>
      <c r="L618" s="3">
        <f>IF('3b-d Exposures'!Q752="",0,'3b-d Exposures'!Q752)</f>
        <v/>
      </c>
      <c r="M618" s="3">
        <f>IF('3b-d Exposures'!S752="",0,'3b-d Exposures'!S752)</f>
        <v/>
      </c>
      <c r="N618" s="3">
        <f>IF('3b-d Exposures'!Z752="",0,'3b-d Exposures'!Z752)</f>
        <v/>
      </c>
      <c r="O618" s="3">
        <f>$D618</f>
        <v/>
      </c>
      <c r="P618" s="3">
        <f>E618*$D618</f>
        <v/>
      </c>
      <c r="Q618" s="3">
        <f>F618*$D618</f>
        <v/>
      </c>
      <c r="R618" s="3">
        <f>G618*$D618</f>
        <v/>
      </c>
      <c r="S618" s="3">
        <f>H618*$D618</f>
        <v/>
      </c>
      <c r="T618" s="3">
        <f>I618*$D618</f>
        <v/>
      </c>
      <c r="U618" s="3">
        <f>J618*$D618</f>
        <v/>
      </c>
      <c r="V618" s="3">
        <f>K618*$D618</f>
        <v/>
      </c>
      <c r="W618" s="3">
        <f>L618*$D618</f>
        <v/>
      </c>
      <c r="X618" s="3">
        <f>M618*$D618</f>
        <v/>
      </c>
      <c r="Y618" s="3">
        <f>N618*$D618</f>
        <v/>
      </c>
      <c r="Z618" s="3">
        <f>C618*$D618</f>
        <v/>
      </c>
      <c r="AA618" s="9">
        <f>$L978+$K978*E618+$J978*F618+$I978*G618+$H978*H618+$G978*I618+$F978*J618+$E978*K618+$D978*L618+$C978*M618+$B978*N618</f>
        <v/>
      </c>
      <c r="AB618" s="9">
        <f>C618-AA618</f>
        <v/>
      </c>
      <c r="AC618" s="4">
        <f>AB618^2</f>
        <v/>
      </c>
    </row>
    <row r="619">
      <c r="A619" t="inlineStr">
        <is>
          <t>BBG000C5HS04</t>
        </is>
      </c>
      <c r="B619" t="inlineStr">
        <is>
          <t>nke</t>
        </is>
      </c>
      <c r="C619" s="9" t="n">
        <v>0.00918724282125849</v>
      </c>
      <c r="D619" s="3">
        <f>EXP(0.25*'3b-d Exposures'!G753)</f>
        <v/>
      </c>
      <c r="E619" s="3">
        <f>IF('3b-d Exposures'!C753="",0,'3b-d Exposures'!C753)</f>
        <v/>
      </c>
      <c r="F619" s="3">
        <f>IF('3b-d Exposures'!E753="",0,'3b-d Exposures'!E753)</f>
        <v/>
      </c>
      <c r="G619" s="3">
        <f>IF('3b-d Exposures'!G753="",0,'3b-d Exposures'!G753)</f>
        <v/>
      </c>
      <c r="H619" s="3">
        <f>IF('3b-d Exposures'!I753="",0,'3b-d Exposures'!I753)</f>
        <v/>
      </c>
      <c r="I619" s="3">
        <f>IF('3b-d Exposures'!K753="",0,'3b-d Exposures'!K753)</f>
        <v/>
      </c>
      <c r="J619" s="3">
        <f>IF('3b-d Exposures'!M753="",0,'3b-d Exposures'!M753)</f>
        <v/>
      </c>
      <c r="K619" s="3">
        <f>IF('3b-d Exposures'!O753="",0,'3b-d Exposures'!O753)</f>
        <v/>
      </c>
      <c r="L619" s="3">
        <f>IF('3b-d Exposures'!Q753="",0,'3b-d Exposures'!Q753)</f>
        <v/>
      </c>
      <c r="M619" s="3">
        <f>IF('3b-d Exposures'!S753="",0,'3b-d Exposures'!S753)</f>
        <v/>
      </c>
      <c r="N619" s="3">
        <f>IF('3b-d Exposures'!Z753="",0,'3b-d Exposures'!Z753)</f>
        <v/>
      </c>
      <c r="O619" s="3">
        <f>$D619</f>
        <v/>
      </c>
      <c r="P619" s="3">
        <f>E619*$D619</f>
        <v/>
      </c>
      <c r="Q619" s="3">
        <f>F619*$D619</f>
        <v/>
      </c>
      <c r="R619" s="3">
        <f>G619*$D619</f>
        <v/>
      </c>
      <c r="S619" s="3">
        <f>H619*$D619</f>
        <v/>
      </c>
      <c r="T619" s="3">
        <f>I619*$D619</f>
        <v/>
      </c>
      <c r="U619" s="3">
        <f>J619*$D619</f>
        <v/>
      </c>
      <c r="V619" s="3">
        <f>K619*$D619</f>
        <v/>
      </c>
      <c r="W619" s="3">
        <f>L619*$D619</f>
        <v/>
      </c>
      <c r="X619" s="3">
        <f>M619*$D619</f>
        <v/>
      </c>
      <c r="Y619" s="3">
        <f>N619*$D619</f>
        <v/>
      </c>
      <c r="Z619" s="3">
        <f>C619*$D619</f>
        <v/>
      </c>
      <c r="AA619" s="9">
        <f>$L978+$K978*E619+$J978*F619+$I978*G619+$H978*H619+$G978*I619+$F978*J619+$E978*K619+$D978*L619+$C978*M619+$B978*N619</f>
        <v/>
      </c>
      <c r="AB619" s="9">
        <f>C619-AA619</f>
        <v/>
      </c>
      <c r="AC619" s="4">
        <f>AB619^2</f>
        <v/>
      </c>
    </row>
    <row r="620">
      <c r="A620" t="inlineStr">
        <is>
          <t>BBG000BG22J4</t>
        </is>
      </c>
      <c r="B620" t="inlineStr">
        <is>
          <t>nmfc</t>
        </is>
      </c>
      <c r="C620" s="9" t="n">
        <v>-0.006699958454168264</v>
      </c>
      <c r="D620" s="3">
        <f>EXP(0.25*'3b-d Exposures'!G754)</f>
        <v/>
      </c>
      <c r="E620" s="3">
        <f>IF('3b-d Exposures'!C754="",0,'3b-d Exposures'!C754)</f>
        <v/>
      </c>
      <c r="F620" s="3">
        <f>IF('3b-d Exposures'!E754="",0,'3b-d Exposures'!E754)</f>
        <v/>
      </c>
      <c r="G620" s="3">
        <f>IF('3b-d Exposures'!G754="",0,'3b-d Exposures'!G754)</f>
        <v/>
      </c>
      <c r="H620" s="3">
        <f>IF('3b-d Exposures'!I754="",0,'3b-d Exposures'!I754)</f>
        <v/>
      </c>
      <c r="I620" s="3">
        <f>IF('3b-d Exposures'!K754="",0,'3b-d Exposures'!K754)</f>
        <v/>
      </c>
      <c r="J620" s="3">
        <f>IF('3b-d Exposures'!M754="",0,'3b-d Exposures'!M754)</f>
        <v/>
      </c>
      <c r="K620" s="3">
        <f>IF('3b-d Exposures'!O754="",0,'3b-d Exposures'!O754)</f>
        <v/>
      </c>
      <c r="L620" s="3">
        <f>IF('3b-d Exposures'!Q754="",0,'3b-d Exposures'!Q754)</f>
        <v/>
      </c>
      <c r="M620" s="3">
        <f>IF('3b-d Exposures'!S754="",0,'3b-d Exposures'!S754)</f>
        <v/>
      </c>
      <c r="N620" s="3">
        <f>IF('3b-d Exposures'!Z754="",0,'3b-d Exposures'!Z754)</f>
        <v/>
      </c>
      <c r="O620" s="3">
        <f>$D620</f>
        <v/>
      </c>
      <c r="P620" s="3">
        <f>E620*$D620</f>
        <v/>
      </c>
      <c r="Q620" s="3">
        <f>F620*$D620</f>
        <v/>
      </c>
      <c r="R620" s="3">
        <f>G620*$D620</f>
        <v/>
      </c>
      <c r="S620" s="3">
        <f>H620*$D620</f>
        <v/>
      </c>
      <c r="T620" s="3">
        <f>I620*$D620</f>
        <v/>
      </c>
      <c r="U620" s="3">
        <f>J620*$D620</f>
        <v/>
      </c>
      <c r="V620" s="3">
        <f>K620*$D620</f>
        <v/>
      </c>
      <c r="W620" s="3">
        <f>L620*$D620</f>
        <v/>
      </c>
      <c r="X620" s="3">
        <f>M620*$D620</f>
        <v/>
      </c>
      <c r="Y620" s="3">
        <f>N620*$D620</f>
        <v/>
      </c>
      <c r="Z620" s="3">
        <f>C620*$D620</f>
        <v/>
      </c>
      <c r="AA620" s="9">
        <f>$L978+$K978*E620+$J978*F620+$I978*G620+$H978*H620+$G978*I620+$F978*J620+$E978*K620+$D978*L620+$C978*M620+$B978*N620</f>
        <v/>
      </c>
      <c r="AB620" s="9">
        <f>C620-AA620</f>
        <v/>
      </c>
      <c r="AC620" s="4">
        <f>AB620^2</f>
        <v/>
      </c>
    </row>
    <row r="621">
      <c r="A621" t="inlineStr">
        <is>
          <t>BBG012W9C4X1</t>
        </is>
      </c>
      <c r="B621" t="inlineStr">
        <is>
          <t>nmra</t>
        </is>
      </c>
      <c r="C621" s="9" t="n">
        <v>-0.01408444623325011</v>
      </c>
      <c r="D621" s="3">
        <f>EXP(0.25*'3b-d Exposures'!G755)</f>
        <v/>
      </c>
      <c r="E621" s="3">
        <f>IF('3b-d Exposures'!C755="",0,'3b-d Exposures'!C755)</f>
        <v/>
      </c>
      <c r="F621" s="3">
        <f>IF('3b-d Exposures'!E755="",0,'3b-d Exposures'!E755)</f>
        <v/>
      </c>
      <c r="G621" s="3">
        <f>IF('3b-d Exposures'!G755="",0,'3b-d Exposures'!G755)</f>
        <v/>
      </c>
      <c r="H621" s="3">
        <f>IF('3b-d Exposures'!I755="",0,'3b-d Exposures'!I755)</f>
        <v/>
      </c>
      <c r="I621" s="3">
        <f>IF('3b-d Exposures'!K755="",0,'3b-d Exposures'!K755)</f>
        <v/>
      </c>
      <c r="J621" s="3">
        <f>IF('3b-d Exposures'!M755="",0,'3b-d Exposures'!M755)</f>
        <v/>
      </c>
      <c r="K621" s="3">
        <f>IF('3b-d Exposures'!O755="",0,'3b-d Exposures'!O755)</f>
        <v/>
      </c>
      <c r="L621" s="3">
        <f>IF('3b-d Exposures'!Q755="",0,'3b-d Exposures'!Q755)</f>
        <v/>
      </c>
      <c r="M621" s="3">
        <f>IF('3b-d Exposures'!S755="",0,'3b-d Exposures'!S755)</f>
        <v/>
      </c>
      <c r="N621" s="3">
        <f>IF('3b-d Exposures'!Z755="",0,'3b-d Exposures'!Z755)</f>
        <v/>
      </c>
      <c r="O621" s="3">
        <f>$D621</f>
        <v/>
      </c>
      <c r="P621" s="3">
        <f>E621*$D621</f>
        <v/>
      </c>
      <c r="Q621" s="3">
        <f>F621*$D621</f>
        <v/>
      </c>
      <c r="R621" s="3">
        <f>G621*$D621</f>
        <v/>
      </c>
      <c r="S621" s="3">
        <f>H621*$D621</f>
        <v/>
      </c>
      <c r="T621" s="3">
        <f>I621*$D621</f>
        <v/>
      </c>
      <c r="U621" s="3">
        <f>J621*$D621</f>
        <v/>
      </c>
      <c r="V621" s="3">
        <f>K621*$D621</f>
        <v/>
      </c>
      <c r="W621" s="3">
        <f>L621*$D621</f>
        <v/>
      </c>
      <c r="X621" s="3">
        <f>M621*$D621</f>
        <v/>
      </c>
      <c r="Y621" s="3">
        <f>N621*$D621</f>
        <v/>
      </c>
      <c r="Z621" s="3">
        <f>C621*$D621</f>
        <v/>
      </c>
      <c r="AA621" s="9">
        <f>$L978+$K978*E621+$J978*F621+$I978*G621+$H978*H621+$G978*I621+$F978*J621+$E978*K621+$D978*L621+$C978*M621+$B978*N621</f>
        <v/>
      </c>
      <c r="AB621" s="9">
        <f>C621-AA621</f>
        <v/>
      </c>
      <c r="AC621" s="4">
        <f>AB621^2</f>
        <v/>
      </c>
    </row>
    <row r="622">
      <c r="A622" t="inlineStr">
        <is>
          <t>BBG000CLP0Y4</t>
        </is>
      </c>
      <c r="B622" t="inlineStr">
        <is>
          <t>nnn</t>
        </is>
      </c>
      <c r="C622" s="9" t="n">
        <v>-0.003183274236546074</v>
      </c>
      <c r="D622" s="3">
        <f>EXP(0.25*'3b-d Exposures'!G756)</f>
        <v/>
      </c>
      <c r="E622" s="3">
        <f>IF('3b-d Exposures'!C756="",0,'3b-d Exposures'!C756)</f>
        <v/>
      </c>
      <c r="F622" s="3">
        <f>IF('3b-d Exposures'!E756="",0,'3b-d Exposures'!E756)</f>
        <v/>
      </c>
      <c r="G622" s="3">
        <f>IF('3b-d Exposures'!G756="",0,'3b-d Exposures'!G756)</f>
        <v/>
      </c>
      <c r="H622" s="3">
        <f>IF('3b-d Exposures'!I756="",0,'3b-d Exposures'!I756)</f>
        <v/>
      </c>
      <c r="I622" s="3">
        <f>IF('3b-d Exposures'!K756="",0,'3b-d Exposures'!K756)</f>
        <v/>
      </c>
      <c r="J622" s="3">
        <f>IF('3b-d Exposures'!M756="",0,'3b-d Exposures'!M756)</f>
        <v/>
      </c>
      <c r="K622" s="3">
        <f>IF('3b-d Exposures'!O756="",0,'3b-d Exposures'!O756)</f>
        <v/>
      </c>
      <c r="L622" s="3">
        <f>IF('3b-d Exposures'!Q756="",0,'3b-d Exposures'!Q756)</f>
        <v/>
      </c>
      <c r="M622" s="3">
        <f>IF('3b-d Exposures'!S756="",0,'3b-d Exposures'!S756)</f>
        <v/>
      </c>
      <c r="N622" s="3">
        <f>IF('3b-d Exposures'!Z756="",0,'3b-d Exposures'!Z756)</f>
        <v/>
      </c>
      <c r="O622" s="3">
        <f>$D622</f>
        <v/>
      </c>
      <c r="P622" s="3">
        <f>E622*$D622</f>
        <v/>
      </c>
      <c r="Q622" s="3">
        <f>F622*$D622</f>
        <v/>
      </c>
      <c r="R622" s="3">
        <f>G622*$D622</f>
        <v/>
      </c>
      <c r="S622" s="3">
        <f>H622*$D622</f>
        <v/>
      </c>
      <c r="T622" s="3">
        <f>I622*$D622</f>
        <v/>
      </c>
      <c r="U622" s="3">
        <f>J622*$D622</f>
        <v/>
      </c>
      <c r="V622" s="3">
        <f>K622*$D622</f>
        <v/>
      </c>
      <c r="W622" s="3">
        <f>L622*$D622</f>
        <v/>
      </c>
      <c r="X622" s="3">
        <f>M622*$D622</f>
        <v/>
      </c>
      <c r="Y622" s="3">
        <f>N622*$D622</f>
        <v/>
      </c>
      <c r="Z622" s="3">
        <f>C622*$D622</f>
        <v/>
      </c>
      <c r="AA622" s="9">
        <f>$L978+$K978*E622+$J978*F622+$I978*G622+$H978*H622+$G978*I622+$F978*J622+$E978*K622+$D978*L622+$C978*M622+$B978*N622</f>
        <v/>
      </c>
      <c r="AB622" s="9">
        <f>C622-AA622</f>
        <v/>
      </c>
      <c r="AC622" s="4">
        <f>AB622^2</f>
        <v/>
      </c>
    </row>
    <row r="623">
      <c r="A623" t="inlineStr">
        <is>
          <t>BBG000BQ2C28</t>
        </is>
      </c>
      <c r="B623" t="inlineStr">
        <is>
          <t>noc</t>
        </is>
      </c>
      <c r="C623" s="9" t="n">
        <v>-0.005824619053411806</v>
      </c>
      <c r="D623" s="3">
        <f>EXP(0.25*'3b-d Exposures'!G757)</f>
        <v/>
      </c>
      <c r="E623" s="3">
        <f>IF('3b-d Exposures'!C757="",0,'3b-d Exposures'!C757)</f>
        <v/>
      </c>
      <c r="F623" s="3">
        <f>IF('3b-d Exposures'!E757="",0,'3b-d Exposures'!E757)</f>
        <v/>
      </c>
      <c r="G623" s="3">
        <f>IF('3b-d Exposures'!G757="",0,'3b-d Exposures'!G757)</f>
        <v/>
      </c>
      <c r="H623" s="3">
        <f>IF('3b-d Exposures'!I757="",0,'3b-d Exposures'!I757)</f>
        <v/>
      </c>
      <c r="I623" s="3">
        <f>IF('3b-d Exposures'!K757="",0,'3b-d Exposures'!K757)</f>
        <v/>
      </c>
      <c r="J623" s="3">
        <f>IF('3b-d Exposures'!M757="",0,'3b-d Exposures'!M757)</f>
        <v/>
      </c>
      <c r="K623" s="3">
        <f>IF('3b-d Exposures'!O757="",0,'3b-d Exposures'!O757)</f>
        <v/>
      </c>
      <c r="L623" s="3">
        <f>IF('3b-d Exposures'!Q757="",0,'3b-d Exposures'!Q757)</f>
        <v/>
      </c>
      <c r="M623" s="3">
        <f>IF('3b-d Exposures'!S757="",0,'3b-d Exposures'!S757)</f>
        <v/>
      </c>
      <c r="N623" s="3">
        <f>IF('3b-d Exposures'!Z757="",0,'3b-d Exposures'!Z757)</f>
        <v/>
      </c>
      <c r="O623" s="3">
        <f>$D623</f>
        <v/>
      </c>
      <c r="P623" s="3">
        <f>E623*$D623</f>
        <v/>
      </c>
      <c r="Q623" s="3">
        <f>F623*$D623</f>
        <v/>
      </c>
      <c r="R623" s="3">
        <f>G623*$D623</f>
        <v/>
      </c>
      <c r="S623" s="3">
        <f>H623*$D623</f>
        <v/>
      </c>
      <c r="T623" s="3">
        <f>I623*$D623</f>
        <v/>
      </c>
      <c r="U623" s="3">
        <f>J623*$D623</f>
        <v/>
      </c>
      <c r="V623" s="3">
        <f>K623*$D623</f>
        <v/>
      </c>
      <c r="W623" s="3">
        <f>L623*$D623</f>
        <v/>
      </c>
      <c r="X623" s="3">
        <f>M623*$D623</f>
        <v/>
      </c>
      <c r="Y623" s="3">
        <f>N623*$D623</f>
        <v/>
      </c>
      <c r="Z623" s="3">
        <f>C623*$D623</f>
        <v/>
      </c>
      <c r="AA623" s="9">
        <f>$L978+$K978*E623+$J978*F623+$I978*G623+$H978*H623+$G978*I623+$F978*J623+$E978*K623+$D978*L623+$C978*M623+$B978*N623</f>
        <v/>
      </c>
      <c r="AB623" s="9">
        <f>C623-AA623</f>
        <v/>
      </c>
      <c r="AC623" s="4">
        <f>AB623^2</f>
        <v/>
      </c>
    </row>
    <row r="624">
      <c r="A624" t="inlineStr">
        <is>
          <t>BBG000M1R011</t>
        </is>
      </c>
      <c r="B624" t="inlineStr">
        <is>
          <t>now</t>
        </is>
      </c>
      <c r="C624" s="9" t="n">
        <v>-0.0009623982749821236</v>
      </c>
      <c r="D624" s="3">
        <f>EXP(0.25*'3b-d Exposures'!G759)</f>
        <v/>
      </c>
      <c r="E624" s="3">
        <f>IF('3b-d Exposures'!C759="",0,'3b-d Exposures'!C759)</f>
        <v/>
      </c>
      <c r="F624" s="3">
        <f>IF('3b-d Exposures'!E759="",0,'3b-d Exposures'!E759)</f>
        <v/>
      </c>
      <c r="G624" s="3">
        <f>IF('3b-d Exposures'!G759="",0,'3b-d Exposures'!G759)</f>
        <v/>
      </c>
      <c r="H624" s="3">
        <f>IF('3b-d Exposures'!I759="",0,'3b-d Exposures'!I759)</f>
        <v/>
      </c>
      <c r="I624" s="3">
        <f>IF('3b-d Exposures'!K759="",0,'3b-d Exposures'!K759)</f>
        <v/>
      </c>
      <c r="J624" s="3">
        <f>IF('3b-d Exposures'!M759="",0,'3b-d Exposures'!M759)</f>
        <v/>
      </c>
      <c r="K624" s="3">
        <f>IF('3b-d Exposures'!O759="",0,'3b-d Exposures'!O759)</f>
        <v/>
      </c>
      <c r="L624" s="3">
        <f>IF('3b-d Exposures'!Q759="",0,'3b-d Exposures'!Q759)</f>
        <v/>
      </c>
      <c r="M624" s="3">
        <f>IF('3b-d Exposures'!S759="",0,'3b-d Exposures'!S759)</f>
        <v/>
      </c>
      <c r="N624" s="3">
        <f>IF('3b-d Exposures'!Z759="",0,'3b-d Exposures'!Z759)</f>
        <v/>
      </c>
      <c r="O624" s="3">
        <f>$D624</f>
        <v/>
      </c>
      <c r="P624" s="3">
        <f>E624*$D624</f>
        <v/>
      </c>
      <c r="Q624" s="3">
        <f>F624*$D624</f>
        <v/>
      </c>
      <c r="R624" s="3">
        <f>G624*$D624</f>
        <v/>
      </c>
      <c r="S624" s="3">
        <f>H624*$D624</f>
        <v/>
      </c>
      <c r="T624" s="3">
        <f>I624*$D624</f>
        <v/>
      </c>
      <c r="U624" s="3">
        <f>J624*$D624</f>
        <v/>
      </c>
      <c r="V624" s="3">
        <f>K624*$D624</f>
        <v/>
      </c>
      <c r="W624" s="3">
        <f>L624*$D624</f>
        <v/>
      </c>
      <c r="X624" s="3">
        <f>M624*$D624</f>
        <v/>
      </c>
      <c r="Y624" s="3">
        <f>N624*$D624</f>
        <v/>
      </c>
      <c r="Z624" s="3">
        <f>C624*$D624</f>
        <v/>
      </c>
      <c r="AA624" s="9">
        <f>$L978+$K978*E624+$J978*F624+$I978*G624+$H978*H624+$G978*I624+$F978*J624+$E978*K624+$D978*L624+$C978*M624+$B978*N624</f>
        <v/>
      </c>
      <c r="AB624" s="9">
        <f>C624-AA624</f>
        <v/>
      </c>
      <c r="AC624" s="4">
        <f>AB624^2</f>
        <v/>
      </c>
    </row>
    <row r="625">
      <c r="A625" t="inlineStr">
        <is>
          <t>BBG008417VN4</t>
        </is>
      </c>
      <c r="B625" t="inlineStr">
        <is>
          <t>nsa</t>
        </is>
      </c>
      <c r="C625" s="9" t="n">
        <v>-0.006651899634137926</v>
      </c>
      <c r="D625" s="3">
        <f>EXP(0.25*'3b-d Exposures'!G763)</f>
        <v/>
      </c>
      <c r="E625" s="3">
        <f>IF('3b-d Exposures'!C763="",0,'3b-d Exposures'!C763)</f>
        <v/>
      </c>
      <c r="F625" s="3">
        <f>IF('3b-d Exposures'!E763="",0,'3b-d Exposures'!E763)</f>
        <v/>
      </c>
      <c r="G625" s="3">
        <f>IF('3b-d Exposures'!G763="",0,'3b-d Exposures'!G763)</f>
        <v/>
      </c>
      <c r="H625" s="3">
        <f>IF('3b-d Exposures'!I763="",0,'3b-d Exposures'!I763)</f>
        <v/>
      </c>
      <c r="I625" s="3">
        <f>IF('3b-d Exposures'!K763="",0,'3b-d Exposures'!K763)</f>
        <v/>
      </c>
      <c r="J625" s="3">
        <f>IF('3b-d Exposures'!M763="",0,'3b-d Exposures'!M763)</f>
        <v/>
      </c>
      <c r="K625" s="3">
        <f>IF('3b-d Exposures'!O763="",0,'3b-d Exposures'!O763)</f>
        <v/>
      </c>
      <c r="L625" s="3">
        <f>IF('3b-d Exposures'!Q763="",0,'3b-d Exposures'!Q763)</f>
        <v/>
      </c>
      <c r="M625" s="3">
        <f>IF('3b-d Exposures'!S763="",0,'3b-d Exposures'!S763)</f>
        <v/>
      </c>
      <c r="N625" s="3">
        <f>IF('3b-d Exposures'!Z763="",0,'3b-d Exposures'!Z763)</f>
        <v/>
      </c>
      <c r="O625" s="3">
        <f>$D625</f>
        <v/>
      </c>
      <c r="P625" s="3">
        <f>E625*$D625</f>
        <v/>
      </c>
      <c r="Q625" s="3">
        <f>F625*$D625</f>
        <v/>
      </c>
      <c r="R625" s="3">
        <f>G625*$D625</f>
        <v/>
      </c>
      <c r="S625" s="3">
        <f>H625*$D625</f>
        <v/>
      </c>
      <c r="T625" s="3">
        <f>I625*$D625</f>
        <v/>
      </c>
      <c r="U625" s="3">
        <f>J625*$D625</f>
        <v/>
      </c>
      <c r="V625" s="3">
        <f>K625*$D625</f>
        <v/>
      </c>
      <c r="W625" s="3">
        <f>L625*$D625</f>
        <v/>
      </c>
      <c r="X625" s="3">
        <f>M625*$D625</f>
        <v/>
      </c>
      <c r="Y625" s="3">
        <f>N625*$D625</f>
        <v/>
      </c>
      <c r="Z625" s="3">
        <f>C625*$D625</f>
        <v/>
      </c>
      <c r="AA625" s="9">
        <f>$L978+$K978*E625+$J978*F625+$I978*G625+$H978*H625+$G978*I625+$F978*J625+$E978*K625+$D978*L625+$C978*M625+$B978*N625</f>
        <v/>
      </c>
      <c r="AB625" s="9">
        <f>C625-AA625</f>
        <v/>
      </c>
      <c r="AC625" s="4">
        <f>AB625^2</f>
        <v/>
      </c>
    </row>
    <row r="626">
      <c r="A626" t="inlineStr">
        <is>
          <t>BBG000BQ5DS5</t>
        </is>
      </c>
      <c r="B626" t="inlineStr">
        <is>
          <t>nsc</t>
        </is>
      </c>
      <c r="C626" s="9" t="n">
        <v>-0.01123792868754014</v>
      </c>
      <c r="D626" s="3">
        <f>EXP(0.25*'3b-d Exposures'!G764)</f>
        <v/>
      </c>
      <c r="E626" s="3">
        <f>IF('3b-d Exposures'!C764="",0,'3b-d Exposures'!C764)</f>
        <v/>
      </c>
      <c r="F626" s="3">
        <f>IF('3b-d Exposures'!E764="",0,'3b-d Exposures'!E764)</f>
        <v/>
      </c>
      <c r="G626" s="3">
        <f>IF('3b-d Exposures'!G764="",0,'3b-d Exposures'!G764)</f>
        <v/>
      </c>
      <c r="H626" s="3">
        <f>IF('3b-d Exposures'!I764="",0,'3b-d Exposures'!I764)</f>
        <v/>
      </c>
      <c r="I626" s="3">
        <f>IF('3b-d Exposures'!K764="",0,'3b-d Exposures'!K764)</f>
        <v/>
      </c>
      <c r="J626" s="3">
        <f>IF('3b-d Exposures'!M764="",0,'3b-d Exposures'!M764)</f>
        <v/>
      </c>
      <c r="K626" s="3">
        <f>IF('3b-d Exposures'!O764="",0,'3b-d Exposures'!O764)</f>
        <v/>
      </c>
      <c r="L626" s="3">
        <f>IF('3b-d Exposures'!Q764="",0,'3b-d Exposures'!Q764)</f>
        <v/>
      </c>
      <c r="M626" s="3">
        <f>IF('3b-d Exposures'!S764="",0,'3b-d Exposures'!S764)</f>
        <v/>
      </c>
      <c r="N626" s="3">
        <f>IF('3b-d Exposures'!Z764="",0,'3b-d Exposures'!Z764)</f>
        <v/>
      </c>
      <c r="O626" s="3">
        <f>$D626</f>
        <v/>
      </c>
      <c r="P626" s="3">
        <f>E626*$D626</f>
        <v/>
      </c>
      <c r="Q626" s="3">
        <f>F626*$D626</f>
        <v/>
      </c>
      <c r="R626" s="3">
        <f>G626*$D626</f>
        <v/>
      </c>
      <c r="S626" s="3">
        <f>H626*$D626</f>
        <v/>
      </c>
      <c r="T626" s="3">
        <f>I626*$D626</f>
        <v/>
      </c>
      <c r="U626" s="3">
        <f>J626*$D626</f>
        <v/>
      </c>
      <c r="V626" s="3">
        <f>K626*$D626</f>
        <v/>
      </c>
      <c r="W626" s="3">
        <f>L626*$D626</f>
        <v/>
      </c>
      <c r="X626" s="3">
        <f>M626*$D626</f>
        <v/>
      </c>
      <c r="Y626" s="3">
        <f>N626*$D626</f>
        <v/>
      </c>
      <c r="Z626" s="3">
        <f>C626*$D626</f>
        <v/>
      </c>
      <c r="AA626" s="9">
        <f>$L978+$K978*E626+$J978*F626+$I978*G626+$H978*H626+$G978*I626+$F978*J626+$E978*K626+$D978*L626+$C978*M626+$B978*N626</f>
        <v/>
      </c>
      <c r="AB626" s="9">
        <f>C626-AA626</f>
        <v/>
      </c>
      <c r="AC626" s="4">
        <f>AB626^2</f>
        <v/>
      </c>
    </row>
    <row r="627">
      <c r="A627" t="inlineStr">
        <is>
          <t>BBG000FP1N32</t>
        </is>
      </c>
      <c r="B627" t="inlineStr">
        <is>
          <t>ntap</t>
        </is>
      </c>
      <c r="C627" s="9" t="n">
        <v>0.005300077332728081</v>
      </c>
      <c r="D627" s="3">
        <f>EXP(0.25*'3b-d Exposures'!G765)</f>
        <v/>
      </c>
      <c r="E627" s="3">
        <f>IF('3b-d Exposures'!C765="",0,'3b-d Exposures'!C765)</f>
        <v/>
      </c>
      <c r="F627" s="3">
        <f>IF('3b-d Exposures'!E765="",0,'3b-d Exposures'!E765)</f>
        <v/>
      </c>
      <c r="G627" s="3">
        <f>IF('3b-d Exposures'!G765="",0,'3b-d Exposures'!G765)</f>
        <v/>
      </c>
      <c r="H627" s="3">
        <f>IF('3b-d Exposures'!I765="",0,'3b-d Exposures'!I765)</f>
        <v/>
      </c>
      <c r="I627" s="3">
        <f>IF('3b-d Exposures'!K765="",0,'3b-d Exposures'!K765)</f>
        <v/>
      </c>
      <c r="J627" s="3">
        <f>IF('3b-d Exposures'!M765="",0,'3b-d Exposures'!M765)</f>
        <v/>
      </c>
      <c r="K627" s="3">
        <f>IF('3b-d Exposures'!O765="",0,'3b-d Exposures'!O765)</f>
        <v/>
      </c>
      <c r="L627" s="3">
        <f>IF('3b-d Exposures'!Q765="",0,'3b-d Exposures'!Q765)</f>
        <v/>
      </c>
      <c r="M627" s="3">
        <f>IF('3b-d Exposures'!S765="",0,'3b-d Exposures'!S765)</f>
        <v/>
      </c>
      <c r="N627" s="3">
        <f>IF('3b-d Exposures'!Z765="",0,'3b-d Exposures'!Z765)</f>
        <v/>
      </c>
      <c r="O627" s="3">
        <f>$D627</f>
        <v/>
      </c>
      <c r="P627" s="3">
        <f>E627*$D627</f>
        <v/>
      </c>
      <c r="Q627" s="3">
        <f>F627*$D627</f>
        <v/>
      </c>
      <c r="R627" s="3">
        <f>G627*$D627</f>
        <v/>
      </c>
      <c r="S627" s="3">
        <f>H627*$D627</f>
        <v/>
      </c>
      <c r="T627" s="3">
        <f>I627*$D627</f>
        <v/>
      </c>
      <c r="U627" s="3">
        <f>J627*$D627</f>
        <v/>
      </c>
      <c r="V627" s="3">
        <f>K627*$D627</f>
        <v/>
      </c>
      <c r="W627" s="3">
        <f>L627*$D627</f>
        <v/>
      </c>
      <c r="X627" s="3">
        <f>M627*$D627</f>
        <v/>
      </c>
      <c r="Y627" s="3">
        <f>N627*$D627</f>
        <v/>
      </c>
      <c r="Z627" s="3">
        <f>C627*$D627</f>
        <v/>
      </c>
      <c r="AA627" s="9">
        <f>$L978+$K978*E627+$J978*F627+$I978*G627+$H978*H627+$G978*I627+$F978*J627+$E978*K627+$D978*L627+$C978*M627+$B978*N627</f>
        <v/>
      </c>
      <c r="AB627" s="9">
        <f>C627-AA627</f>
        <v/>
      </c>
      <c r="AC627" s="4">
        <f>AB627^2</f>
        <v/>
      </c>
    </row>
    <row r="628">
      <c r="A628" t="inlineStr">
        <is>
          <t>BBG000BX72V8</t>
        </is>
      </c>
      <c r="B628" t="inlineStr">
        <is>
          <t>ntes</t>
        </is>
      </c>
      <c r="C628" s="9" t="n">
        <v>0.01588941488671214</v>
      </c>
      <c r="D628" s="3">
        <f>EXP(0.25*'3b-d Exposures'!G766)</f>
        <v/>
      </c>
      <c r="E628" s="3">
        <f>IF('3b-d Exposures'!C766="",0,'3b-d Exposures'!C766)</f>
        <v/>
      </c>
      <c r="F628" s="3">
        <f>IF('3b-d Exposures'!E766="",0,'3b-d Exposures'!E766)</f>
        <v/>
      </c>
      <c r="G628" s="3">
        <f>IF('3b-d Exposures'!G766="",0,'3b-d Exposures'!G766)</f>
        <v/>
      </c>
      <c r="H628" s="3">
        <f>IF('3b-d Exposures'!I766="",0,'3b-d Exposures'!I766)</f>
        <v/>
      </c>
      <c r="I628" s="3">
        <f>IF('3b-d Exposures'!K766="",0,'3b-d Exposures'!K766)</f>
        <v/>
      </c>
      <c r="J628" s="3">
        <f>IF('3b-d Exposures'!M766="",0,'3b-d Exposures'!M766)</f>
        <v/>
      </c>
      <c r="K628" s="3">
        <f>IF('3b-d Exposures'!O766="",0,'3b-d Exposures'!O766)</f>
        <v/>
      </c>
      <c r="L628" s="3">
        <f>IF('3b-d Exposures'!Q766="",0,'3b-d Exposures'!Q766)</f>
        <v/>
      </c>
      <c r="M628" s="3">
        <f>IF('3b-d Exposures'!S766="",0,'3b-d Exposures'!S766)</f>
        <v/>
      </c>
      <c r="N628" s="3">
        <f>IF('3b-d Exposures'!Z766="",0,'3b-d Exposures'!Z766)</f>
        <v/>
      </c>
      <c r="O628" s="3">
        <f>$D628</f>
        <v/>
      </c>
      <c r="P628" s="3">
        <f>E628*$D628</f>
        <v/>
      </c>
      <c r="Q628" s="3">
        <f>F628*$D628</f>
        <v/>
      </c>
      <c r="R628" s="3">
        <f>G628*$D628</f>
        <v/>
      </c>
      <c r="S628" s="3">
        <f>H628*$D628</f>
        <v/>
      </c>
      <c r="T628" s="3">
        <f>I628*$D628</f>
        <v/>
      </c>
      <c r="U628" s="3">
        <f>J628*$D628</f>
        <v/>
      </c>
      <c r="V628" s="3">
        <f>K628*$D628</f>
        <v/>
      </c>
      <c r="W628" s="3">
        <f>L628*$D628</f>
        <v/>
      </c>
      <c r="X628" s="3">
        <f>M628*$D628</f>
        <v/>
      </c>
      <c r="Y628" s="3">
        <f>N628*$D628</f>
        <v/>
      </c>
      <c r="Z628" s="3">
        <f>C628*$D628</f>
        <v/>
      </c>
      <c r="AA628" s="9">
        <f>$L978+$K978*E628+$J978*F628+$I978*G628+$H978*H628+$G978*I628+$F978*J628+$E978*K628+$D978*L628+$C978*M628+$B978*N628</f>
        <v/>
      </c>
      <c r="AB628" s="9">
        <f>C628-AA628</f>
        <v/>
      </c>
      <c r="AC628" s="4">
        <f>AB628^2</f>
        <v/>
      </c>
    </row>
    <row r="629">
      <c r="A629" t="inlineStr">
        <is>
          <t>BBG001NDW1Z7</t>
        </is>
      </c>
      <c r="B629" t="inlineStr">
        <is>
          <t>ntnx</t>
        </is>
      </c>
      <c r="C629" s="9" t="n">
        <v>0.01332724820543274</v>
      </c>
      <c r="D629" s="3">
        <f>EXP(0.25*'3b-d Exposures'!G767)</f>
        <v/>
      </c>
      <c r="E629" s="3">
        <f>IF('3b-d Exposures'!C767="",0,'3b-d Exposures'!C767)</f>
        <v/>
      </c>
      <c r="F629" s="3">
        <f>IF('3b-d Exposures'!E767="",0,'3b-d Exposures'!E767)</f>
        <v/>
      </c>
      <c r="G629" s="3">
        <f>IF('3b-d Exposures'!G767="",0,'3b-d Exposures'!G767)</f>
        <v/>
      </c>
      <c r="H629" s="3">
        <f>IF('3b-d Exposures'!I767="",0,'3b-d Exposures'!I767)</f>
        <v/>
      </c>
      <c r="I629" s="3">
        <f>IF('3b-d Exposures'!K767="",0,'3b-d Exposures'!K767)</f>
        <v/>
      </c>
      <c r="J629" s="3">
        <f>IF('3b-d Exposures'!M767="",0,'3b-d Exposures'!M767)</f>
        <v/>
      </c>
      <c r="K629" s="3">
        <f>IF('3b-d Exposures'!O767="",0,'3b-d Exposures'!O767)</f>
        <v/>
      </c>
      <c r="L629" s="3">
        <f>IF('3b-d Exposures'!Q767="",0,'3b-d Exposures'!Q767)</f>
        <v/>
      </c>
      <c r="M629" s="3">
        <f>IF('3b-d Exposures'!S767="",0,'3b-d Exposures'!S767)</f>
        <v/>
      </c>
      <c r="N629" s="3">
        <f>IF('3b-d Exposures'!Z767="",0,'3b-d Exposures'!Z767)</f>
        <v/>
      </c>
      <c r="O629" s="3">
        <f>$D629</f>
        <v/>
      </c>
      <c r="P629" s="3">
        <f>E629*$D629</f>
        <v/>
      </c>
      <c r="Q629" s="3">
        <f>F629*$D629</f>
        <v/>
      </c>
      <c r="R629" s="3">
        <f>G629*$D629</f>
        <v/>
      </c>
      <c r="S629" s="3">
        <f>H629*$D629</f>
        <v/>
      </c>
      <c r="T629" s="3">
        <f>I629*$D629</f>
        <v/>
      </c>
      <c r="U629" s="3">
        <f>J629*$D629</f>
        <v/>
      </c>
      <c r="V629" s="3">
        <f>K629*$D629</f>
        <v/>
      </c>
      <c r="W629" s="3">
        <f>L629*$D629</f>
        <v/>
      </c>
      <c r="X629" s="3">
        <f>M629*$D629</f>
        <v/>
      </c>
      <c r="Y629" s="3">
        <f>N629*$D629</f>
        <v/>
      </c>
      <c r="Z629" s="3">
        <f>C629*$D629</f>
        <v/>
      </c>
      <c r="AA629" s="9">
        <f>$L978+$K978*E629+$J978*F629+$I978*G629+$H978*H629+$G978*I629+$F978*J629+$E978*K629+$D978*L629+$C978*M629+$B978*N629</f>
        <v/>
      </c>
      <c r="AB629" s="9">
        <f>C629-AA629</f>
        <v/>
      </c>
      <c r="AC629" s="4">
        <f>AB629^2</f>
        <v/>
      </c>
    </row>
    <row r="630">
      <c r="A630" t="inlineStr">
        <is>
          <t>BBG001J1BQ86</t>
        </is>
      </c>
      <c r="B630" t="inlineStr">
        <is>
          <t>ntra</t>
        </is>
      </c>
      <c r="C630" s="9" t="n">
        <v>0.01215883037170218</v>
      </c>
      <c r="D630" s="3">
        <f>EXP(0.25*'3b-d Exposures'!G768)</f>
        <v/>
      </c>
      <c r="E630" s="3">
        <f>IF('3b-d Exposures'!C768="",0,'3b-d Exposures'!C768)</f>
        <v/>
      </c>
      <c r="F630" s="3">
        <f>IF('3b-d Exposures'!E768="",0,'3b-d Exposures'!E768)</f>
        <v/>
      </c>
      <c r="G630" s="3">
        <f>IF('3b-d Exposures'!G768="",0,'3b-d Exposures'!G768)</f>
        <v/>
      </c>
      <c r="H630" s="3">
        <f>IF('3b-d Exposures'!I768="",0,'3b-d Exposures'!I768)</f>
        <v/>
      </c>
      <c r="I630" s="3">
        <f>IF('3b-d Exposures'!K768="",0,'3b-d Exposures'!K768)</f>
        <v/>
      </c>
      <c r="J630" s="3">
        <f>IF('3b-d Exposures'!M768="",0,'3b-d Exposures'!M768)</f>
        <v/>
      </c>
      <c r="K630" s="3">
        <f>IF('3b-d Exposures'!O768="",0,'3b-d Exposures'!O768)</f>
        <v/>
      </c>
      <c r="L630" s="3">
        <f>IF('3b-d Exposures'!Q768="",0,'3b-d Exposures'!Q768)</f>
        <v/>
      </c>
      <c r="M630" s="3">
        <f>IF('3b-d Exposures'!S768="",0,'3b-d Exposures'!S768)</f>
        <v/>
      </c>
      <c r="N630" s="3">
        <f>IF('3b-d Exposures'!Z768="",0,'3b-d Exposures'!Z768)</f>
        <v/>
      </c>
      <c r="O630" s="3">
        <f>$D630</f>
        <v/>
      </c>
      <c r="P630" s="3">
        <f>E630*$D630</f>
        <v/>
      </c>
      <c r="Q630" s="3">
        <f>F630*$D630</f>
        <v/>
      </c>
      <c r="R630" s="3">
        <f>G630*$D630</f>
        <v/>
      </c>
      <c r="S630" s="3">
        <f>H630*$D630</f>
        <v/>
      </c>
      <c r="T630" s="3">
        <f>I630*$D630</f>
        <v/>
      </c>
      <c r="U630" s="3">
        <f>J630*$D630</f>
        <v/>
      </c>
      <c r="V630" s="3">
        <f>K630*$D630</f>
        <v/>
      </c>
      <c r="W630" s="3">
        <f>L630*$D630</f>
        <v/>
      </c>
      <c r="X630" s="3">
        <f>M630*$D630</f>
        <v/>
      </c>
      <c r="Y630" s="3">
        <f>N630*$D630</f>
        <v/>
      </c>
      <c r="Z630" s="3">
        <f>C630*$D630</f>
        <v/>
      </c>
      <c r="AA630" s="9">
        <f>$L978+$K978*E630+$J978*F630+$I978*G630+$H978*H630+$G978*I630+$F978*J630+$E978*K630+$D978*L630+$C978*M630+$B978*N630</f>
        <v/>
      </c>
      <c r="AB630" s="9">
        <f>C630-AA630</f>
        <v/>
      </c>
      <c r="AC630" s="4">
        <f>AB630^2</f>
        <v/>
      </c>
    </row>
    <row r="631">
      <c r="A631" t="inlineStr">
        <is>
          <t>BBG000BQ74K1</t>
        </is>
      </c>
      <c r="B631" t="inlineStr">
        <is>
          <t>ntrs</t>
        </is>
      </c>
      <c r="C631" s="9" t="n">
        <v>-0.01142498341471032</v>
      </c>
      <c r="D631" s="3">
        <f>EXP(0.25*'3b-d Exposures'!G769)</f>
        <v/>
      </c>
      <c r="E631" s="3">
        <f>IF('3b-d Exposures'!C769="",0,'3b-d Exposures'!C769)</f>
        <v/>
      </c>
      <c r="F631" s="3">
        <f>IF('3b-d Exposures'!E769="",0,'3b-d Exposures'!E769)</f>
        <v/>
      </c>
      <c r="G631" s="3">
        <f>IF('3b-d Exposures'!G769="",0,'3b-d Exposures'!G769)</f>
        <v/>
      </c>
      <c r="H631" s="3">
        <f>IF('3b-d Exposures'!I769="",0,'3b-d Exposures'!I769)</f>
        <v/>
      </c>
      <c r="I631" s="3">
        <f>IF('3b-d Exposures'!K769="",0,'3b-d Exposures'!K769)</f>
        <v/>
      </c>
      <c r="J631" s="3">
        <f>IF('3b-d Exposures'!M769="",0,'3b-d Exposures'!M769)</f>
        <v/>
      </c>
      <c r="K631" s="3">
        <f>IF('3b-d Exposures'!O769="",0,'3b-d Exposures'!O769)</f>
        <v/>
      </c>
      <c r="L631" s="3">
        <f>IF('3b-d Exposures'!Q769="",0,'3b-d Exposures'!Q769)</f>
        <v/>
      </c>
      <c r="M631" s="3">
        <f>IF('3b-d Exposures'!S769="",0,'3b-d Exposures'!S769)</f>
        <v/>
      </c>
      <c r="N631" s="3">
        <f>IF('3b-d Exposures'!Z769="",0,'3b-d Exposures'!Z769)</f>
        <v/>
      </c>
      <c r="O631" s="3">
        <f>$D631</f>
        <v/>
      </c>
      <c r="P631" s="3">
        <f>E631*$D631</f>
        <v/>
      </c>
      <c r="Q631" s="3">
        <f>F631*$D631</f>
        <v/>
      </c>
      <c r="R631" s="3">
        <f>G631*$D631</f>
        <v/>
      </c>
      <c r="S631" s="3">
        <f>H631*$D631</f>
        <v/>
      </c>
      <c r="T631" s="3">
        <f>I631*$D631</f>
        <v/>
      </c>
      <c r="U631" s="3">
        <f>J631*$D631</f>
        <v/>
      </c>
      <c r="V631" s="3">
        <f>K631*$D631</f>
        <v/>
      </c>
      <c r="W631" s="3">
        <f>L631*$D631</f>
        <v/>
      </c>
      <c r="X631" s="3">
        <f>M631*$D631</f>
        <v/>
      </c>
      <c r="Y631" s="3">
        <f>N631*$D631</f>
        <v/>
      </c>
      <c r="Z631" s="3">
        <f>C631*$D631</f>
        <v/>
      </c>
      <c r="AA631" s="9">
        <f>$L978+$K978*E631+$J978*F631+$I978*G631+$H978*H631+$G978*I631+$F978*J631+$E978*K631+$D978*L631+$C978*M631+$B978*N631</f>
        <v/>
      </c>
      <c r="AB631" s="9">
        <f>C631-AA631</f>
        <v/>
      </c>
      <c r="AC631" s="4">
        <f>AB631^2</f>
        <v/>
      </c>
    </row>
    <row r="632">
      <c r="A632" t="inlineStr">
        <is>
          <t>BBG000BQ8KV2</t>
        </is>
      </c>
      <c r="B632" t="inlineStr">
        <is>
          <t>nue</t>
        </is>
      </c>
      <c r="C632" s="9" t="n">
        <v>0.01086043371389755</v>
      </c>
      <c r="D632" s="3">
        <f>EXP(0.25*'3b-d Exposures'!G771)</f>
        <v/>
      </c>
      <c r="E632" s="3">
        <f>IF('3b-d Exposures'!C771="",0,'3b-d Exposures'!C771)</f>
        <v/>
      </c>
      <c r="F632" s="3">
        <f>IF('3b-d Exposures'!E771="",0,'3b-d Exposures'!E771)</f>
        <v/>
      </c>
      <c r="G632" s="3">
        <f>IF('3b-d Exposures'!G771="",0,'3b-d Exposures'!G771)</f>
        <v/>
      </c>
      <c r="H632" s="3">
        <f>IF('3b-d Exposures'!I771="",0,'3b-d Exposures'!I771)</f>
        <v/>
      </c>
      <c r="I632" s="3">
        <f>IF('3b-d Exposures'!K771="",0,'3b-d Exposures'!K771)</f>
        <v/>
      </c>
      <c r="J632" s="3">
        <f>IF('3b-d Exposures'!M771="",0,'3b-d Exposures'!M771)</f>
        <v/>
      </c>
      <c r="K632" s="3">
        <f>IF('3b-d Exposures'!O771="",0,'3b-d Exposures'!O771)</f>
        <v/>
      </c>
      <c r="L632" s="3">
        <f>IF('3b-d Exposures'!Q771="",0,'3b-d Exposures'!Q771)</f>
        <v/>
      </c>
      <c r="M632" s="3">
        <f>IF('3b-d Exposures'!S771="",0,'3b-d Exposures'!S771)</f>
        <v/>
      </c>
      <c r="N632" s="3">
        <f>IF('3b-d Exposures'!Z771="",0,'3b-d Exposures'!Z771)</f>
        <v/>
      </c>
      <c r="O632" s="3">
        <f>$D632</f>
        <v/>
      </c>
      <c r="P632" s="3">
        <f>E632*$D632</f>
        <v/>
      </c>
      <c r="Q632" s="3">
        <f>F632*$D632</f>
        <v/>
      </c>
      <c r="R632" s="3">
        <f>G632*$D632</f>
        <v/>
      </c>
      <c r="S632" s="3">
        <f>H632*$D632</f>
        <v/>
      </c>
      <c r="T632" s="3">
        <f>I632*$D632</f>
        <v/>
      </c>
      <c r="U632" s="3">
        <f>J632*$D632</f>
        <v/>
      </c>
      <c r="V632" s="3">
        <f>K632*$D632</f>
        <v/>
      </c>
      <c r="W632" s="3">
        <f>L632*$D632</f>
        <v/>
      </c>
      <c r="X632" s="3">
        <f>M632*$D632</f>
        <v/>
      </c>
      <c r="Y632" s="3">
        <f>N632*$D632</f>
        <v/>
      </c>
      <c r="Z632" s="3">
        <f>C632*$D632</f>
        <v/>
      </c>
      <c r="AA632" s="9">
        <f>$L978+$K978*E632+$J978*F632+$I978*G632+$H978*H632+$G978*I632+$F978*J632+$E978*K632+$D978*L632+$C978*M632+$B978*N632</f>
        <v/>
      </c>
      <c r="AB632" s="9">
        <f>C632-AA632</f>
        <v/>
      </c>
      <c r="AC632" s="4">
        <f>AB632^2</f>
        <v/>
      </c>
    </row>
    <row r="633">
      <c r="A633" t="inlineStr">
        <is>
          <t>BBG000BBJQV0</t>
        </is>
      </c>
      <c r="B633" t="inlineStr">
        <is>
          <t>nvda</t>
        </is>
      </c>
      <c r="C633" s="9" t="n">
        <v>0.002748662783570222</v>
      </c>
      <c r="D633" s="3">
        <f>EXP(0.25*'3b-d Exposures'!G772)</f>
        <v/>
      </c>
      <c r="E633" s="3">
        <f>IF('3b-d Exposures'!C772="",0,'3b-d Exposures'!C772)</f>
        <v/>
      </c>
      <c r="F633" s="3">
        <f>IF('3b-d Exposures'!E772="",0,'3b-d Exposures'!E772)</f>
        <v/>
      </c>
      <c r="G633" s="3">
        <f>IF('3b-d Exposures'!G772="",0,'3b-d Exposures'!G772)</f>
        <v/>
      </c>
      <c r="H633" s="3">
        <f>IF('3b-d Exposures'!I772="",0,'3b-d Exposures'!I772)</f>
        <v/>
      </c>
      <c r="I633" s="3">
        <f>IF('3b-d Exposures'!K772="",0,'3b-d Exposures'!K772)</f>
        <v/>
      </c>
      <c r="J633" s="3">
        <f>IF('3b-d Exposures'!M772="",0,'3b-d Exposures'!M772)</f>
        <v/>
      </c>
      <c r="K633" s="3">
        <f>IF('3b-d Exposures'!O772="",0,'3b-d Exposures'!O772)</f>
        <v/>
      </c>
      <c r="L633" s="3">
        <f>IF('3b-d Exposures'!Q772="",0,'3b-d Exposures'!Q772)</f>
        <v/>
      </c>
      <c r="M633" s="3">
        <f>IF('3b-d Exposures'!S772="",0,'3b-d Exposures'!S772)</f>
        <v/>
      </c>
      <c r="N633" s="3">
        <f>IF('3b-d Exposures'!Z772="",0,'3b-d Exposures'!Z772)</f>
        <v/>
      </c>
      <c r="O633" s="3">
        <f>$D633</f>
        <v/>
      </c>
      <c r="P633" s="3">
        <f>E633*$D633</f>
        <v/>
      </c>
      <c r="Q633" s="3">
        <f>F633*$D633</f>
        <v/>
      </c>
      <c r="R633" s="3">
        <f>G633*$D633</f>
        <v/>
      </c>
      <c r="S633" s="3">
        <f>H633*$D633</f>
        <v/>
      </c>
      <c r="T633" s="3">
        <f>I633*$D633</f>
        <v/>
      </c>
      <c r="U633" s="3">
        <f>J633*$D633</f>
        <v/>
      </c>
      <c r="V633" s="3">
        <f>K633*$D633</f>
        <v/>
      </c>
      <c r="W633" s="3">
        <f>L633*$D633</f>
        <v/>
      </c>
      <c r="X633" s="3">
        <f>M633*$D633</f>
        <v/>
      </c>
      <c r="Y633" s="3">
        <f>N633*$D633</f>
        <v/>
      </c>
      <c r="Z633" s="3">
        <f>C633*$D633</f>
        <v/>
      </c>
      <c r="AA633" s="9">
        <f>$L978+$K978*E633+$J978*F633+$I978*G633+$H978*H633+$G978*I633+$F978*J633+$E978*K633+$D978*L633+$C978*M633+$B978*N633</f>
        <v/>
      </c>
      <c r="AB633" s="9">
        <f>C633-AA633</f>
        <v/>
      </c>
      <c r="AC633" s="4">
        <f>AB633^2</f>
        <v/>
      </c>
    </row>
    <row r="634">
      <c r="A634" t="inlineStr">
        <is>
          <t>nvr</t>
        </is>
      </c>
      <c r="B634" t="inlineStr">
        <is>
          <t>nvr</t>
        </is>
      </c>
      <c r="C634" s="9" t="n">
        <v>-0.006018038678116677</v>
      </c>
      <c r="D634" s="3">
        <f>EXP(0.25*'3b-d Exposures'!G774)</f>
        <v/>
      </c>
      <c r="E634" s="3">
        <f>IF('3b-d Exposures'!C774="",0,'3b-d Exposures'!C774)</f>
        <v/>
      </c>
      <c r="F634" s="3">
        <f>IF('3b-d Exposures'!E774="",0,'3b-d Exposures'!E774)</f>
        <v/>
      </c>
      <c r="G634" s="3">
        <f>IF('3b-d Exposures'!G774="",0,'3b-d Exposures'!G774)</f>
        <v/>
      </c>
      <c r="H634" s="3">
        <f>IF('3b-d Exposures'!I774="",0,'3b-d Exposures'!I774)</f>
        <v/>
      </c>
      <c r="I634" s="3">
        <f>IF('3b-d Exposures'!K774="",0,'3b-d Exposures'!K774)</f>
        <v/>
      </c>
      <c r="J634" s="3">
        <f>IF('3b-d Exposures'!M774="",0,'3b-d Exposures'!M774)</f>
        <v/>
      </c>
      <c r="K634" s="3">
        <f>IF('3b-d Exposures'!O774="",0,'3b-d Exposures'!O774)</f>
        <v/>
      </c>
      <c r="L634" s="3">
        <f>IF('3b-d Exposures'!Q774="",0,'3b-d Exposures'!Q774)</f>
        <v/>
      </c>
      <c r="M634" s="3">
        <f>IF('3b-d Exposures'!S774="",0,'3b-d Exposures'!S774)</f>
        <v/>
      </c>
      <c r="N634" s="3">
        <f>IF('3b-d Exposures'!Z774="",0,'3b-d Exposures'!Z774)</f>
        <v/>
      </c>
      <c r="O634" s="3">
        <f>$D634</f>
        <v/>
      </c>
      <c r="P634" s="3">
        <f>E634*$D634</f>
        <v/>
      </c>
      <c r="Q634" s="3">
        <f>F634*$D634</f>
        <v/>
      </c>
      <c r="R634" s="3">
        <f>G634*$D634</f>
        <v/>
      </c>
      <c r="S634" s="3">
        <f>H634*$D634</f>
        <v/>
      </c>
      <c r="T634" s="3">
        <f>I634*$D634</f>
        <v/>
      </c>
      <c r="U634" s="3">
        <f>J634*$D634</f>
        <v/>
      </c>
      <c r="V634" s="3">
        <f>K634*$D634</f>
        <v/>
      </c>
      <c r="W634" s="3">
        <f>L634*$D634</f>
        <v/>
      </c>
      <c r="X634" s="3">
        <f>M634*$D634</f>
        <v/>
      </c>
      <c r="Y634" s="3">
        <f>N634*$D634</f>
        <v/>
      </c>
      <c r="Z634" s="3">
        <f>C634*$D634</f>
        <v/>
      </c>
      <c r="AA634" s="9">
        <f>$L978+$K978*E634+$J978*F634+$I978*G634+$H978*H634+$G978*I634+$F978*J634+$E978*K634+$D978*L634+$C978*M634+$B978*N634</f>
        <v/>
      </c>
      <c r="AB634" s="9">
        <f>C634-AA634</f>
        <v/>
      </c>
      <c r="AC634" s="4">
        <f>AB634^2</f>
        <v/>
      </c>
    </row>
    <row r="635">
      <c r="A635" t="inlineStr">
        <is>
          <t>BBG000BKSDY6</t>
        </is>
      </c>
      <c r="B635" t="inlineStr">
        <is>
          <t>nwbo</t>
        </is>
      </c>
      <c r="C635" s="9" t="n">
        <v>-0.03571425150243623</v>
      </c>
      <c r="D635" s="3">
        <f>EXP(0.25*'3b-d Exposures'!G775)</f>
        <v/>
      </c>
      <c r="E635" s="3">
        <f>IF('3b-d Exposures'!C775="",0,'3b-d Exposures'!C775)</f>
        <v/>
      </c>
      <c r="F635" s="3">
        <f>IF('3b-d Exposures'!E775="",0,'3b-d Exposures'!E775)</f>
        <v/>
      </c>
      <c r="G635" s="3">
        <f>IF('3b-d Exposures'!G775="",0,'3b-d Exposures'!G775)</f>
        <v/>
      </c>
      <c r="H635" s="3">
        <f>IF('3b-d Exposures'!I775="",0,'3b-d Exposures'!I775)</f>
        <v/>
      </c>
      <c r="I635" s="3">
        <f>IF('3b-d Exposures'!K775="",0,'3b-d Exposures'!K775)</f>
        <v/>
      </c>
      <c r="J635" s="3">
        <f>IF('3b-d Exposures'!M775="",0,'3b-d Exposures'!M775)</f>
        <v/>
      </c>
      <c r="K635" s="3">
        <f>IF('3b-d Exposures'!O775="",0,'3b-d Exposures'!O775)</f>
        <v/>
      </c>
      <c r="L635" s="3">
        <f>IF('3b-d Exposures'!Q775="",0,'3b-d Exposures'!Q775)</f>
        <v/>
      </c>
      <c r="M635" s="3">
        <f>IF('3b-d Exposures'!S775="",0,'3b-d Exposures'!S775)</f>
        <v/>
      </c>
      <c r="N635" s="3">
        <f>IF('3b-d Exposures'!Z775="",0,'3b-d Exposures'!Z775)</f>
        <v/>
      </c>
      <c r="O635" s="3">
        <f>$D635</f>
        <v/>
      </c>
      <c r="P635" s="3">
        <f>E635*$D635</f>
        <v/>
      </c>
      <c r="Q635" s="3">
        <f>F635*$D635</f>
        <v/>
      </c>
      <c r="R635" s="3">
        <f>G635*$D635</f>
        <v/>
      </c>
      <c r="S635" s="3">
        <f>H635*$D635</f>
        <v/>
      </c>
      <c r="T635" s="3">
        <f>I635*$D635</f>
        <v/>
      </c>
      <c r="U635" s="3">
        <f>J635*$D635</f>
        <v/>
      </c>
      <c r="V635" s="3">
        <f>K635*$D635</f>
        <v/>
      </c>
      <c r="W635" s="3">
        <f>L635*$D635</f>
        <v/>
      </c>
      <c r="X635" s="3">
        <f>M635*$D635</f>
        <v/>
      </c>
      <c r="Y635" s="3">
        <f>N635*$D635</f>
        <v/>
      </c>
      <c r="Z635" s="3">
        <f>C635*$D635</f>
        <v/>
      </c>
      <c r="AA635" s="9">
        <f>$L978+$K978*E635+$J978*F635+$I978*G635+$H978*H635+$G978*I635+$F978*J635+$E978*K635+$D978*L635+$C978*M635+$B978*N635</f>
        <v/>
      </c>
      <c r="AB635" s="9">
        <f>C635-AA635</f>
        <v/>
      </c>
      <c r="AC635" s="4">
        <f>AB635^2</f>
        <v/>
      </c>
    </row>
    <row r="636">
      <c r="A636" t="inlineStr">
        <is>
          <t>BBG00KXKRKY3</t>
        </is>
      </c>
      <c r="B636" t="inlineStr">
        <is>
          <t>nwn</t>
        </is>
      </c>
      <c r="C636" s="9" t="n">
        <v>-0.01277958361905973</v>
      </c>
      <c r="D636" s="3">
        <f>EXP(0.25*'3b-d Exposures'!G776)</f>
        <v/>
      </c>
      <c r="E636" s="3">
        <f>IF('3b-d Exposures'!C776="",0,'3b-d Exposures'!C776)</f>
        <v/>
      </c>
      <c r="F636" s="3">
        <f>IF('3b-d Exposures'!E776="",0,'3b-d Exposures'!E776)</f>
        <v/>
      </c>
      <c r="G636" s="3">
        <f>IF('3b-d Exposures'!G776="",0,'3b-d Exposures'!G776)</f>
        <v/>
      </c>
      <c r="H636" s="3">
        <f>IF('3b-d Exposures'!I776="",0,'3b-d Exposures'!I776)</f>
        <v/>
      </c>
      <c r="I636" s="3">
        <f>IF('3b-d Exposures'!K776="",0,'3b-d Exposures'!K776)</f>
        <v/>
      </c>
      <c r="J636" s="3">
        <f>IF('3b-d Exposures'!M776="",0,'3b-d Exposures'!M776)</f>
        <v/>
      </c>
      <c r="K636" s="3">
        <f>IF('3b-d Exposures'!O776="",0,'3b-d Exposures'!O776)</f>
        <v/>
      </c>
      <c r="L636" s="3">
        <f>IF('3b-d Exposures'!Q776="",0,'3b-d Exposures'!Q776)</f>
        <v/>
      </c>
      <c r="M636" s="3">
        <f>IF('3b-d Exposures'!S776="",0,'3b-d Exposures'!S776)</f>
        <v/>
      </c>
      <c r="N636" s="3">
        <f>IF('3b-d Exposures'!Z776="",0,'3b-d Exposures'!Z776)</f>
        <v/>
      </c>
      <c r="O636" s="3">
        <f>$D636</f>
        <v/>
      </c>
      <c r="P636" s="3">
        <f>E636*$D636</f>
        <v/>
      </c>
      <c r="Q636" s="3">
        <f>F636*$D636</f>
        <v/>
      </c>
      <c r="R636" s="3">
        <f>G636*$D636</f>
        <v/>
      </c>
      <c r="S636" s="3">
        <f>H636*$D636</f>
        <v/>
      </c>
      <c r="T636" s="3">
        <f>I636*$D636</f>
        <v/>
      </c>
      <c r="U636" s="3">
        <f>J636*$D636</f>
        <v/>
      </c>
      <c r="V636" s="3">
        <f>K636*$D636</f>
        <v/>
      </c>
      <c r="W636" s="3">
        <f>L636*$D636</f>
        <v/>
      </c>
      <c r="X636" s="3">
        <f>M636*$D636</f>
        <v/>
      </c>
      <c r="Y636" s="3">
        <f>N636*$D636</f>
        <v/>
      </c>
      <c r="Z636" s="3">
        <f>C636*$D636</f>
        <v/>
      </c>
      <c r="AA636" s="9">
        <f>$L978+$K978*E636+$J978*F636+$I978*G636+$H978*H636+$G978*I636+$F978*J636+$E978*K636+$D978*L636+$C978*M636+$B978*N636</f>
        <v/>
      </c>
      <c r="AB636" s="9">
        <f>C636-AA636</f>
        <v/>
      </c>
      <c r="AC636" s="4">
        <f>AB636^2</f>
        <v/>
      </c>
    </row>
    <row r="637">
      <c r="A637" t="inlineStr">
        <is>
          <t>nws</t>
        </is>
      </c>
      <c r="B637" t="inlineStr">
        <is>
          <t>nws</t>
        </is>
      </c>
      <c r="C637" s="9" t="n">
        <v>0.00467448086222122</v>
      </c>
      <c r="D637" s="3">
        <f>EXP(0.25*'3b-d Exposures'!G777)</f>
        <v/>
      </c>
      <c r="E637" s="3">
        <f>IF('3b-d Exposures'!C777="",0,'3b-d Exposures'!C777)</f>
        <v/>
      </c>
      <c r="F637" s="3">
        <f>IF('3b-d Exposures'!E777="",0,'3b-d Exposures'!E777)</f>
        <v/>
      </c>
      <c r="G637" s="3">
        <f>IF('3b-d Exposures'!G777="",0,'3b-d Exposures'!G777)</f>
        <v/>
      </c>
      <c r="H637" s="3">
        <f>IF('3b-d Exposures'!I777="",0,'3b-d Exposures'!I777)</f>
        <v/>
      </c>
      <c r="I637" s="3">
        <f>IF('3b-d Exposures'!K777="",0,'3b-d Exposures'!K777)</f>
        <v/>
      </c>
      <c r="J637" s="3">
        <f>IF('3b-d Exposures'!M777="",0,'3b-d Exposures'!M777)</f>
        <v/>
      </c>
      <c r="K637" s="3">
        <f>IF('3b-d Exposures'!O777="",0,'3b-d Exposures'!O777)</f>
        <v/>
      </c>
      <c r="L637" s="3">
        <f>IF('3b-d Exposures'!Q777="",0,'3b-d Exposures'!Q777)</f>
        <v/>
      </c>
      <c r="M637" s="3">
        <f>IF('3b-d Exposures'!S777="",0,'3b-d Exposures'!S777)</f>
        <v/>
      </c>
      <c r="N637" s="3">
        <f>IF('3b-d Exposures'!Z777="",0,'3b-d Exposures'!Z777)</f>
        <v/>
      </c>
      <c r="O637" s="3">
        <f>$D637</f>
        <v/>
      </c>
      <c r="P637" s="3">
        <f>E637*$D637</f>
        <v/>
      </c>
      <c r="Q637" s="3">
        <f>F637*$D637</f>
        <v/>
      </c>
      <c r="R637" s="3">
        <f>G637*$D637</f>
        <v/>
      </c>
      <c r="S637" s="3">
        <f>H637*$D637</f>
        <v/>
      </c>
      <c r="T637" s="3">
        <f>I637*$D637</f>
        <v/>
      </c>
      <c r="U637" s="3">
        <f>J637*$D637</f>
        <v/>
      </c>
      <c r="V637" s="3">
        <f>K637*$D637</f>
        <v/>
      </c>
      <c r="W637" s="3">
        <f>L637*$D637</f>
        <v/>
      </c>
      <c r="X637" s="3">
        <f>M637*$D637</f>
        <v/>
      </c>
      <c r="Y637" s="3">
        <f>N637*$D637</f>
        <v/>
      </c>
      <c r="Z637" s="3">
        <f>C637*$D637</f>
        <v/>
      </c>
      <c r="AA637" s="9">
        <f>$L978+$K978*E637+$J978*F637+$I978*G637+$H978*H637+$G978*I637+$F978*J637+$E978*K637+$D978*L637+$C978*M637+$B978*N637</f>
        <v/>
      </c>
      <c r="AB637" s="9">
        <f>C637-AA637</f>
        <v/>
      </c>
      <c r="AC637" s="4">
        <f>AB637^2</f>
        <v/>
      </c>
    </row>
    <row r="638">
      <c r="A638" t="inlineStr">
        <is>
          <t>nwsa</t>
        </is>
      </c>
      <c r="B638" t="inlineStr">
        <is>
          <t>nwsa</t>
        </is>
      </c>
      <c r="C638" s="9" t="n">
        <v>0.003407154577687033</v>
      </c>
      <c r="D638" s="3">
        <f>EXP(0.25*'3b-d Exposures'!G778)</f>
        <v/>
      </c>
      <c r="E638" s="3">
        <f>IF('3b-d Exposures'!C778="",0,'3b-d Exposures'!C778)</f>
        <v/>
      </c>
      <c r="F638" s="3">
        <f>IF('3b-d Exposures'!E778="",0,'3b-d Exposures'!E778)</f>
        <v/>
      </c>
      <c r="G638" s="3">
        <f>IF('3b-d Exposures'!G778="",0,'3b-d Exposures'!G778)</f>
        <v/>
      </c>
      <c r="H638" s="3">
        <f>IF('3b-d Exposures'!I778="",0,'3b-d Exposures'!I778)</f>
        <v/>
      </c>
      <c r="I638" s="3">
        <f>IF('3b-d Exposures'!K778="",0,'3b-d Exposures'!K778)</f>
        <v/>
      </c>
      <c r="J638" s="3">
        <f>IF('3b-d Exposures'!M778="",0,'3b-d Exposures'!M778)</f>
        <v/>
      </c>
      <c r="K638" s="3">
        <f>IF('3b-d Exposures'!O778="",0,'3b-d Exposures'!O778)</f>
        <v/>
      </c>
      <c r="L638" s="3">
        <f>IF('3b-d Exposures'!Q778="",0,'3b-d Exposures'!Q778)</f>
        <v/>
      </c>
      <c r="M638" s="3">
        <f>IF('3b-d Exposures'!S778="",0,'3b-d Exposures'!S778)</f>
        <v/>
      </c>
      <c r="N638" s="3">
        <f>IF('3b-d Exposures'!Z778="",0,'3b-d Exposures'!Z778)</f>
        <v/>
      </c>
      <c r="O638" s="3">
        <f>$D638</f>
        <v/>
      </c>
      <c r="P638" s="3">
        <f>E638*$D638</f>
        <v/>
      </c>
      <c r="Q638" s="3">
        <f>F638*$D638</f>
        <v/>
      </c>
      <c r="R638" s="3">
        <f>G638*$D638</f>
        <v/>
      </c>
      <c r="S638" s="3">
        <f>H638*$D638</f>
        <v/>
      </c>
      <c r="T638" s="3">
        <f>I638*$D638</f>
        <v/>
      </c>
      <c r="U638" s="3">
        <f>J638*$D638</f>
        <v/>
      </c>
      <c r="V638" s="3">
        <f>K638*$D638</f>
        <v/>
      </c>
      <c r="W638" s="3">
        <f>L638*$D638</f>
        <v/>
      </c>
      <c r="X638" s="3">
        <f>M638*$D638</f>
        <v/>
      </c>
      <c r="Y638" s="3">
        <f>N638*$D638</f>
        <v/>
      </c>
      <c r="Z638" s="3">
        <f>C638*$D638</f>
        <v/>
      </c>
      <c r="AA638" s="9">
        <f>$L978+$K978*E638+$J978*F638+$I978*G638+$H978*H638+$G978*I638+$F978*J638+$E978*K638+$D978*L638+$C978*M638+$B978*N638</f>
        <v/>
      </c>
      <c r="AB638" s="9">
        <f>C638-AA638</f>
        <v/>
      </c>
      <c r="AC638" s="4">
        <f>AB638^2</f>
        <v/>
      </c>
    </row>
    <row r="639">
      <c r="A639" t="inlineStr">
        <is>
          <t>nxpi</t>
        </is>
      </c>
      <c r="B639" t="inlineStr">
        <is>
          <t>nxpi</t>
        </is>
      </c>
      <c r="C639" s="9" t="n">
        <v>0.0184853761320205</v>
      </c>
      <c r="D639" s="3">
        <f>EXP(0.25*'3b-d Exposures'!G779)</f>
        <v/>
      </c>
      <c r="E639" s="3">
        <f>IF('3b-d Exposures'!C779="",0,'3b-d Exposures'!C779)</f>
        <v/>
      </c>
      <c r="F639" s="3">
        <f>IF('3b-d Exposures'!E779="",0,'3b-d Exposures'!E779)</f>
        <v/>
      </c>
      <c r="G639" s="3">
        <f>IF('3b-d Exposures'!G779="",0,'3b-d Exposures'!G779)</f>
        <v/>
      </c>
      <c r="H639" s="3">
        <f>IF('3b-d Exposures'!I779="",0,'3b-d Exposures'!I779)</f>
        <v/>
      </c>
      <c r="I639" s="3">
        <f>IF('3b-d Exposures'!K779="",0,'3b-d Exposures'!K779)</f>
        <v/>
      </c>
      <c r="J639" s="3">
        <f>IF('3b-d Exposures'!M779="",0,'3b-d Exposures'!M779)</f>
        <v/>
      </c>
      <c r="K639" s="3">
        <f>IF('3b-d Exposures'!O779="",0,'3b-d Exposures'!O779)</f>
        <v/>
      </c>
      <c r="L639" s="3">
        <f>IF('3b-d Exposures'!Q779="",0,'3b-d Exposures'!Q779)</f>
        <v/>
      </c>
      <c r="M639" s="3">
        <f>IF('3b-d Exposures'!S779="",0,'3b-d Exposures'!S779)</f>
        <v/>
      </c>
      <c r="N639" s="3">
        <f>IF('3b-d Exposures'!Z779="",0,'3b-d Exposures'!Z779)</f>
        <v/>
      </c>
      <c r="O639" s="3">
        <f>$D639</f>
        <v/>
      </c>
      <c r="P639" s="3">
        <f>E639*$D639</f>
        <v/>
      </c>
      <c r="Q639" s="3">
        <f>F639*$D639</f>
        <v/>
      </c>
      <c r="R639" s="3">
        <f>G639*$D639</f>
        <v/>
      </c>
      <c r="S639" s="3">
        <f>H639*$D639</f>
        <v/>
      </c>
      <c r="T639" s="3">
        <f>I639*$D639</f>
        <v/>
      </c>
      <c r="U639" s="3">
        <f>J639*$D639</f>
        <v/>
      </c>
      <c r="V639" s="3">
        <f>K639*$D639</f>
        <v/>
      </c>
      <c r="W639" s="3">
        <f>L639*$D639</f>
        <v/>
      </c>
      <c r="X639" s="3">
        <f>M639*$D639</f>
        <v/>
      </c>
      <c r="Y639" s="3">
        <f>N639*$D639</f>
        <v/>
      </c>
      <c r="Z639" s="3">
        <f>C639*$D639</f>
        <v/>
      </c>
      <c r="AA639" s="9">
        <f>$L978+$K978*E639+$J978*F639+$I978*G639+$H978*H639+$G978*I639+$F978*J639+$E978*K639+$D978*L639+$C978*M639+$B978*N639</f>
        <v/>
      </c>
      <c r="AB639" s="9">
        <f>C639-AA639</f>
        <v/>
      </c>
      <c r="AC639" s="4">
        <f>AB639^2</f>
        <v/>
      </c>
    </row>
    <row r="640">
      <c r="A640" t="inlineStr">
        <is>
          <t>BBG00835TPZ2</t>
        </is>
      </c>
      <c r="B640" t="inlineStr">
        <is>
          <t>nxt</t>
        </is>
      </c>
      <c r="C640" s="9" t="n">
        <v>0.04533541795476848</v>
      </c>
      <c r="D640" s="3">
        <f>EXP(0.25*'3b-d Exposures'!G780)</f>
        <v/>
      </c>
      <c r="E640" s="3">
        <f>IF('3b-d Exposures'!C780="",0,'3b-d Exposures'!C780)</f>
        <v/>
      </c>
      <c r="F640" s="3">
        <f>IF('3b-d Exposures'!E780="",0,'3b-d Exposures'!E780)</f>
        <v/>
      </c>
      <c r="G640" s="3">
        <f>IF('3b-d Exposures'!G780="",0,'3b-d Exposures'!G780)</f>
        <v/>
      </c>
      <c r="H640" s="3">
        <f>IF('3b-d Exposures'!I780="",0,'3b-d Exposures'!I780)</f>
        <v/>
      </c>
      <c r="I640" s="3">
        <f>IF('3b-d Exposures'!K780="",0,'3b-d Exposures'!K780)</f>
        <v/>
      </c>
      <c r="J640" s="3">
        <f>IF('3b-d Exposures'!M780="",0,'3b-d Exposures'!M780)</f>
        <v/>
      </c>
      <c r="K640" s="3">
        <f>IF('3b-d Exposures'!O780="",0,'3b-d Exposures'!O780)</f>
        <v/>
      </c>
      <c r="L640" s="3">
        <f>IF('3b-d Exposures'!Q780="",0,'3b-d Exposures'!Q780)</f>
        <v/>
      </c>
      <c r="M640" s="3">
        <f>IF('3b-d Exposures'!S780="",0,'3b-d Exposures'!S780)</f>
        <v/>
      </c>
      <c r="N640" s="3">
        <f>IF('3b-d Exposures'!Z780="",0,'3b-d Exposures'!Z780)</f>
        <v/>
      </c>
      <c r="O640" s="3">
        <f>$D640</f>
        <v/>
      </c>
      <c r="P640" s="3">
        <f>E640*$D640</f>
        <v/>
      </c>
      <c r="Q640" s="3">
        <f>F640*$D640</f>
        <v/>
      </c>
      <c r="R640" s="3">
        <f>G640*$D640</f>
        <v/>
      </c>
      <c r="S640" s="3">
        <f>H640*$D640</f>
        <v/>
      </c>
      <c r="T640" s="3">
        <f>I640*$D640</f>
        <v/>
      </c>
      <c r="U640" s="3">
        <f>J640*$D640</f>
        <v/>
      </c>
      <c r="V640" s="3">
        <f>K640*$D640</f>
        <v/>
      </c>
      <c r="W640" s="3">
        <f>L640*$D640</f>
        <v/>
      </c>
      <c r="X640" s="3">
        <f>M640*$D640</f>
        <v/>
      </c>
      <c r="Y640" s="3">
        <f>N640*$D640</f>
        <v/>
      </c>
      <c r="Z640" s="3">
        <f>C640*$D640</f>
        <v/>
      </c>
      <c r="AA640" s="9">
        <f>$L978+$K978*E640+$J978*F640+$I978*G640+$H978*H640+$G978*I640+$F978*J640+$E978*K640+$D978*L640+$C978*M640+$B978*N640</f>
        <v/>
      </c>
      <c r="AB640" s="9">
        <f>C640-AA640</f>
        <v/>
      </c>
      <c r="AC640" s="4">
        <f>AB640^2</f>
        <v/>
      </c>
    </row>
    <row r="641">
      <c r="A641" t="inlineStr">
        <is>
          <t>BBG000FFC0B3</t>
        </is>
      </c>
      <c r="B641" t="inlineStr">
        <is>
          <t>nyt</t>
        </is>
      </c>
      <c r="C641" s="9" t="n">
        <v>-0.001474256519345962</v>
      </c>
      <c r="D641" s="3">
        <f>EXP(0.25*'3b-d Exposures'!G781)</f>
        <v/>
      </c>
      <c r="E641" s="3">
        <f>IF('3b-d Exposures'!C781="",0,'3b-d Exposures'!C781)</f>
        <v/>
      </c>
      <c r="F641" s="3">
        <f>IF('3b-d Exposures'!E781="",0,'3b-d Exposures'!E781)</f>
        <v/>
      </c>
      <c r="G641" s="3">
        <f>IF('3b-d Exposures'!G781="",0,'3b-d Exposures'!G781)</f>
        <v/>
      </c>
      <c r="H641" s="3">
        <f>IF('3b-d Exposures'!I781="",0,'3b-d Exposures'!I781)</f>
        <v/>
      </c>
      <c r="I641" s="3">
        <f>IF('3b-d Exposures'!K781="",0,'3b-d Exposures'!K781)</f>
        <v/>
      </c>
      <c r="J641" s="3">
        <f>IF('3b-d Exposures'!M781="",0,'3b-d Exposures'!M781)</f>
        <v/>
      </c>
      <c r="K641" s="3">
        <f>IF('3b-d Exposures'!O781="",0,'3b-d Exposures'!O781)</f>
        <v/>
      </c>
      <c r="L641" s="3">
        <f>IF('3b-d Exposures'!Q781="",0,'3b-d Exposures'!Q781)</f>
        <v/>
      </c>
      <c r="M641" s="3">
        <f>IF('3b-d Exposures'!S781="",0,'3b-d Exposures'!S781)</f>
        <v/>
      </c>
      <c r="N641" s="3">
        <f>IF('3b-d Exposures'!Z781="",0,'3b-d Exposures'!Z781)</f>
        <v/>
      </c>
      <c r="O641" s="3">
        <f>$D641</f>
        <v/>
      </c>
      <c r="P641" s="3">
        <f>E641*$D641</f>
        <v/>
      </c>
      <c r="Q641" s="3">
        <f>F641*$D641</f>
        <v/>
      </c>
      <c r="R641" s="3">
        <f>G641*$D641</f>
        <v/>
      </c>
      <c r="S641" s="3">
        <f>H641*$D641</f>
        <v/>
      </c>
      <c r="T641" s="3">
        <f>I641*$D641</f>
        <v/>
      </c>
      <c r="U641" s="3">
        <f>J641*$D641</f>
        <v/>
      </c>
      <c r="V641" s="3">
        <f>K641*$D641</f>
        <v/>
      </c>
      <c r="W641" s="3">
        <f>L641*$D641</f>
        <v/>
      </c>
      <c r="X641" s="3">
        <f>M641*$D641</f>
        <v/>
      </c>
      <c r="Y641" s="3">
        <f>N641*$D641</f>
        <v/>
      </c>
      <c r="Z641" s="3">
        <f>C641*$D641</f>
        <v/>
      </c>
      <c r="AA641" s="9">
        <f>$L978+$K978*E641+$J978*F641+$I978*G641+$H978*H641+$G978*I641+$F978*J641+$E978*K641+$D978*L641+$C978*M641+$B978*N641</f>
        <v/>
      </c>
      <c r="AB641" s="9">
        <f>C641-AA641</f>
        <v/>
      </c>
      <c r="AC641" s="4">
        <f>AB641^2</f>
        <v/>
      </c>
    </row>
    <row r="642">
      <c r="A642" t="inlineStr">
        <is>
          <t>BBG000DHPN63</t>
        </is>
      </c>
      <c r="B642" t="inlineStr">
        <is>
          <t>o</t>
        </is>
      </c>
      <c r="C642" s="9" t="n">
        <v>-0.01624292759337154</v>
      </c>
      <c r="D642" s="3">
        <f>EXP(0.25*'3b-d Exposures'!G782)</f>
        <v/>
      </c>
      <c r="E642" s="3">
        <f>IF('3b-d Exposures'!C782="",0,'3b-d Exposures'!C782)</f>
        <v/>
      </c>
      <c r="F642" s="3">
        <f>IF('3b-d Exposures'!E782="",0,'3b-d Exposures'!E782)</f>
        <v/>
      </c>
      <c r="G642" s="3">
        <f>IF('3b-d Exposures'!G782="",0,'3b-d Exposures'!G782)</f>
        <v/>
      </c>
      <c r="H642" s="3">
        <f>IF('3b-d Exposures'!I782="",0,'3b-d Exposures'!I782)</f>
        <v/>
      </c>
      <c r="I642" s="3">
        <f>IF('3b-d Exposures'!K782="",0,'3b-d Exposures'!K782)</f>
        <v/>
      </c>
      <c r="J642" s="3">
        <f>IF('3b-d Exposures'!M782="",0,'3b-d Exposures'!M782)</f>
        <v/>
      </c>
      <c r="K642" s="3">
        <f>IF('3b-d Exposures'!O782="",0,'3b-d Exposures'!O782)</f>
        <v/>
      </c>
      <c r="L642" s="3">
        <f>IF('3b-d Exposures'!Q782="",0,'3b-d Exposures'!Q782)</f>
        <v/>
      </c>
      <c r="M642" s="3">
        <f>IF('3b-d Exposures'!S782="",0,'3b-d Exposures'!S782)</f>
        <v/>
      </c>
      <c r="N642" s="3">
        <f>IF('3b-d Exposures'!Z782="",0,'3b-d Exposures'!Z782)</f>
        <v/>
      </c>
      <c r="O642" s="3">
        <f>$D642</f>
        <v/>
      </c>
      <c r="P642" s="3">
        <f>E642*$D642</f>
        <v/>
      </c>
      <c r="Q642" s="3">
        <f>F642*$D642</f>
        <v/>
      </c>
      <c r="R642" s="3">
        <f>G642*$D642</f>
        <v/>
      </c>
      <c r="S642" s="3">
        <f>H642*$D642</f>
        <v/>
      </c>
      <c r="T642" s="3">
        <f>I642*$D642</f>
        <v/>
      </c>
      <c r="U642" s="3">
        <f>J642*$D642</f>
        <v/>
      </c>
      <c r="V642" s="3">
        <f>K642*$D642</f>
        <v/>
      </c>
      <c r="W642" s="3">
        <f>L642*$D642</f>
        <v/>
      </c>
      <c r="X642" s="3">
        <f>M642*$D642</f>
        <v/>
      </c>
      <c r="Y642" s="3">
        <f>N642*$D642</f>
        <v/>
      </c>
      <c r="Z642" s="3">
        <f>C642*$D642</f>
        <v/>
      </c>
      <c r="AA642" s="9">
        <f>$L978+$K978*E642+$J978*F642+$I978*G642+$H978*H642+$G978*I642+$F978*J642+$E978*K642+$D978*L642+$C978*M642+$B978*N642</f>
        <v/>
      </c>
      <c r="AB642" s="9">
        <f>C642-AA642</f>
        <v/>
      </c>
      <c r="AC642" s="4">
        <f>AB642^2</f>
        <v/>
      </c>
    </row>
    <row r="643">
      <c r="A643" t="inlineStr">
        <is>
          <t>BBG00DB0XYC4</t>
        </is>
      </c>
      <c r="B643" t="inlineStr">
        <is>
          <t>obdc</t>
        </is>
      </c>
      <c r="C643" s="9" t="n">
        <v>0.004599117916587625</v>
      </c>
      <c r="D643" s="3">
        <f>EXP(0.25*'3b-d Exposures'!G783)</f>
        <v/>
      </c>
      <c r="E643" s="3">
        <f>IF('3b-d Exposures'!C783="",0,'3b-d Exposures'!C783)</f>
        <v/>
      </c>
      <c r="F643" s="3">
        <f>IF('3b-d Exposures'!E783="",0,'3b-d Exposures'!E783)</f>
        <v/>
      </c>
      <c r="G643" s="3">
        <f>IF('3b-d Exposures'!G783="",0,'3b-d Exposures'!G783)</f>
        <v/>
      </c>
      <c r="H643" s="3">
        <f>IF('3b-d Exposures'!I783="",0,'3b-d Exposures'!I783)</f>
        <v/>
      </c>
      <c r="I643" s="3">
        <f>IF('3b-d Exposures'!K783="",0,'3b-d Exposures'!K783)</f>
        <v/>
      </c>
      <c r="J643" s="3">
        <f>IF('3b-d Exposures'!M783="",0,'3b-d Exposures'!M783)</f>
        <v/>
      </c>
      <c r="K643" s="3">
        <f>IF('3b-d Exposures'!O783="",0,'3b-d Exposures'!O783)</f>
        <v/>
      </c>
      <c r="L643" s="3">
        <f>IF('3b-d Exposures'!Q783="",0,'3b-d Exposures'!Q783)</f>
        <v/>
      </c>
      <c r="M643" s="3">
        <f>IF('3b-d Exposures'!S783="",0,'3b-d Exposures'!S783)</f>
        <v/>
      </c>
      <c r="N643" s="3">
        <f>IF('3b-d Exposures'!Z783="",0,'3b-d Exposures'!Z783)</f>
        <v/>
      </c>
      <c r="O643" s="3">
        <f>$D643</f>
        <v/>
      </c>
      <c r="P643" s="3">
        <f>E643*$D643</f>
        <v/>
      </c>
      <c r="Q643" s="3">
        <f>F643*$D643</f>
        <v/>
      </c>
      <c r="R643" s="3">
        <f>G643*$D643</f>
        <v/>
      </c>
      <c r="S643" s="3">
        <f>H643*$D643</f>
        <v/>
      </c>
      <c r="T643" s="3">
        <f>I643*$D643</f>
        <v/>
      </c>
      <c r="U643" s="3">
        <f>J643*$D643</f>
        <v/>
      </c>
      <c r="V643" s="3">
        <f>K643*$D643</f>
        <v/>
      </c>
      <c r="W643" s="3">
        <f>L643*$D643</f>
        <v/>
      </c>
      <c r="X643" s="3">
        <f>M643*$D643</f>
        <v/>
      </c>
      <c r="Y643" s="3">
        <f>N643*$D643</f>
        <v/>
      </c>
      <c r="Z643" s="3">
        <f>C643*$D643</f>
        <v/>
      </c>
      <c r="AA643" s="9">
        <f>$L978+$K978*E643+$J978*F643+$I978*G643+$H978*H643+$G978*I643+$F978*J643+$E978*K643+$D978*L643+$C978*M643+$B978*N643</f>
        <v/>
      </c>
      <c r="AB643" s="9">
        <f>C643-AA643</f>
        <v/>
      </c>
      <c r="AC643" s="4">
        <f>AB643^2</f>
        <v/>
      </c>
    </row>
    <row r="644">
      <c r="A644" t="inlineStr">
        <is>
          <t>BBG000M44VW8</t>
        </is>
      </c>
      <c r="B644" t="inlineStr">
        <is>
          <t>oc</t>
        </is>
      </c>
      <c r="C644" s="9" t="n">
        <v>-0.01099106235299319</v>
      </c>
      <c r="D644" s="3">
        <f>EXP(0.25*'3b-d Exposures'!G784)</f>
        <v/>
      </c>
      <c r="E644" s="3">
        <f>IF('3b-d Exposures'!C784="",0,'3b-d Exposures'!C784)</f>
        <v/>
      </c>
      <c r="F644" s="3">
        <f>IF('3b-d Exposures'!E784="",0,'3b-d Exposures'!E784)</f>
        <v/>
      </c>
      <c r="G644" s="3">
        <f>IF('3b-d Exposures'!G784="",0,'3b-d Exposures'!G784)</f>
        <v/>
      </c>
      <c r="H644" s="3">
        <f>IF('3b-d Exposures'!I784="",0,'3b-d Exposures'!I784)</f>
        <v/>
      </c>
      <c r="I644" s="3">
        <f>IF('3b-d Exposures'!K784="",0,'3b-d Exposures'!K784)</f>
        <v/>
      </c>
      <c r="J644" s="3">
        <f>IF('3b-d Exposures'!M784="",0,'3b-d Exposures'!M784)</f>
        <v/>
      </c>
      <c r="K644" s="3">
        <f>IF('3b-d Exposures'!O784="",0,'3b-d Exposures'!O784)</f>
        <v/>
      </c>
      <c r="L644" s="3">
        <f>IF('3b-d Exposures'!Q784="",0,'3b-d Exposures'!Q784)</f>
        <v/>
      </c>
      <c r="M644" s="3">
        <f>IF('3b-d Exposures'!S784="",0,'3b-d Exposures'!S784)</f>
        <v/>
      </c>
      <c r="N644" s="3">
        <f>IF('3b-d Exposures'!Z784="",0,'3b-d Exposures'!Z784)</f>
        <v/>
      </c>
      <c r="O644" s="3">
        <f>$D644</f>
        <v/>
      </c>
      <c r="P644" s="3">
        <f>E644*$D644</f>
        <v/>
      </c>
      <c r="Q644" s="3">
        <f>F644*$D644</f>
        <v/>
      </c>
      <c r="R644" s="3">
        <f>G644*$D644</f>
        <v/>
      </c>
      <c r="S644" s="3">
        <f>H644*$D644</f>
        <v/>
      </c>
      <c r="T644" s="3">
        <f>I644*$D644</f>
        <v/>
      </c>
      <c r="U644" s="3">
        <f>J644*$D644</f>
        <v/>
      </c>
      <c r="V644" s="3">
        <f>K644*$D644</f>
        <v/>
      </c>
      <c r="W644" s="3">
        <f>L644*$D644</f>
        <v/>
      </c>
      <c r="X644" s="3">
        <f>M644*$D644</f>
        <v/>
      </c>
      <c r="Y644" s="3">
        <f>N644*$D644</f>
        <v/>
      </c>
      <c r="Z644" s="3">
        <f>C644*$D644</f>
        <v/>
      </c>
      <c r="AA644" s="9">
        <f>$L978+$K978*E644+$J978*F644+$I978*G644+$H978*H644+$G978*I644+$F978*J644+$E978*K644+$D978*L644+$C978*M644+$B978*N644</f>
        <v/>
      </c>
      <c r="AB644" s="9">
        <f>C644-AA644</f>
        <v/>
      </c>
      <c r="AC644" s="4">
        <f>AB644^2</f>
        <v/>
      </c>
    </row>
    <row r="645">
      <c r="A645" t="inlineStr">
        <is>
          <t>BBG000CHSS88</t>
        </is>
      </c>
      <c r="B645" t="inlineStr">
        <is>
          <t>odfl</t>
        </is>
      </c>
      <c r="C645" s="9" t="n">
        <v>-0.001288150353007889</v>
      </c>
      <c r="D645" s="3">
        <f>EXP(0.25*'3b-d Exposures'!G785)</f>
        <v/>
      </c>
      <c r="E645" s="3">
        <f>IF('3b-d Exposures'!C785="",0,'3b-d Exposures'!C785)</f>
        <v/>
      </c>
      <c r="F645" s="3">
        <f>IF('3b-d Exposures'!E785="",0,'3b-d Exposures'!E785)</f>
        <v/>
      </c>
      <c r="G645" s="3">
        <f>IF('3b-d Exposures'!G785="",0,'3b-d Exposures'!G785)</f>
        <v/>
      </c>
      <c r="H645" s="3">
        <f>IF('3b-d Exposures'!I785="",0,'3b-d Exposures'!I785)</f>
        <v/>
      </c>
      <c r="I645" s="3">
        <f>IF('3b-d Exposures'!K785="",0,'3b-d Exposures'!K785)</f>
        <v/>
      </c>
      <c r="J645" s="3">
        <f>IF('3b-d Exposures'!M785="",0,'3b-d Exposures'!M785)</f>
        <v/>
      </c>
      <c r="K645" s="3">
        <f>IF('3b-d Exposures'!O785="",0,'3b-d Exposures'!O785)</f>
        <v/>
      </c>
      <c r="L645" s="3">
        <f>IF('3b-d Exposures'!Q785="",0,'3b-d Exposures'!Q785)</f>
        <v/>
      </c>
      <c r="M645" s="3">
        <f>IF('3b-d Exposures'!S785="",0,'3b-d Exposures'!S785)</f>
        <v/>
      </c>
      <c r="N645" s="3">
        <f>IF('3b-d Exposures'!Z785="",0,'3b-d Exposures'!Z785)</f>
        <v/>
      </c>
      <c r="O645" s="3">
        <f>$D645</f>
        <v/>
      </c>
      <c r="P645" s="3">
        <f>E645*$D645</f>
        <v/>
      </c>
      <c r="Q645" s="3">
        <f>F645*$D645</f>
        <v/>
      </c>
      <c r="R645" s="3">
        <f>G645*$D645</f>
        <v/>
      </c>
      <c r="S645" s="3">
        <f>H645*$D645</f>
        <v/>
      </c>
      <c r="T645" s="3">
        <f>I645*$D645</f>
        <v/>
      </c>
      <c r="U645" s="3">
        <f>J645*$D645</f>
        <v/>
      </c>
      <c r="V645" s="3">
        <f>K645*$D645</f>
        <v/>
      </c>
      <c r="W645" s="3">
        <f>L645*$D645</f>
        <v/>
      </c>
      <c r="X645" s="3">
        <f>M645*$D645</f>
        <v/>
      </c>
      <c r="Y645" s="3">
        <f>N645*$D645</f>
        <v/>
      </c>
      <c r="Z645" s="3">
        <f>C645*$D645</f>
        <v/>
      </c>
      <c r="AA645" s="9">
        <f>$L978+$K978*E645+$J978*F645+$I978*G645+$H978*H645+$G978*I645+$F978*J645+$E978*K645+$D978*L645+$C978*M645+$B978*N645</f>
        <v/>
      </c>
      <c r="AB645" s="9">
        <f>C645-AA645</f>
        <v/>
      </c>
      <c r="AC645" s="4">
        <f>AB645^2</f>
        <v/>
      </c>
    </row>
    <row r="646">
      <c r="A646" t="inlineStr">
        <is>
          <t>BBG000BQGLS5</t>
        </is>
      </c>
      <c r="B646" t="inlineStr">
        <is>
          <t>oge</t>
        </is>
      </c>
      <c r="C646" s="9" t="n">
        <v>-0.02684266649462597</v>
      </c>
      <c r="D646" s="3">
        <f>EXP(0.25*'3b-d Exposures'!G787)</f>
        <v/>
      </c>
      <c r="E646" s="3">
        <f>IF('3b-d Exposures'!C787="",0,'3b-d Exposures'!C787)</f>
        <v/>
      </c>
      <c r="F646" s="3">
        <f>IF('3b-d Exposures'!E787="",0,'3b-d Exposures'!E787)</f>
        <v/>
      </c>
      <c r="G646" s="3">
        <f>IF('3b-d Exposures'!G787="",0,'3b-d Exposures'!G787)</f>
        <v/>
      </c>
      <c r="H646" s="3">
        <f>IF('3b-d Exposures'!I787="",0,'3b-d Exposures'!I787)</f>
        <v/>
      </c>
      <c r="I646" s="3">
        <f>IF('3b-d Exposures'!K787="",0,'3b-d Exposures'!K787)</f>
        <v/>
      </c>
      <c r="J646" s="3">
        <f>IF('3b-d Exposures'!M787="",0,'3b-d Exposures'!M787)</f>
        <v/>
      </c>
      <c r="K646" s="3">
        <f>IF('3b-d Exposures'!O787="",0,'3b-d Exposures'!O787)</f>
        <v/>
      </c>
      <c r="L646" s="3">
        <f>IF('3b-d Exposures'!Q787="",0,'3b-d Exposures'!Q787)</f>
        <v/>
      </c>
      <c r="M646" s="3">
        <f>IF('3b-d Exposures'!S787="",0,'3b-d Exposures'!S787)</f>
        <v/>
      </c>
      <c r="N646" s="3">
        <f>IF('3b-d Exposures'!Z787="",0,'3b-d Exposures'!Z787)</f>
        <v/>
      </c>
      <c r="O646" s="3">
        <f>$D646</f>
        <v/>
      </c>
      <c r="P646" s="3">
        <f>E646*$D646</f>
        <v/>
      </c>
      <c r="Q646" s="3">
        <f>F646*$D646</f>
        <v/>
      </c>
      <c r="R646" s="3">
        <f>G646*$D646</f>
        <v/>
      </c>
      <c r="S646" s="3">
        <f>H646*$D646</f>
        <v/>
      </c>
      <c r="T646" s="3">
        <f>I646*$D646</f>
        <v/>
      </c>
      <c r="U646" s="3">
        <f>J646*$D646</f>
        <v/>
      </c>
      <c r="V646" s="3">
        <f>K646*$D646</f>
        <v/>
      </c>
      <c r="W646" s="3">
        <f>L646*$D646</f>
        <v/>
      </c>
      <c r="X646" s="3">
        <f>M646*$D646</f>
        <v/>
      </c>
      <c r="Y646" s="3">
        <f>N646*$D646</f>
        <v/>
      </c>
      <c r="Z646" s="3">
        <f>C646*$D646</f>
        <v/>
      </c>
      <c r="AA646" s="9">
        <f>$L978+$K978*E646+$J978*F646+$I978*G646+$H978*H646+$G978*I646+$F978*J646+$E978*K646+$D978*L646+$C978*M646+$B978*N646</f>
        <v/>
      </c>
      <c r="AB646" s="9">
        <f>C646-AA646</f>
        <v/>
      </c>
      <c r="AC646" s="4">
        <f>AB646^2</f>
        <v/>
      </c>
    </row>
    <row r="647">
      <c r="A647" t="inlineStr">
        <is>
          <t>BBG000BGBTC2</t>
        </is>
      </c>
      <c r="B647" t="inlineStr">
        <is>
          <t>ohi</t>
        </is>
      </c>
      <c r="C647" s="9" t="n">
        <v>-0.01969963377935868</v>
      </c>
      <c r="D647" s="3">
        <f>EXP(0.25*'3b-d Exposures'!G788)</f>
        <v/>
      </c>
      <c r="E647" s="3">
        <f>IF('3b-d Exposures'!C788="",0,'3b-d Exposures'!C788)</f>
        <v/>
      </c>
      <c r="F647" s="3">
        <f>IF('3b-d Exposures'!E788="",0,'3b-d Exposures'!E788)</f>
        <v/>
      </c>
      <c r="G647" s="3">
        <f>IF('3b-d Exposures'!G788="",0,'3b-d Exposures'!G788)</f>
        <v/>
      </c>
      <c r="H647" s="3">
        <f>IF('3b-d Exposures'!I788="",0,'3b-d Exposures'!I788)</f>
        <v/>
      </c>
      <c r="I647" s="3">
        <f>IF('3b-d Exposures'!K788="",0,'3b-d Exposures'!K788)</f>
        <v/>
      </c>
      <c r="J647" s="3">
        <f>IF('3b-d Exposures'!M788="",0,'3b-d Exposures'!M788)</f>
        <v/>
      </c>
      <c r="K647" s="3">
        <f>IF('3b-d Exposures'!O788="",0,'3b-d Exposures'!O788)</f>
        <v/>
      </c>
      <c r="L647" s="3">
        <f>IF('3b-d Exposures'!Q788="",0,'3b-d Exposures'!Q788)</f>
        <v/>
      </c>
      <c r="M647" s="3">
        <f>IF('3b-d Exposures'!S788="",0,'3b-d Exposures'!S788)</f>
        <v/>
      </c>
      <c r="N647" s="3">
        <f>IF('3b-d Exposures'!Z788="",0,'3b-d Exposures'!Z788)</f>
        <v/>
      </c>
      <c r="O647" s="3">
        <f>$D647</f>
        <v/>
      </c>
      <c r="P647" s="3">
        <f>E647*$D647</f>
        <v/>
      </c>
      <c r="Q647" s="3">
        <f>F647*$D647</f>
        <v/>
      </c>
      <c r="R647" s="3">
        <f>G647*$D647</f>
        <v/>
      </c>
      <c r="S647" s="3">
        <f>H647*$D647</f>
        <v/>
      </c>
      <c r="T647" s="3">
        <f>I647*$D647</f>
        <v/>
      </c>
      <c r="U647" s="3">
        <f>J647*$D647</f>
        <v/>
      </c>
      <c r="V647" s="3">
        <f>K647*$D647</f>
        <v/>
      </c>
      <c r="W647" s="3">
        <f>L647*$D647</f>
        <v/>
      </c>
      <c r="X647" s="3">
        <f>M647*$D647</f>
        <v/>
      </c>
      <c r="Y647" s="3">
        <f>N647*$D647</f>
        <v/>
      </c>
      <c r="Z647" s="3">
        <f>C647*$D647</f>
        <v/>
      </c>
      <c r="AA647" s="9">
        <f>$L978+$K978*E647+$J978*F647+$I978*G647+$H978*H647+$G978*I647+$F978*J647+$E978*K647+$D978*L647+$C978*M647+$B978*N647</f>
        <v/>
      </c>
      <c r="AB647" s="9">
        <f>C647-AA647</f>
        <v/>
      </c>
      <c r="AC647" s="4">
        <f>AB647^2</f>
        <v/>
      </c>
    </row>
    <row r="648">
      <c r="A648" t="inlineStr">
        <is>
          <t>BBG000BQHGR6</t>
        </is>
      </c>
      <c r="B648" t="inlineStr">
        <is>
          <t>oke</t>
        </is>
      </c>
      <c r="C648" s="9" t="n">
        <v>-0.02781681877425679</v>
      </c>
      <c r="D648" s="3">
        <f>EXP(0.25*'3b-d Exposures'!G789)</f>
        <v/>
      </c>
      <c r="E648" s="3">
        <f>IF('3b-d Exposures'!C789="",0,'3b-d Exposures'!C789)</f>
        <v/>
      </c>
      <c r="F648" s="3">
        <f>IF('3b-d Exposures'!E789="",0,'3b-d Exposures'!E789)</f>
        <v/>
      </c>
      <c r="G648" s="3">
        <f>IF('3b-d Exposures'!G789="",0,'3b-d Exposures'!G789)</f>
        <v/>
      </c>
      <c r="H648" s="3">
        <f>IF('3b-d Exposures'!I789="",0,'3b-d Exposures'!I789)</f>
        <v/>
      </c>
      <c r="I648" s="3">
        <f>IF('3b-d Exposures'!K789="",0,'3b-d Exposures'!K789)</f>
        <v/>
      </c>
      <c r="J648" s="3">
        <f>IF('3b-d Exposures'!M789="",0,'3b-d Exposures'!M789)</f>
        <v/>
      </c>
      <c r="K648" s="3">
        <f>IF('3b-d Exposures'!O789="",0,'3b-d Exposures'!O789)</f>
        <v/>
      </c>
      <c r="L648" s="3">
        <f>IF('3b-d Exposures'!Q789="",0,'3b-d Exposures'!Q789)</f>
        <v/>
      </c>
      <c r="M648" s="3">
        <f>IF('3b-d Exposures'!S789="",0,'3b-d Exposures'!S789)</f>
        <v/>
      </c>
      <c r="N648" s="3">
        <f>IF('3b-d Exposures'!Z789="",0,'3b-d Exposures'!Z789)</f>
        <v/>
      </c>
      <c r="O648" s="3">
        <f>$D648</f>
        <v/>
      </c>
      <c r="P648" s="3">
        <f>E648*$D648</f>
        <v/>
      </c>
      <c r="Q648" s="3">
        <f>F648*$D648</f>
        <v/>
      </c>
      <c r="R648" s="3">
        <f>G648*$D648</f>
        <v/>
      </c>
      <c r="S648" s="3">
        <f>H648*$D648</f>
        <v/>
      </c>
      <c r="T648" s="3">
        <f>I648*$D648</f>
        <v/>
      </c>
      <c r="U648" s="3">
        <f>J648*$D648</f>
        <v/>
      </c>
      <c r="V648" s="3">
        <f>K648*$D648</f>
        <v/>
      </c>
      <c r="W648" s="3">
        <f>L648*$D648</f>
        <v/>
      </c>
      <c r="X648" s="3">
        <f>M648*$D648</f>
        <v/>
      </c>
      <c r="Y648" s="3">
        <f>N648*$D648</f>
        <v/>
      </c>
      <c r="Z648" s="3">
        <f>C648*$D648</f>
        <v/>
      </c>
      <c r="AA648" s="9">
        <f>$L978+$K978*E648+$J978*F648+$I978*G648+$H978*H648+$G978*I648+$F978*J648+$E978*K648+$D978*L648+$C978*M648+$B978*N648</f>
        <v/>
      </c>
      <c r="AB648" s="9">
        <f>C648-AA648</f>
        <v/>
      </c>
      <c r="AC648" s="4">
        <f>AB648^2</f>
        <v/>
      </c>
    </row>
    <row r="649">
      <c r="A649" t="inlineStr">
        <is>
          <t>BBG0112CBLW3</t>
        </is>
      </c>
      <c r="B649" t="inlineStr">
        <is>
          <t>oklo</t>
        </is>
      </c>
      <c r="C649" s="9" t="n">
        <v>-0.05565001369336897</v>
      </c>
      <c r="D649" s="3">
        <f>EXP(0.25*'3b-d Exposures'!G790)</f>
        <v/>
      </c>
      <c r="E649" s="3">
        <f>IF('3b-d Exposures'!C790="",0,'3b-d Exposures'!C790)</f>
        <v/>
      </c>
      <c r="F649" s="3">
        <f>IF('3b-d Exposures'!E790="",0,'3b-d Exposures'!E790)</f>
        <v/>
      </c>
      <c r="G649" s="3">
        <f>IF('3b-d Exposures'!G790="",0,'3b-d Exposures'!G790)</f>
        <v/>
      </c>
      <c r="H649" s="3">
        <f>IF('3b-d Exposures'!I790="",0,'3b-d Exposures'!I790)</f>
        <v/>
      </c>
      <c r="I649" s="3">
        <f>IF('3b-d Exposures'!K790="",0,'3b-d Exposures'!K790)</f>
        <v/>
      </c>
      <c r="J649" s="3">
        <f>IF('3b-d Exposures'!M790="",0,'3b-d Exposures'!M790)</f>
        <v/>
      </c>
      <c r="K649" s="3">
        <f>IF('3b-d Exposures'!O790="",0,'3b-d Exposures'!O790)</f>
        <v/>
      </c>
      <c r="L649" s="3">
        <f>IF('3b-d Exposures'!Q790="",0,'3b-d Exposures'!Q790)</f>
        <v/>
      </c>
      <c r="M649" s="3">
        <f>IF('3b-d Exposures'!S790="",0,'3b-d Exposures'!S790)</f>
        <v/>
      </c>
      <c r="N649" s="3">
        <f>IF('3b-d Exposures'!Z790="",0,'3b-d Exposures'!Z790)</f>
        <v/>
      </c>
      <c r="O649" s="3">
        <f>$D649</f>
        <v/>
      </c>
      <c r="P649" s="3">
        <f>E649*$D649</f>
        <v/>
      </c>
      <c r="Q649" s="3">
        <f>F649*$D649</f>
        <v/>
      </c>
      <c r="R649" s="3">
        <f>G649*$D649</f>
        <v/>
      </c>
      <c r="S649" s="3">
        <f>H649*$D649</f>
        <v/>
      </c>
      <c r="T649" s="3">
        <f>I649*$D649</f>
        <v/>
      </c>
      <c r="U649" s="3">
        <f>J649*$D649</f>
        <v/>
      </c>
      <c r="V649" s="3">
        <f>K649*$D649</f>
        <v/>
      </c>
      <c r="W649" s="3">
        <f>L649*$D649</f>
        <v/>
      </c>
      <c r="X649" s="3">
        <f>M649*$D649</f>
        <v/>
      </c>
      <c r="Y649" s="3">
        <f>N649*$D649</f>
        <v/>
      </c>
      <c r="Z649" s="3">
        <f>C649*$D649</f>
        <v/>
      </c>
      <c r="AA649" s="9">
        <f>$L978+$K978*E649+$J978*F649+$I978*G649+$H978*H649+$G978*I649+$F978*J649+$E978*K649+$D978*L649+$C978*M649+$B978*N649</f>
        <v/>
      </c>
      <c r="AB649" s="9">
        <f>C649-AA649</f>
        <v/>
      </c>
      <c r="AC649" s="4">
        <f>AB649^2</f>
        <v/>
      </c>
    </row>
    <row r="650">
      <c r="A650" t="inlineStr">
        <is>
          <t>BBG001YV1SM4</t>
        </is>
      </c>
      <c r="B650" t="inlineStr">
        <is>
          <t>okta</t>
        </is>
      </c>
      <c r="C650" s="9" t="n">
        <v>0.04241878570253776</v>
      </c>
      <c r="D650" s="3">
        <f>EXP(0.25*'3b-d Exposures'!G791)</f>
        <v/>
      </c>
      <c r="E650" s="3">
        <f>IF('3b-d Exposures'!C791="",0,'3b-d Exposures'!C791)</f>
        <v/>
      </c>
      <c r="F650" s="3">
        <f>IF('3b-d Exposures'!E791="",0,'3b-d Exposures'!E791)</f>
        <v/>
      </c>
      <c r="G650" s="3">
        <f>IF('3b-d Exposures'!G791="",0,'3b-d Exposures'!G791)</f>
        <v/>
      </c>
      <c r="H650" s="3">
        <f>IF('3b-d Exposures'!I791="",0,'3b-d Exposures'!I791)</f>
        <v/>
      </c>
      <c r="I650" s="3">
        <f>IF('3b-d Exposures'!K791="",0,'3b-d Exposures'!K791)</f>
        <v/>
      </c>
      <c r="J650" s="3">
        <f>IF('3b-d Exposures'!M791="",0,'3b-d Exposures'!M791)</f>
        <v/>
      </c>
      <c r="K650" s="3">
        <f>IF('3b-d Exposures'!O791="",0,'3b-d Exposures'!O791)</f>
        <v/>
      </c>
      <c r="L650" s="3">
        <f>IF('3b-d Exposures'!Q791="",0,'3b-d Exposures'!Q791)</f>
        <v/>
      </c>
      <c r="M650" s="3">
        <f>IF('3b-d Exposures'!S791="",0,'3b-d Exposures'!S791)</f>
        <v/>
      </c>
      <c r="N650" s="3">
        <f>IF('3b-d Exposures'!Z791="",0,'3b-d Exposures'!Z791)</f>
        <v/>
      </c>
      <c r="O650" s="3">
        <f>$D650</f>
        <v/>
      </c>
      <c r="P650" s="3">
        <f>E650*$D650</f>
        <v/>
      </c>
      <c r="Q650" s="3">
        <f>F650*$D650</f>
        <v/>
      </c>
      <c r="R650" s="3">
        <f>G650*$D650</f>
        <v/>
      </c>
      <c r="S650" s="3">
        <f>H650*$D650</f>
        <v/>
      </c>
      <c r="T650" s="3">
        <f>I650*$D650</f>
        <v/>
      </c>
      <c r="U650" s="3">
        <f>J650*$D650</f>
        <v/>
      </c>
      <c r="V650" s="3">
        <f>K650*$D650</f>
        <v/>
      </c>
      <c r="W650" s="3">
        <f>L650*$D650</f>
        <v/>
      </c>
      <c r="X650" s="3">
        <f>M650*$D650</f>
        <v/>
      </c>
      <c r="Y650" s="3">
        <f>N650*$D650</f>
        <v/>
      </c>
      <c r="Z650" s="3">
        <f>C650*$D650</f>
        <v/>
      </c>
      <c r="AA650" s="9">
        <f>$L978+$K978*E650+$J978*F650+$I978*G650+$H978*H650+$G978*I650+$F978*J650+$E978*K650+$D978*L650+$C978*M650+$B978*N650</f>
        <v/>
      </c>
      <c r="AB650" s="9">
        <f>C650-AA650</f>
        <v/>
      </c>
      <c r="AC650" s="4">
        <f>AB650^2</f>
        <v/>
      </c>
    </row>
    <row r="651">
      <c r="A651" t="inlineStr">
        <is>
          <t>BBG000BQHTV3</t>
        </is>
      </c>
      <c r="B651" t="inlineStr">
        <is>
          <t>oln</t>
        </is>
      </c>
      <c r="C651" s="9" t="n">
        <v>0.02019245713467566</v>
      </c>
      <c r="D651" s="3">
        <f>EXP(0.25*'3b-d Exposures'!G792)</f>
        <v/>
      </c>
      <c r="E651" s="3">
        <f>IF('3b-d Exposures'!C792="",0,'3b-d Exposures'!C792)</f>
        <v/>
      </c>
      <c r="F651" s="3">
        <f>IF('3b-d Exposures'!E792="",0,'3b-d Exposures'!E792)</f>
        <v/>
      </c>
      <c r="G651" s="3">
        <f>IF('3b-d Exposures'!G792="",0,'3b-d Exposures'!G792)</f>
        <v/>
      </c>
      <c r="H651" s="3">
        <f>IF('3b-d Exposures'!I792="",0,'3b-d Exposures'!I792)</f>
        <v/>
      </c>
      <c r="I651" s="3">
        <f>IF('3b-d Exposures'!K792="",0,'3b-d Exposures'!K792)</f>
        <v/>
      </c>
      <c r="J651" s="3">
        <f>IF('3b-d Exposures'!M792="",0,'3b-d Exposures'!M792)</f>
        <v/>
      </c>
      <c r="K651" s="3">
        <f>IF('3b-d Exposures'!O792="",0,'3b-d Exposures'!O792)</f>
        <v/>
      </c>
      <c r="L651" s="3">
        <f>IF('3b-d Exposures'!Q792="",0,'3b-d Exposures'!Q792)</f>
        <v/>
      </c>
      <c r="M651" s="3">
        <f>IF('3b-d Exposures'!S792="",0,'3b-d Exposures'!S792)</f>
        <v/>
      </c>
      <c r="N651" s="3">
        <f>IF('3b-d Exposures'!Z792="",0,'3b-d Exposures'!Z792)</f>
        <v/>
      </c>
      <c r="O651" s="3">
        <f>$D651</f>
        <v/>
      </c>
      <c r="P651" s="3">
        <f>E651*$D651</f>
        <v/>
      </c>
      <c r="Q651" s="3">
        <f>F651*$D651</f>
        <v/>
      </c>
      <c r="R651" s="3">
        <f>G651*$D651</f>
        <v/>
      </c>
      <c r="S651" s="3">
        <f>H651*$D651</f>
        <v/>
      </c>
      <c r="T651" s="3">
        <f>I651*$D651</f>
        <v/>
      </c>
      <c r="U651" s="3">
        <f>J651*$D651</f>
        <v/>
      </c>
      <c r="V651" s="3">
        <f>K651*$D651</f>
        <v/>
      </c>
      <c r="W651" s="3">
        <f>L651*$D651</f>
        <v/>
      </c>
      <c r="X651" s="3">
        <f>M651*$D651</f>
        <v/>
      </c>
      <c r="Y651" s="3">
        <f>N651*$D651</f>
        <v/>
      </c>
      <c r="Z651" s="3">
        <f>C651*$D651</f>
        <v/>
      </c>
      <c r="AA651" s="9">
        <f>$L978+$K978*E651+$J978*F651+$I978*G651+$H978*H651+$G978*I651+$F978*J651+$E978*K651+$D978*L651+$C978*M651+$B978*N651</f>
        <v/>
      </c>
      <c r="AB651" s="9">
        <f>C651-AA651</f>
        <v/>
      </c>
      <c r="AC651" s="4">
        <f>AB651^2</f>
        <v/>
      </c>
    </row>
    <row r="652">
      <c r="A652" t="inlineStr">
        <is>
          <t>omc</t>
        </is>
      </c>
      <c r="B652" t="inlineStr">
        <is>
          <t>omc</t>
        </is>
      </c>
      <c r="C652" s="9" t="n">
        <v>0.001812603554866232</v>
      </c>
      <c r="D652" s="3">
        <f>EXP(0.25*'3b-d Exposures'!G793)</f>
        <v/>
      </c>
      <c r="E652" s="3">
        <f>IF('3b-d Exposures'!C793="",0,'3b-d Exposures'!C793)</f>
        <v/>
      </c>
      <c r="F652" s="3">
        <f>IF('3b-d Exposures'!E793="",0,'3b-d Exposures'!E793)</f>
        <v/>
      </c>
      <c r="G652" s="3">
        <f>IF('3b-d Exposures'!G793="",0,'3b-d Exposures'!G793)</f>
        <v/>
      </c>
      <c r="H652" s="3">
        <f>IF('3b-d Exposures'!I793="",0,'3b-d Exposures'!I793)</f>
        <v/>
      </c>
      <c r="I652" s="3">
        <f>IF('3b-d Exposures'!K793="",0,'3b-d Exposures'!K793)</f>
        <v/>
      </c>
      <c r="J652" s="3">
        <f>IF('3b-d Exposures'!M793="",0,'3b-d Exposures'!M793)</f>
        <v/>
      </c>
      <c r="K652" s="3">
        <f>IF('3b-d Exposures'!O793="",0,'3b-d Exposures'!O793)</f>
        <v/>
      </c>
      <c r="L652" s="3">
        <f>IF('3b-d Exposures'!Q793="",0,'3b-d Exposures'!Q793)</f>
        <v/>
      </c>
      <c r="M652" s="3">
        <f>IF('3b-d Exposures'!S793="",0,'3b-d Exposures'!S793)</f>
        <v/>
      </c>
      <c r="N652" s="3">
        <f>IF('3b-d Exposures'!Z793="",0,'3b-d Exposures'!Z793)</f>
        <v/>
      </c>
      <c r="O652" s="3">
        <f>$D652</f>
        <v/>
      </c>
      <c r="P652" s="3">
        <f>E652*$D652</f>
        <v/>
      </c>
      <c r="Q652" s="3">
        <f>F652*$D652</f>
        <v/>
      </c>
      <c r="R652" s="3">
        <f>G652*$D652</f>
        <v/>
      </c>
      <c r="S652" s="3">
        <f>H652*$D652</f>
        <v/>
      </c>
      <c r="T652" s="3">
        <f>I652*$D652</f>
        <v/>
      </c>
      <c r="U652" s="3">
        <f>J652*$D652</f>
        <v/>
      </c>
      <c r="V652" s="3">
        <f>K652*$D652</f>
        <v/>
      </c>
      <c r="W652" s="3">
        <f>L652*$D652</f>
        <v/>
      </c>
      <c r="X652" s="3">
        <f>M652*$D652</f>
        <v/>
      </c>
      <c r="Y652" s="3">
        <f>N652*$D652</f>
        <v/>
      </c>
      <c r="Z652" s="3">
        <f>C652*$D652</f>
        <v/>
      </c>
      <c r="AA652" s="9">
        <f>$L978+$K978*E652+$J978*F652+$I978*G652+$H978*H652+$G978*I652+$F978*J652+$E978*K652+$D978*L652+$C978*M652+$B978*N652</f>
        <v/>
      </c>
      <c r="AB652" s="9">
        <f>C652-AA652</f>
        <v/>
      </c>
      <c r="AC652" s="4">
        <f>AB652^2</f>
        <v/>
      </c>
    </row>
    <row r="653">
      <c r="A653" t="inlineStr">
        <is>
          <t>BBG000BTNGZ4</t>
        </is>
      </c>
      <c r="B653" t="inlineStr">
        <is>
          <t>omcl</t>
        </is>
      </c>
      <c r="C653" s="9" t="n">
        <v>0.02189311986312603</v>
      </c>
      <c r="D653" s="3">
        <f>EXP(0.25*'3b-d Exposures'!G794)</f>
        <v/>
      </c>
      <c r="E653" s="3">
        <f>IF('3b-d Exposures'!C794="",0,'3b-d Exposures'!C794)</f>
        <v/>
      </c>
      <c r="F653" s="3">
        <f>IF('3b-d Exposures'!E794="",0,'3b-d Exposures'!E794)</f>
        <v/>
      </c>
      <c r="G653" s="3">
        <f>IF('3b-d Exposures'!G794="",0,'3b-d Exposures'!G794)</f>
        <v/>
      </c>
      <c r="H653" s="3">
        <f>IF('3b-d Exposures'!I794="",0,'3b-d Exposures'!I794)</f>
        <v/>
      </c>
      <c r="I653" s="3">
        <f>IF('3b-d Exposures'!K794="",0,'3b-d Exposures'!K794)</f>
        <v/>
      </c>
      <c r="J653" s="3">
        <f>IF('3b-d Exposures'!M794="",0,'3b-d Exposures'!M794)</f>
        <v/>
      </c>
      <c r="K653" s="3">
        <f>IF('3b-d Exposures'!O794="",0,'3b-d Exposures'!O794)</f>
        <v/>
      </c>
      <c r="L653" s="3">
        <f>IF('3b-d Exposures'!Q794="",0,'3b-d Exposures'!Q794)</f>
        <v/>
      </c>
      <c r="M653" s="3">
        <f>IF('3b-d Exposures'!S794="",0,'3b-d Exposures'!S794)</f>
        <v/>
      </c>
      <c r="N653" s="3">
        <f>IF('3b-d Exposures'!Z794="",0,'3b-d Exposures'!Z794)</f>
        <v/>
      </c>
      <c r="O653" s="3">
        <f>$D653</f>
        <v/>
      </c>
      <c r="P653" s="3">
        <f>E653*$D653</f>
        <v/>
      </c>
      <c r="Q653" s="3">
        <f>F653*$D653</f>
        <v/>
      </c>
      <c r="R653" s="3">
        <f>G653*$D653</f>
        <v/>
      </c>
      <c r="S653" s="3">
        <f>H653*$D653</f>
        <v/>
      </c>
      <c r="T653" s="3">
        <f>I653*$D653</f>
        <v/>
      </c>
      <c r="U653" s="3">
        <f>J653*$D653</f>
        <v/>
      </c>
      <c r="V653" s="3">
        <f>K653*$D653</f>
        <v/>
      </c>
      <c r="W653" s="3">
        <f>L653*$D653</f>
        <v/>
      </c>
      <c r="X653" s="3">
        <f>M653*$D653</f>
        <v/>
      </c>
      <c r="Y653" s="3">
        <f>N653*$D653</f>
        <v/>
      </c>
      <c r="Z653" s="3">
        <f>C653*$D653</f>
        <v/>
      </c>
      <c r="AA653" s="9">
        <f>$L978+$K978*E653+$J978*F653+$I978*G653+$H978*H653+$G978*I653+$F978*J653+$E978*K653+$D978*L653+$C978*M653+$B978*N653</f>
        <v/>
      </c>
      <c r="AB653" s="9">
        <f>C653-AA653</f>
        <v/>
      </c>
      <c r="AC653" s="4">
        <f>AB653^2</f>
        <v/>
      </c>
    </row>
    <row r="654">
      <c r="A654" t="inlineStr">
        <is>
          <t>BBG005497GZ3</t>
        </is>
      </c>
      <c r="B654" t="inlineStr">
        <is>
          <t>omf</t>
        </is>
      </c>
      <c r="C654" s="9" t="n">
        <v>-0.004359065293761066</v>
      </c>
      <c r="D654" s="3">
        <f>EXP(0.25*'3b-d Exposures'!G796)</f>
        <v/>
      </c>
      <c r="E654" s="3">
        <f>IF('3b-d Exposures'!C796="",0,'3b-d Exposures'!C796)</f>
        <v/>
      </c>
      <c r="F654" s="3">
        <f>IF('3b-d Exposures'!E796="",0,'3b-d Exposures'!E796)</f>
        <v/>
      </c>
      <c r="G654" s="3">
        <f>IF('3b-d Exposures'!G796="",0,'3b-d Exposures'!G796)</f>
        <v/>
      </c>
      <c r="H654" s="3">
        <f>IF('3b-d Exposures'!I796="",0,'3b-d Exposures'!I796)</f>
        <v/>
      </c>
      <c r="I654" s="3">
        <f>IF('3b-d Exposures'!K796="",0,'3b-d Exposures'!K796)</f>
        <v/>
      </c>
      <c r="J654" s="3">
        <f>IF('3b-d Exposures'!M796="",0,'3b-d Exposures'!M796)</f>
        <v/>
      </c>
      <c r="K654" s="3">
        <f>IF('3b-d Exposures'!O796="",0,'3b-d Exposures'!O796)</f>
        <v/>
      </c>
      <c r="L654" s="3">
        <f>IF('3b-d Exposures'!Q796="",0,'3b-d Exposures'!Q796)</f>
        <v/>
      </c>
      <c r="M654" s="3">
        <f>IF('3b-d Exposures'!S796="",0,'3b-d Exposures'!S796)</f>
        <v/>
      </c>
      <c r="N654" s="3">
        <f>IF('3b-d Exposures'!Z796="",0,'3b-d Exposures'!Z796)</f>
        <v/>
      </c>
      <c r="O654" s="3">
        <f>$D654</f>
        <v/>
      </c>
      <c r="P654" s="3">
        <f>E654*$D654</f>
        <v/>
      </c>
      <c r="Q654" s="3">
        <f>F654*$D654</f>
        <v/>
      </c>
      <c r="R654" s="3">
        <f>G654*$D654</f>
        <v/>
      </c>
      <c r="S654" s="3">
        <f>H654*$D654</f>
        <v/>
      </c>
      <c r="T654" s="3">
        <f>I654*$D654</f>
        <v/>
      </c>
      <c r="U654" s="3">
        <f>J654*$D654</f>
        <v/>
      </c>
      <c r="V654" s="3">
        <f>K654*$D654</f>
        <v/>
      </c>
      <c r="W654" s="3">
        <f>L654*$D654</f>
        <v/>
      </c>
      <c r="X654" s="3">
        <f>M654*$D654</f>
        <v/>
      </c>
      <c r="Y654" s="3">
        <f>N654*$D654</f>
        <v/>
      </c>
      <c r="Z654" s="3">
        <f>C654*$D654</f>
        <v/>
      </c>
      <c r="AA654" s="9">
        <f>$L978+$K978*E654+$J978*F654+$I978*G654+$H978*H654+$G978*I654+$F978*J654+$E978*K654+$D978*L654+$C978*M654+$B978*N654</f>
        <v/>
      </c>
      <c r="AB654" s="9">
        <f>C654-AA654</f>
        <v/>
      </c>
      <c r="AC654" s="4">
        <f>AB654^2</f>
        <v/>
      </c>
    </row>
    <row r="655">
      <c r="A655" t="inlineStr">
        <is>
          <t>BBG000DV7MX4</t>
        </is>
      </c>
      <c r="B655" t="inlineStr">
        <is>
          <t>on</t>
        </is>
      </c>
      <c r="C655" s="9" t="n">
        <v>0.03979181794669095</v>
      </c>
      <c r="D655" s="3">
        <f>EXP(0.25*'3b-d Exposures'!G797)</f>
        <v/>
      </c>
      <c r="E655" s="3">
        <f>IF('3b-d Exposures'!C797="",0,'3b-d Exposures'!C797)</f>
        <v/>
      </c>
      <c r="F655" s="3">
        <f>IF('3b-d Exposures'!E797="",0,'3b-d Exposures'!E797)</f>
        <v/>
      </c>
      <c r="G655" s="3">
        <f>IF('3b-d Exposures'!G797="",0,'3b-d Exposures'!G797)</f>
        <v/>
      </c>
      <c r="H655" s="3">
        <f>IF('3b-d Exposures'!I797="",0,'3b-d Exposures'!I797)</f>
        <v/>
      </c>
      <c r="I655" s="3">
        <f>IF('3b-d Exposures'!K797="",0,'3b-d Exposures'!K797)</f>
        <v/>
      </c>
      <c r="J655" s="3">
        <f>IF('3b-d Exposures'!M797="",0,'3b-d Exposures'!M797)</f>
        <v/>
      </c>
      <c r="K655" s="3">
        <f>IF('3b-d Exposures'!O797="",0,'3b-d Exposures'!O797)</f>
        <v/>
      </c>
      <c r="L655" s="3">
        <f>IF('3b-d Exposures'!Q797="",0,'3b-d Exposures'!Q797)</f>
        <v/>
      </c>
      <c r="M655" s="3">
        <f>IF('3b-d Exposures'!S797="",0,'3b-d Exposures'!S797)</f>
        <v/>
      </c>
      <c r="N655" s="3">
        <f>IF('3b-d Exposures'!Z797="",0,'3b-d Exposures'!Z797)</f>
        <v/>
      </c>
      <c r="O655" s="3">
        <f>$D655</f>
        <v/>
      </c>
      <c r="P655" s="3">
        <f>E655*$D655</f>
        <v/>
      </c>
      <c r="Q655" s="3">
        <f>F655*$D655</f>
        <v/>
      </c>
      <c r="R655" s="3">
        <f>G655*$D655</f>
        <v/>
      </c>
      <c r="S655" s="3">
        <f>H655*$D655</f>
        <v/>
      </c>
      <c r="T655" s="3">
        <f>I655*$D655</f>
        <v/>
      </c>
      <c r="U655" s="3">
        <f>J655*$D655</f>
        <v/>
      </c>
      <c r="V655" s="3">
        <f>K655*$D655</f>
        <v/>
      </c>
      <c r="W655" s="3">
        <f>L655*$D655</f>
        <v/>
      </c>
      <c r="X655" s="3">
        <f>M655*$D655</f>
        <v/>
      </c>
      <c r="Y655" s="3">
        <f>N655*$D655</f>
        <v/>
      </c>
      <c r="Z655" s="3">
        <f>C655*$D655</f>
        <v/>
      </c>
      <c r="AA655" s="9">
        <f>$L978+$K978*E655+$J978*F655+$I978*G655+$H978*H655+$G978*I655+$F978*J655+$E978*K655+$D978*L655+$C978*M655+$B978*N655</f>
        <v/>
      </c>
      <c r="AB655" s="9">
        <f>C655-AA655</f>
        <v/>
      </c>
      <c r="AC655" s="4">
        <f>AB655^2</f>
        <v/>
      </c>
    </row>
    <row r="656">
      <c r="A656" t="inlineStr">
        <is>
          <t>BBG000KFW1C2</t>
        </is>
      </c>
      <c r="B656" t="inlineStr">
        <is>
          <t>onb</t>
        </is>
      </c>
      <c r="C656" s="9" t="n">
        <v>-0.00734034220174129</v>
      </c>
      <c r="D656" s="3">
        <f>EXP(0.25*'3b-d Exposures'!G798)</f>
        <v/>
      </c>
      <c r="E656" s="3">
        <f>IF('3b-d Exposures'!C798="",0,'3b-d Exposures'!C798)</f>
        <v/>
      </c>
      <c r="F656" s="3">
        <f>IF('3b-d Exposures'!E798="",0,'3b-d Exposures'!E798)</f>
        <v/>
      </c>
      <c r="G656" s="3">
        <f>IF('3b-d Exposures'!G798="",0,'3b-d Exposures'!G798)</f>
        <v/>
      </c>
      <c r="H656" s="3">
        <f>IF('3b-d Exposures'!I798="",0,'3b-d Exposures'!I798)</f>
        <v/>
      </c>
      <c r="I656" s="3">
        <f>IF('3b-d Exposures'!K798="",0,'3b-d Exposures'!K798)</f>
        <v/>
      </c>
      <c r="J656" s="3">
        <f>IF('3b-d Exposures'!M798="",0,'3b-d Exposures'!M798)</f>
        <v/>
      </c>
      <c r="K656" s="3">
        <f>IF('3b-d Exposures'!O798="",0,'3b-d Exposures'!O798)</f>
        <v/>
      </c>
      <c r="L656" s="3">
        <f>IF('3b-d Exposures'!Q798="",0,'3b-d Exposures'!Q798)</f>
        <v/>
      </c>
      <c r="M656" s="3">
        <f>IF('3b-d Exposures'!S798="",0,'3b-d Exposures'!S798)</f>
        <v/>
      </c>
      <c r="N656" s="3">
        <f>IF('3b-d Exposures'!Z798="",0,'3b-d Exposures'!Z798)</f>
        <v/>
      </c>
      <c r="O656" s="3">
        <f>$D656</f>
        <v/>
      </c>
      <c r="P656" s="3">
        <f>E656*$D656</f>
        <v/>
      </c>
      <c r="Q656" s="3">
        <f>F656*$D656</f>
        <v/>
      </c>
      <c r="R656" s="3">
        <f>G656*$D656</f>
        <v/>
      </c>
      <c r="S656" s="3">
        <f>H656*$D656</f>
        <v/>
      </c>
      <c r="T656" s="3">
        <f>I656*$D656</f>
        <v/>
      </c>
      <c r="U656" s="3">
        <f>J656*$D656</f>
        <v/>
      </c>
      <c r="V656" s="3">
        <f>K656*$D656</f>
        <v/>
      </c>
      <c r="W656" s="3">
        <f>L656*$D656</f>
        <v/>
      </c>
      <c r="X656" s="3">
        <f>M656*$D656</f>
        <v/>
      </c>
      <c r="Y656" s="3">
        <f>N656*$D656</f>
        <v/>
      </c>
      <c r="Z656" s="3">
        <f>C656*$D656</f>
        <v/>
      </c>
      <c r="AA656" s="9">
        <f>$L978+$K978*E656+$J978*F656+$I978*G656+$H978*H656+$G978*I656+$F978*J656+$E978*K656+$D978*L656+$C978*M656+$B978*N656</f>
        <v/>
      </c>
      <c r="AB656" s="9">
        <f>C656-AA656</f>
        <v/>
      </c>
      <c r="AC656" s="4">
        <f>AB656^2</f>
        <v/>
      </c>
    </row>
    <row r="657">
      <c r="A657" t="inlineStr">
        <is>
          <t>BBG00SHY8ZQ1</t>
        </is>
      </c>
      <c r="B657" t="inlineStr">
        <is>
          <t>open</t>
        </is>
      </c>
      <c r="C657" s="9" t="n">
        <v>-0.08974350744920534</v>
      </c>
      <c r="D657" s="3">
        <f>EXP(0.25*'3b-d Exposures'!G799)</f>
        <v/>
      </c>
      <c r="E657" s="3">
        <f>IF('3b-d Exposures'!C799="",0,'3b-d Exposures'!C799)</f>
        <v/>
      </c>
      <c r="F657" s="3">
        <f>IF('3b-d Exposures'!E799="",0,'3b-d Exposures'!E799)</f>
        <v/>
      </c>
      <c r="G657" s="3">
        <f>IF('3b-d Exposures'!G799="",0,'3b-d Exposures'!G799)</f>
        <v/>
      </c>
      <c r="H657" s="3">
        <f>IF('3b-d Exposures'!I799="",0,'3b-d Exposures'!I799)</f>
        <v/>
      </c>
      <c r="I657" s="3">
        <f>IF('3b-d Exposures'!K799="",0,'3b-d Exposures'!K799)</f>
        <v/>
      </c>
      <c r="J657" s="3">
        <f>IF('3b-d Exposures'!M799="",0,'3b-d Exposures'!M799)</f>
        <v/>
      </c>
      <c r="K657" s="3">
        <f>IF('3b-d Exposures'!O799="",0,'3b-d Exposures'!O799)</f>
        <v/>
      </c>
      <c r="L657" s="3">
        <f>IF('3b-d Exposures'!Q799="",0,'3b-d Exposures'!Q799)</f>
        <v/>
      </c>
      <c r="M657" s="3">
        <f>IF('3b-d Exposures'!S799="",0,'3b-d Exposures'!S799)</f>
        <v/>
      </c>
      <c r="N657" s="3">
        <f>IF('3b-d Exposures'!Z799="",0,'3b-d Exposures'!Z799)</f>
        <v/>
      </c>
      <c r="O657" s="3">
        <f>$D657</f>
        <v/>
      </c>
      <c r="P657" s="3">
        <f>E657*$D657</f>
        <v/>
      </c>
      <c r="Q657" s="3">
        <f>F657*$D657</f>
        <v/>
      </c>
      <c r="R657" s="3">
        <f>G657*$D657</f>
        <v/>
      </c>
      <c r="S657" s="3">
        <f>H657*$D657</f>
        <v/>
      </c>
      <c r="T657" s="3">
        <f>I657*$D657</f>
        <v/>
      </c>
      <c r="U657" s="3">
        <f>J657*$D657</f>
        <v/>
      </c>
      <c r="V657" s="3">
        <f>K657*$D657</f>
        <v/>
      </c>
      <c r="W657" s="3">
        <f>L657*$D657</f>
        <v/>
      </c>
      <c r="X657" s="3">
        <f>M657*$D657</f>
        <v/>
      </c>
      <c r="Y657" s="3">
        <f>N657*$D657</f>
        <v/>
      </c>
      <c r="Z657" s="3">
        <f>C657*$D657</f>
        <v/>
      </c>
      <c r="AA657" s="9">
        <f>$L978+$K978*E657+$J978*F657+$I978*G657+$H978*H657+$G978*I657+$F978*J657+$E978*K657+$D978*L657+$C978*M657+$B978*N657</f>
        <v/>
      </c>
      <c r="AB657" s="9">
        <f>C657-AA657</f>
        <v/>
      </c>
      <c r="AC657" s="4">
        <f>AB657^2</f>
        <v/>
      </c>
    </row>
    <row r="658">
      <c r="A658" t="inlineStr">
        <is>
          <t>BBG000N49069</t>
        </is>
      </c>
      <c r="B658" t="inlineStr">
        <is>
          <t>opk</t>
        </is>
      </c>
      <c r="C658" s="9" t="n">
        <v>-0.00649350046166508</v>
      </c>
      <c r="D658" s="3">
        <f>EXP(0.25*'3b-d Exposures'!G802)</f>
        <v/>
      </c>
      <c r="E658" s="3">
        <f>IF('3b-d Exposures'!C802="",0,'3b-d Exposures'!C802)</f>
        <v/>
      </c>
      <c r="F658" s="3">
        <f>IF('3b-d Exposures'!E802="",0,'3b-d Exposures'!E802)</f>
        <v/>
      </c>
      <c r="G658" s="3">
        <f>IF('3b-d Exposures'!G802="",0,'3b-d Exposures'!G802)</f>
        <v/>
      </c>
      <c r="H658" s="3">
        <f>IF('3b-d Exposures'!I802="",0,'3b-d Exposures'!I802)</f>
        <v/>
      </c>
      <c r="I658" s="3">
        <f>IF('3b-d Exposures'!K802="",0,'3b-d Exposures'!K802)</f>
        <v/>
      </c>
      <c r="J658" s="3">
        <f>IF('3b-d Exposures'!M802="",0,'3b-d Exposures'!M802)</f>
        <v/>
      </c>
      <c r="K658" s="3">
        <f>IF('3b-d Exposures'!O802="",0,'3b-d Exposures'!O802)</f>
        <v/>
      </c>
      <c r="L658" s="3">
        <f>IF('3b-d Exposures'!Q802="",0,'3b-d Exposures'!Q802)</f>
        <v/>
      </c>
      <c r="M658" s="3">
        <f>IF('3b-d Exposures'!S802="",0,'3b-d Exposures'!S802)</f>
        <v/>
      </c>
      <c r="N658" s="3">
        <f>IF('3b-d Exposures'!Z802="",0,'3b-d Exposures'!Z802)</f>
        <v/>
      </c>
      <c r="O658" s="3">
        <f>$D658</f>
        <v/>
      </c>
      <c r="P658" s="3">
        <f>E658*$D658</f>
        <v/>
      </c>
      <c r="Q658" s="3">
        <f>F658*$D658</f>
        <v/>
      </c>
      <c r="R658" s="3">
        <f>G658*$D658</f>
        <v/>
      </c>
      <c r="S658" s="3">
        <f>H658*$D658</f>
        <v/>
      </c>
      <c r="T658" s="3">
        <f>I658*$D658</f>
        <v/>
      </c>
      <c r="U658" s="3">
        <f>J658*$D658</f>
        <v/>
      </c>
      <c r="V658" s="3">
        <f>K658*$D658</f>
        <v/>
      </c>
      <c r="W658" s="3">
        <f>L658*$D658</f>
        <v/>
      </c>
      <c r="X658" s="3">
        <f>M658*$D658</f>
        <v/>
      </c>
      <c r="Y658" s="3">
        <f>N658*$D658</f>
        <v/>
      </c>
      <c r="Z658" s="3">
        <f>C658*$D658</f>
        <v/>
      </c>
      <c r="AA658" s="9">
        <f>$L978+$K978*E658+$J978*F658+$I978*G658+$H978*H658+$G978*I658+$F978*J658+$E978*K658+$D978*L658+$C978*M658+$B978*N658</f>
        <v/>
      </c>
      <c r="AB658" s="9">
        <f>C658-AA658</f>
        <v/>
      </c>
      <c r="AC658" s="4">
        <f>AB658^2</f>
        <v/>
      </c>
    </row>
    <row r="659">
      <c r="A659" t="inlineStr">
        <is>
          <t>BBG000VZHLL9</t>
        </is>
      </c>
      <c r="B659" t="inlineStr">
        <is>
          <t>opln</t>
        </is>
      </c>
      <c r="C659" s="9" t="n">
        <v>-0.005940635381240233</v>
      </c>
      <c r="D659" s="3">
        <f>EXP(0.25*'3b-d Exposures'!G803)</f>
        <v/>
      </c>
      <c r="E659" s="3">
        <f>IF('3b-d Exposures'!C803="",0,'3b-d Exposures'!C803)</f>
        <v/>
      </c>
      <c r="F659" s="3">
        <f>IF('3b-d Exposures'!E803="",0,'3b-d Exposures'!E803)</f>
        <v/>
      </c>
      <c r="G659" s="3">
        <f>IF('3b-d Exposures'!G803="",0,'3b-d Exposures'!G803)</f>
        <v/>
      </c>
      <c r="H659" s="3">
        <f>IF('3b-d Exposures'!I803="",0,'3b-d Exposures'!I803)</f>
        <v/>
      </c>
      <c r="I659" s="3">
        <f>IF('3b-d Exposures'!K803="",0,'3b-d Exposures'!K803)</f>
        <v/>
      </c>
      <c r="J659" s="3">
        <f>IF('3b-d Exposures'!M803="",0,'3b-d Exposures'!M803)</f>
        <v/>
      </c>
      <c r="K659" s="3">
        <f>IF('3b-d Exposures'!O803="",0,'3b-d Exposures'!O803)</f>
        <v/>
      </c>
      <c r="L659" s="3">
        <f>IF('3b-d Exposures'!Q803="",0,'3b-d Exposures'!Q803)</f>
        <v/>
      </c>
      <c r="M659" s="3">
        <f>IF('3b-d Exposures'!S803="",0,'3b-d Exposures'!S803)</f>
        <v/>
      </c>
      <c r="N659" s="3">
        <f>IF('3b-d Exposures'!Z803="",0,'3b-d Exposures'!Z803)</f>
        <v/>
      </c>
      <c r="O659" s="3">
        <f>$D659</f>
        <v/>
      </c>
      <c r="P659" s="3">
        <f>E659*$D659</f>
        <v/>
      </c>
      <c r="Q659" s="3">
        <f>F659*$D659</f>
        <v/>
      </c>
      <c r="R659" s="3">
        <f>G659*$D659</f>
        <v/>
      </c>
      <c r="S659" s="3">
        <f>H659*$D659</f>
        <v/>
      </c>
      <c r="T659" s="3">
        <f>I659*$D659</f>
        <v/>
      </c>
      <c r="U659" s="3">
        <f>J659*$D659</f>
        <v/>
      </c>
      <c r="V659" s="3">
        <f>K659*$D659</f>
        <v/>
      </c>
      <c r="W659" s="3">
        <f>L659*$D659</f>
        <v/>
      </c>
      <c r="X659" s="3">
        <f>M659*$D659</f>
        <v/>
      </c>
      <c r="Y659" s="3">
        <f>N659*$D659</f>
        <v/>
      </c>
      <c r="Z659" s="3">
        <f>C659*$D659</f>
        <v/>
      </c>
      <c r="AA659" s="9">
        <f>$L978+$K978*E659+$J978*F659+$I978*G659+$H978*H659+$G978*I659+$F978*J659+$E978*K659+$D978*L659+$C978*M659+$B978*N659</f>
        <v/>
      </c>
      <c r="AB659" s="9">
        <f>C659-AA659</f>
        <v/>
      </c>
      <c r="AC659" s="4">
        <f>AB659^2</f>
        <v/>
      </c>
    </row>
    <row r="660">
      <c r="A660" t="inlineStr">
        <is>
          <t>BBG00GFMPRK0</t>
        </is>
      </c>
      <c r="B660" t="inlineStr">
        <is>
          <t>optu</t>
        </is>
      </c>
      <c r="C660" s="9" t="n">
        <v>0.03319498790742981</v>
      </c>
      <c r="D660" s="3">
        <f>EXP(0.25*'3b-d Exposures'!G805)</f>
        <v/>
      </c>
      <c r="E660" s="3">
        <f>IF('3b-d Exposures'!C805="",0,'3b-d Exposures'!C805)</f>
        <v/>
      </c>
      <c r="F660" s="3">
        <f>IF('3b-d Exposures'!E805="",0,'3b-d Exposures'!E805)</f>
        <v/>
      </c>
      <c r="G660" s="3">
        <f>IF('3b-d Exposures'!G805="",0,'3b-d Exposures'!G805)</f>
        <v/>
      </c>
      <c r="H660" s="3">
        <f>IF('3b-d Exposures'!I805="",0,'3b-d Exposures'!I805)</f>
        <v/>
      </c>
      <c r="I660" s="3">
        <f>IF('3b-d Exposures'!K805="",0,'3b-d Exposures'!K805)</f>
        <v/>
      </c>
      <c r="J660" s="3">
        <f>IF('3b-d Exposures'!M805="",0,'3b-d Exposures'!M805)</f>
        <v/>
      </c>
      <c r="K660" s="3">
        <f>IF('3b-d Exposures'!O805="",0,'3b-d Exposures'!O805)</f>
        <v/>
      </c>
      <c r="L660" s="3">
        <f>IF('3b-d Exposures'!Q805="",0,'3b-d Exposures'!Q805)</f>
        <v/>
      </c>
      <c r="M660" s="3">
        <f>IF('3b-d Exposures'!S805="",0,'3b-d Exposures'!S805)</f>
        <v/>
      </c>
      <c r="N660" s="3">
        <f>IF('3b-d Exposures'!Z805="",0,'3b-d Exposures'!Z805)</f>
        <v/>
      </c>
      <c r="O660" s="3">
        <f>$D660</f>
        <v/>
      </c>
      <c r="P660" s="3">
        <f>E660*$D660</f>
        <v/>
      </c>
      <c r="Q660" s="3">
        <f>F660*$D660</f>
        <v/>
      </c>
      <c r="R660" s="3">
        <f>G660*$D660</f>
        <v/>
      </c>
      <c r="S660" s="3">
        <f>H660*$D660</f>
        <v/>
      </c>
      <c r="T660" s="3">
        <f>I660*$D660</f>
        <v/>
      </c>
      <c r="U660" s="3">
        <f>J660*$D660</f>
        <v/>
      </c>
      <c r="V660" s="3">
        <f>K660*$D660</f>
        <v/>
      </c>
      <c r="W660" s="3">
        <f>L660*$D660</f>
        <v/>
      </c>
      <c r="X660" s="3">
        <f>M660*$D660</f>
        <v/>
      </c>
      <c r="Y660" s="3">
        <f>N660*$D660</f>
        <v/>
      </c>
      <c r="Z660" s="3">
        <f>C660*$D660</f>
        <v/>
      </c>
      <c r="AA660" s="9">
        <f>$L978+$K978*E660+$J978*F660+$I978*G660+$H978*H660+$G978*I660+$F978*J660+$E978*K660+$D978*L660+$C978*M660+$B978*N660</f>
        <v/>
      </c>
      <c r="AB660" s="9">
        <f>C660-AA660</f>
        <v/>
      </c>
      <c r="AC660" s="4">
        <f>AB660^2</f>
        <v/>
      </c>
    </row>
    <row r="661">
      <c r="A661" t="inlineStr">
        <is>
          <t>BBG000Q5BQ63</t>
        </is>
      </c>
      <c r="B661" t="inlineStr">
        <is>
          <t>ora</t>
        </is>
      </c>
      <c r="C661" s="9" t="n">
        <v>0.001102700448022631</v>
      </c>
      <c r="D661" s="3">
        <f>EXP(0.25*'3b-d Exposures'!G806)</f>
        <v/>
      </c>
      <c r="E661" s="3">
        <f>IF('3b-d Exposures'!C806="",0,'3b-d Exposures'!C806)</f>
        <v/>
      </c>
      <c r="F661" s="3">
        <f>IF('3b-d Exposures'!E806="",0,'3b-d Exposures'!E806)</f>
        <v/>
      </c>
      <c r="G661" s="3">
        <f>IF('3b-d Exposures'!G806="",0,'3b-d Exposures'!G806)</f>
        <v/>
      </c>
      <c r="H661" s="3">
        <f>IF('3b-d Exposures'!I806="",0,'3b-d Exposures'!I806)</f>
        <v/>
      </c>
      <c r="I661" s="3">
        <f>IF('3b-d Exposures'!K806="",0,'3b-d Exposures'!K806)</f>
        <v/>
      </c>
      <c r="J661" s="3">
        <f>IF('3b-d Exposures'!M806="",0,'3b-d Exposures'!M806)</f>
        <v/>
      </c>
      <c r="K661" s="3">
        <f>IF('3b-d Exposures'!O806="",0,'3b-d Exposures'!O806)</f>
        <v/>
      </c>
      <c r="L661" s="3">
        <f>IF('3b-d Exposures'!Q806="",0,'3b-d Exposures'!Q806)</f>
        <v/>
      </c>
      <c r="M661" s="3">
        <f>IF('3b-d Exposures'!S806="",0,'3b-d Exposures'!S806)</f>
        <v/>
      </c>
      <c r="N661" s="3">
        <f>IF('3b-d Exposures'!Z806="",0,'3b-d Exposures'!Z806)</f>
        <v/>
      </c>
      <c r="O661" s="3">
        <f>$D661</f>
        <v/>
      </c>
      <c r="P661" s="3">
        <f>E661*$D661</f>
        <v/>
      </c>
      <c r="Q661" s="3">
        <f>F661*$D661</f>
        <v/>
      </c>
      <c r="R661" s="3">
        <f>G661*$D661</f>
        <v/>
      </c>
      <c r="S661" s="3">
        <f>H661*$D661</f>
        <v/>
      </c>
      <c r="T661" s="3">
        <f>I661*$D661</f>
        <v/>
      </c>
      <c r="U661" s="3">
        <f>J661*$D661</f>
        <v/>
      </c>
      <c r="V661" s="3">
        <f>K661*$D661</f>
        <v/>
      </c>
      <c r="W661" s="3">
        <f>L661*$D661</f>
        <v/>
      </c>
      <c r="X661" s="3">
        <f>M661*$D661</f>
        <v/>
      </c>
      <c r="Y661" s="3">
        <f>N661*$D661</f>
        <v/>
      </c>
      <c r="Z661" s="3">
        <f>C661*$D661</f>
        <v/>
      </c>
      <c r="AA661" s="9">
        <f>$L978+$K978*E661+$J978*F661+$I978*G661+$H978*H661+$G978*I661+$F978*J661+$E978*K661+$D978*L661+$C978*M661+$B978*N661</f>
        <v/>
      </c>
      <c r="AB661" s="9">
        <f>C661-AA661</f>
        <v/>
      </c>
      <c r="AC661" s="4">
        <f>AB661^2</f>
        <v/>
      </c>
    </row>
    <row r="662">
      <c r="A662" t="inlineStr">
        <is>
          <t>BBG000BQLTW7</t>
        </is>
      </c>
      <c r="B662" t="inlineStr">
        <is>
          <t>orcl</t>
        </is>
      </c>
      <c r="C662" s="9" t="n">
        <v>-0.01855648414124988</v>
      </c>
      <c r="D662" s="3">
        <f>EXP(0.25*'3b-d Exposures'!G807)</f>
        <v/>
      </c>
      <c r="E662" s="3">
        <f>IF('3b-d Exposures'!C807="",0,'3b-d Exposures'!C807)</f>
        <v/>
      </c>
      <c r="F662" s="3">
        <f>IF('3b-d Exposures'!E807="",0,'3b-d Exposures'!E807)</f>
        <v/>
      </c>
      <c r="G662" s="3">
        <f>IF('3b-d Exposures'!G807="",0,'3b-d Exposures'!G807)</f>
        <v/>
      </c>
      <c r="H662" s="3">
        <f>IF('3b-d Exposures'!I807="",0,'3b-d Exposures'!I807)</f>
        <v/>
      </c>
      <c r="I662" s="3">
        <f>IF('3b-d Exposures'!K807="",0,'3b-d Exposures'!K807)</f>
        <v/>
      </c>
      <c r="J662" s="3">
        <f>IF('3b-d Exposures'!M807="",0,'3b-d Exposures'!M807)</f>
        <v/>
      </c>
      <c r="K662" s="3">
        <f>IF('3b-d Exposures'!O807="",0,'3b-d Exposures'!O807)</f>
        <v/>
      </c>
      <c r="L662" s="3">
        <f>IF('3b-d Exposures'!Q807="",0,'3b-d Exposures'!Q807)</f>
        <v/>
      </c>
      <c r="M662" s="3">
        <f>IF('3b-d Exposures'!S807="",0,'3b-d Exposures'!S807)</f>
        <v/>
      </c>
      <c r="N662" s="3">
        <f>IF('3b-d Exposures'!Z807="",0,'3b-d Exposures'!Z807)</f>
        <v/>
      </c>
      <c r="O662" s="3">
        <f>$D662</f>
        <v/>
      </c>
      <c r="P662" s="3">
        <f>E662*$D662</f>
        <v/>
      </c>
      <c r="Q662" s="3">
        <f>F662*$D662</f>
        <v/>
      </c>
      <c r="R662" s="3">
        <f>G662*$D662</f>
        <v/>
      </c>
      <c r="S662" s="3">
        <f>H662*$D662</f>
        <v/>
      </c>
      <c r="T662" s="3">
        <f>I662*$D662</f>
        <v/>
      </c>
      <c r="U662" s="3">
        <f>J662*$D662</f>
        <v/>
      </c>
      <c r="V662" s="3">
        <f>K662*$D662</f>
        <v/>
      </c>
      <c r="W662" s="3">
        <f>L662*$D662</f>
        <v/>
      </c>
      <c r="X662" s="3">
        <f>M662*$D662</f>
        <v/>
      </c>
      <c r="Y662" s="3">
        <f>N662*$D662</f>
        <v/>
      </c>
      <c r="Z662" s="3">
        <f>C662*$D662</f>
        <v/>
      </c>
      <c r="AA662" s="9">
        <f>$L978+$K978*E662+$J978*F662+$I978*G662+$H978*H662+$G978*I662+$F978*J662+$E978*K662+$D978*L662+$C978*M662+$B978*N662</f>
        <v/>
      </c>
      <c r="AB662" s="9">
        <f>C662-AA662</f>
        <v/>
      </c>
      <c r="AC662" s="4">
        <f>AB662^2</f>
        <v/>
      </c>
    </row>
    <row r="663">
      <c r="A663" t="inlineStr">
        <is>
          <t>BBG000BGYWY6</t>
        </is>
      </c>
      <c r="B663" t="inlineStr">
        <is>
          <t>orly</t>
        </is>
      </c>
      <c r="C663" s="9" t="n">
        <v>0.002895680569161341</v>
      </c>
      <c r="D663" s="3">
        <f>EXP(0.25*'3b-d Exposures'!G808)</f>
        <v/>
      </c>
      <c r="E663" s="3">
        <f>IF('3b-d Exposures'!C808="",0,'3b-d Exposures'!C808)</f>
        <v/>
      </c>
      <c r="F663" s="3">
        <f>IF('3b-d Exposures'!E808="",0,'3b-d Exposures'!E808)</f>
        <v/>
      </c>
      <c r="G663" s="3">
        <f>IF('3b-d Exposures'!G808="",0,'3b-d Exposures'!G808)</f>
        <v/>
      </c>
      <c r="H663" s="3">
        <f>IF('3b-d Exposures'!I808="",0,'3b-d Exposures'!I808)</f>
        <v/>
      </c>
      <c r="I663" s="3">
        <f>IF('3b-d Exposures'!K808="",0,'3b-d Exposures'!K808)</f>
        <v/>
      </c>
      <c r="J663" s="3">
        <f>IF('3b-d Exposures'!M808="",0,'3b-d Exposures'!M808)</f>
        <v/>
      </c>
      <c r="K663" s="3">
        <f>IF('3b-d Exposures'!O808="",0,'3b-d Exposures'!O808)</f>
        <v/>
      </c>
      <c r="L663" s="3">
        <f>IF('3b-d Exposures'!Q808="",0,'3b-d Exposures'!Q808)</f>
        <v/>
      </c>
      <c r="M663" s="3">
        <f>IF('3b-d Exposures'!S808="",0,'3b-d Exposures'!S808)</f>
        <v/>
      </c>
      <c r="N663" s="3">
        <f>IF('3b-d Exposures'!Z808="",0,'3b-d Exposures'!Z808)</f>
        <v/>
      </c>
      <c r="O663" s="3">
        <f>$D663</f>
        <v/>
      </c>
      <c r="P663" s="3">
        <f>E663*$D663</f>
        <v/>
      </c>
      <c r="Q663" s="3">
        <f>F663*$D663</f>
        <v/>
      </c>
      <c r="R663" s="3">
        <f>G663*$D663</f>
        <v/>
      </c>
      <c r="S663" s="3">
        <f>H663*$D663</f>
        <v/>
      </c>
      <c r="T663" s="3">
        <f>I663*$D663</f>
        <v/>
      </c>
      <c r="U663" s="3">
        <f>J663*$D663</f>
        <v/>
      </c>
      <c r="V663" s="3">
        <f>K663*$D663</f>
        <v/>
      </c>
      <c r="W663" s="3">
        <f>L663*$D663</f>
        <v/>
      </c>
      <c r="X663" s="3">
        <f>M663*$D663</f>
        <v/>
      </c>
      <c r="Y663" s="3">
        <f>N663*$D663</f>
        <v/>
      </c>
      <c r="Z663" s="3">
        <f>C663*$D663</f>
        <v/>
      </c>
      <c r="AA663" s="9">
        <f>$L978+$K978*E663+$J978*F663+$I978*G663+$H978*H663+$G978*I663+$F978*J663+$E978*K663+$D978*L663+$C978*M663+$B978*N663</f>
        <v/>
      </c>
      <c r="AB663" s="9">
        <f>C663-AA663</f>
        <v/>
      </c>
      <c r="AC663" s="4">
        <f>AB663^2</f>
        <v/>
      </c>
    </row>
    <row r="664">
      <c r="A664" t="inlineStr">
        <is>
          <t>BBG000CC53X1</t>
        </is>
      </c>
      <c r="B664" t="inlineStr">
        <is>
          <t>osk</t>
        </is>
      </c>
      <c r="C664" s="9" t="n">
        <v>-0.01302707036421213</v>
      </c>
      <c r="D664" s="3">
        <f>EXP(0.25*'3b-d Exposures'!G810)</f>
        <v/>
      </c>
      <c r="E664" s="3">
        <f>IF('3b-d Exposures'!C810="",0,'3b-d Exposures'!C810)</f>
        <v/>
      </c>
      <c r="F664" s="3">
        <f>IF('3b-d Exposures'!E810="",0,'3b-d Exposures'!E810)</f>
        <v/>
      </c>
      <c r="G664" s="3">
        <f>IF('3b-d Exposures'!G810="",0,'3b-d Exposures'!G810)</f>
        <v/>
      </c>
      <c r="H664" s="3">
        <f>IF('3b-d Exposures'!I810="",0,'3b-d Exposures'!I810)</f>
        <v/>
      </c>
      <c r="I664" s="3">
        <f>IF('3b-d Exposures'!K810="",0,'3b-d Exposures'!K810)</f>
        <v/>
      </c>
      <c r="J664" s="3">
        <f>IF('3b-d Exposures'!M810="",0,'3b-d Exposures'!M810)</f>
        <v/>
      </c>
      <c r="K664" s="3">
        <f>IF('3b-d Exposures'!O810="",0,'3b-d Exposures'!O810)</f>
        <v/>
      </c>
      <c r="L664" s="3">
        <f>IF('3b-d Exposures'!Q810="",0,'3b-d Exposures'!Q810)</f>
        <v/>
      </c>
      <c r="M664" s="3">
        <f>IF('3b-d Exposures'!S810="",0,'3b-d Exposures'!S810)</f>
        <v/>
      </c>
      <c r="N664" s="3">
        <f>IF('3b-d Exposures'!Z810="",0,'3b-d Exposures'!Z810)</f>
        <v/>
      </c>
      <c r="O664" s="3">
        <f>$D664</f>
        <v/>
      </c>
      <c r="P664" s="3">
        <f>E664*$D664</f>
        <v/>
      </c>
      <c r="Q664" s="3">
        <f>F664*$D664</f>
        <v/>
      </c>
      <c r="R664" s="3">
        <f>G664*$D664</f>
        <v/>
      </c>
      <c r="S664" s="3">
        <f>H664*$D664</f>
        <v/>
      </c>
      <c r="T664" s="3">
        <f>I664*$D664</f>
        <v/>
      </c>
      <c r="U664" s="3">
        <f>J664*$D664</f>
        <v/>
      </c>
      <c r="V664" s="3">
        <f>K664*$D664</f>
        <v/>
      </c>
      <c r="W664" s="3">
        <f>L664*$D664</f>
        <v/>
      </c>
      <c r="X664" s="3">
        <f>M664*$D664</f>
        <v/>
      </c>
      <c r="Y664" s="3">
        <f>N664*$D664</f>
        <v/>
      </c>
      <c r="Z664" s="3">
        <f>C664*$D664</f>
        <v/>
      </c>
      <c r="AA664" s="9">
        <f>$L978+$K978*E664+$J978*F664+$I978*G664+$H978*H664+$G978*I664+$F978*J664+$E978*K664+$D978*L664+$C978*M664+$B978*N664</f>
        <v/>
      </c>
      <c r="AB664" s="9">
        <f>C664-AA664</f>
        <v/>
      </c>
      <c r="AC664" s="4">
        <f>AB664^2</f>
        <v/>
      </c>
    </row>
    <row r="665">
      <c r="A665" t="inlineStr">
        <is>
          <t>BBG00RP60KV0</t>
        </is>
      </c>
      <c r="B665" t="inlineStr">
        <is>
          <t>otis</t>
        </is>
      </c>
      <c r="C665" s="9" t="n">
        <v>-0.01145851173186874</v>
      </c>
      <c r="D665" s="3">
        <f>EXP(0.25*'3b-d Exposures'!G812)</f>
        <v/>
      </c>
      <c r="E665" s="3">
        <f>IF('3b-d Exposures'!C812="",0,'3b-d Exposures'!C812)</f>
        <v/>
      </c>
      <c r="F665" s="3">
        <f>IF('3b-d Exposures'!E812="",0,'3b-d Exposures'!E812)</f>
        <v/>
      </c>
      <c r="G665" s="3">
        <f>IF('3b-d Exposures'!G812="",0,'3b-d Exposures'!G812)</f>
        <v/>
      </c>
      <c r="H665" s="3">
        <f>IF('3b-d Exposures'!I812="",0,'3b-d Exposures'!I812)</f>
        <v/>
      </c>
      <c r="I665" s="3">
        <f>IF('3b-d Exposures'!K812="",0,'3b-d Exposures'!K812)</f>
        <v/>
      </c>
      <c r="J665" s="3">
        <f>IF('3b-d Exposures'!M812="",0,'3b-d Exposures'!M812)</f>
        <v/>
      </c>
      <c r="K665" s="3">
        <f>IF('3b-d Exposures'!O812="",0,'3b-d Exposures'!O812)</f>
        <v/>
      </c>
      <c r="L665" s="3">
        <f>IF('3b-d Exposures'!Q812="",0,'3b-d Exposures'!Q812)</f>
        <v/>
      </c>
      <c r="M665" s="3">
        <f>IF('3b-d Exposures'!S812="",0,'3b-d Exposures'!S812)</f>
        <v/>
      </c>
      <c r="N665" s="3">
        <f>IF('3b-d Exposures'!Z812="",0,'3b-d Exposures'!Z812)</f>
        <v/>
      </c>
      <c r="O665" s="3">
        <f>$D665</f>
        <v/>
      </c>
      <c r="P665" s="3">
        <f>E665*$D665</f>
        <v/>
      </c>
      <c r="Q665" s="3">
        <f>F665*$D665</f>
        <v/>
      </c>
      <c r="R665" s="3">
        <f>G665*$D665</f>
        <v/>
      </c>
      <c r="S665" s="3">
        <f>H665*$D665</f>
        <v/>
      </c>
      <c r="T665" s="3">
        <f>I665*$D665</f>
        <v/>
      </c>
      <c r="U665" s="3">
        <f>J665*$D665</f>
        <v/>
      </c>
      <c r="V665" s="3">
        <f>K665*$D665</f>
        <v/>
      </c>
      <c r="W665" s="3">
        <f>L665*$D665</f>
        <v/>
      </c>
      <c r="X665" s="3">
        <f>M665*$D665</f>
        <v/>
      </c>
      <c r="Y665" s="3">
        <f>N665*$D665</f>
        <v/>
      </c>
      <c r="Z665" s="3">
        <f>C665*$D665</f>
        <v/>
      </c>
      <c r="AA665" s="9">
        <f>$L978+$K978*E665+$J978*F665+$I978*G665+$H978*H665+$G978*I665+$F978*J665+$E978*K665+$D978*L665+$C978*M665+$B978*N665</f>
        <v/>
      </c>
      <c r="AB665" s="9">
        <f>C665-AA665</f>
        <v/>
      </c>
      <c r="AC665" s="4">
        <f>AB665^2</f>
        <v/>
      </c>
    </row>
    <row r="666">
      <c r="A666" t="inlineStr">
        <is>
          <t>BBG00XV417R8</t>
        </is>
      </c>
      <c r="B666" t="inlineStr">
        <is>
          <t>owl</t>
        </is>
      </c>
      <c r="C666" s="9" t="n">
        <v>-0.02907705778304936</v>
      </c>
      <c r="D666" s="3">
        <f>EXP(0.25*'3b-d Exposures'!G813)</f>
        <v/>
      </c>
      <c r="E666" s="3">
        <f>IF('3b-d Exposures'!C813="",0,'3b-d Exposures'!C813)</f>
        <v/>
      </c>
      <c r="F666" s="3">
        <f>IF('3b-d Exposures'!E813="",0,'3b-d Exposures'!E813)</f>
        <v/>
      </c>
      <c r="G666" s="3">
        <f>IF('3b-d Exposures'!G813="",0,'3b-d Exposures'!G813)</f>
        <v/>
      </c>
      <c r="H666" s="3">
        <f>IF('3b-d Exposures'!I813="",0,'3b-d Exposures'!I813)</f>
        <v/>
      </c>
      <c r="I666" s="3">
        <f>IF('3b-d Exposures'!K813="",0,'3b-d Exposures'!K813)</f>
        <v/>
      </c>
      <c r="J666" s="3">
        <f>IF('3b-d Exposures'!M813="",0,'3b-d Exposures'!M813)</f>
        <v/>
      </c>
      <c r="K666" s="3">
        <f>IF('3b-d Exposures'!O813="",0,'3b-d Exposures'!O813)</f>
        <v/>
      </c>
      <c r="L666" s="3">
        <f>IF('3b-d Exposures'!Q813="",0,'3b-d Exposures'!Q813)</f>
        <v/>
      </c>
      <c r="M666" s="3">
        <f>IF('3b-d Exposures'!S813="",0,'3b-d Exposures'!S813)</f>
        <v/>
      </c>
      <c r="N666" s="3">
        <f>IF('3b-d Exposures'!Z813="",0,'3b-d Exposures'!Z813)</f>
        <v/>
      </c>
      <c r="O666" s="3">
        <f>$D666</f>
        <v/>
      </c>
      <c r="P666" s="3">
        <f>E666*$D666</f>
        <v/>
      </c>
      <c r="Q666" s="3">
        <f>F666*$D666</f>
        <v/>
      </c>
      <c r="R666" s="3">
        <f>G666*$D666</f>
        <v/>
      </c>
      <c r="S666" s="3">
        <f>H666*$D666</f>
        <v/>
      </c>
      <c r="T666" s="3">
        <f>I666*$D666</f>
        <v/>
      </c>
      <c r="U666" s="3">
        <f>J666*$D666</f>
        <v/>
      </c>
      <c r="V666" s="3">
        <f>K666*$D666</f>
        <v/>
      </c>
      <c r="W666" s="3">
        <f>L666*$D666</f>
        <v/>
      </c>
      <c r="X666" s="3">
        <f>M666*$D666</f>
        <v/>
      </c>
      <c r="Y666" s="3">
        <f>N666*$D666</f>
        <v/>
      </c>
      <c r="Z666" s="3">
        <f>C666*$D666</f>
        <v/>
      </c>
      <c r="AA666" s="9">
        <f>$L978+$K978*E666+$J978*F666+$I978*G666+$H978*H666+$G978*I666+$F978*J666+$E978*K666+$D978*L666+$C978*M666+$B978*N666</f>
        <v/>
      </c>
      <c r="AB666" s="9">
        <f>C666-AA666</f>
        <v/>
      </c>
      <c r="AC666" s="4">
        <f>AB666^2</f>
        <v/>
      </c>
    </row>
    <row r="667">
      <c r="A667" t="inlineStr">
        <is>
          <t>BBG000BQQ2S6</t>
        </is>
      </c>
      <c r="B667" t="inlineStr">
        <is>
          <t>oxy</t>
        </is>
      </c>
      <c r="C667" s="9" t="n">
        <v>-0.003163310166414912</v>
      </c>
      <c r="D667" s="3">
        <f>EXP(0.25*'3b-d Exposures'!G814)</f>
        <v/>
      </c>
      <c r="E667" s="3">
        <f>IF('3b-d Exposures'!C814="",0,'3b-d Exposures'!C814)</f>
        <v/>
      </c>
      <c r="F667" s="3">
        <f>IF('3b-d Exposures'!E814="",0,'3b-d Exposures'!E814)</f>
        <v/>
      </c>
      <c r="G667" s="3">
        <f>IF('3b-d Exposures'!G814="",0,'3b-d Exposures'!G814)</f>
        <v/>
      </c>
      <c r="H667" s="3">
        <f>IF('3b-d Exposures'!I814="",0,'3b-d Exposures'!I814)</f>
        <v/>
      </c>
      <c r="I667" s="3">
        <f>IF('3b-d Exposures'!K814="",0,'3b-d Exposures'!K814)</f>
        <v/>
      </c>
      <c r="J667" s="3">
        <f>IF('3b-d Exposures'!M814="",0,'3b-d Exposures'!M814)</f>
        <v/>
      </c>
      <c r="K667" s="3">
        <f>IF('3b-d Exposures'!O814="",0,'3b-d Exposures'!O814)</f>
        <v/>
      </c>
      <c r="L667" s="3">
        <f>IF('3b-d Exposures'!Q814="",0,'3b-d Exposures'!Q814)</f>
        <v/>
      </c>
      <c r="M667" s="3">
        <f>IF('3b-d Exposures'!S814="",0,'3b-d Exposures'!S814)</f>
        <v/>
      </c>
      <c r="N667" s="3">
        <f>IF('3b-d Exposures'!Z814="",0,'3b-d Exposures'!Z814)</f>
        <v/>
      </c>
      <c r="O667" s="3">
        <f>$D667</f>
        <v/>
      </c>
      <c r="P667" s="3">
        <f>E667*$D667</f>
        <v/>
      </c>
      <c r="Q667" s="3">
        <f>F667*$D667</f>
        <v/>
      </c>
      <c r="R667" s="3">
        <f>G667*$D667</f>
        <v/>
      </c>
      <c r="S667" s="3">
        <f>H667*$D667</f>
        <v/>
      </c>
      <c r="T667" s="3">
        <f>I667*$D667</f>
        <v/>
      </c>
      <c r="U667" s="3">
        <f>J667*$D667</f>
        <v/>
      </c>
      <c r="V667" s="3">
        <f>K667*$D667</f>
        <v/>
      </c>
      <c r="W667" s="3">
        <f>L667*$D667</f>
        <v/>
      </c>
      <c r="X667" s="3">
        <f>M667*$D667</f>
        <v/>
      </c>
      <c r="Y667" s="3">
        <f>N667*$D667</f>
        <v/>
      </c>
      <c r="Z667" s="3">
        <f>C667*$D667</f>
        <v/>
      </c>
      <c r="AA667" s="9">
        <f>$L978+$K978*E667+$J978*F667+$I978*G667+$H978*H667+$G978*I667+$F978*J667+$E978*K667+$D978*L667+$C978*M667+$B978*N667</f>
        <v/>
      </c>
      <c r="AB667" s="9">
        <f>C667-AA667</f>
        <v/>
      </c>
      <c r="AC667" s="4">
        <f>AB667^2</f>
        <v/>
      </c>
    </row>
    <row r="668">
      <c r="A668" t="inlineStr">
        <is>
          <t>BBG00212PVZ5</t>
        </is>
      </c>
      <c r="B668" t="inlineStr">
        <is>
          <t>p</t>
        </is>
      </c>
      <c r="C668" s="9" t="n">
        <v>0.0009435598316061</v>
      </c>
      <c r="D668" s="3">
        <f>EXP(0.25*'3b-d Exposures'!G815)</f>
        <v/>
      </c>
      <c r="E668" s="3">
        <f>IF('3b-d Exposures'!C815="",0,'3b-d Exposures'!C815)</f>
        <v/>
      </c>
      <c r="F668" s="3">
        <f>IF('3b-d Exposures'!E815="",0,'3b-d Exposures'!E815)</f>
        <v/>
      </c>
      <c r="G668" s="3">
        <f>IF('3b-d Exposures'!G815="",0,'3b-d Exposures'!G815)</f>
        <v/>
      </c>
      <c r="H668" s="3">
        <f>IF('3b-d Exposures'!I815="",0,'3b-d Exposures'!I815)</f>
        <v/>
      </c>
      <c r="I668" s="3">
        <f>IF('3b-d Exposures'!K815="",0,'3b-d Exposures'!K815)</f>
        <v/>
      </c>
      <c r="J668" s="3">
        <f>IF('3b-d Exposures'!M815="",0,'3b-d Exposures'!M815)</f>
        <v/>
      </c>
      <c r="K668" s="3">
        <f>IF('3b-d Exposures'!O815="",0,'3b-d Exposures'!O815)</f>
        <v/>
      </c>
      <c r="L668" s="3">
        <f>IF('3b-d Exposures'!Q815="",0,'3b-d Exposures'!Q815)</f>
        <v/>
      </c>
      <c r="M668" s="3">
        <f>IF('3b-d Exposures'!S815="",0,'3b-d Exposures'!S815)</f>
        <v/>
      </c>
      <c r="N668" s="3">
        <f>IF('3b-d Exposures'!Z815="",0,'3b-d Exposures'!Z815)</f>
        <v/>
      </c>
      <c r="O668" s="3">
        <f>$D668</f>
        <v/>
      </c>
      <c r="P668" s="3">
        <f>E668*$D668</f>
        <v/>
      </c>
      <c r="Q668" s="3">
        <f>F668*$D668</f>
        <v/>
      </c>
      <c r="R668" s="3">
        <f>G668*$D668</f>
        <v/>
      </c>
      <c r="S668" s="3">
        <f>H668*$D668</f>
        <v/>
      </c>
      <c r="T668" s="3">
        <f>I668*$D668</f>
        <v/>
      </c>
      <c r="U668" s="3">
        <f>J668*$D668</f>
        <v/>
      </c>
      <c r="V668" s="3">
        <f>K668*$D668</f>
        <v/>
      </c>
      <c r="W668" s="3">
        <f>L668*$D668</f>
        <v/>
      </c>
      <c r="X668" s="3">
        <f>M668*$D668</f>
        <v/>
      </c>
      <c r="Y668" s="3">
        <f>N668*$D668</f>
        <v/>
      </c>
      <c r="Z668" s="3">
        <f>C668*$D668</f>
        <v/>
      </c>
      <c r="AA668" s="9">
        <f>$L978+$K978*E668+$J978*F668+$I978*G668+$H978*H668+$G978*I668+$F978*J668+$E978*K668+$D978*L668+$C978*M668+$B978*N668</f>
        <v/>
      </c>
      <c r="AB668" s="9">
        <f>C668-AA668</f>
        <v/>
      </c>
      <c r="AC668" s="4">
        <f>AB668^2</f>
        <v/>
      </c>
    </row>
    <row r="669">
      <c r="A669" t="inlineStr">
        <is>
          <t>BBG000QKXH20</t>
        </is>
      </c>
      <c r="B669" t="inlineStr">
        <is>
          <t>pacb</t>
        </is>
      </c>
      <c r="C669" s="9" t="n">
        <v>0.0104711943853546</v>
      </c>
      <c r="D669" s="3">
        <f>EXP(0.25*'3b-d Exposures'!G817)</f>
        <v/>
      </c>
      <c r="E669" s="3">
        <f>IF('3b-d Exposures'!C817="",0,'3b-d Exposures'!C817)</f>
        <v/>
      </c>
      <c r="F669" s="3">
        <f>IF('3b-d Exposures'!E817="",0,'3b-d Exposures'!E817)</f>
        <v/>
      </c>
      <c r="G669" s="3">
        <f>IF('3b-d Exposures'!G817="",0,'3b-d Exposures'!G817)</f>
        <v/>
      </c>
      <c r="H669" s="3">
        <f>IF('3b-d Exposures'!I817="",0,'3b-d Exposures'!I817)</f>
        <v/>
      </c>
      <c r="I669" s="3">
        <f>IF('3b-d Exposures'!K817="",0,'3b-d Exposures'!K817)</f>
        <v/>
      </c>
      <c r="J669" s="3">
        <f>IF('3b-d Exposures'!M817="",0,'3b-d Exposures'!M817)</f>
        <v/>
      </c>
      <c r="K669" s="3">
        <f>IF('3b-d Exposures'!O817="",0,'3b-d Exposures'!O817)</f>
        <v/>
      </c>
      <c r="L669" s="3">
        <f>IF('3b-d Exposures'!Q817="",0,'3b-d Exposures'!Q817)</f>
        <v/>
      </c>
      <c r="M669" s="3">
        <f>IF('3b-d Exposures'!S817="",0,'3b-d Exposures'!S817)</f>
        <v/>
      </c>
      <c r="N669" s="3">
        <f>IF('3b-d Exposures'!Z817="",0,'3b-d Exposures'!Z817)</f>
        <v/>
      </c>
      <c r="O669" s="3">
        <f>$D669</f>
        <v/>
      </c>
      <c r="P669" s="3">
        <f>E669*$D669</f>
        <v/>
      </c>
      <c r="Q669" s="3">
        <f>F669*$D669</f>
        <v/>
      </c>
      <c r="R669" s="3">
        <f>G669*$D669</f>
        <v/>
      </c>
      <c r="S669" s="3">
        <f>H669*$D669</f>
        <v/>
      </c>
      <c r="T669" s="3">
        <f>I669*$D669</f>
        <v/>
      </c>
      <c r="U669" s="3">
        <f>J669*$D669</f>
        <v/>
      </c>
      <c r="V669" s="3">
        <f>K669*$D669</f>
        <v/>
      </c>
      <c r="W669" s="3">
        <f>L669*$D669</f>
        <v/>
      </c>
      <c r="X669" s="3">
        <f>M669*$D669</f>
        <v/>
      </c>
      <c r="Y669" s="3">
        <f>N669*$D669</f>
        <v/>
      </c>
      <c r="Z669" s="3">
        <f>C669*$D669</f>
        <v/>
      </c>
      <c r="AA669" s="9">
        <f>$L978+$K978*E669+$J978*F669+$I978*G669+$H978*H669+$G978*I669+$F978*J669+$E978*K669+$D978*L669+$C978*M669+$B978*N669</f>
        <v/>
      </c>
      <c r="AB669" s="9">
        <f>C669-AA669</f>
        <v/>
      </c>
      <c r="AC669" s="4">
        <f>AB669^2</f>
        <v/>
      </c>
    </row>
    <row r="670">
      <c r="A670" t="inlineStr">
        <is>
          <t>BBG01LYPSDK8</t>
        </is>
      </c>
      <c r="B670" t="inlineStr">
        <is>
          <t>pacs</t>
        </is>
      </c>
      <c r="C670" s="9" t="n">
        <v>0.005692548799802966</v>
      </c>
      <c r="D670" s="3">
        <f>EXP(0.25*'3b-d Exposures'!G818)</f>
        <v/>
      </c>
      <c r="E670" s="3">
        <f>IF('3b-d Exposures'!C818="",0,'3b-d Exposures'!C818)</f>
        <v/>
      </c>
      <c r="F670" s="3">
        <f>IF('3b-d Exposures'!E818="",0,'3b-d Exposures'!E818)</f>
        <v/>
      </c>
      <c r="G670" s="3">
        <f>IF('3b-d Exposures'!G818="",0,'3b-d Exposures'!G818)</f>
        <v/>
      </c>
      <c r="H670" s="3">
        <f>IF('3b-d Exposures'!I818="",0,'3b-d Exposures'!I818)</f>
        <v/>
      </c>
      <c r="I670" s="3">
        <f>IF('3b-d Exposures'!K818="",0,'3b-d Exposures'!K818)</f>
        <v/>
      </c>
      <c r="J670" s="3">
        <f>IF('3b-d Exposures'!M818="",0,'3b-d Exposures'!M818)</f>
        <v/>
      </c>
      <c r="K670" s="3">
        <f>IF('3b-d Exposures'!O818="",0,'3b-d Exposures'!O818)</f>
        <v/>
      </c>
      <c r="L670" s="3">
        <f>IF('3b-d Exposures'!Q818="",0,'3b-d Exposures'!Q818)</f>
        <v/>
      </c>
      <c r="M670" s="3">
        <f>IF('3b-d Exposures'!S818="",0,'3b-d Exposures'!S818)</f>
        <v/>
      </c>
      <c r="N670" s="3">
        <f>IF('3b-d Exposures'!Z818="",0,'3b-d Exposures'!Z818)</f>
        <v/>
      </c>
      <c r="O670" s="3">
        <f>$D670</f>
        <v/>
      </c>
      <c r="P670" s="3">
        <f>E670*$D670</f>
        <v/>
      </c>
      <c r="Q670" s="3">
        <f>F670*$D670</f>
        <v/>
      </c>
      <c r="R670" s="3">
        <f>G670*$D670</f>
        <v/>
      </c>
      <c r="S670" s="3">
        <f>H670*$D670</f>
        <v/>
      </c>
      <c r="T670" s="3">
        <f>I670*$D670</f>
        <v/>
      </c>
      <c r="U670" s="3">
        <f>J670*$D670</f>
        <v/>
      </c>
      <c r="V670" s="3">
        <f>K670*$D670</f>
        <v/>
      </c>
      <c r="W670" s="3">
        <f>L670*$D670</f>
        <v/>
      </c>
      <c r="X670" s="3">
        <f>M670*$D670</f>
        <v/>
      </c>
      <c r="Y670" s="3">
        <f>N670*$D670</f>
        <v/>
      </c>
      <c r="Z670" s="3">
        <f>C670*$D670</f>
        <v/>
      </c>
      <c r="AA670" s="9">
        <f>$L978+$K978*E670+$J978*F670+$I978*G670+$H978*H670+$G978*I670+$F978*J670+$E978*K670+$D978*L670+$C978*M670+$B978*N670</f>
        <v/>
      </c>
      <c r="AB670" s="9">
        <f>C670-AA670</f>
        <v/>
      </c>
      <c r="AC670" s="4">
        <f>AB670^2</f>
        <v/>
      </c>
    </row>
    <row r="671">
      <c r="A671" t="inlineStr">
        <is>
          <t>BBG000H6K1B0</t>
        </is>
      </c>
      <c r="B671" t="inlineStr">
        <is>
          <t>pag</t>
        </is>
      </c>
      <c r="C671" s="9" t="n">
        <v>0.005524368226967002</v>
      </c>
      <c r="D671" s="3">
        <f>EXP(0.25*'3b-d Exposures'!G819)</f>
        <v/>
      </c>
      <c r="E671" s="3">
        <f>IF('3b-d Exposures'!C819="",0,'3b-d Exposures'!C819)</f>
        <v/>
      </c>
      <c r="F671" s="3">
        <f>IF('3b-d Exposures'!E819="",0,'3b-d Exposures'!E819)</f>
        <v/>
      </c>
      <c r="G671" s="3">
        <f>IF('3b-d Exposures'!G819="",0,'3b-d Exposures'!G819)</f>
        <v/>
      </c>
      <c r="H671" s="3">
        <f>IF('3b-d Exposures'!I819="",0,'3b-d Exposures'!I819)</f>
        <v/>
      </c>
      <c r="I671" s="3">
        <f>IF('3b-d Exposures'!K819="",0,'3b-d Exposures'!K819)</f>
        <v/>
      </c>
      <c r="J671" s="3">
        <f>IF('3b-d Exposures'!M819="",0,'3b-d Exposures'!M819)</f>
        <v/>
      </c>
      <c r="K671" s="3">
        <f>IF('3b-d Exposures'!O819="",0,'3b-d Exposures'!O819)</f>
        <v/>
      </c>
      <c r="L671" s="3">
        <f>IF('3b-d Exposures'!Q819="",0,'3b-d Exposures'!Q819)</f>
        <v/>
      </c>
      <c r="M671" s="3">
        <f>IF('3b-d Exposures'!S819="",0,'3b-d Exposures'!S819)</f>
        <v/>
      </c>
      <c r="N671" s="3">
        <f>IF('3b-d Exposures'!Z819="",0,'3b-d Exposures'!Z819)</f>
        <v/>
      </c>
      <c r="O671" s="3">
        <f>$D671</f>
        <v/>
      </c>
      <c r="P671" s="3">
        <f>E671*$D671</f>
        <v/>
      </c>
      <c r="Q671" s="3">
        <f>F671*$D671</f>
        <v/>
      </c>
      <c r="R671" s="3">
        <f>G671*$D671</f>
        <v/>
      </c>
      <c r="S671" s="3">
        <f>H671*$D671</f>
        <v/>
      </c>
      <c r="T671" s="3">
        <f>I671*$D671</f>
        <v/>
      </c>
      <c r="U671" s="3">
        <f>J671*$D671</f>
        <v/>
      </c>
      <c r="V671" s="3">
        <f>K671*$D671</f>
        <v/>
      </c>
      <c r="W671" s="3">
        <f>L671*$D671</f>
        <v/>
      </c>
      <c r="X671" s="3">
        <f>M671*$D671</f>
        <v/>
      </c>
      <c r="Y671" s="3">
        <f>N671*$D671</f>
        <v/>
      </c>
      <c r="Z671" s="3">
        <f>C671*$D671</f>
        <v/>
      </c>
      <c r="AA671" s="9">
        <f>$L978+$K978*E671+$J978*F671+$I978*G671+$H978*H671+$G978*I671+$F978*J671+$E978*K671+$D978*L671+$C978*M671+$B978*N671</f>
        <v/>
      </c>
      <c r="AB671" s="9">
        <f>C671-AA671</f>
        <v/>
      </c>
      <c r="AC671" s="4">
        <f>AB671^2</f>
        <v/>
      </c>
    </row>
    <row r="672">
      <c r="A672" t="inlineStr">
        <is>
          <t>BBG000C31ZH2</t>
        </is>
      </c>
      <c r="B672" t="inlineStr">
        <is>
          <t>pahc</t>
        </is>
      </c>
      <c r="C672" s="9" t="n">
        <v>0.007274313770481156</v>
      </c>
      <c r="D672" s="3">
        <f>EXP(0.25*'3b-d Exposures'!G821)</f>
        <v/>
      </c>
      <c r="E672" s="3">
        <f>IF('3b-d Exposures'!C821="",0,'3b-d Exposures'!C821)</f>
        <v/>
      </c>
      <c r="F672" s="3">
        <f>IF('3b-d Exposures'!E821="",0,'3b-d Exposures'!E821)</f>
        <v/>
      </c>
      <c r="G672" s="3">
        <f>IF('3b-d Exposures'!G821="",0,'3b-d Exposures'!G821)</f>
        <v/>
      </c>
      <c r="H672" s="3">
        <f>IF('3b-d Exposures'!I821="",0,'3b-d Exposures'!I821)</f>
        <v/>
      </c>
      <c r="I672" s="3">
        <f>IF('3b-d Exposures'!K821="",0,'3b-d Exposures'!K821)</f>
        <v/>
      </c>
      <c r="J672" s="3">
        <f>IF('3b-d Exposures'!M821="",0,'3b-d Exposures'!M821)</f>
        <v/>
      </c>
      <c r="K672" s="3">
        <f>IF('3b-d Exposures'!O821="",0,'3b-d Exposures'!O821)</f>
        <v/>
      </c>
      <c r="L672" s="3">
        <f>IF('3b-d Exposures'!Q821="",0,'3b-d Exposures'!Q821)</f>
        <v/>
      </c>
      <c r="M672" s="3">
        <f>IF('3b-d Exposures'!S821="",0,'3b-d Exposures'!S821)</f>
        <v/>
      </c>
      <c r="N672" s="3">
        <f>IF('3b-d Exposures'!Z821="",0,'3b-d Exposures'!Z821)</f>
        <v/>
      </c>
      <c r="O672" s="3">
        <f>$D672</f>
        <v/>
      </c>
      <c r="P672" s="3">
        <f>E672*$D672</f>
        <v/>
      </c>
      <c r="Q672" s="3">
        <f>F672*$D672</f>
        <v/>
      </c>
      <c r="R672" s="3">
        <f>G672*$D672</f>
        <v/>
      </c>
      <c r="S672" s="3">
        <f>H672*$D672</f>
        <v/>
      </c>
      <c r="T672" s="3">
        <f>I672*$D672</f>
        <v/>
      </c>
      <c r="U672" s="3">
        <f>J672*$D672</f>
        <v/>
      </c>
      <c r="V672" s="3">
        <f>K672*$D672</f>
        <v/>
      </c>
      <c r="W672" s="3">
        <f>L672*$D672</f>
        <v/>
      </c>
      <c r="X672" s="3">
        <f>M672*$D672</f>
        <v/>
      </c>
      <c r="Y672" s="3">
        <f>N672*$D672</f>
        <v/>
      </c>
      <c r="Z672" s="3">
        <f>C672*$D672</f>
        <v/>
      </c>
      <c r="AA672" s="9">
        <f>$L978+$K978*E672+$J978*F672+$I978*G672+$H978*H672+$G978*I672+$F978*J672+$E978*K672+$D978*L672+$C978*M672+$B978*N672</f>
        <v/>
      </c>
      <c r="AB672" s="9">
        <f>C672-AA672</f>
        <v/>
      </c>
      <c r="AC672" s="4">
        <f>AB672^2</f>
        <v/>
      </c>
    </row>
    <row r="673">
      <c r="A673" t="inlineStr">
        <is>
          <t>BBG0014GJCT9</t>
        </is>
      </c>
      <c r="B673" t="inlineStr">
        <is>
          <t>panw</t>
        </is>
      </c>
      <c r="C673" s="9" t="n">
        <v>0.006059527768383033</v>
      </c>
      <c r="D673" s="3">
        <f>EXP(0.25*'3b-d Exposures'!G823)</f>
        <v/>
      </c>
      <c r="E673" s="3">
        <f>IF('3b-d Exposures'!C823="",0,'3b-d Exposures'!C823)</f>
        <v/>
      </c>
      <c r="F673" s="3">
        <f>IF('3b-d Exposures'!E823="",0,'3b-d Exposures'!E823)</f>
        <v/>
      </c>
      <c r="G673" s="3">
        <f>IF('3b-d Exposures'!G823="",0,'3b-d Exposures'!G823)</f>
        <v/>
      </c>
      <c r="H673" s="3">
        <f>IF('3b-d Exposures'!I823="",0,'3b-d Exposures'!I823)</f>
        <v/>
      </c>
      <c r="I673" s="3">
        <f>IF('3b-d Exposures'!K823="",0,'3b-d Exposures'!K823)</f>
        <v/>
      </c>
      <c r="J673" s="3">
        <f>IF('3b-d Exposures'!M823="",0,'3b-d Exposures'!M823)</f>
        <v/>
      </c>
      <c r="K673" s="3">
        <f>IF('3b-d Exposures'!O823="",0,'3b-d Exposures'!O823)</f>
        <v/>
      </c>
      <c r="L673" s="3">
        <f>IF('3b-d Exposures'!Q823="",0,'3b-d Exposures'!Q823)</f>
        <v/>
      </c>
      <c r="M673" s="3">
        <f>IF('3b-d Exposures'!S823="",0,'3b-d Exposures'!S823)</f>
        <v/>
      </c>
      <c r="N673" s="3">
        <f>IF('3b-d Exposures'!Z823="",0,'3b-d Exposures'!Z823)</f>
        <v/>
      </c>
      <c r="O673" s="3">
        <f>$D673</f>
        <v/>
      </c>
      <c r="P673" s="3">
        <f>E673*$D673</f>
        <v/>
      </c>
      <c r="Q673" s="3">
        <f>F673*$D673</f>
        <v/>
      </c>
      <c r="R673" s="3">
        <f>G673*$D673</f>
        <v/>
      </c>
      <c r="S673" s="3">
        <f>H673*$D673</f>
        <v/>
      </c>
      <c r="T673" s="3">
        <f>I673*$D673</f>
        <v/>
      </c>
      <c r="U673" s="3">
        <f>J673*$D673</f>
        <v/>
      </c>
      <c r="V673" s="3">
        <f>K673*$D673</f>
        <v/>
      </c>
      <c r="W673" s="3">
        <f>L673*$D673</f>
        <v/>
      </c>
      <c r="X673" s="3">
        <f>M673*$D673</f>
        <v/>
      </c>
      <c r="Y673" s="3">
        <f>N673*$D673</f>
        <v/>
      </c>
      <c r="Z673" s="3">
        <f>C673*$D673</f>
        <v/>
      </c>
      <c r="AA673" s="9">
        <f>$L978+$K978*E673+$J978*F673+$I978*G673+$H978*H673+$G978*I673+$F978*J673+$E978*K673+$D978*L673+$C978*M673+$B978*N673</f>
        <v/>
      </c>
      <c r="AB673" s="9">
        <f>C673-AA673</f>
        <v/>
      </c>
      <c r="AC673" s="4">
        <f>AB673^2</f>
        <v/>
      </c>
    </row>
    <row r="674">
      <c r="A674" t="inlineStr">
        <is>
          <t>BBG003C5DL16</t>
        </is>
      </c>
      <c r="B674" t="inlineStr">
        <is>
          <t>parr</t>
        </is>
      </c>
      <c r="C674" s="9" t="n">
        <v>0.0131956132076505</v>
      </c>
      <c r="D674" s="3">
        <f>EXP(0.25*'3b-d Exposures'!G824)</f>
        <v/>
      </c>
      <c r="E674" s="3">
        <f>IF('3b-d Exposures'!C824="",0,'3b-d Exposures'!C824)</f>
        <v/>
      </c>
      <c r="F674" s="3">
        <f>IF('3b-d Exposures'!E824="",0,'3b-d Exposures'!E824)</f>
        <v/>
      </c>
      <c r="G674" s="3">
        <f>IF('3b-d Exposures'!G824="",0,'3b-d Exposures'!G824)</f>
        <v/>
      </c>
      <c r="H674" s="3">
        <f>IF('3b-d Exposures'!I824="",0,'3b-d Exposures'!I824)</f>
        <v/>
      </c>
      <c r="I674" s="3">
        <f>IF('3b-d Exposures'!K824="",0,'3b-d Exposures'!K824)</f>
        <v/>
      </c>
      <c r="J674" s="3">
        <f>IF('3b-d Exposures'!M824="",0,'3b-d Exposures'!M824)</f>
        <v/>
      </c>
      <c r="K674" s="3">
        <f>IF('3b-d Exposures'!O824="",0,'3b-d Exposures'!O824)</f>
        <v/>
      </c>
      <c r="L674" s="3">
        <f>IF('3b-d Exposures'!Q824="",0,'3b-d Exposures'!Q824)</f>
        <v/>
      </c>
      <c r="M674" s="3">
        <f>IF('3b-d Exposures'!S824="",0,'3b-d Exposures'!S824)</f>
        <v/>
      </c>
      <c r="N674" s="3">
        <f>IF('3b-d Exposures'!Z824="",0,'3b-d Exposures'!Z824)</f>
        <v/>
      </c>
      <c r="O674" s="3">
        <f>$D674</f>
        <v/>
      </c>
      <c r="P674" s="3">
        <f>E674*$D674</f>
        <v/>
      </c>
      <c r="Q674" s="3">
        <f>F674*$D674</f>
        <v/>
      </c>
      <c r="R674" s="3">
        <f>G674*$D674</f>
        <v/>
      </c>
      <c r="S674" s="3">
        <f>H674*$D674</f>
        <v/>
      </c>
      <c r="T674" s="3">
        <f>I674*$D674</f>
        <v/>
      </c>
      <c r="U674" s="3">
        <f>J674*$D674</f>
        <v/>
      </c>
      <c r="V674" s="3">
        <f>K674*$D674</f>
        <v/>
      </c>
      <c r="W674" s="3">
        <f>L674*$D674</f>
        <v/>
      </c>
      <c r="X674" s="3">
        <f>M674*$D674</f>
        <v/>
      </c>
      <c r="Y674" s="3">
        <f>N674*$D674</f>
        <v/>
      </c>
      <c r="Z674" s="3">
        <f>C674*$D674</f>
        <v/>
      </c>
      <c r="AA674" s="9">
        <f>$L978+$K978*E674+$J978*F674+$I978*G674+$H978*H674+$G978*I674+$F978*J674+$E978*K674+$D978*L674+$C978*M674+$B978*N674</f>
        <v/>
      </c>
      <c r="AB674" s="9">
        <f>C674-AA674</f>
        <v/>
      </c>
      <c r="AC674" s="4">
        <f>AB674^2</f>
        <v/>
      </c>
    </row>
    <row r="675">
      <c r="A675" t="inlineStr">
        <is>
          <t>BBG0064N0ZZ5</t>
        </is>
      </c>
      <c r="B675" t="inlineStr">
        <is>
          <t>payc</t>
        </is>
      </c>
      <c r="C675" s="9" t="n">
        <v>0.002112791245018508</v>
      </c>
      <c r="D675" s="3">
        <f>EXP(0.25*'3b-d Exposures'!G826)</f>
        <v/>
      </c>
      <c r="E675" s="3">
        <f>IF('3b-d Exposures'!C826="",0,'3b-d Exposures'!C826)</f>
        <v/>
      </c>
      <c r="F675" s="3">
        <f>IF('3b-d Exposures'!E826="",0,'3b-d Exposures'!E826)</f>
        <v/>
      </c>
      <c r="G675" s="3">
        <f>IF('3b-d Exposures'!G826="",0,'3b-d Exposures'!G826)</f>
        <v/>
      </c>
      <c r="H675" s="3">
        <f>IF('3b-d Exposures'!I826="",0,'3b-d Exposures'!I826)</f>
        <v/>
      </c>
      <c r="I675" s="3">
        <f>IF('3b-d Exposures'!K826="",0,'3b-d Exposures'!K826)</f>
        <v/>
      </c>
      <c r="J675" s="3">
        <f>IF('3b-d Exposures'!M826="",0,'3b-d Exposures'!M826)</f>
        <v/>
      </c>
      <c r="K675" s="3">
        <f>IF('3b-d Exposures'!O826="",0,'3b-d Exposures'!O826)</f>
        <v/>
      </c>
      <c r="L675" s="3">
        <f>IF('3b-d Exposures'!Q826="",0,'3b-d Exposures'!Q826)</f>
        <v/>
      </c>
      <c r="M675" s="3">
        <f>IF('3b-d Exposures'!S826="",0,'3b-d Exposures'!S826)</f>
        <v/>
      </c>
      <c r="N675" s="3">
        <f>IF('3b-d Exposures'!Z826="",0,'3b-d Exposures'!Z826)</f>
        <v/>
      </c>
      <c r="O675" s="3">
        <f>$D675</f>
        <v/>
      </c>
      <c r="P675" s="3">
        <f>E675*$D675</f>
        <v/>
      </c>
      <c r="Q675" s="3">
        <f>F675*$D675</f>
        <v/>
      </c>
      <c r="R675" s="3">
        <f>G675*$D675</f>
        <v/>
      </c>
      <c r="S675" s="3">
        <f>H675*$D675</f>
        <v/>
      </c>
      <c r="T675" s="3">
        <f>I675*$D675</f>
        <v/>
      </c>
      <c r="U675" s="3">
        <f>J675*$D675</f>
        <v/>
      </c>
      <c r="V675" s="3">
        <f>K675*$D675</f>
        <v/>
      </c>
      <c r="W675" s="3">
        <f>L675*$D675</f>
        <v/>
      </c>
      <c r="X675" s="3">
        <f>M675*$D675</f>
        <v/>
      </c>
      <c r="Y675" s="3">
        <f>N675*$D675</f>
        <v/>
      </c>
      <c r="Z675" s="3">
        <f>C675*$D675</f>
        <v/>
      </c>
      <c r="AA675" s="9">
        <f>$L978+$K978*E675+$J978*F675+$I978*G675+$H978*H675+$G978*I675+$F978*J675+$E978*K675+$D978*L675+$C978*M675+$B978*N675</f>
        <v/>
      </c>
      <c r="AB675" s="9">
        <f>C675-AA675</f>
        <v/>
      </c>
      <c r="AC675" s="4">
        <f>AB675^2</f>
        <v/>
      </c>
    </row>
    <row r="676">
      <c r="A676" t="inlineStr">
        <is>
          <t>BBG00Z5JLLB3</t>
        </is>
      </c>
      <c r="B676" t="inlineStr">
        <is>
          <t>payo</t>
        </is>
      </c>
      <c r="C676" s="9" t="n">
        <v>-0.02566450383934771</v>
      </c>
      <c r="D676" s="3">
        <f>EXP(0.25*'3b-d Exposures'!G827)</f>
        <v/>
      </c>
      <c r="E676" s="3">
        <f>IF('3b-d Exposures'!C827="",0,'3b-d Exposures'!C827)</f>
        <v/>
      </c>
      <c r="F676" s="3">
        <f>IF('3b-d Exposures'!E827="",0,'3b-d Exposures'!E827)</f>
        <v/>
      </c>
      <c r="G676" s="3">
        <f>IF('3b-d Exposures'!G827="",0,'3b-d Exposures'!G827)</f>
        <v/>
      </c>
      <c r="H676" s="3">
        <f>IF('3b-d Exposures'!I827="",0,'3b-d Exposures'!I827)</f>
        <v/>
      </c>
      <c r="I676" s="3">
        <f>IF('3b-d Exposures'!K827="",0,'3b-d Exposures'!K827)</f>
        <v/>
      </c>
      <c r="J676" s="3">
        <f>IF('3b-d Exposures'!M827="",0,'3b-d Exposures'!M827)</f>
        <v/>
      </c>
      <c r="K676" s="3">
        <f>IF('3b-d Exposures'!O827="",0,'3b-d Exposures'!O827)</f>
        <v/>
      </c>
      <c r="L676" s="3">
        <f>IF('3b-d Exposures'!Q827="",0,'3b-d Exposures'!Q827)</f>
        <v/>
      </c>
      <c r="M676" s="3">
        <f>IF('3b-d Exposures'!S827="",0,'3b-d Exposures'!S827)</f>
        <v/>
      </c>
      <c r="N676" s="3">
        <f>IF('3b-d Exposures'!Z827="",0,'3b-d Exposures'!Z827)</f>
        <v/>
      </c>
      <c r="O676" s="3">
        <f>$D676</f>
        <v/>
      </c>
      <c r="P676" s="3">
        <f>E676*$D676</f>
        <v/>
      </c>
      <c r="Q676" s="3">
        <f>F676*$D676</f>
        <v/>
      </c>
      <c r="R676" s="3">
        <f>G676*$D676</f>
        <v/>
      </c>
      <c r="S676" s="3">
        <f>H676*$D676</f>
        <v/>
      </c>
      <c r="T676" s="3">
        <f>I676*$D676</f>
        <v/>
      </c>
      <c r="U676" s="3">
        <f>J676*$D676</f>
        <v/>
      </c>
      <c r="V676" s="3">
        <f>K676*$D676</f>
        <v/>
      </c>
      <c r="W676" s="3">
        <f>L676*$D676</f>
        <v/>
      </c>
      <c r="X676" s="3">
        <f>M676*$D676</f>
        <v/>
      </c>
      <c r="Y676" s="3">
        <f>N676*$D676</f>
        <v/>
      </c>
      <c r="Z676" s="3">
        <f>C676*$D676</f>
        <v/>
      </c>
      <c r="AA676" s="9">
        <f>$L978+$K978*E676+$J978*F676+$I978*G676+$H978*H676+$G978*I676+$F978*J676+$E978*K676+$D978*L676+$C978*M676+$B978*N676</f>
        <v/>
      </c>
      <c r="AB676" s="9">
        <f>C676-AA676</f>
        <v/>
      </c>
      <c r="AC676" s="4">
        <f>AB676^2</f>
        <v/>
      </c>
    </row>
    <row r="677">
      <c r="A677" t="inlineStr">
        <is>
          <t>BBG000BQSQ38</t>
        </is>
      </c>
      <c r="B677" t="inlineStr">
        <is>
          <t>payx</t>
        </is>
      </c>
      <c r="C677" s="9" t="n">
        <v>-0.005606022802421173</v>
      </c>
      <c r="D677" s="3">
        <f>EXP(0.25*'3b-d Exposures'!G828)</f>
        <v/>
      </c>
      <c r="E677" s="3">
        <f>IF('3b-d Exposures'!C828="",0,'3b-d Exposures'!C828)</f>
        <v/>
      </c>
      <c r="F677" s="3">
        <f>IF('3b-d Exposures'!E828="",0,'3b-d Exposures'!E828)</f>
        <v/>
      </c>
      <c r="G677" s="3">
        <f>IF('3b-d Exposures'!G828="",0,'3b-d Exposures'!G828)</f>
        <v/>
      </c>
      <c r="H677" s="3">
        <f>IF('3b-d Exposures'!I828="",0,'3b-d Exposures'!I828)</f>
        <v/>
      </c>
      <c r="I677" s="3">
        <f>IF('3b-d Exposures'!K828="",0,'3b-d Exposures'!K828)</f>
        <v/>
      </c>
      <c r="J677" s="3">
        <f>IF('3b-d Exposures'!M828="",0,'3b-d Exposures'!M828)</f>
        <v/>
      </c>
      <c r="K677" s="3">
        <f>IF('3b-d Exposures'!O828="",0,'3b-d Exposures'!O828)</f>
        <v/>
      </c>
      <c r="L677" s="3">
        <f>IF('3b-d Exposures'!Q828="",0,'3b-d Exposures'!Q828)</f>
        <v/>
      </c>
      <c r="M677" s="3">
        <f>IF('3b-d Exposures'!S828="",0,'3b-d Exposures'!S828)</f>
        <v/>
      </c>
      <c r="N677" s="3">
        <f>IF('3b-d Exposures'!Z828="",0,'3b-d Exposures'!Z828)</f>
        <v/>
      </c>
      <c r="O677" s="3">
        <f>$D677</f>
        <v/>
      </c>
      <c r="P677" s="3">
        <f>E677*$D677</f>
        <v/>
      </c>
      <c r="Q677" s="3">
        <f>F677*$D677</f>
        <v/>
      </c>
      <c r="R677" s="3">
        <f>G677*$D677</f>
        <v/>
      </c>
      <c r="S677" s="3">
        <f>H677*$D677</f>
        <v/>
      </c>
      <c r="T677" s="3">
        <f>I677*$D677</f>
        <v/>
      </c>
      <c r="U677" s="3">
        <f>J677*$D677</f>
        <v/>
      </c>
      <c r="V677" s="3">
        <f>K677*$D677</f>
        <v/>
      </c>
      <c r="W677" s="3">
        <f>L677*$D677</f>
        <v/>
      </c>
      <c r="X677" s="3">
        <f>M677*$D677</f>
        <v/>
      </c>
      <c r="Y677" s="3">
        <f>N677*$D677</f>
        <v/>
      </c>
      <c r="Z677" s="3">
        <f>C677*$D677</f>
        <v/>
      </c>
      <c r="AA677" s="9">
        <f>$L978+$K978*E677+$J978*F677+$I978*G677+$H978*H677+$G978*I677+$F978*J677+$E978*K677+$D978*L677+$C978*M677+$B978*N677</f>
        <v/>
      </c>
      <c r="AB677" s="9">
        <f>C677-AA677</f>
        <v/>
      </c>
      <c r="AC677" s="4">
        <f>AB677^2</f>
        <v/>
      </c>
    </row>
    <row r="678">
      <c r="A678" t="inlineStr">
        <is>
          <t>BBG000BS6FX9</t>
        </is>
      </c>
      <c r="B678" t="inlineStr">
        <is>
          <t>pbr</t>
        </is>
      </c>
      <c r="C678" s="9" t="n">
        <v>-0.00980393308074734</v>
      </c>
      <c r="D678" s="3">
        <f>EXP(0.25*'3b-d Exposures'!G829)</f>
        <v/>
      </c>
      <c r="E678" s="3">
        <f>IF('3b-d Exposures'!C829="",0,'3b-d Exposures'!C829)</f>
        <v/>
      </c>
      <c r="F678" s="3">
        <f>IF('3b-d Exposures'!E829="",0,'3b-d Exposures'!E829)</f>
        <v/>
      </c>
      <c r="G678" s="3">
        <f>IF('3b-d Exposures'!G829="",0,'3b-d Exposures'!G829)</f>
        <v/>
      </c>
      <c r="H678" s="3">
        <f>IF('3b-d Exposures'!I829="",0,'3b-d Exposures'!I829)</f>
        <v/>
      </c>
      <c r="I678" s="3">
        <f>IF('3b-d Exposures'!K829="",0,'3b-d Exposures'!K829)</f>
        <v/>
      </c>
      <c r="J678" s="3">
        <f>IF('3b-d Exposures'!M829="",0,'3b-d Exposures'!M829)</f>
        <v/>
      </c>
      <c r="K678" s="3">
        <f>IF('3b-d Exposures'!O829="",0,'3b-d Exposures'!O829)</f>
        <v/>
      </c>
      <c r="L678" s="3">
        <f>IF('3b-d Exposures'!Q829="",0,'3b-d Exposures'!Q829)</f>
        <v/>
      </c>
      <c r="M678" s="3">
        <f>IF('3b-d Exposures'!S829="",0,'3b-d Exposures'!S829)</f>
        <v/>
      </c>
      <c r="N678" s="3">
        <f>IF('3b-d Exposures'!Z829="",0,'3b-d Exposures'!Z829)</f>
        <v/>
      </c>
      <c r="O678" s="3">
        <f>$D678</f>
        <v/>
      </c>
      <c r="P678" s="3">
        <f>E678*$D678</f>
        <v/>
      </c>
      <c r="Q678" s="3">
        <f>F678*$D678</f>
        <v/>
      </c>
      <c r="R678" s="3">
        <f>G678*$D678</f>
        <v/>
      </c>
      <c r="S678" s="3">
        <f>H678*$D678</f>
        <v/>
      </c>
      <c r="T678" s="3">
        <f>I678*$D678</f>
        <v/>
      </c>
      <c r="U678" s="3">
        <f>J678*$D678</f>
        <v/>
      </c>
      <c r="V678" s="3">
        <f>K678*$D678</f>
        <v/>
      </c>
      <c r="W678" s="3">
        <f>L678*$D678</f>
        <v/>
      </c>
      <c r="X678" s="3">
        <f>M678*$D678</f>
        <v/>
      </c>
      <c r="Y678" s="3">
        <f>N678*$D678</f>
        <v/>
      </c>
      <c r="Z678" s="3">
        <f>C678*$D678</f>
        <v/>
      </c>
      <c r="AA678" s="9">
        <f>$L978+$K978*E678+$J978*F678+$I978*G678+$H978*H678+$G978*I678+$F978*J678+$E978*K678+$D978*L678+$C978*M678+$B978*N678</f>
        <v/>
      </c>
      <c r="AB678" s="9">
        <f>C678-AA678</f>
        <v/>
      </c>
      <c r="AC678" s="4">
        <f>AB678^2</f>
        <v/>
      </c>
    </row>
    <row r="679">
      <c r="A679" t="inlineStr">
        <is>
          <t>BBG0018YXYX7</t>
        </is>
      </c>
      <c r="B679" t="inlineStr">
        <is>
          <t>pbyi</t>
        </is>
      </c>
      <c r="C679" s="9" t="n">
        <v>-0.05604721278491809</v>
      </c>
      <c r="D679" s="3">
        <f>EXP(0.25*'3b-d Exposures'!G830)</f>
        <v/>
      </c>
      <c r="E679" s="3">
        <f>IF('3b-d Exposures'!C830="",0,'3b-d Exposures'!C830)</f>
        <v/>
      </c>
      <c r="F679" s="3">
        <f>IF('3b-d Exposures'!E830="",0,'3b-d Exposures'!E830)</f>
        <v/>
      </c>
      <c r="G679" s="3">
        <f>IF('3b-d Exposures'!G830="",0,'3b-d Exposures'!G830)</f>
        <v/>
      </c>
      <c r="H679" s="3">
        <f>IF('3b-d Exposures'!I830="",0,'3b-d Exposures'!I830)</f>
        <v/>
      </c>
      <c r="I679" s="3">
        <f>IF('3b-d Exposures'!K830="",0,'3b-d Exposures'!K830)</f>
        <v/>
      </c>
      <c r="J679" s="3">
        <f>IF('3b-d Exposures'!M830="",0,'3b-d Exposures'!M830)</f>
        <v/>
      </c>
      <c r="K679" s="3">
        <f>IF('3b-d Exposures'!O830="",0,'3b-d Exposures'!O830)</f>
        <v/>
      </c>
      <c r="L679" s="3">
        <f>IF('3b-d Exposures'!Q830="",0,'3b-d Exposures'!Q830)</f>
        <v/>
      </c>
      <c r="M679" s="3">
        <f>IF('3b-d Exposures'!S830="",0,'3b-d Exposures'!S830)</f>
        <v/>
      </c>
      <c r="N679" s="3">
        <f>IF('3b-d Exposures'!Z830="",0,'3b-d Exposures'!Z830)</f>
        <v/>
      </c>
      <c r="O679" s="3">
        <f>$D679</f>
        <v/>
      </c>
      <c r="P679" s="3">
        <f>E679*$D679</f>
        <v/>
      </c>
      <c r="Q679" s="3">
        <f>F679*$D679</f>
        <v/>
      </c>
      <c r="R679" s="3">
        <f>G679*$D679</f>
        <v/>
      </c>
      <c r="S679" s="3">
        <f>H679*$D679</f>
        <v/>
      </c>
      <c r="T679" s="3">
        <f>I679*$D679</f>
        <v/>
      </c>
      <c r="U679" s="3">
        <f>J679*$D679</f>
        <v/>
      </c>
      <c r="V679" s="3">
        <f>K679*$D679</f>
        <v/>
      </c>
      <c r="W679" s="3">
        <f>L679*$D679</f>
        <v/>
      </c>
      <c r="X679" s="3">
        <f>M679*$D679</f>
        <v/>
      </c>
      <c r="Y679" s="3">
        <f>N679*$D679</f>
        <v/>
      </c>
      <c r="Z679" s="3">
        <f>C679*$D679</f>
        <v/>
      </c>
      <c r="AA679" s="9">
        <f>$L978+$K978*E679+$J978*F679+$I978*G679+$H978*H679+$G978*I679+$F978*J679+$E978*K679+$D978*L679+$C978*M679+$B978*N679</f>
        <v/>
      </c>
      <c r="AB679" s="9">
        <f>C679-AA679</f>
        <v/>
      </c>
      <c r="AC679" s="4">
        <f>AB679^2</f>
        <v/>
      </c>
    </row>
    <row r="680">
      <c r="A680" t="inlineStr">
        <is>
          <t>pcar</t>
        </is>
      </c>
      <c r="B680" t="inlineStr">
        <is>
          <t>pcar</t>
        </is>
      </c>
      <c r="C680" s="9" t="n">
        <v>-0.006495916505343535</v>
      </c>
      <c r="D680" s="3">
        <f>EXP(0.25*'3b-d Exposures'!G831)</f>
        <v/>
      </c>
      <c r="E680" s="3">
        <f>IF('3b-d Exposures'!C831="",0,'3b-d Exposures'!C831)</f>
        <v/>
      </c>
      <c r="F680" s="3">
        <f>IF('3b-d Exposures'!E831="",0,'3b-d Exposures'!E831)</f>
        <v/>
      </c>
      <c r="G680" s="3">
        <f>IF('3b-d Exposures'!G831="",0,'3b-d Exposures'!G831)</f>
        <v/>
      </c>
      <c r="H680" s="3">
        <f>IF('3b-d Exposures'!I831="",0,'3b-d Exposures'!I831)</f>
        <v/>
      </c>
      <c r="I680" s="3">
        <f>IF('3b-d Exposures'!K831="",0,'3b-d Exposures'!K831)</f>
        <v/>
      </c>
      <c r="J680" s="3">
        <f>IF('3b-d Exposures'!M831="",0,'3b-d Exposures'!M831)</f>
        <v/>
      </c>
      <c r="K680" s="3">
        <f>IF('3b-d Exposures'!O831="",0,'3b-d Exposures'!O831)</f>
        <v/>
      </c>
      <c r="L680" s="3">
        <f>IF('3b-d Exposures'!Q831="",0,'3b-d Exposures'!Q831)</f>
        <v/>
      </c>
      <c r="M680" s="3">
        <f>IF('3b-d Exposures'!S831="",0,'3b-d Exposures'!S831)</f>
        <v/>
      </c>
      <c r="N680" s="3">
        <f>IF('3b-d Exposures'!Z831="",0,'3b-d Exposures'!Z831)</f>
        <v/>
      </c>
      <c r="O680" s="3">
        <f>$D680</f>
        <v/>
      </c>
      <c r="P680" s="3">
        <f>E680*$D680</f>
        <v/>
      </c>
      <c r="Q680" s="3">
        <f>F680*$D680</f>
        <v/>
      </c>
      <c r="R680" s="3">
        <f>G680*$D680</f>
        <v/>
      </c>
      <c r="S680" s="3">
        <f>H680*$D680</f>
        <v/>
      </c>
      <c r="T680" s="3">
        <f>I680*$D680</f>
        <v/>
      </c>
      <c r="U680" s="3">
        <f>J680*$D680</f>
        <v/>
      </c>
      <c r="V680" s="3">
        <f>K680*$D680</f>
        <v/>
      </c>
      <c r="W680" s="3">
        <f>L680*$D680</f>
        <v/>
      </c>
      <c r="X680" s="3">
        <f>M680*$D680</f>
        <v/>
      </c>
      <c r="Y680" s="3">
        <f>N680*$D680</f>
        <v/>
      </c>
      <c r="Z680" s="3">
        <f>C680*$D680</f>
        <v/>
      </c>
      <c r="AA680" s="9">
        <f>$L978+$K978*E680+$J978*F680+$I978*G680+$H978*H680+$G978*I680+$F978*J680+$E978*K680+$D978*L680+$C978*M680+$B978*N680</f>
        <v/>
      </c>
      <c r="AB680" s="9">
        <f>C680-AA680</f>
        <v/>
      </c>
      <c r="AC680" s="4">
        <f>AB680^2</f>
        <v/>
      </c>
    </row>
    <row r="681">
      <c r="A681" t="inlineStr">
        <is>
          <t>BBG000BQWPC5</t>
        </is>
      </c>
      <c r="B681" t="inlineStr">
        <is>
          <t>pcg</t>
        </is>
      </c>
      <c r="C681" s="9" t="n">
        <v>-0.04993049923001558</v>
      </c>
      <c r="D681" s="3">
        <f>EXP(0.25*'3b-d Exposures'!G832)</f>
        <v/>
      </c>
      <c r="E681" s="3">
        <f>IF('3b-d Exposures'!C832="",0,'3b-d Exposures'!C832)</f>
        <v/>
      </c>
      <c r="F681" s="3">
        <f>IF('3b-d Exposures'!E832="",0,'3b-d Exposures'!E832)</f>
        <v/>
      </c>
      <c r="G681" s="3">
        <f>IF('3b-d Exposures'!G832="",0,'3b-d Exposures'!G832)</f>
        <v/>
      </c>
      <c r="H681" s="3">
        <f>IF('3b-d Exposures'!I832="",0,'3b-d Exposures'!I832)</f>
        <v/>
      </c>
      <c r="I681" s="3">
        <f>IF('3b-d Exposures'!K832="",0,'3b-d Exposures'!K832)</f>
        <v/>
      </c>
      <c r="J681" s="3">
        <f>IF('3b-d Exposures'!M832="",0,'3b-d Exposures'!M832)</f>
        <v/>
      </c>
      <c r="K681" s="3">
        <f>IF('3b-d Exposures'!O832="",0,'3b-d Exposures'!O832)</f>
        <v/>
      </c>
      <c r="L681" s="3">
        <f>IF('3b-d Exposures'!Q832="",0,'3b-d Exposures'!Q832)</f>
        <v/>
      </c>
      <c r="M681" s="3">
        <f>IF('3b-d Exposures'!S832="",0,'3b-d Exposures'!S832)</f>
        <v/>
      </c>
      <c r="N681" s="3">
        <f>IF('3b-d Exposures'!Z832="",0,'3b-d Exposures'!Z832)</f>
        <v/>
      </c>
      <c r="O681" s="3">
        <f>$D681</f>
        <v/>
      </c>
      <c r="P681" s="3">
        <f>E681*$D681</f>
        <v/>
      </c>
      <c r="Q681" s="3">
        <f>F681*$D681</f>
        <v/>
      </c>
      <c r="R681" s="3">
        <f>G681*$D681</f>
        <v/>
      </c>
      <c r="S681" s="3">
        <f>H681*$D681</f>
        <v/>
      </c>
      <c r="T681" s="3">
        <f>I681*$D681</f>
        <v/>
      </c>
      <c r="U681" s="3">
        <f>J681*$D681</f>
        <v/>
      </c>
      <c r="V681" s="3">
        <f>K681*$D681</f>
        <v/>
      </c>
      <c r="W681" s="3">
        <f>L681*$D681</f>
        <v/>
      </c>
      <c r="X681" s="3">
        <f>M681*$D681</f>
        <v/>
      </c>
      <c r="Y681" s="3">
        <f>N681*$D681</f>
        <v/>
      </c>
      <c r="Z681" s="3">
        <f>C681*$D681</f>
        <v/>
      </c>
      <c r="AA681" s="9">
        <f>$L978+$K978*E681+$J978*F681+$I978*G681+$H978*H681+$G978*I681+$F978*J681+$E978*K681+$D978*L681+$C978*M681+$B978*N681</f>
        <v/>
      </c>
      <c r="AB681" s="9">
        <f>C681-AA681</f>
        <v/>
      </c>
      <c r="AC681" s="4">
        <f>AB681^2</f>
        <v/>
      </c>
    </row>
    <row r="682">
      <c r="A682" t="inlineStr">
        <is>
          <t>BBG0018FQNS6</t>
        </is>
      </c>
      <c r="B682" t="inlineStr">
        <is>
          <t>pcrx</t>
        </is>
      </c>
      <c r="C682" s="9" t="n">
        <v>0.05322292292439079</v>
      </c>
      <c r="D682" s="3">
        <f>EXP(0.25*'3b-d Exposures'!G833)</f>
        <v/>
      </c>
      <c r="E682" s="3">
        <f>IF('3b-d Exposures'!C833="",0,'3b-d Exposures'!C833)</f>
        <v/>
      </c>
      <c r="F682" s="3">
        <f>IF('3b-d Exposures'!E833="",0,'3b-d Exposures'!E833)</f>
        <v/>
      </c>
      <c r="G682" s="3">
        <f>IF('3b-d Exposures'!G833="",0,'3b-d Exposures'!G833)</f>
        <v/>
      </c>
      <c r="H682" s="3">
        <f>IF('3b-d Exposures'!I833="",0,'3b-d Exposures'!I833)</f>
        <v/>
      </c>
      <c r="I682" s="3">
        <f>IF('3b-d Exposures'!K833="",0,'3b-d Exposures'!K833)</f>
        <v/>
      </c>
      <c r="J682" s="3">
        <f>IF('3b-d Exposures'!M833="",0,'3b-d Exposures'!M833)</f>
        <v/>
      </c>
      <c r="K682" s="3">
        <f>IF('3b-d Exposures'!O833="",0,'3b-d Exposures'!O833)</f>
        <v/>
      </c>
      <c r="L682" s="3">
        <f>IF('3b-d Exposures'!Q833="",0,'3b-d Exposures'!Q833)</f>
        <v/>
      </c>
      <c r="M682" s="3">
        <f>IF('3b-d Exposures'!S833="",0,'3b-d Exposures'!S833)</f>
        <v/>
      </c>
      <c r="N682" s="3">
        <f>IF('3b-d Exposures'!Z833="",0,'3b-d Exposures'!Z833)</f>
        <v/>
      </c>
      <c r="O682" s="3">
        <f>$D682</f>
        <v/>
      </c>
      <c r="P682" s="3">
        <f>E682*$D682</f>
        <v/>
      </c>
      <c r="Q682" s="3">
        <f>F682*$D682</f>
        <v/>
      </c>
      <c r="R682" s="3">
        <f>G682*$D682</f>
        <v/>
      </c>
      <c r="S682" s="3">
        <f>H682*$D682</f>
        <v/>
      </c>
      <c r="T682" s="3">
        <f>I682*$D682</f>
        <v/>
      </c>
      <c r="U682" s="3">
        <f>J682*$D682</f>
        <v/>
      </c>
      <c r="V682" s="3">
        <f>K682*$D682</f>
        <v/>
      </c>
      <c r="W682" s="3">
        <f>L682*$D682</f>
        <v/>
      </c>
      <c r="X682" s="3">
        <f>M682*$D682</f>
        <v/>
      </c>
      <c r="Y682" s="3">
        <f>N682*$D682</f>
        <v/>
      </c>
      <c r="Z682" s="3">
        <f>C682*$D682</f>
        <v/>
      </c>
      <c r="AA682" s="9">
        <f>$L978+$K978*E682+$J978*F682+$I978*G682+$H978*H682+$G978*I682+$F978*J682+$E978*K682+$D978*L682+$C978*M682+$B978*N682</f>
        <v/>
      </c>
      <c r="AB682" s="9">
        <f>C682-AA682</f>
        <v/>
      </c>
      <c r="AC682" s="4">
        <f>AB682^2</f>
        <v/>
      </c>
    </row>
    <row r="683">
      <c r="A683" t="inlineStr">
        <is>
          <t>BBG00YRJF1V1</t>
        </is>
      </c>
      <c r="B683" t="inlineStr">
        <is>
          <t>pct</t>
        </is>
      </c>
      <c r="C683" s="9" t="n">
        <v>0.06205338883270706</v>
      </c>
      <c r="D683" s="3">
        <f>EXP(0.25*'3b-d Exposures'!G834)</f>
        <v/>
      </c>
      <c r="E683" s="3">
        <f>IF('3b-d Exposures'!C834="",0,'3b-d Exposures'!C834)</f>
        <v/>
      </c>
      <c r="F683" s="3">
        <f>IF('3b-d Exposures'!E834="",0,'3b-d Exposures'!E834)</f>
        <v/>
      </c>
      <c r="G683" s="3">
        <f>IF('3b-d Exposures'!G834="",0,'3b-d Exposures'!G834)</f>
        <v/>
      </c>
      <c r="H683" s="3">
        <f>IF('3b-d Exposures'!I834="",0,'3b-d Exposures'!I834)</f>
        <v/>
      </c>
      <c r="I683" s="3">
        <f>IF('3b-d Exposures'!K834="",0,'3b-d Exposures'!K834)</f>
        <v/>
      </c>
      <c r="J683" s="3">
        <f>IF('3b-d Exposures'!M834="",0,'3b-d Exposures'!M834)</f>
        <v/>
      </c>
      <c r="K683" s="3">
        <f>IF('3b-d Exposures'!O834="",0,'3b-d Exposures'!O834)</f>
        <v/>
      </c>
      <c r="L683" s="3">
        <f>IF('3b-d Exposures'!Q834="",0,'3b-d Exposures'!Q834)</f>
        <v/>
      </c>
      <c r="M683" s="3">
        <f>IF('3b-d Exposures'!S834="",0,'3b-d Exposures'!S834)</f>
        <v/>
      </c>
      <c r="N683" s="3">
        <f>IF('3b-d Exposures'!Z834="",0,'3b-d Exposures'!Z834)</f>
        <v/>
      </c>
      <c r="O683" s="3">
        <f>$D683</f>
        <v/>
      </c>
      <c r="P683" s="3">
        <f>E683*$D683</f>
        <v/>
      </c>
      <c r="Q683" s="3">
        <f>F683*$D683</f>
        <v/>
      </c>
      <c r="R683" s="3">
        <f>G683*$D683</f>
        <v/>
      </c>
      <c r="S683" s="3">
        <f>H683*$D683</f>
        <v/>
      </c>
      <c r="T683" s="3">
        <f>I683*$D683</f>
        <v/>
      </c>
      <c r="U683" s="3">
        <f>J683*$D683</f>
        <v/>
      </c>
      <c r="V683" s="3">
        <f>K683*$D683</f>
        <v/>
      </c>
      <c r="W683" s="3">
        <f>L683*$D683</f>
        <v/>
      </c>
      <c r="X683" s="3">
        <f>M683*$D683</f>
        <v/>
      </c>
      <c r="Y683" s="3">
        <f>N683*$D683</f>
        <v/>
      </c>
      <c r="Z683" s="3">
        <f>C683*$D683</f>
        <v/>
      </c>
      <c r="AA683" s="9">
        <f>$L978+$K978*E683+$J978*F683+$I978*G683+$H978*H683+$G978*I683+$F978*J683+$E978*K683+$D978*L683+$C978*M683+$B978*N683</f>
        <v/>
      </c>
      <c r="AB683" s="9">
        <f>C683-AA683</f>
        <v/>
      </c>
      <c r="AC683" s="4">
        <f>AB683^2</f>
        <v/>
      </c>
    </row>
    <row r="684">
      <c r="A684" t="inlineStr">
        <is>
          <t>BBG0043BYPB8</t>
        </is>
      </c>
      <c r="B684" t="inlineStr">
        <is>
          <t>pd</t>
        </is>
      </c>
      <c r="C684" s="9" t="n">
        <v>0.0193031945306148</v>
      </c>
      <c r="D684" s="3">
        <f>EXP(0.25*'3b-d Exposures'!G835)</f>
        <v/>
      </c>
      <c r="E684" s="3">
        <f>IF('3b-d Exposures'!C835="",0,'3b-d Exposures'!C835)</f>
        <v/>
      </c>
      <c r="F684" s="3">
        <f>IF('3b-d Exposures'!E835="",0,'3b-d Exposures'!E835)</f>
        <v/>
      </c>
      <c r="G684" s="3">
        <f>IF('3b-d Exposures'!G835="",0,'3b-d Exposures'!G835)</f>
        <v/>
      </c>
      <c r="H684" s="3">
        <f>IF('3b-d Exposures'!I835="",0,'3b-d Exposures'!I835)</f>
        <v/>
      </c>
      <c r="I684" s="3">
        <f>IF('3b-d Exposures'!K835="",0,'3b-d Exposures'!K835)</f>
        <v/>
      </c>
      <c r="J684" s="3">
        <f>IF('3b-d Exposures'!M835="",0,'3b-d Exposures'!M835)</f>
        <v/>
      </c>
      <c r="K684" s="3">
        <f>IF('3b-d Exposures'!O835="",0,'3b-d Exposures'!O835)</f>
        <v/>
      </c>
      <c r="L684" s="3">
        <f>IF('3b-d Exposures'!Q835="",0,'3b-d Exposures'!Q835)</f>
        <v/>
      </c>
      <c r="M684" s="3">
        <f>IF('3b-d Exposures'!S835="",0,'3b-d Exposures'!S835)</f>
        <v/>
      </c>
      <c r="N684" s="3">
        <f>IF('3b-d Exposures'!Z835="",0,'3b-d Exposures'!Z835)</f>
        <v/>
      </c>
      <c r="O684" s="3">
        <f>$D684</f>
        <v/>
      </c>
      <c r="P684" s="3">
        <f>E684*$D684</f>
        <v/>
      </c>
      <c r="Q684" s="3">
        <f>F684*$D684</f>
        <v/>
      </c>
      <c r="R684" s="3">
        <f>G684*$D684</f>
        <v/>
      </c>
      <c r="S684" s="3">
        <f>H684*$D684</f>
        <v/>
      </c>
      <c r="T684" s="3">
        <f>I684*$D684</f>
        <v/>
      </c>
      <c r="U684" s="3">
        <f>J684*$D684</f>
        <v/>
      </c>
      <c r="V684" s="3">
        <f>K684*$D684</f>
        <v/>
      </c>
      <c r="W684" s="3">
        <f>L684*$D684</f>
        <v/>
      </c>
      <c r="X684" s="3">
        <f>M684*$D684</f>
        <v/>
      </c>
      <c r="Y684" s="3">
        <f>N684*$D684</f>
        <v/>
      </c>
      <c r="Z684" s="3">
        <f>C684*$D684</f>
        <v/>
      </c>
      <c r="AA684" s="9">
        <f>$L978+$K978*E684+$J978*F684+$I978*G684+$H978*H684+$G978*I684+$F978*J684+$E978*K684+$D978*L684+$C978*M684+$B978*N684</f>
        <v/>
      </c>
      <c r="AB684" s="9">
        <f>C684-AA684</f>
        <v/>
      </c>
      <c r="AC684" s="4">
        <f>AB684^2</f>
        <v/>
      </c>
    </row>
    <row r="685">
      <c r="A685" t="inlineStr">
        <is>
          <t>BBG00LBLDDR2</t>
        </is>
      </c>
      <c r="B685" t="inlineStr">
        <is>
          <t>pdd</t>
        </is>
      </c>
      <c r="C685" s="9" t="n">
        <v>0.02506219821382416</v>
      </c>
      <c r="D685" s="3">
        <f>EXP(0.25*'3b-d Exposures'!G836)</f>
        <v/>
      </c>
      <c r="E685" s="3">
        <f>IF('3b-d Exposures'!C836="",0,'3b-d Exposures'!C836)</f>
        <v/>
      </c>
      <c r="F685" s="3">
        <f>IF('3b-d Exposures'!E836="",0,'3b-d Exposures'!E836)</f>
        <v/>
      </c>
      <c r="G685" s="3">
        <f>IF('3b-d Exposures'!G836="",0,'3b-d Exposures'!G836)</f>
        <v/>
      </c>
      <c r="H685" s="3">
        <f>IF('3b-d Exposures'!I836="",0,'3b-d Exposures'!I836)</f>
        <v/>
      </c>
      <c r="I685" s="3">
        <f>IF('3b-d Exposures'!K836="",0,'3b-d Exposures'!K836)</f>
        <v/>
      </c>
      <c r="J685" s="3">
        <f>IF('3b-d Exposures'!M836="",0,'3b-d Exposures'!M836)</f>
        <v/>
      </c>
      <c r="K685" s="3">
        <f>IF('3b-d Exposures'!O836="",0,'3b-d Exposures'!O836)</f>
        <v/>
      </c>
      <c r="L685" s="3">
        <f>IF('3b-d Exposures'!Q836="",0,'3b-d Exposures'!Q836)</f>
        <v/>
      </c>
      <c r="M685" s="3">
        <f>IF('3b-d Exposures'!S836="",0,'3b-d Exposures'!S836)</f>
        <v/>
      </c>
      <c r="N685" s="3">
        <f>IF('3b-d Exposures'!Z836="",0,'3b-d Exposures'!Z836)</f>
        <v/>
      </c>
      <c r="O685" s="3">
        <f>$D685</f>
        <v/>
      </c>
      <c r="P685" s="3">
        <f>E685*$D685</f>
        <v/>
      </c>
      <c r="Q685" s="3">
        <f>F685*$D685</f>
        <v/>
      </c>
      <c r="R685" s="3">
        <f>G685*$D685</f>
        <v/>
      </c>
      <c r="S685" s="3">
        <f>H685*$D685</f>
        <v/>
      </c>
      <c r="T685" s="3">
        <f>I685*$D685</f>
        <v/>
      </c>
      <c r="U685" s="3">
        <f>J685*$D685</f>
        <v/>
      </c>
      <c r="V685" s="3">
        <f>K685*$D685</f>
        <v/>
      </c>
      <c r="W685" s="3">
        <f>L685*$D685</f>
        <v/>
      </c>
      <c r="X685" s="3">
        <f>M685*$D685</f>
        <v/>
      </c>
      <c r="Y685" s="3">
        <f>N685*$D685</f>
        <v/>
      </c>
      <c r="Z685" s="3">
        <f>C685*$D685</f>
        <v/>
      </c>
      <c r="AA685" s="9">
        <f>$L978+$K978*E685+$J978*F685+$I978*G685+$H978*H685+$G978*I685+$F978*J685+$E978*K685+$D978*L685+$C978*M685+$B978*N685</f>
        <v/>
      </c>
      <c r="AB685" s="9">
        <f>C685-AA685</f>
        <v/>
      </c>
      <c r="AC685" s="4">
        <f>AB685^2</f>
        <v/>
      </c>
    </row>
    <row r="686">
      <c r="A686" t="inlineStr">
        <is>
          <t>BBG000BQZMH4</t>
        </is>
      </c>
      <c r="B686" t="inlineStr">
        <is>
          <t>peg</t>
        </is>
      </c>
      <c r="C686" s="9" t="n">
        <v>-0.02152736499450392</v>
      </c>
      <c r="D686" s="3">
        <f>EXP(0.25*'3b-d Exposures'!G837)</f>
        <v/>
      </c>
      <c r="E686" s="3">
        <f>IF('3b-d Exposures'!C837="",0,'3b-d Exposures'!C837)</f>
        <v/>
      </c>
      <c r="F686" s="3">
        <f>IF('3b-d Exposures'!E837="",0,'3b-d Exposures'!E837)</f>
        <v/>
      </c>
      <c r="G686" s="3">
        <f>IF('3b-d Exposures'!G837="",0,'3b-d Exposures'!G837)</f>
        <v/>
      </c>
      <c r="H686" s="3">
        <f>IF('3b-d Exposures'!I837="",0,'3b-d Exposures'!I837)</f>
        <v/>
      </c>
      <c r="I686" s="3">
        <f>IF('3b-d Exposures'!K837="",0,'3b-d Exposures'!K837)</f>
        <v/>
      </c>
      <c r="J686" s="3">
        <f>IF('3b-d Exposures'!M837="",0,'3b-d Exposures'!M837)</f>
        <v/>
      </c>
      <c r="K686" s="3">
        <f>IF('3b-d Exposures'!O837="",0,'3b-d Exposures'!O837)</f>
        <v/>
      </c>
      <c r="L686" s="3">
        <f>IF('3b-d Exposures'!Q837="",0,'3b-d Exposures'!Q837)</f>
        <v/>
      </c>
      <c r="M686" s="3">
        <f>IF('3b-d Exposures'!S837="",0,'3b-d Exposures'!S837)</f>
        <v/>
      </c>
      <c r="N686" s="3">
        <f>IF('3b-d Exposures'!Z837="",0,'3b-d Exposures'!Z837)</f>
        <v/>
      </c>
      <c r="O686" s="3">
        <f>$D686</f>
        <v/>
      </c>
      <c r="P686" s="3">
        <f>E686*$D686</f>
        <v/>
      </c>
      <c r="Q686" s="3">
        <f>F686*$D686</f>
        <v/>
      </c>
      <c r="R686" s="3">
        <f>G686*$D686</f>
        <v/>
      </c>
      <c r="S686" s="3">
        <f>H686*$D686</f>
        <v/>
      </c>
      <c r="T686" s="3">
        <f>I686*$D686</f>
        <v/>
      </c>
      <c r="U686" s="3">
        <f>J686*$D686</f>
        <v/>
      </c>
      <c r="V686" s="3">
        <f>K686*$D686</f>
        <v/>
      </c>
      <c r="W686" s="3">
        <f>L686*$D686</f>
        <v/>
      </c>
      <c r="X686" s="3">
        <f>M686*$D686</f>
        <v/>
      </c>
      <c r="Y686" s="3">
        <f>N686*$D686</f>
        <v/>
      </c>
      <c r="Z686" s="3">
        <f>C686*$D686</f>
        <v/>
      </c>
      <c r="AA686" s="9">
        <f>$L978+$K978*E686+$J978*F686+$I978*G686+$H978*H686+$G978*I686+$F978*J686+$E978*K686+$D978*L686+$C978*M686+$B978*N686</f>
        <v/>
      </c>
      <c r="AB686" s="9">
        <f>C686-AA686</f>
        <v/>
      </c>
      <c r="AC686" s="4">
        <f>AB686^2</f>
        <v/>
      </c>
    </row>
    <row r="687">
      <c r="A687" t="inlineStr">
        <is>
          <t>BBG000H1RYG7</t>
        </is>
      </c>
      <c r="B687" t="inlineStr">
        <is>
          <t>pega</t>
        </is>
      </c>
      <c r="C687" s="9" t="n">
        <v>-0.0051597252154022</v>
      </c>
      <c r="D687" s="3">
        <f>EXP(0.25*'3b-d Exposures'!G838)</f>
        <v/>
      </c>
      <c r="E687" s="3">
        <f>IF('3b-d Exposures'!C838="",0,'3b-d Exposures'!C838)</f>
        <v/>
      </c>
      <c r="F687" s="3">
        <f>IF('3b-d Exposures'!E838="",0,'3b-d Exposures'!E838)</f>
        <v/>
      </c>
      <c r="G687" s="3">
        <f>IF('3b-d Exposures'!G838="",0,'3b-d Exposures'!G838)</f>
        <v/>
      </c>
      <c r="H687" s="3">
        <f>IF('3b-d Exposures'!I838="",0,'3b-d Exposures'!I838)</f>
        <v/>
      </c>
      <c r="I687" s="3">
        <f>IF('3b-d Exposures'!K838="",0,'3b-d Exposures'!K838)</f>
        <v/>
      </c>
      <c r="J687" s="3">
        <f>IF('3b-d Exposures'!M838="",0,'3b-d Exposures'!M838)</f>
        <v/>
      </c>
      <c r="K687" s="3">
        <f>IF('3b-d Exposures'!O838="",0,'3b-d Exposures'!O838)</f>
        <v/>
      </c>
      <c r="L687" s="3">
        <f>IF('3b-d Exposures'!Q838="",0,'3b-d Exposures'!Q838)</f>
        <v/>
      </c>
      <c r="M687" s="3">
        <f>IF('3b-d Exposures'!S838="",0,'3b-d Exposures'!S838)</f>
        <v/>
      </c>
      <c r="N687" s="3">
        <f>IF('3b-d Exposures'!Z838="",0,'3b-d Exposures'!Z838)</f>
        <v/>
      </c>
      <c r="O687" s="3">
        <f>$D687</f>
        <v/>
      </c>
      <c r="P687" s="3">
        <f>E687*$D687</f>
        <v/>
      </c>
      <c r="Q687" s="3">
        <f>F687*$D687</f>
        <v/>
      </c>
      <c r="R687" s="3">
        <f>G687*$D687</f>
        <v/>
      </c>
      <c r="S687" s="3">
        <f>H687*$D687</f>
        <v/>
      </c>
      <c r="T687" s="3">
        <f>I687*$D687</f>
        <v/>
      </c>
      <c r="U687" s="3">
        <f>J687*$D687</f>
        <v/>
      </c>
      <c r="V687" s="3">
        <f>K687*$D687</f>
        <v/>
      </c>
      <c r="W687" s="3">
        <f>L687*$D687</f>
        <v/>
      </c>
      <c r="X687" s="3">
        <f>M687*$D687</f>
        <v/>
      </c>
      <c r="Y687" s="3">
        <f>N687*$D687</f>
        <v/>
      </c>
      <c r="Z687" s="3">
        <f>C687*$D687</f>
        <v/>
      </c>
      <c r="AA687" s="9">
        <f>$L978+$K978*E687+$J978*F687+$I978*G687+$H978*H687+$G978*I687+$F978*J687+$E978*K687+$D978*L687+$C978*M687+$B978*N687</f>
        <v/>
      </c>
      <c r="AB687" s="9">
        <f>C687-AA687</f>
        <v/>
      </c>
      <c r="AC687" s="4">
        <f>AB687^2</f>
        <v/>
      </c>
    </row>
    <row r="688">
      <c r="A688" t="inlineStr">
        <is>
          <t>BBG001BP92V1</t>
        </is>
      </c>
      <c r="B688" t="inlineStr">
        <is>
          <t>pen</t>
        </is>
      </c>
      <c r="C688" s="9" t="n">
        <v>0.002949374222121826</v>
      </c>
      <c r="D688" s="3">
        <f>EXP(0.25*'3b-d Exposures'!G839)</f>
        <v/>
      </c>
      <c r="E688" s="3">
        <f>IF('3b-d Exposures'!C839="",0,'3b-d Exposures'!C839)</f>
        <v/>
      </c>
      <c r="F688" s="3">
        <f>IF('3b-d Exposures'!E839="",0,'3b-d Exposures'!E839)</f>
        <v/>
      </c>
      <c r="G688" s="3">
        <f>IF('3b-d Exposures'!G839="",0,'3b-d Exposures'!G839)</f>
        <v/>
      </c>
      <c r="H688" s="3">
        <f>IF('3b-d Exposures'!I839="",0,'3b-d Exposures'!I839)</f>
        <v/>
      </c>
      <c r="I688" s="3">
        <f>IF('3b-d Exposures'!K839="",0,'3b-d Exposures'!K839)</f>
        <v/>
      </c>
      <c r="J688" s="3">
        <f>IF('3b-d Exposures'!M839="",0,'3b-d Exposures'!M839)</f>
        <v/>
      </c>
      <c r="K688" s="3">
        <f>IF('3b-d Exposures'!O839="",0,'3b-d Exposures'!O839)</f>
        <v/>
      </c>
      <c r="L688" s="3">
        <f>IF('3b-d Exposures'!Q839="",0,'3b-d Exposures'!Q839)</f>
        <v/>
      </c>
      <c r="M688" s="3">
        <f>IF('3b-d Exposures'!S839="",0,'3b-d Exposures'!S839)</f>
        <v/>
      </c>
      <c r="N688" s="3">
        <f>IF('3b-d Exposures'!Z839="",0,'3b-d Exposures'!Z839)</f>
        <v/>
      </c>
      <c r="O688" s="3">
        <f>$D688</f>
        <v/>
      </c>
      <c r="P688" s="3">
        <f>E688*$D688</f>
        <v/>
      </c>
      <c r="Q688" s="3">
        <f>F688*$D688</f>
        <v/>
      </c>
      <c r="R688" s="3">
        <f>G688*$D688</f>
        <v/>
      </c>
      <c r="S688" s="3">
        <f>H688*$D688</f>
        <v/>
      </c>
      <c r="T688" s="3">
        <f>I688*$D688</f>
        <v/>
      </c>
      <c r="U688" s="3">
        <f>J688*$D688</f>
        <v/>
      </c>
      <c r="V688" s="3">
        <f>K688*$D688</f>
        <v/>
      </c>
      <c r="W688" s="3">
        <f>L688*$D688</f>
        <v/>
      </c>
      <c r="X688" s="3">
        <f>M688*$D688</f>
        <v/>
      </c>
      <c r="Y688" s="3">
        <f>N688*$D688</f>
        <v/>
      </c>
      <c r="Z688" s="3">
        <f>C688*$D688</f>
        <v/>
      </c>
      <c r="AA688" s="9">
        <f>$L978+$K978*E688+$J978*F688+$I978*G688+$H978*H688+$G978*I688+$F978*J688+$E978*K688+$D978*L688+$C978*M688+$B978*N688</f>
        <v/>
      </c>
      <c r="AB688" s="9">
        <f>C688-AA688</f>
        <v/>
      </c>
      <c r="AC688" s="4">
        <f>AB688^2</f>
        <v/>
      </c>
    </row>
    <row r="689">
      <c r="A689" t="inlineStr">
        <is>
          <t>BBG000CDZLV8</t>
        </is>
      </c>
      <c r="B689" t="inlineStr">
        <is>
          <t>penn</t>
        </is>
      </c>
      <c r="C689" s="9" t="n">
        <v>0.0347383045252132</v>
      </c>
      <c r="D689" s="3">
        <f>EXP(0.25*'3b-d Exposures'!G840)</f>
        <v/>
      </c>
      <c r="E689" s="3">
        <f>IF('3b-d Exposures'!C840="",0,'3b-d Exposures'!C840)</f>
        <v/>
      </c>
      <c r="F689" s="3">
        <f>IF('3b-d Exposures'!E840="",0,'3b-d Exposures'!E840)</f>
        <v/>
      </c>
      <c r="G689" s="3">
        <f>IF('3b-d Exposures'!G840="",0,'3b-d Exposures'!G840)</f>
        <v/>
      </c>
      <c r="H689" s="3">
        <f>IF('3b-d Exposures'!I840="",0,'3b-d Exposures'!I840)</f>
        <v/>
      </c>
      <c r="I689" s="3">
        <f>IF('3b-d Exposures'!K840="",0,'3b-d Exposures'!K840)</f>
        <v/>
      </c>
      <c r="J689" s="3">
        <f>IF('3b-d Exposures'!M840="",0,'3b-d Exposures'!M840)</f>
        <v/>
      </c>
      <c r="K689" s="3">
        <f>IF('3b-d Exposures'!O840="",0,'3b-d Exposures'!O840)</f>
        <v/>
      </c>
      <c r="L689" s="3">
        <f>IF('3b-d Exposures'!Q840="",0,'3b-d Exposures'!Q840)</f>
        <v/>
      </c>
      <c r="M689" s="3">
        <f>IF('3b-d Exposures'!S840="",0,'3b-d Exposures'!S840)</f>
        <v/>
      </c>
      <c r="N689" s="3">
        <f>IF('3b-d Exposures'!Z840="",0,'3b-d Exposures'!Z840)</f>
        <v/>
      </c>
      <c r="O689" s="3">
        <f>$D689</f>
        <v/>
      </c>
      <c r="P689" s="3">
        <f>E689*$D689</f>
        <v/>
      </c>
      <c r="Q689" s="3">
        <f>F689*$D689</f>
        <v/>
      </c>
      <c r="R689" s="3">
        <f>G689*$D689</f>
        <v/>
      </c>
      <c r="S689" s="3">
        <f>H689*$D689</f>
        <v/>
      </c>
      <c r="T689" s="3">
        <f>I689*$D689</f>
        <v/>
      </c>
      <c r="U689" s="3">
        <f>J689*$D689</f>
        <v/>
      </c>
      <c r="V689" s="3">
        <f>K689*$D689</f>
        <v/>
      </c>
      <c r="W689" s="3">
        <f>L689*$D689</f>
        <v/>
      </c>
      <c r="X689" s="3">
        <f>M689*$D689</f>
        <v/>
      </c>
      <c r="Y689" s="3">
        <f>N689*$D689</f>
        <v/>
      </c>
      <c r="Z689" s="3">
        <f>C689*$D689</f>
        <v/>
      </c>
      <c r="AA689" s="9">
        <f>$L978+$K978*E689+$J978*F689+$I978*G689+$H978*H689+$G978*I689+$F978*J689+$E978*K689+$D978*L689+$C978*M689+$B978*N689</f>
        <v/>
      </c>
      <c r="AB689" s="9">
        <f>C689-AA689</f>
        <v/>
      </c>
      <c r="AC689" s="4">
        <f>AB689^2</f>
        <v/>
      </c>
    </row>
    <row r="690">
      <c r="A690" t="inlineStr">
        <is>
          <t>BBG000DH7JK6</t>
        </is>
      </c>
      <c r="B690" t="inlineStr">
        <is>
          <t>pep</t>
        </is>
      </c>
      <c r="C690" s="9" t="n">
        <v>-0.002447229584375266</v>
      </c>
      <c r="D690" s="3">
        <f>EXP(0.25*'3b-d Exposures'!G841)</f>
        <v/>
      </c>
      <c r="E690" s="3">
        <f>IF('3b-d Exposures'!C841="",0,'3b-d Exposures'!C841)</f>
        <v/>
      </c>
      <c r="F690" s="3">
        <f>IF('3b-d Exposures'!E841="",0,'3b-d Exposures'!E841)</f>
        <v/>
      </c>
      <c r="G690" s="3">
        <f>IF('3b-d Exposures'!G841="",0,'3b-d Exposures'!G841)</f>
        <v/>
      </c>
      <c r="H690" s="3">
        <f>IF('3b-d Exposures'!I841="",0,'3b-d Exposures'!I841)</f>
        <v/>
      </c>
      <c r="I690" s="3">
        <f>IF('3b-d Exposures'!K841="",0,'3b-d Exposures'!K841)</f>
        <v/>
      </c>
      <c r="J690" s="3">
        <f>IF('3b-d Exposures'!M841="",0,'3b-d Exposures'!M841)</f>
        <v/>
      </c>
      <c r="K690" s="3">
        <f>IF('3b-d Exposures'!O841="",0,'3b-d Exposures'!O841)</f>
        <v/>
      </c>
      <c r="L690" s="3">
        <f>IF('3b-d Exposures'!Q841="",0,'3b-d Exposures'!Q841)</f>
        <v/>
      </c>
      <c r="M690" s="3">
        <f>IF('3b-d Exposures'!S841="",0,'3b-d Exposures'!S841)</f>
        <v/>
      </c>
      <c r="N690" s="3">
        <f>IF('3b-d Exposures'!Z841="",0,'3b-d Exposures'!Z841)</f>
        <v/>
      </c>
      <c r="O690" s="3">
        <f>$D690</f>
        <v/>
      </c>
      <c r="P690" s="3">
        <f>E690*$D690</f>
        <v/>
      </c>
      <c r="Q690" s="3">
        <f>F690*$D690</f>
        <v/>
      </c>
      <c r="R690" s="3">
        <f>G690*$D690</f>
        <v/>
      </c>
      <c r="S690" s="3">
        <f>H690*$D690</f>
        <v/>
      </c>
      <c r="T690" s="3">
        <f>I690*$D690</f>
        <v/>
      </c>
      <c r="U690" s="3">
        <f>J690*$D690</f>
        <v/>
      </c>
      <c r="V690" s="3">
        <f>K690*$D690</f>
        <v/>
      </c>
      <c r="W690" s="3">
        <f>L690*$D690</f>
        <v/>
      </c>
      <c r="X690" s="3">
        <f>M690*$D690</f>
        <v/>
      </c>
      <c r="Y690" s="3">
        <f>N690*$D690</f>
        <v/>
      </c>
      <c r="Z690" s="3">
        <f>C690*$D690</f>
        <v/>
      </c>
      <c r="AA690" s="9">
        <f>$L978+$K978*E690+$J978*F690+$I978*G690+$H978*H690+$G978*I690+$F978*J690+$E978*K690+$D978*L690+$C978*M690+$B978*N690</f>
        <v/>
      </c>
      <c r="AB690" s="9">
        <f>C690-AA690</f>
        <v/>
      </c>
      <c r="AC690" s="4">
        <f>AB690^2</f>
        <v/>
      </c>
    </row>
    <row r="691">
      <c r="A691" t="inlineStr">
        <is>
          <t>BBG000BR2B91</t>
        </is>
      </c>
      <c r="B691" t="inlineStr">
        <is>
          <t>pfe</t>
        </is>
      </c>
      <c r="C691" s="9" t="n">
        <v>-0.01487980713974912</v>
      </c>
      <c r="D691" s="3">
        <f>EXP(0.25*'3b-d Exposures'!G842)</f>
        <v/>
      </c>
      <c r="E691" s="3">
        <f>IF('3b-d Exposures'!C842="",0,'3b-d Exposures'!C842)</f>
        <v/>
      </c>
      <c r="F691" s="3">
        <f>IF('3b-d Exposures'!E842="",0,'3b-d Exposures'!E842)</f>
        <v/>
      </c>
      <c r="G691" s="3">
        <f>IF('3b-d Exposures'!G842="",0,'3b-d Exposures'!G842)</f>
        <v/>
      </c>
      <c r="H691" s="3">
        <f>IF('3b-d Exposures'!I842="",0,'3b-d Exposures'!I842)</f>
        <v/>
      </c>
      <c r="I691" s="3">
        <f>IF('3b-d Exposures'!K842="",0,'3b-d Exposures'!K842)</f>
        <v/>
      </c>
      <c r="J691" s="3">
        <f>IF('3b-d Exposures'!M842="",0,'3b-d Exposures'!M842)</f>
        <v/>
      </c>
      <c r="K691" s="3">
        <f>IF('3b-d Exposures'!O842="",0,'3b-d Exposures'!O842)</f>
        <v/>
      </c>
      <c r="L691" s="3">
        <f>IF('3b-d Exposures'!Q842="",0,'3b-d Exposures'!Q842)</f>
        <v/>
      </c>
      <c r="M691" s="3">
        <f>IF('3b-d Exposures'!S842="",0,'3b-d Exposures'!S842)</f>
        <v/>
      </c>
      <c r="N691" s="3">
        <f>IF('3b-d Exposures'!Z842="",0,'3b-d Exposures'!Z842)</f>
        <v/>
      </c>
      <c r="O691" s="3">
        <f>$D691</f>
        <v/>
      </c>
      <c r="P691" s="3">
        <f>E691*$D691</f>
        <v/>
      </c>
      <c r="Q691" s="3">
        <f>F691*$D691</f>
        <v/>
      </c>
      <c r="R691" s="3">
        <f>G691*$D691</f>
        <v/>
      </c>
      <c r="S691" s="3">
        <f>H691*$D691</f>
        <v/>
      </c>
      <c r="T691" s="3">
        <f>I691*$D691</f>
        <v/>
      </c>
      <c r="U691" s="3">
        <f>J691*$D691</f>
        <v/>
      </c>
      <c r="V691" s="3">
        <f>K691*$D691</f>
        <v/>
      </c>
      <c r="W691" s="3">
        <f>L691*$D691</f>
        <v/>
      </c>
      <c r="X691" s="3">
        <f>M691*$D691</f>
        <v/>
      </c>
      <c r="Y691" s="3">
        <f>N691*$D691</f>
        <v/>
      </c>
      <c r="Z691" s="3">
        <f>C691*$D691</f>
        <v/>
      </c>
      <c r="AA691" s="9">
        <f>$L978+$K978*E691+$J978*F691+$I978*G691+$H978*H691+$G978*I691+$F978*J691+$E978*K691+$D978*L691+$C978*M691+$B978*N691</f>
        <v/>
      </c>
      <c r="AB691" s="9">
        <f>C691-AA691</f>
        <v/>
      </c>
      <c r="AC691" s="4">
        <f>AB691^2</f>
        <v/>
      </c>
    </row>
    <row r="692">
      <c r="A692" t="inlineStr">
        <is>
          <t>pfg</t>
        </is>
      </c>
      <c r="B692" t="inlineStr">
        <is>
          <t>pfg</t>
        </is>
      </c>
      <c r="C692" s="9" t="n">
        <v>-0.01088458143480464</v>
      </c>
      <c r="D692" s="3">
        <f>EXP(0.25*'3b-d Exposures'!G843)</f>
        <v/>
      </c>
      <c r="E692" s="3">
        <f>IF('3b-d Exposures'!C843="",0,'3b-d Exposures'!C843)</f>
        <v/>
      </c>
      <c r="F692" s="3">
        <f>IF('3b-d Exposures'!E843="",0,'3b-d Exposures'!E843)</f>
        <v/>
      </c>
      <c r="G692" s="3">
        <f>IF('3b-d Exposures'!G843="",0,'3b-d Exposures'!G843)</f>
        <v/>
      </c>
      <c r="H692" s="3">
        <f>IF('3b-d Exposures'!I843="",0,'3b-d Exposures'!I843)</f>
        <v/>
      </c>
      <c r="I692" s="3">
        <f>IF('3b-d Exposures'!K843="",0,'3b-d Exposures'!K843)</f>
        <v/>
      </c>
      <c r="J692" s="3">
        <f>IF('3b-d Exposures'!M843="",0,'3b-d Exposures'!M843)</f>
        <v/>
      </c>
      <c r="K692" s="3">
        <f>IF('3b-d Exposures'!O843="",0,'3b-d Exposures'!O843)</f>
        <v/>
      </c>
      <c r="L692" s="3">
        <f>IF('3b-d Exposures'!Q843="",0,'3b-d Exposures'!Q843)</f>
        <v/>
      </c>
      <c r="M692" s="3">
        <f>IF('3b-d Exposures'!S843="",0,'3b-d Exposures'!S843)</f>
        <v/>
      </c>
      <c r="N692" s="3">
        <f>IF('3b-d Exposures'!Z843="",0,'3b-d Exposures'!Z843)</f>
        <v/>
      </c>
      <c r="O692" s="3">
        <f>$D692</f>
        <v/>
      </c>
      <c r="P692" s="3">
        <f>E692*$D692</f>
        <v/>
      </c>
      <c r="Q692" s="3">
        <f>F692*$D692</f>
        <v/>
      </c>
      <c r="R692" s="3">
        <f>G692*$D692</f>
        <v/>
      </c>
      <c r="S692" s="3">
        <f>H692*$D692</f>
        <v/>
      </c>
      <c r="T692" s="3">
        <f>I692*$D692</f>
        <v/>
      </c>
      <c r="U692" s="3">
        <f>J692*$D692</f>
        <v/>
      </c>
      <c r="V692" s="3">
        <f>K692*$D692</f>
        <v/>
      </c>
      <c r="W692" s="3">
        <f>L692*$D692</f>
        <v/>
      </c>
      <c r="X692" s="3">
        <f>M692*$D692</f>
        <v/>
      </c>
      <c r="Y692" s="3">
        <f>N692*$D692</f>
        <v/>
      </c>
      <c r="Z692" s="3">
        <f>C692*$D692</f>
        <v/>
      </c>
      <c r="AA692" s="9">
        <f>$L978+$K978*E692+$J978*F692+$I978*G692+$H978*H692+$G978*I692+$F978*J692+$E978*K692+$D978*L692+$C978*M692+$B978*N692</f>
        <v/>
      </c>
      <c r="AB692" s="9">
        <f>C692-AA692</f>
        <v/>
      </c>
      <c r="AC692" s="4">
        <f>AB692^2</f>
        <v/>
      </c>
    </row>
    <row r="693">
      <c r="A693" t="inlineStr">
        <is>
          <t>BBG001LV74X3</t>
        </is>
      </c>
      <c r="B693" t="inlineStr">
        <is>
          <t>pflt</t>
        </is>
      </c>
      <c r="C693" s="9" t="n">
        <v>-0.01523311116135495</v>
      </c>
      <c r="D693" s="3">
        <f>EXP(0.25*'3b-d Exposures'!G844)</f>
        <v/>
      </c>
      <c r="E693" s="3">
        <f>IF('3b-d Exposures'!C844="",0,'3b-d Exposures'!C844)</f>
        <v/>
      </c>
      <c r="F693" s="3">
        <f>IF('3b-d Exposures'!E844="",0,'3b-d Exposures'!E844)</f>
        <v/>
      </c>
      <c r="G693" s="3">
        <f>IF('3b-d Exposures'!G844="",0,'3b-d Exposures'!G844)</f>
        <v/>
      </c>
      <c r="H693" s="3">
        <f>IF('3b-d Exposures'!I844="",0,'3b-d Exposures'!I844)</f>
        <v/>
      </c>
      <c r="I693" s="3">
        <f>IF('3b-d Exposures'!K844="",0,'3b-d Exposures'!K844)</f>
        <v/>
      </c>
      <c r="J693" s="3">
        <f>IF('3b-d Exposures'!M844="",0,'3b-d Exposures'!M844)</f>
        <v/>
      </c>
      <c r="K693" s="3">
        <f>IF('3b-d Exposures'!O844="",0,'3b-d Exposures'!O844)</f>
        <v/>
      </c>
      <c r="L693" s="3">
        <f>IF('3b-d Exposures'!Q844="",0,'3b-d Exposures'!Q844)</f>
        <v/>
      </c>
      <c r="M693" s="3">
        <f>IF('3b-d Exposures'!S844="",0,'3b-d Exposures'!S844)</f>
        <v/>
      </c>
      <c r="N693" s="3">
        <f>IF('3b-d Exposures'!Z844="",0,'3b-d Exposures'!Z844)</f>
        <v/>
      </c>
      <c r="O693" s="3">
        <f>$D693</f>
        <v/>
      </c>
      <c r="P693" s="3">
        <f>E693*$D693</f>
        <v/>
      </c>
      <c r="Q693" s="3">
        <f>F693*$D693</f>
        <v/>
      </c>
      <c r="R693" s="3">
        <f>G693*$D693</f>
        <v/>
      </c>
      <c r="S693" s="3">
        <f>H693*$D693</f>
        <v/>
      </c>
      <c r="T693" s="3">
        <f>I693*$D693</f>
        <v/>
      </c>
      <c r="U693" s="3">
        <f>J693*$D693</f>
        <v/>
      </c>
      <c r="V693" s="3">
        <f>K693*$D693</f>
        <v/>
      </c>
      <c r="W693" s="3">
        <f>L693*$D693</f>
        <v/>
      </c>
      <c r="X693" s="3">
        <f>M693*$D693</f>
        <v/>
      </c>
      <c r="Y693" s="3">
        <f>N693*$D693</f>
        <v/>
      </c>
      <c r="Z693" s="3">
        <f>C693*$D693</f>
        <v/>
      </c>
      <c r="AA693" s="9">
        <f>$L978+$K978*E693+$J978*F693+$I978*G693+$H978*H693+$G978*I693+$F978*J693+$E978*K693+$D978*L693+$C978*M693+$B978*N693</f>
        <v/>
      </c>
      <c r="AB693" s="9">
        <f>C693-AA693</f>
        <v/>
      </c>
      <c r="AC693" s="4">
        <f>AB693^2</f>
        <v/>
      </c>
    </row>
    <row r="694">
      <c r="A694" t="inlineStr">
        <is>
          <t>BBG00LMYX123</t>
        </is>
      </c>
      <c r="B694" t="inlineStr">
        <is>
          <t>pfsi</t>
        </is>
      </c>
      <c r="C694" s="9" t="n">
        <v>-0.004013770199926325</v>
      </c>
      <c r="D694" s="3">
        <f>EXP(0.25*'3b-d Exposures'!G845)</f>
        <v/>
      </c>
      <c r="E694" s="3">
        <f>IF('3b-d Exposures'!C845="",0,'3b-d Exposures'!C845)</f>
        <v/>
      </c>
      <c r="F694" s="3">
        <f>IF('3b-d Exposures'!E845="",0,'3b-d Exposures'!E845)</f>
        <v/>
      </c>
      <c r="G694" s="3">
        <f>IF('3b-d Exposures'!G845="",0,'3b-d Exposures'!G845)</f>
        <v/>
      </c>
      <c r="H694" s="3">
        <f>IF('3b-d Exposures'!I845="",0,'3b-d Exposures'!I845)</f>
        <v/>
      </c>
      <c r="I694" s="3">
        <f>IF('3b-d Exposures'!K845="",0,'3b-d Exposures'!K845)</f>
        <v/>
      </c>
      <c r="J694" s="3">
        <f>IF('3b-d Exposures'!M845="",0,'3b-d Exposures'!M845)</f>
        <v/>
      </c>
      <c r="K694" s="3">
        <f>IF('3b-d Exposures'!O845="",0,'3b-d Exposures'!O845)</f>
        <v/>
      </c>
      <c r="L694" s="3">
        <f>IF('3b-d Exposures'!Q845="",0,'3b-d Exposures'!Q845)</f>
        <v/>
      </c>
      <c r="M694" s="3">
        <f>IF('3b-d Exposures'!S845="",0,'3b-d Exposures'!S845)</f>
        <v/>
      </c>
      <c r="N694" s="3">
        <f>IF('3b-d Exposures'!Z845="",0,'3b-d Exposures'!Z845)</f>
        <v/>
      </c>
      <c r="O694" s="3">
        <f>$D694</f>
        <v/>
      </c>
      <c r="P694" s="3">
        <f>E694*$D694</f>
        <v/>
      </c>
      <c r="Q694" s="3">
        <f>F694*$D694</f>
        <v/>
      </c>
      <c r="R694" s="3">
        <f>G694*$D694</f>
        <v/>
      </c>
      <c r="S694" s="3">
        <f>H694*$D694</f>
        <v/>
      </c>
      <c r="T694" s="3">
        <f>I694*$D694</f>
        <v/>
      </c>
      <c r="U694" s="3">
        <f>J694*$D694</f>
        <v/>
      </c>
      <c r="V694" s="3">
        <f>K694*$D694</f>
        <v/>
      </c>
      <c r="W694" s="3">
        <f>L694*$D694</f>
        <v/>
      </c>
      <c r="X694" s="3">
        <f>M694*$D694</f>
        <v/>
      </c>
      <c r="Y694" s="3">
        <f>N694*$D694</f>
        <v/>
      </c>
      <c r="Z694" s="3">
        <f>C694*$D694</f>
        <v/>
      </c>
      <c r="AA694" s="9">
        <f>$L978+$K978*E694+$J978*F694+$I978*G694+$H978*H694+$G978*I694+$F978*J694+$E978*K694+$D978*L694+$C978*M694+$B978*N694</f>
        <v/>
      </c>
      <c r="AB694" s="9">
        <f>C694-AA694</f>
        <v/>
      </c>
      <c r="AC694" s="4">
        <f>AB694^2</f>
        <v/>
      </c>
    </row>
    <row r="695">
      <c r="A695" t="inlineStr">
        <is>
          <t>BBG000BR37X2</t>
        </is>
      </c>
      <c r="B695" t="inlineStr">
        <is>
          <t>pgr</t>
        </is>
      </c>
      <c r="C695" s="9" t="n">
        <v>-0.01800059005600352</v>
      </c>
      <c r="D695" s="3">
        <f>EXP(0.25*'3b-d Exposures'!G847)</f>
        <v/>
      </c>
      <c r="E695" s="3">
        <f>IF('3b-d Exposures'!C847="",0,'3b-d Exposures'!C847)</f>
        <v/>
      </c>
      <c r="F695" s="3">
        <f>IF('3b-d Exposures'!E847="",0,'3b-d Exposures'!E847)</f>
        <v/>
      </c>
      <c r="G695" s="3">
        <f>IF('3b-d Exposures'!G847="",0,'3b-d Exposures'!G847)</f>
        <v/>
      </c>
      <c r="H695" s="3">
        <f>IF('3b-d Exposures'!I847="",0,'3b-d Exposures'!I847)</f>
        <v/>
      </c>
      <c r="I695" s="3">
        <f>IF('3b-d Exposures'!K847="",0,'3b-d Exposures'!K847)</f>
        <v/>
      </c>
      <c r="J695" s="3">
        <f>IF('3b-d Exposures'!M847="",0,'3b-d Exposures'!M847)</f>
        <v/>
      </c>
      <c r="K695" s="3">
        <f>IF('3b-d Exposures'!O847="",0,'3b-d Exposures'!O847)</f>
        <v/>
      </c>
      <c r="L695" s="3">
        <f>IF('3b-d Exposures'!Q847="",0,'3b-d Exposures'!Q847)</f>
        <v/>
      </c>
      <c r="M695" s="3">
        <f>IF('3b-d Exposures'!S847="",0,'3b-d Exposures'!S847)</f>
        <v/>
      </c>
      <c r="N695" s="3">
        <f>IF('3b-d Exposures'!Z847="",0,'3b-d Exposures'!Z847)</f>
        <v/>
      </c>
      <c r="O695" s="3">
        <f>$D695</f>
        <v/>
      </c>
      <c r="P695" s="3">
        <f>E695*$D695</f>
        <v/>
      </c>
      <c r="Q695" s="3">
        <f>F695*$D695</f>
        <v/>
      </c>
      <c r="R695" s="3">
        <f>G695*$D695</f>
        <v/>
      </c>
      <c r="S695" s="3">
        <f>H695*$D695</f>
        <v/>
      </c>
      <c r="T695" s="3">
        <f>I695*$D695</f>
        <v/>
      </c>
      <c r="U695" s="3">
        <f>J695*$D695</f>
        <v/>
      </c>
      <c r="V695" s="3">
        <f>K695*$D695</f>
        <v/>
      </c>
      <c r="W695" s="3">
        <f>L695*$D695</f>
        <v/>
      </c>
      <c r="X695" s="3">
        <f>M695*$D695</f>
        <v/>
      </c>
      <c r="Y695" s="3">
        <f>N695*$D695</f>
        <v/>
      </c>
      <c r="Z695" s="3">
        <f>C695*$D695</f>
        <v/>
      </c>
      <c r="AA695" s="9">
        <f>$L978+$K978*E695+$J978*F695+$I978*G695+$H978*H695+$G978*I695+$F978*J695+$E978*K695+$D978*L695+$C978*M695+$B978*N695</f>
        <v/>
      </c>
      <c r="AB695" s="9">
        <f>C695-AA695</f>
        <v/>
      </c>
      <c r="AC695" s="4">
        <f>AB695^2</f>
        <v/>
      </c>
    </row>
    <row r="696">
      <c r="A696" t="inlineStr">
        <is>
          <t>ph</t>
        </is>
      </c>
      <c r="B696" t="inlineStr">
        <is>
          <t>ph</t>
        </is>
      </c>
      <c r="C696" s="9" t="n">
        <v>-0.003143978545934178</v>
      </c>
      <c r="D696" s="3">
        <f>EXP(0.25*'3b-d Exposures'!G848)</f>
        <v/>
      </c>
      <c r="E696" s="3">
        <f>IF('3b-d Exposures'!C848="",0,'3b-d Exposures'!C848)</f>
        <v/>
      </c>
      <c r="F696" s="3">
        <f>IF('3b-d Exposures'!E848="",0,'3b-d Exposures'!E848)</f>
        <v/>
      </c>
      <c r="G696" s="3">
        <f>IF('3b-d Exposures'!G848="",0,'3b-d Exposures'!G848)</f>
        <v/>
      </c>
      <c r="H696" s="3">
        <f>IF('3b-d Exposures'!I848="",0,'3b-d Exposures'!I848)</f>
        <v/>
      </c>
      <c r="I696" s="3">
        <f>IF('3b-d Exposures'!K848="",0,'3b-d Exposures'!K848)</f>
        <v/>
      </c>
      <c r="J696" s="3">
        <f>IF('3b-d Exposures'!M848="",0,'3b-d Exposures'!M848)</f>
        <v/>
      </c>
      <c r="K696" s="3">
        <f>IF('3b-d Exposures'!O848="",0,'3b-d Exposures'!O848)</f>
        <v/>
      </c>
      <c r="L696" s="3">
        <f>IF('3b-d Exposures'!Q848="",0,'3b-d Exposures'!Q848)</f>
        <v/>
      </c>
      <c r="M696" s="3">
        <f>IF('3b-d Exposures'!S848="",0,'3b-d Exposures'!S848)</f>
        <v/>
      </c>
      <c r="N696" s="3">
        <f>IF('3b-d Exposures'!Z848="",0,'3b-d Exposures'!Z848)</f>
        <v/>
      </c>
      <c r="O696" s="3">
        <f>$D696</f>
        <v/>
      </c>
      <c r="P696" s="3">
        <f>E696*$D696</f>
        <v/>
      </c>
      <c r="Q696" s="3">
        <f>F696*$D696</f>
        <v/>
      </c>
      <c r="R696" s="3">
        <f>G696*$D696</f>
        <v/>
      </c>
      <c r="S696" s="3">
        <f>H696*$D696</f>
        <v/>
      </c>
      <c r="T696" s="3">
        <f>I696*$D696</f>
        <v/>
      </c>
      <c r="U696" s="3">
        <f>J696*$D696</f>
        <v/>
      </c>
      <c r="V696" s="3">
        <f>K696*$D696</f>
        <v/>
      </c>
      <c r="W696" s="3">
        <f>L696*$D696</f>
        <v/>
      </c>
      <c r="X696" s="3">
        <f>M696*$D696</f>
        <v/>
      </c>
      <c r="Y696" s="3">
        <f>N696*$D696</f>
        <v/>
      </c>
      <c r="Z696" s="3">
        <f>C696*$D696</f>
        <v/>
      </c>
      <c r="AA696" s="9">
        <f>$L978+$K978*E696+$J978*F696+$I978*G696+$H978*H696+$G978*I696+$F978*J696+$E978*K696+$D978*L696+$C978*M696+$B978*N696</f>
        <v/>
      </c>
      <c r="AB696" s="9">
        <f>C696-AA696</f>
        <v/>
      </c>
      <c r="AC696" s="4">
        <f>AB696^2</f>
        <v/>
      </c>
    </row>
    <row r="697">
      <c r="A697" t="inlineStr">
        <is>
          <t>BBG000BR54L0</t>
        </is>
      </c>
      <c r="B697" t="inlineStr">
        <is>
          <t>phm</t>
        </is>
      </c>
      <c r="C697" s="9" t="n">
        <v>-0.0009611222126428842</v>
      </c>
      <c r="D697" s="3">
        <f>EXP(0.25*'3b-d Exposures'!G849)</f>
        <v/>
      </c>
      <c r="E697" s="3">
        <f>IF('3b-d Exposures'!C849="",0,'3b-d Exposures'!C849)</f>
        <v/>
      </c>
      <c r="F697" s="3">
        <f>IF('3b-d Exposures'!E849="",0,'3b-d Exposures'!E849)</f>
        <v/>
      </c>
      <c r="G697" s="3">
        <f>IF('3b-d Exposures'!G849="",0,'3b-d Exposures'!G849)</f>
        <v/>
      </c>
      <c r="H697" s="3">
        <f>IF('3b-d Exposures'!I849="",0,'3b-d Exposures'!I849)</f>
        <v/>
      </c>
      <c r="I697" s="3">
        <f>IF('3b-d Exposures'!K849="",0,'3b-d Exposures'!K849)</f>
        <v/>
      </c>
      <c r="J697" s="3">
        <f>IF('3b-d Exposures'!M849="",0,'3b-d Exposures'!M849)</f>
        <v/>
      </c>
      <c r="K697" s="3">
        <f>IF('3b-d Exposures'!O849="",0,'3b-d Exposures'!O849)</f>
        <v/>
      </c>
      <c r="L697" s="3">
        <f>IF('3b-d Exposures'!Q849="",0,'3b-d Exposures'!Q849)</f>
        <v/>
      </c>
      <c r="M697" s="3">
        <f>IF('3b-d Exposures'!S849="",0,'3b-d Exposures'!S849)</f>
        <v/>
      </c>
      <c r="N697" s="3">
        <f>IF('3b-d Exposures'!Z849="",0,'3b-d Exposures'!Z849)</f>
        <v/>
      </c>
      <c r="O697" s="3">
        <f>$D697</f>
        <v/>
      </c>
      <c r="P697" s="3">
        <f>E697*$D697</f>
        <v/>
      </c>
      <c r="Q697" s="3">
        <f>F697*$D697</f>
        <v/>
      </c>
      <c r="R697" s="3">
        <f>G697*$D697</f>
        <v/>
      </c>
      <c r="S697" s="3">
        <f>H697*$D697</f>
        <v/>
      </c>
      <c r="T697" s="3">
        <f>I697*$D697</f>
        <v/>
      </c>
      <c r="U697" s="3">
        <f>J697*$D697</f>
        <v/>
      </c>
      <c r="V697" s="3">
        <f>K697*$D697</f>
        <v/>
      </c>
      <c r="W697" s="3">
        <f>L697*$D697</f>
        <v/>
      </c>
      <c r="X697" s="3">
        <f>M697*$D697</f>
        <v/>
      </c>
      <c r="Y697" s="3">
        <f>N697*$D697</f>
        <v/>
      </c>
      <c r="Z697" s="3">
        <f>C697*$D697</f>
        <v/>
      </c>
      <c r="AA697" s="9">
        <f>$L978+$K978*E697+$J978*F697+$I978*G697+$H978*H697+$G978*I697+$F978*J697+$E978*K697+$D978*L697+$C978*M697+$B978*N697</f>
        <v/>
      </c>
      <c r="AB697" s="9">
        <f>C697-AA697</f>
        <v/>
      </c>
      <c r="AC697" s="4">
        <f>AB697^2</f>
        <v/>
      </c>
    </row>
    <row r="698">
      <c r="A698" t="inlineStr">
        <is>
          <t>BBG000GRK2Z7</t>
        </is>
      </c>
      <c r="B698" t="inlineStr">
        <is>
          <t>pi</t>
        </is>
      </c>
      <c r="C698" s="9" t="n">
        <v>-0.02424433431838169</v>
      </c>
      <c r="D698" s="3">
        <f>EXP(0.25*'3b-d Exposures'!G850)</f>
        <v/>
      </c>
      <c r="E698" s="3">
        <f>IF('3b-d Exposures'!C850="",0,'3b-d Exposures'!C850)</f>
        <v/>
      </c>
      <c r="F698" s="3">
        <f>IF('3b-d Exposures'!E850="",0,'3b-d Exposures'!E850)</f>
        <v/>
      </c>
      <c r="G698" s="3">
        <f>IF('3b-d Exposures'!G850="",0,'3b-d Exposures'!G850)</f>
        <v/>
      </c>
      <c r="H698" s="3">
        <f>IF('3b-d Exposures'!I850="",0,'3b-d Exposures'!I850)</f>
        <v/>
      </c>
      <c r="I698" s="3">
        <f>IF('3b-d Exposures'!K850="",0,'3b-d Exposures'!K850)</f>
        <v/>
      </c>
      <c r="J698" s="3">
        <f>IF('3b-d Exposures'!M850="",0,'3b-d Exposures'!M850)</f>
        <v/>
      </c>
      <c r="K698" s="3">
        <f>IF('3b-d Exposures'!O850="",0,'3b-d Exposures'!O850)</f>
        <v/>
      </c>
      <c r="L698" s="3">
        <f>IF('3b-d Exposures'!Q850="",0,'3b-d Exposures'!Q850)</f>
        <v/>
      </c>
      <c r="M698" s="3">
        <f>IF('3b-d Exposures'!S850="",0,'3b-d Exposures'!S850)</f>
        <v/>
      </c>
      <c r="N698" s="3">
        <f>IF('3b-d Exposures'!Z850="",0,'3b-d Exposures'!Z850)</f>
        <v/>
      </c>
      <c r="O698" s="3">
        <f>$D698</f>
        <v/>
      </c>
      <c r="P698" s="3">
        <f>E698*$D698</f>
        <v/>
      </c>
      <c r="Q698" s="3">
        <f>F698*$D698</f>
        <v/>
      </c>
      <c r="R698" s="3">
        <f>G698*$D698</f>
        <v/>
      </c>
      <c r="S698" s="3">
        <f>H698*$D698</f>
        <v/>
      </c>
      <c r="T698" s="3">
        <f>I698*$D698</f>
        <v/>
      </c>
      <c r="U698" s="3">
        <f>J698*$D698</f>
        <v/>
      </c>
      <c r="V698" s="3">
        <f>K698*$D698</f>
        <v/>
      </c>
      <c r="W698" s="3">
        <f>L698*$D698</f>
        <v/>
      </c>
      <c r="X698" s="3">
        <f>M698*$D698</f>
        <v/>
      </c>
      <c r="Y698" s="3">
        <f>N698*$D698</f>
        <v/>
      </c>
      <c r="Z698" s="3">
        <f>C698*$D698</f>
        <v/>
      </c>
      <c r="AA698" s="9">
        <f>$L978+$K978*E698+$J978*F698+$I978*G698+$H978*H698+$G978*I698+$F978*J698+$E978*K698+$D978*L698+$C978*M698+$B978*N698</f>
        <v/>
      </c>
      <c r="AB698" s="9">
        <f>C698-AA698</f>
        <v/>
      </c>
      <c r="AC698" s="4">
        <f>AB698^2</f>
        <v/>
      </c>
    </row>
    <row r="699">
      <c r="A699" t="inlineStr">
        <is>
          <t>BBG000D5S4M0</t>
        </is>
      </c>
      <c r="B699" t="inlineStr">
        <is>
          <t>pii</t>
        </is>
      </c>
      <c r="C699" s="9" t="n">
        <v>-0.007169957734460164</v>
      </c>
      <c r="D699" s="3">
        <f>EXP(0.25*'3b-d Exposures'!G851)</f>
        <v/>
      </c>
      <c r="E699" s="3">
        <f>IF('3b-d Exposures'!C851="",0,'3b-d Exposures'!C851)</f>
        <v/>
      </c>
      <c r="F699" s="3">
        <f>IF('3b-d Exposures'!E851="",0,'3b-d Exposures'!E851)</f>
        <v/>
      </c>
      <c r="G699" s="3">
        <f>IF('3b-d Exposures'!G851="",0,'3b-d Exposures'!G851)</f>
        <v/>
      </c>
      <c r="H699" s="3">
        <f>IF('3b-d Exposures'!I851="",0,'3b-d Exposures'!I851)</f>
        <v/>
      </c>
      <c r="I699" s="3">
        <f>IF('3b-d Exposures'!K851="",0,'3b-d Exposures'!K851)</f>
        <v/>
      </c>
      <c r="J699" s="3">
        <f>IF('3b-d Exposures'!M851="",0,'3b-d Exposures'!M851)</f>
        <v/>
      </c>
      <c r="K699" s="3">
        <f>IF('3b-d Exposures'!O851="",0,'3b-d Exposures'!O851)</f>
        <v/>
      </c>
      <c r="L699" s="3">
        <f>IF('3b-d Exposures'!Q851="",0,'3b-d Exposures'!Q851)</f>
        <v/>
      </c>
      <c r="M699" s="3">
        <f>IF('3b-d Exposures'!S851="",0,'3b-d Exposures'!S851)</f>
        <v/>
      </c>
      <c r="N699" s="3">
        <f>IF('3b-d Exposures'!Z851="",0,'3b-d Exposures'!Z851)</f>
        <v/>
      </c>
      <c r="O699" s="3">
        <f>$D699</f>
        <v/>
      </c>
      <c r="P699" s="3">
        <f>E699*$D699</f>
        <v/>
      </c>
      <c r="Q699" s="3">
        <f>F699*$D699</f>
        <v/>
      </c>
      <c r="R699" s="3">
        <f>G699*$D699</f>
        <v/>
      </c>
      <c r="S699" s="3">
        <f>H699*$D699</f>
        <v/>
      </c>
      <c r="T699" s="3">
        <f>I699*$D699</f>
        <v/>
      </c>
      <c r="U699" s="3">
        <f>J699*$D699</f>
        <v/>
      </c>
      <c r="V699" s="3">
        <f>K699*$D699</f>
        <v/>
      </c>
      <c r="W699" s="3">
        <f>L699*$D699</f>
        <v/>
      </c>
      <c r="X699" s="3">
        <f>M699*$D699</f>
        <v/>
      </c>
      <c r="Y699" s="3">
        <f>N699*$D699</f>
        <v/>
      </c>
      <c r="Z699" s="3">
        <f>C699*$D699</f>
        <v/>
      </c>
      <c r="AA699" s="9">
        <f>$L978+$K978*E699+$J978*F699+$I978*G699+$H978*H699+$G978*I699+$F978*J699+$E978*K699+$D978*L699+$C978*M699+$B978*N699</f>
        <v/>
      </c>
      <c r="AB699" s="9">
        <f>C699-AA699</f>
        <v/>
      </c>
      <c r="AC699" s="4">
        <f>AB699^2</f>
        <v/>
      </c>
    </row>
    <row r="700">
      <c r="A700" t="inlineStr">
        <is>
          <t>BBG0079T1PZ6</t>
        </is>
      </c>
      <c r="B700" t="inlineStr">
        <is>
          <t>pjt</t>
        </is>
      </c>
      <c r="C700" s="9" t="n">
        <v>-0.01236861652319643</v>
      </c>
      <c r="D700" s="3">
        <f>EXP(0.25*'3b-d Exposures'!G852)</f>
        <v/>
      </c>
      <c r="E700" s="3">
        <f>IF('3b-d Exposures'!C852="",0,'3b-d Exposures'!C852)</f>
        <v/>
      </c>
      <c r="F700" s="3">
        <f>IF('3b-d Exposures'!E852="",0,'3b-d Exposures'!E852)</f>
        <v/>
      </c>
      <c r="G700" s="3">
        <f>IF('3b-d Exposures'!G852="",0,'3b-d Exposures'!G852)</f>
        <v/>
      </c>
      <c r="H700" s="3">
        <f>IF('3b-d Exposures'!I852="",0,'3b-d Exposures'!I852)</f>
        <v/>
      </c>
      <c r="I700" s="3">
        <f>IF('3b-d Exposures'!K852="",0,'3b-d Exposures'!K852)</f>
        <v/>
      </c>
      <c r="J700" s="3">
        <f>IF('3b-d Exposures'!M852="",0,'3b-d Exposures'!M852)</f>
        <v/>
      </c>
      <c r="K700" s="3">
        <f>IF('3b-d Exposures'!O852="",0,'3b-d Exposures'!O852)</f>
        <v/>
      </c>
      <c r="L700" s="3">
        <f>IF('3b-d Exposures'!Q852="",0,'3b-d Exposures'!Q852)</f>
        <v/>
      </c>
      <c r="M700" s="3">
        <f>IF('3b-d Exposures'!S852="",0,'3b-d Exposures'!S852)</f>
        <v/>
      </c>
      <c r="N700" s="3">
        <f>IF('3b-d Exposures'!Z852="",0,'3b-d Exposures'!Z852)</f>
        <v/>
      </c>
      <c r="O700" s="3">
        <f>$D700</f>
        <v/>
      </c>
      <c r="P700" s="3">
        <f>E700*$D700</f>
        <v/>
      </c>
      <c r="Q700" s="3">
        <f>F700*$D700</f>
        <v/>
      </c>
      <c r="R700" s="3">
        <f>G700*$D700</f>
        <v/>
      </c>
      <c r="S700" s="3">
        <f>H700*$D700</f>
        <v/>
      </c>
      <c r="T700" s="3">
        <f>I700*$D700</f>
        <v/>
      </c>
      <c r="U700" s="3">
        <f>J700*$D700</f>
        <v/>
      </c>
      <c r="V700" s="3">
        <f>K700*$D700</f>
        <v/>
      </c>
      <c r="W700" s="3">
        <f>L700*$D700</f>
        <v/>
      </c>
      <c r="X700" s="3">
        <f>M700*$D700</f>
        <v/>
      </c>
      <c r="Y700" s="3">
        <f>N700*$D700</f>
        <v/>
      </c>
      <c r="Z700" s="3">
        <f>C700*$D700</f>
        <v/>
      </c>
      <c r="AA700" s="9">
        <f>$L978+$K978*E700+$J978*F700+$I978*G700+$H978*H700+$G978*I700+$F978*J700+$E978*K700+$D978*L700+$C978*M700+$B978*N700</f>
        <v/>
      </c>
      <c r="AB700" s="9">
        <f>C700-AA700</f>
        <v/>
      </c>
      <c r="AC700" s="4">
        <f>AB700^2</f>
        <v/>
      </c>
    </row>
    <row r="701">
      <c r="A701" t="inlineStr">
        <is>
          <t>BBG00FGXCJX5</t>
        </is>
      </c>
      <c r="B701" t="inlineStr">
        <is>
          <t>pk</t>
        </is>
      </c>
      <c r="C701" s="9" t="n">
        <v>-0.01093244231798085</v>
      </c>
      <c r="D701" s="3">
        <f>EXP(0.25*'3b-d Exposures'!G853)</f>
        <v/>
      </c>
      <c r="E701" s="3">
        <f>IF('3b-d Exposures'!C853="",0,'3b-d Exposures'!C853)</f>
        <v/>
      </c>
      <c r="F701" s="3">
        <f>IF('3b-d Exposures'!E853="",0,'3b-d Exposures'!E853)</f>
        <v/>
      </c>
      <c r="G701" s="3">
        <f>IF('3b-d Exposures'!G853="",0,'3b-d Exposures'!G853)</f>
        <v/>
      </c>
      <c r="H701" s="3">
        <f>IF('3b-d Exposures'!I853="",0,'3b-d Exposures'!I853)</f>
        <v/>
      </c>
      <c r="I701" s="3">
        <f>IF('3b-d Exposures'!K853="",0,'3b-d Exposures'!K853)</f>
        <v/>
      </c>
      <c r="J701" s="3">
        <f>IF('3b-d Exposures'!M853="",0,'3b-d Exposures'!M853)</f>
        <v/>
      </c>
      <c r="K701" s="3">
        <f>IF('3b-d Exposures'!O853="",0,'3b-d Exposures'!O853)</f>
        <v/>
      </c>
      <c r="L701" s="3">
        <f>IF('3b-d Exposures'!Q853="",0,'3b-d Exposures'!Q853)</f>
        <v/>
      </c>
      <c r="M701" s="3">
        <f>IF('3b-d Exposures'!S853="",0,'3b-d Exposures'!S853)</f>
        <v/>
      </c>
      <c r="N701" s="3">
        <f>IF('3b-d Exposures'!Z853="",0,'3b-d Exposures'!Z853)</f>
        <v/>
      </c>
      <c r="O701" s="3">
        <f>$D701</f>
        <v/>
      </c>
      <c r="P701" s="3">
        <f>E701*$D701</f>
        <v/>
      </c>
      <c r="Q701" s="3">
        <f>F701*$D701</f>
        <v/>
      </c>
      <c r="R701" s="3">
        <f>G701*$D701</f>
        <v/>
      </c>
      <c r="S701" s="3">
        <f>H701*$D701</f>
        <v/>
      </c>
      <c r="T701" s="3">
        <f>I701*$D701</f>
        <v/>
      </c>
      <c r="U701" s="3">
        <f>J701*$D701</f>
        <v/>
      </c>
      <c r="V701" s="3">
        <f>K701*$D701</f>
        <v/>
      </c>
      <c r="W701" s="3">
        <f>L701*$D701</f>
        <v/>
      </c>
      <c r="X701" s="3">
        <f>M701*$D701</f>
        <v/>
      </c>
      <c r="Y701" s="3">
        <f>N701*$D701</f>
        <v/>
      </c>
      <c r="Z701" s="3">
        <f>C701*$D701</f>
        <v/>
      </c>
      <c r="AA701" s="9">
        <f>$L978+$K978*E701+$J978*F701+$I978*G701+$H978*H701+$G978*I701+$F978*J701+$E978*K701+$D978*L701+$C978*M701+$B978*N701</f>
        <v/>
      </c>
      <c r="AB701" s="9">
        <f>C701-AA701</f>
        <v/>
      </c>
      <c r="AC701" s="4">
        <f>AB701^2</f>
        <v/>
      </c>
    </row>
    <row r="702">
      <c r="A702" t="inlineStr">
        <is>
          <t>BBG000BB8SW7</t>
        </is>
      </c>
      <c r="B702" t="inlineStr">
        <is>
          <t>pkg</t>
        </is>
      </c>
      <c r="C702" s="9" t="n">
        <v>-0.01627494180868705</v>
      </c>
      <c r="D702" s="3">
        <f>EXP(0.25*'3b-d Exposures'!G854)</f>
        <v/>
      </c>
      <c r="E702" s="3">
        <f>IF('3b-d Exposures'!C854="",0,'3b-d Exposures'!C854)</f>
        <v/>
      </c>
      <c r="F702" s="3">
        <f>IF('3b-d Exposures'!E854="",0,'3b-d Exposures'!E854)</f>
        <v/>
      </c>
      <c r="G702" s="3">
        <f>IF('3b-d Exposures'!G854="",0,'3b-d Exposures'!G854)</f>
        <v/>
      </c>
      <c r="H702" s="3">
        <f>IF('3b-d Exposures'!I854="",0,'3b-d Exposures'!I854)</f>
        <v/>
      </c>
      <c r="I702" s="3">
        <f>IF('3b-d Exposures'!K854="",0,'3b-d Exposures'!K854)</f>
        <v/>
      </c>
      <c r="J702" s="3">
        <f>IF('3b-d Exposures'!M854="",0,'3b-d Exposures'!M854)</f>
        <v/>
      </c>
      <c r="K702" s="3">
        <f>IF('3b-d Exposures'!O854="",0,'3b-d Exposures'!O854)</f>
        <v/>
      </c>
      <c r="L702" s="3">
        <f>IF('3b-d Exposures'!Q854="",0,'3b-d Exposures'!Q854)</f>
        <v/>
      </c>
      <c r="M702" s="3">
        <f>IF('3b-d Exposures'!S854="",0,'3b-d Exposures'!S854)</f>
        <v/>
      </c>
      <c r="N702" s="3">
        <f>IF('3b-d Exposures'!Z854="",0,'3b-d Exposures'!Z854)</f>
        <v/>
      </c>
      <c r="O702" s="3">
        <f>$D702</f>
        <v/>
      </c>
      <c r="P702" s="3">
        <f>E702*$D702</f>
        <v/>
      </c>
      <c r="Q702" s="3">
        <f>F702*$D702</f>
        <v/>
      </c>
      <c r="R702" s="3">
        <f>G702*$D702</f>
        <v/>
      </c>
      <c r="S702" s="3">
        <f>H702*$D702</f>
        <v/>
      </c>
      <c r="T702" s="3">
        <f>I702*$D702</f>
        <v/>
      </c>
      <c r="U702" s="3">
        <f>J702*$D702</f>
        <v/>
      </c>
      <c r="V702" s="3">
        <f>K702*$D702</f>
        <v/>
      </c>
      <c r="W702" s="3">
        <f>L702*$D702</f>
        <v/>
      </c>
      <c r="X702" s="3">
        <f>M702*$D702</f>
        <v/>
      </c>
      <c r="Y702" s="3">
        <f>N702*$D702</f>
        <v/>
      </c>
      <c r="Z702" s="3">
        <f>C702*$D702</f>
        <v/>
      </c>
      <c r="AA702" s="9">
        <f>$L978+$K978*E702+$J978*F702+$I978*G702+$H978*H702+$G978*I702+$F978*J702+$E978*K702+$D978*L702+$C978*M702+$B978*N702</f>
        <v/>
      </c>
      <c r="AB702" s="9">
        <f>C702-AA702</f>
        <v/>
      </c>
      <c r="AC702" s="4">
        <f>AB702^2</f>
        <v/>
      </c>
    </row>
    <row r="703">
      <c r="A703" t="inlineStr">
        <is>
          <t>BBG000BR9JS6</t>
        </is>
      </c>
      <c r="B703" t="inlineStr">
        <is>
          <t>plab</t>
        </is>
      </c>
      <c r="C703" s="9" t="n">
        <v>0.01726215607425852</v>
      </c>
      <c r="D703" s="3">
        <f>EXP(0.25*'3b-d Exposures'!G855)</f>
        <v/>
      </c>
      <c r="E703" s="3">
        <f>IF('3b-d Exposures'!C855="",0,'3b-d Exposures'!C855)</f>
        <v/>
      </c>
      <c r="F703" s="3">
        <f>IF('3b-d Exposures'!E855="",0,'3b-d Exposures'!E855)</f>
        <v/>
      </c>
      <c r="G703" s="3">
        <f>IF('3b-d Exposures'!G855="",0,'3b-d Exposures'!G855)</f>
        <v/>
      </c>
      <c r="H703" s="3">
        <f>IF('3b-d Exposures'!I855="",0,'3b-d Exposures'!I855)</f>
        <v/>
      </c>
      <c r="I703" s="3">
        <f>IF('3b-d Exposures'!K855="",0,'3b-d Exposures'!K855)</f>
        <v/>
      </c>
      <c r="J703" s="3">
        <f>IF('3b-d Exposures'!M855="",0,'3b-d Exposures'!M855)</f>
        <v/>
      </c>
      <c r="K703" s="3">
        <f>IF('3b-d Exposures'!O855="",0,'3b-d Exposures'!O855)</f>
        <v/>
      </c>
      <c r="L703" s="3">
        <f>IF('3b-d Exposures'!Q855="",0,'3b-d Exposures'!Q855)</f>
        <v/>
      </c>
      <c r="M703" s="3">
        <f>IF('3b-d Exposures'!S855="",0,'3b-d Exposures'!S855)</f>
        <v/>
      </c>
      <c r="N703" s="3">
        <f>IF('3b-d Exposures'!Z855="",0,'3b-d Exposures'!Z855)</f>
        <v/>
      </c>
      <c r="O703" s="3">
        <f>$D703</f>
        <v/>
      </c>
      <c r="P703" s="3">
        <f>E703*$D703</f>
        <v/>
      </c>
      <c r="Q703" s="3">
        <f>F703*$D703</f>
        <v/>
      </c>
      <c r="R703" s="3">
        <f>G703*$D703</f>
        <v/>
      </c>
      <c r="S703" s="3">
        <f>H703*$D703</f>
        <v/>
      </c>
      <c r="T703" s="3">
        <f>I703*$D703</f>
        <v/>
      </c>
      <c r="U703" s="3">
        <f>J703*$D703</f>
        <v/>
      </c>
      <c r="V703" s="3">
        <f>K703*$D703</f>
        <v/>
      </c>
      <c r="W703" s="3">
        <f>L703*$D703</f>
        <v/>
      </c>
      <c r="X703" s="3">
        <f>M703*$D703</f>
        <v/>
      </c>
      <c r="Y703" s="3">
        <f>N703*$D703</f>
        <v/>
      </c>
      <c r="Z703" s="3">
        <f>C703*$D703</f>
        <v/>
      </c>
      <c r="AA703" s="9">
        <f>$L978+$K978*E703+$J978*F703+$I978*G703+$H978*H703+$G978*I703+$F978*J703+$E978*K703+$D978*L703+$C978*M703+$B978*N703</f>
        <v/>
      </c>
      <c r="AB703" s="9">
        <f>C703-AA703</f>
        <v/>
      </c>
      <c r="AC703" s="4">
        <f>AB703^2</f>
        <v/>
      </c>
    </row>
    <row r="704">
      <c r="A704" t="inlineStr">
        <is>
          <t>BBG001WWJTK5</t>
        </is>
      </c>
      <c r="B704" t="inlineStr">
        <is>
          <t>play</t>
        </is>
      </c>
      <c r="C704" s="9" t="n">
        <v>-0.008138344285550492</v>
      </c>
      <c r="D704" s="3">
        <f>EXP(0.25*'3b-d Exposures'!G856)</f>
        <v/>
      </c>
      <c r="E704" s="3">
        <f>IF('3b-d Exposures'!C856="",0,'3b-d Exposures'!C856)</f>
        <v/>
      </c>
      <c r="F704" s="3">
        <f>IF('3b-d Exposures'!E856="",0,'3b-d Exposures'!E856)</f>
        <v/>
      </c>
      <c r="G704" s="3">
        <f>IF('3b-d Exposures'!G856="",0,'3b-d Exposures'!G856)</f>
        <v/>
      </c>
      <c r="H704" s="3">
        <f>IF('3b-d Exposures'!I856="",0,'3b-d Exposures'!I856)</f>
        <v/>
      </c>
      <c r="I704" s="3">
        <f>IF('3b-d Exposures'!K856="",0,'3b-d Exposures'!K856)</f>
        <v/>
      </c>
      <c r="J704" s="3">
        <f>IF('3b-d Exposures'!M856="",0,'3b-d Exposures'!M856)</f>
        <v/>
      </c>
      <c r="K704" s="3">
        <f>IF('3b-d Exposures'!O856="",0,'3b-d Exposures'!O856)</f>
        <v/>
      </c>
      <c r="L704" s="3">
        <f>IF('3b-d Exposures'!Q856="",0,'3b-d Exposures'!Q856)</f>
        <v/>
      </c>
      <c r="M704" s="3">
        <f>IF('3b-d Exposures'!S856="",0,'3b-d Exposures'!S856)</f>
        <v/>
      </c>
      <c r="N704" s="3">
        <f>IF('3b-d Exposures'!Z856="",0,'3b-d Exposures'!Z856)</f>
        <v/>
      </c>
      <c r="O704" s="3">
        <f>$D704</f>
        <v/>
      </c>
      <c r="P704" s="3">
        <f>E704*$D704</f>
        <v/>
      </c>
      <c r="Q704" s="3">
        <f>F704*$D704</f>
        <v/>
      </c>
      <c r="R704" s="3">
        <f>G704*$D704</f>
        <v/>
      </c>
      <c r="S704" s="3">
        <f>H704*$D704</f>
        <v/>
      </c>
      <c r="T704" s="3">
        <f>I704*$D704</f>
        <v/>
      </c>
      <c r="U704" s="3">
        <f>J704*$D704</f>
        <v/>
      </c>
      <c r="V704" s="3">
        <f>K704*$D704</f>
        <v/>
      </c>
      <c r="W704" s="3">
        <f>L704*$D704</f>
        <v/>
      </c>
      <c r="X704" s="3">
        <f>M704*$D704</f>
        <v/>
      </c>
      <c r="Y704" s="3">
        <f>N704*$D704</f>
        <v/>
      </c>
      <c r="Z704" s="3">
        <f>C704*$D704</f>
        <v/>
      </c>
      <c r="AA704" s="9">
        <f>$L978+$K978*E704+$J978*F704+$I978*G704+$H978*H704+$G978*I704+$F978*J704+$E978*K704+$D978*L704+$C978*M704+$B978*N704</f>
        <v/>
      </c>
      <c r="AB704" s="9">
        <f>C704-AA704</f>
        <v/>
      </c>
      <c r="AC704" s="4">
        <f>AB704^2</f>
        <v/>
      </c>
    </row>
    <row r="705">
      <c r="A705" t="inlineStr">
        <is>
          <t>pld</t>
        </is>
      </c>
      <c r="B705" t="inlineStr">
        <is>
          <t>pld</t>
        </is>
      </c>
      <c r="C705" s="9" t="n">
        <v>-0.008049347998065115</v>
      </c>
      <c r="D705" s="3">
        <f>EXP(0.25*'3b-d Exposures'!G857)</f>
        <v/>
      </c>
      <c r="E705" s="3">
        <f>IF('3b-d Exposures'!C857="",0,'3b-d Exposures'!C857)</f>
        <v/>
      </c>
      <c r="F705" s="3">
        <f>IF('3b-d Exposures'!E857="",0,'3b-d Exposures'!E857)</f>
        <v/>
      </c>
      <c r="G705" s="3">
        <f>IF('3b-d Exposures'!G857="",0,'3b-d Exposures'!G857)</f>
        <v/>
      </c>
      <c r="H705" s="3">
        <f>IF('3b-d Exposures'!I857="",0,'3b-d Exposures'!I857)</f>
        <v/>
      </c>
      <c r="I705" s="3">
        <f>IF('3b-d Exposures'!K857="",0,'3b-d Exposures'!K857)</f>
        <v/>
      </c>
      <c r="J705" s="3">
        <f>IF('3b-d Exposures'!M857="",0,'3b-d Exposures'!M857)</f>
        <v/>
      </c>
      <c r="K705" s="3">
        <f>IF('3b-d Exposures'!O857="",0,'3b-d Exposures'!O857)</f>
        <v/>
      </c>
      <c r="L705" s="3">
        <f>IF('3b-d Exposures'!Q857="",0,'3b-d Exposures'!Q857)</f>
        <v/>
      </c>
      <c r="M705" s="3">
        <f>IF('3b-d Exposures'!S857="",0,'3b-d Exposures'!S857)</f>
        <v/>
      </c>
      <c r="N705" s="3">
        <f>IF('3b-d Exposures'!Z857="",0,'3b-d Exposures'!Z857)</f>
        <v/>
      </c>
      <c r="O705" s="3">
        <f>$D705</f>
        <v/>
      </c>
      <c r="P705" s="3">
        <f>E705*$D705</f>
        <v/>
      </c>
      <c r="Q705" s="3">
        <f>F705*$D705</f>
        <v/>
      </c>
      <c r="R705" s="3">
        <f>G705*$D705</f>
        <v/>
      </c>
      <c r="S705" s="3">
        <f>H705*$D705</f>
        <v/>
      </c>
      <c r="T705" s="3">
        <f>I705*$D705</f>
        <v/>
      </c>
      <c r="U705" s="3">
        <f>J705*$D705</f>
        <v/>
      </c>
      <c r="V705" s="3">
        <f>K705*$D705</f>
        <v/>
      </c>
      <c r="W705" s="3">
        <f>L705*$D705</f>
        <v/>
      </c>
      <c r="X705" s="3">
        <f>M705*$D705</f>
        <v/>
      </c>
      <c r="Y705" s="3">
        <f>N705*$D705</f>
        <v/>
      </c>
      <c r="Z705" s="3">
        <f>C705*$D705</f>
        <v/>
      </c>
      <c r="AA705" s="9">
        <f>$L978+$K978*E705+$J978*F705+$I978*G705+$H978*H705+$G978*I705+$F978*J705+$E978*K705+$D978*L705+$C978*M705+$B978*N705</f>
        <v/>
      </c>
      <c r="AB705" s="9">
        <f>C705-AA705</f>
        <v/>
      </c>
      <c r="AC705" s="4">
        <f>AB705^2</f>
        <v/>
      </c>
    </row>
    <row r="706">
      <c r="A706" t="inlineStr">
        <is>
          <t>BBG00NLMRY30</t>
        </is>
      </c>
      <c r="B706" t="inlineStr">
        <is>
          <t>plmr</t>
        </is>
      </c>
      <c r="C706" s="9" t="n">
        <v>0.006740495909221655</v>
      </c>
      <c r="D706" s="3">
        <f>EXP(0.25*'3b-d Exposures'!G858)</f>
        <v/>
      </c>
      <c r="E706" s="3">
        <f>IF('3b-d Exposures'!C858="",0,'3b-d Exposures'!C858)</f>
        <v/>
      </c>
      <c r="F706" s="3">
        <f>IF('3b-d Exposures'!E858="",0,'3b-d Exposures'!E858)</f>
        <v/>
      </c>
      <c r="G706" s="3">
        <f>IF('3b-d Exposures'!G858="",0,'3b-d Exposures'!G858)</f>
        <v/>
      </c>
      <c r="H706" s="3">
        <f>IF('3b-d Exposures'!I858="",0,'3b-d Exposures'!I858)</f>
        <v/>
      </c>
      <c r="I706" s="3">
        <f>IF('3b-d Exposures'!K858="",0,'3b-d Exposures'!K858)</f>
        <v/>
      </c>
      <c r="J706" s="3">
        <f>IF('3b-d Exposures'!M858="",0,'3b-d Exposures'!M858)</f>
        <v/>
      </c>
      <c r="K706" s="3">
        <f>IF('3b-d Exposures'!O858="",0,'3b-d Exposures'!O858)</f>
        <v/>
      </c>
      <c r="L706" s="3">
        <f>IF('3b-d Exposures'!Q858="",0,'3b-d Exposures'!Q858)</f>
        <v/>
      </c>
      <c r="M706" s="3">
        <f>IF('3b-d Exposures'!S858="",0,'3b-d Exposures'!S858)</f>
        <v/>
      </c>
      <c r="N706" s="3">
        <f>IF('3b-d Exposures'!Z858="",0,'3b-d Exposures'!Z858)</f>
        <v/>
      </c>
      <c r="O706" s="3">
        <f>$D706</f>
        <v/>
      </c>
      <c r="P706" s="3">
        <f>E706*$D706</f>
        <v/>
      </c>
      <c r="Q706" s="3">
        <f>F706*$D706</f>
        <v/>
      </c>
      <c r="R706" s="3">
        <f>G706*$D706</f>
        <v/>
      </c>
      <c r="S706" s="3">
        <f>H706*$D706</f>
        <v/>
      </c>
      <c r="T706" s="3">
        <f>I706*$D706</f>
        <v/>
      </c>
      <c r="U706" s="3">
        <f>J706*$D706</f>
        <v/>
      </c>
      <c r="V706" s="3">
        <f>K706*$D706</f>
        <v/>
      </c>
      <c r="W706" s="3">
        <f>L706*$D706</f>
        <v/>
      </c>
      <c r="X706" s="3">
        <f>M706*$D706</f>
        <v/>
      </c>
      <c r="Y706" s="3">
        <f>N706*$D706</f>
        <v/>
      </c>
      <c r="Z706" s="3">
        <f>C706*$D706</f>
        <v/>
      </c>
      <c r="AA706" s="9">
        <f>$L978+$K978*E706+$J978*F706+$I978*G706+$H978*H706+$G978*I706+$F978*J706+$E978*K706+$D978*L706+$C978*M706+$B978*N706</f>
        <v/>
      </c>
      <c r="AB706" s="9">
        <f>C706-AA706</f>
        <v/>
      </c>
      <c r="AC706" s="4">
        <f>AB706^2</f>
        <v/>
      </c>
    </row>
    <row r="707">
      <c r="A707" t="inlineStr">
        <is>
          <t>BBG000N7QR55</t>
        </is>
      </c>
      <c r="B707" t="inlineStr">
        <is>
          <t>pltr</t>
        </is>
      </c>
      <c r="C707" s="9" t="n">
        <v>-0.01028626151716672</v>
      </c>
      <c r="D707" s="3">
        <f>EXP(0.25*'3b-d Exposures'!G859)</f>
        <v/>
      </c>
      <c r="E707" s="3">
        <f>IF('3b-d Exposures'!C859="",0,'3b-d Exposures'!C859)</f>
        <v/>
      </c>
      <c r="F707" s="3">
        <f>IF('3b-d Exposures'!E859="",0,'3b-d Exposures'!E859)</f>
        <v/>
      </c>
      <c r="G707" s="3">
        <f>IF('3b-d Exposures'!G859="",0,'3b-d Exposures'!G859)</f>
        <v/>
      </c>
      <c r="H707" s="3">
        <f>IF('3b-d Exposures'!I859="",0,'3b-d Exposures'!I859)</f>
        <v/>
      </c>
      <c r="I707" s="3">
        <f>IF('3b-d Exposures'!K859="",0,'3b-d Exposures'!K859)</f>
        <v/>
      </c>
      <c r="J707" s="3">
        <f>IF('3b-d Exposures'!M859="",0,'3b-d Exposures'!M859)</f>
        <v/>
      </c>
      <c r="K707" s="3">
        <f>IF('3b-d Exposures'!O859="",0,'3b-d Exposures'!O859)</f>
        <v/>
      </c>
      <c r="L707" s="3">
        <f>IF('3b-d Exposures'!Q859="",0,'3b-d Exposures'!Q859)</f>
        <v/>
      </c>
      <c r="M707" s="3">
        <f>IF('3b-d Exposures'!S859="",0,'3b-d Exposures'!S859)</f>
        <v/>
      </c>
      <c r="N707" s="3">
        <f>IF('3b-d Exposures'!Z859="",0,'3b-d Exposures'!Z859)</f>
        <v/>
      </c>
      <c r="O707" s="3">
        <f>$D707</f>
        <v/>
      </c>
      <c r="P707" s="3">
        <f>E707*$D707</f>
        <v/>
      </c>
      <c r="Q707" s="3">
        <f>F707*$D707</f>
        <v/>
      </c>
      <c r="R707" s="3">
        <f>G707*$D707</f>
        <v/>
      </c>
      <c r="S707" s="3">
        <f>H707*$D707</f>
        <v/>
      </c>
      <c r="T707" s="3">
        <f>I707*$D707</f>
        <v/>
      </c>
      <c r="U707" s="3">
        <f>J707*$D707</f>
        <v/>
      </c>
      <c r="V707" s="3">
        <f>K707*$D707</f>
        <v/>
      </c>
      <c r="W707" s="3">
        <f>L707*$D707</f>
        <v/>
      </c>
      <c r="X707" s="3">
        <f>M707*$D707</f>
        <v/>
      </c>
      <c r="Y707" s="3">
        <f>N707*$D707</f>
        <v/>
      </c>
      <c r="Z707" s="3">
        <f>C707*$D707</f>
        <v/>
      </c>
      <c r="AA707" s="9">
        <f>$L978+$K978*E707+$J978*F707+$I978*G707+$H978*H707+$G978*I707+$F978*J707+$E978*K707+$D978*L707+$C978*M707+$B978*N707</f>
        <v/>
      </c>
      <c r="AB707" s="9">
        <f>C707-AA707</f>
        <v/>
      </c>
      <c r="AC707" s="4">
        <f>AB707^2</f>
        <v/>
      </c>
    </row>
    <row r="708">
      <c r="A708" t="inlineStr">
        <is>
          <t>BBG000J2XL74</t>
        </is>
      </c>
      <c r="B708" t="inlineStr">
        <is>
          <t>pm</t>
        </is>
      </c>
      <c r="C708" s="9" t="n">
        <v>-0.01533127324061401</v>
      </c>
      <c r="D708" s="3">
        <f>EXP(0.25*'3b-d Exposures'!G860)</f>
        <v/>
      </c>
      <c r="E708" s="3">
        <f>IF('3b-d Exposures'!C860="",0,'3b-d Exposures'!C860)</f>
        <v/>
      </c>
      <c r="F708" s="3">
        <f>IF('3b-d Exposures'!E860="",0,'3b-d Exposures'!E860)</f>
        <v/>
      </c>
      <c r="G708" s="3">
        <f>IF('3b-d Exposures'!G860="",0,'3b-d Exposures'!G860)</f>
        <v/>
      </c>
      <c r="H708" s="3">
        <f>IF('3b-d Exposures'!I860="",0,'3b-d Exposures'!I860)</f>
        <v/>
      </c>
      <c r="I708" s="3">
        <f>IF('3b-d Exposures'!K860="",0,'3b-d Exposures'!K860)</f>
        <v/>
      </c>
      <c r="J708" s="3">
        <f>IF('3b-d Exposures'!M860="",0,'3b-d Exposures'!M860)</f>
        <v/>
      </c>
      <c r="K708" s="3">
        <f>IF('3b-d Exposures'!O860="",0,'3b-d Exposures'!O860)</f>
        <v/>
      </c>
      <c r="L708" s="3">
        <f>IF('3b-d Exposures'!Q860="",0,'3b-d Exposures'!Q860)</f>
        <v/>
      </c>
      <c r="M708" s="3">
        <f>IF('3b-d Exposures'!S860="",0,'3b-d Exposures'!S860)</f>
        <v/>
      </c>
      <c r="N708" s="3">
        <f>IF('3b-d Exposures'!Z860="",0,'3b-d Exposures'!Z860)</f>
        <v/>
      </c>
      <c r="O708" s="3">
        <f>$D708</f>
        <v/>
      </c>
      <c r="P708" s="3">
        <f>E708*$D708</f>
        <v/>
      </c>
      <c r="Q708" s="3">
        <f>F708*$D708</f>
        <v/>
      </c>
      <c r="R708" s="3">
        <f>G708*$D708</f>
        <v/>
      </c>
      <c r="S708" s="3">
        <f>H708*$D708</f>
        <v/>
      </c>
      <c r="T708" s="3">
        <f>I708*$D708</f>
        <v/>
      </c>
      <c r="U708" s="3">
        <f>J708*$D708</f>
        <v/>
      </c>
      <c r="V708" s="3">
        <f>K708*$D708</f>
        <v/>
      </c>
      <c r="W708" s="3">
        <f>L708*$D708</f>
        <v/>
      </c>
      <c r="X708" s="3">
        <f>M708*$D708</f>
        <v/>
      </c>
      <c r="Y708" s="3">
        <f>N708*$D708</f>
        <v/>
      </c>
      <c r="Z708" s="3">
        <f>C708*$D708</f>
        <v/>
      </c>
      <c r="AA708" s="9">
        <f>$L978+$K978*E708+$J978*F708+$I978*G708+$H978*H708+$G978*I708+$F978*J708+$E978*K708+$D978*L708+$C978*M708+$B978*N708</f>
        <v/>
      </c>
      <c r="AB708" s="9">
        <f>C708-AA708</f>
        <v/>
      </c>
      <c r="AC708" s="4">
        <f>AB708^2</f>
        <v/>
      </c>
    </row>
    <row r="709">
      <c r="A709" t="inlineStr">
        <is>
          <t>BBG000BRD0D8</t>
        </is>
      </c>
      <c r="B709" t="inlineStr">
        <is>
          <t>pnc</t>
        </is>
      </c>
      <c r="C709" s="9" t="n">
        <v>-0.01564824409695342</v>
      </c>
      <c r="D709" s="3">
        <f>EXP(0.25*'3b-d Exposures'!G861)</f>
        <v/>
      </c>
      <c r="E709" s="3">
        <f>IF('3b-d Exposures'!C861="",0,'3b-d Exposures'!C861)</f>
        <v/>
      </c>
      <c r="F709" s="3">
        <f>IF('3b-d Exposures'!E861="",0,'3b-d Exposures'!E861)</f>
        <v/>
      </c>
      <c r="G709" s="3">
        <f>IF('3b-d Exposures'!G861="",0,'3b-d Exposures'!G861)</f>
        <v/>
      </c>
      <c r="H709" s="3">
        <f>IF('3b-d Exposures'!I861="",0,'3b-d Exposures'!I861)</f>
        <v/>
      </c>
      <c r="I709" s="3">
        <f>IF('3b-d Exposures'!K861="",0,'3b-d Exposures'!K861)</f>
        <v/>
      </c>
      <c r="J709" s="3">
        <f>IF('3b-d Exposures'!M861="",0,'3b-d Exposures'!M861)</f>
        <v/>
      </c>
      <c r="K709" s="3">
        <f>IF('3b-d Exposures'!O861="",0,'3b-d Exposures'!O861)</f>
        <v/>
      </c>
      <c r="L709" s="3">
        <f>IF('3b-d Exposures'!Q861="",0,'3b-d Exposures'!Q861)</f>
        <v/>
      </c>
      <c r="M709" s="3">
        <f>IF('3b-d Exposures'!S861="",0,'3b-d Exposures'!S861)</f>
        <v/>
      </c>
      <c r="N709" s="3">
        <f>IF('3b-d Exposures'!Z861="",0,'3b-d Exposures'!Z861)</f>
        <v/>
      </c>
      <c r="O709" s="3">
        <f>$D709</f>
        <v/>
      </c>
      <c r="P709" s="3">
        <f>E709*$D709</f>
        <v/>
      </c>
      <c r="Q709" s="3">
        <f>F709*$D709</f>
        <v/>
      </c>
      <c r="R709" s="3">
        <f>G709*$D709</f>
        <v/>
      </c>
      <c r="S709" s="3">
        <f>H709*$D709</f>
        <v/>
      </c>
      <c r="T709" s="3">
        <f>I709*$D709</f>
        <v/>
      </c>
      <c r="U709" s="3">
        <f>J709*$D709</f>
        <v/>
      </c>
      <c r="V709" s="3">
        <f>K709*$D709</f>
        <v/>
      </c>
      <c r="W709" s="3">
        <f>L709*$D709</f>
        <v/>
      </c>
      <c r="X709" s="3">
        <f>M709*$D709</f>
        <v/>
      </c>
      <c r="Y709" s="3">
        <f>N709*$D709</f>
        <v/>
      </c>
      <c r="Z709" s="3">
        <f>C709*$D709</f>
        <v/>
      </c>
      <c r="AA709" s="9">
        <f>$L978+$K978*E709+$J978*F709+$I978*G709+$H978*H709+$G978*I709+$F978*J709+$E978*K709+$D978*L709+$C978*M709+$B978*N709</f>
        <v/>
      </c>
      <c r="AB709" s="9">
        <f>C709-AA709</f>
        <v/>
      </c>
      <c r="AC709" s="4">
        <f>AB709^2</f>
        <v/>
      </c>
    </row>
    <row r="710">
      <c r="A710" t="inlineStr">
        <is>
          <t>BBG000QVWX13</t>
        </is>
      </c>
      <c r="B710" t="inlineStr">
        <is>
          <t>pnnt</t>
        </is>
      </c>
      <c r="C710" s="9" t="n">
        <v>-0.00886273071410848</v>
      </c>
      <c r="D710" s="3">
        <f>EXP(0.25*'3b-d Exposures'!G862)</f>
        <v/>
      </c>
      <c r="E710" s="3">
        <f>IF('3b-d Exposures'!C862="",0,'3b-d Exposures'!C862)</f>
        <v/>
      </c>
      <c r="F710" s="3">
        <f>IF('3b-d Exposures'!E862="",0,'3b-d Exposures'!E862)</f>
        <v/>
      </c>
      <c r="G710" s="3">
        <f>IF('3b-d Exposures'!G862="",0,'3b-d Exposures'!G862)</f>
        <v/>
      </c>
      <c r="H710" s="3">
        <f>IF('3b-d Exposures'!I862="",0,'3b-d Exposures'!I862)</f>
        <v/>
      </c>
      <c r="I710" s="3">
        <f>IF('3b-d Exposures'!K862="",0,'3b-d Exposures'!K862)</f>
        <v/>
      </c>
      <c r="J710" s="3">
        <f>IF('3b-d Exposures'!M862="",0,'3b-d Exposures'!M862)</f>
        <v/>
      </c>
      <c r="K710" s="3">
        <f>IF('3b-d Exposures'!O862="",0,'3b-d Exposures'!O862)</f>
        <v/>
      </c>
      <c r="L710" s="3">
        <f>IF('3b-d Exposures'!Q862="",0,'3b-d Exposures'!Q862)</f>
        <v/>
      </c>
      <c r="M710" s="3">
        <f>IF('3b-d Exposures'!S862="",0,'3b-d Exposures'!S862)</f>
        <v/>
      </c>
      <c r="N710" s="3">
        <f>IF('3b-d Exposures'!Z862="",0,'3b-d Exposures'!Z862)</f>
        <v/>
      </c>
      <c r="O710" s="3">
        <f>$D710</f>
        <v/>
      </c>
      <c r="P710" s="3">
        <f>E710*$D710</f>
        <v/>
      </c>
      <c r="Q710" s="3">
        <f>F710*$D710</f>
        <v/>
      </c>
      <c r="R710" s="3">
        <f>G710*$D710</f>
        <v/>
      </c>
      <c r="S710" s="3">
        <f>H710*$D710</f>
        <v/>
      </c>
      <c r="T710" s="3">
        <f>I710*$D710</f>
        <v/>
      </c>
      <c r="U710" s="3">
        <f>J710*$D710</f>
        <v/>
      </c>
      <c r="V710" s="3">
        <f>K710*$D710</f>
        <v/>
      </c>
      <c r="W710" s="3">
        <f>L710*$D710</f>
        <v/>
      </c>
      <c r="X710" s="3">
        <f>M710*$D710</f>
        <v/>
      </c>
      <c r="Y710" s="3">
        <f>N710*$D710</f>
        <v/>
      </c>
      <c r="Z710" s="3">
        <f>C710*$D710</f>
        <v/>
      </c>
      <c r="AA710" s="9">
        <f>$L978+$K978*E710+$J978*F710+$I978*G710+$H978*H710+$G978*I710+$F978*J710+$E978*K710+$D978*L710+$C978*M710+$B978*N710</f>
        <v/>
      </c>
      <c r="AB710" s="9">
        <f>C710-AA710</f>
        <v/>
      </c>
      <c r="AC710" s="4">
        <f>AB710^2</f>
        <v/>
      </c>
    </row>
    <row r="711">
      <c r="A711" t="inlineStr">
        <is>
          <t>pnr</t>
        </is>
      </c>
      <c r="B711" t="inlineStr">
        <is>
          <t>pnr</t>
        </is>
      </c>
      <c r="C711" s="9" t="n">
        <v>-0.0006422231729792394</v>
      </c>
      <c r="D711" s="3">
        <f>EXP(0.25*'3b-d Exposures'!G863)</f>
        <v/>
      </c>
      <c r="E711" s="3">
        <f>IF('3b-d Exposures'!C863="",0,'3b-d Exposures'!C863)</f>
        <v/>
      </c>
      <c r="F711" s="3">
        <f>IF('3b-d Exposures'!E863="",0,'3b-d Exposures'!E863)</f>
        <v/>
      </c>
      <c r="G711" s="3">
        <f>IF('3b-d Exposures'!G863="",0,'3b-d Exposures'!G863)</f>
        <v/>
      </c>
      <c r="H711" s="3">
        <f>IF('3b-d Exposures'!I863="",0,'3b-d Exposures'!I863)</f>
        <v/>
      </c>
      <c r="I711" s="3">
        <f>IF('3b-d Exposures'!K863="",0,'3b-d Exposures'!K863)</f>
        <v/>
      </c>
      <c r="J711" s="3">
        <f>IF('3b-d Exposures'!M863="",0,'3b-d Exposures'!M863)</f>
        <v/>
      </c>
      <c r="K711" s="3">
        <f>IF('3b-d Exposures'!O863="",0,'3b-d Exposures'!O863)</f>
        <v/>
      </c>
      <c r="L711" s="3">
        <f>IF('3b-d Exposures'!Q863="",0,'3b-d Exposures'!Q863)</f>
        <v/>
      </c>
      <c r="M711" s="3">
        <f>IF('3b-d Exposures'!S863="",0,'3b-d Exposures'!S863)</f>
        <v/>
      </c>
      <c r="N711" s="3">
        <f>IF('3b-d Exposures'!Z863="",0,'3b-d Exposures'!Z863)</f>
        <v/>
      </c>
      <c r="O711" s="3">
        <f>$D711</f>
        <v/>
      </c>
      <c r="P711" s="3">
        <f>E711*$D711</f>
        <v/>
      </c>
      <c r="Q711" s="3">
        <f>F711*$D711</f>
        <v/>
      </c>
      <c r="R711" s="3">
        <f>G711*$D711</f>
        <v/>
      </c>
      <c r="S711" s="3">
        <f>H711*$D711</f>
        <v/>
      </c>
      <c r="T711" s="3">
        <f>I711*$D711</f>
        <v/>
      </c>
      <c r="U711" s="3">
        <f>J711*$D711</f>
        <v/>
      </c>
      <c r="V711" s="3">
        <f>K711*$D711</f>
        <v/>
      </c>
      <c r="W711" s="3">
        <f>L711*$D711</f>
        <v/>
      </c>
      <c r="X711" s="3">
        <f>M711*$D711</f>
        <v/>
      </c>
      <c r="Y711" s="3">
        <f>N711*$D711</f>
        <v/>
      </c>
      <c r="Z711" s="3">
        <f>C711*$D711</f>
        <v/>
      </c>
      <c r="AA711" s="9">
        <f>$L978+$K978*E711+$J978*F711+$I978*G711+$H978*H711+$G978*I711+$F978*J711+$E978*K711+$D978*L711+$C978*M711+$B978*N711</f>
        <v/>
      </c>
      <c r="AB711" s="9">
        <f>C711-AA711</f>
        <v/>
      </c>
      <c r="AC711" s="4">
        <f>AB711^2</f>
        <v/>
      </c>
    </row>
    <row r="712">
      <c r="A712" t="inlineStr">
        <is>
          <t>pnw</t>
        </is>
      </c>
      <c r="B712" t="inlineStr">
        <is>
          <t>pnw</t>
        </is>
      </c>
      <c r="C712" s="9" t="n">
        <v>-0.01366053214939755</v>
      </c>
      <c r="D712" s="3">
        <f>EXP(0.25*'3b-d Exposures'!G864)</f>
        <v/>
      </c>
      <c r="E712" s="3">
        <f>IF('3b-d Exposures'!C864="",0,'3b-d Exposures'!C864)</f>
        <v/>
      </c>
      <c r="F712" s="3">
        <f>IF('3b-d Exposures'!E864="",0,'3b-d Exposures'!E864)</f>
        <v/>
      </c>
      <c r="G712" s="3">
        <f>IF('3b-d Exposures'!G864="",0,'3b-d Exposures'!G864)</f>
        <v/>
      </c>
      <c r="H712" s="3">
        <f>IF('3b-d Exposures'!I864="",0,'3b-d Exposures'!I864)</f>
        <v/>
      </c>
      <c r="I712" s="3">
        <f>IF('3b-d Exposures'!K864="",0,'3b-d Exposures'!K864)</f>
        <v/>
      </c>
      <c r="J712" s="3">
        <f>IF('3b-d Exposures'!M864="",0,'3b-d Exposures'!M864)</f>
        <v/>
      </c>
      <c r="K712" s="3">
        <f>IF('3b-d Exposures'!O864="",0,'3b-d Exposures'!O864)</f>
        <v/>
      </c>
      <c r="L712" s="3">
        <f>IF('3b-d Exposures'!Q864="",0,'3b-d Exposures'!Q864)</f>
        <v/>
      </c>
      <c r="M712" s="3">
        <f>IF('3b-d Exposures'!S864="",0,'3b-d Exposures'!S864)</f>
        <v/>
      </c>
      <c r="N712" s="3">
        <f>IF('3b-d Exposures'!Z864="",0,'3b-d Exposures'!Z864)</f>
        <v/>
      </c>
      <c r="O712" s="3">
        <f>$D712</f>
        <v/>
      </c>
      <c r="P712" s="3">
        <f>E712*$D712</f>
        <v/>
      </c>
      <c r="Q712" s="3">
        <f>F712*$D712</f>
        <v/>
      </c>
      <c r="R712" s="3">
        <f>G712*$D712</f>
        <v/>
      </c>
      <c r="S712" s="3">
        <f>H712*$D712</f>
        <v/>
      </c>
      <c r="T712" s="3">
        <f>I712*$D712</f>
        <v/>
      </c>
      <c r="U712" s="3">
        <f>J712*$D712</f>
        <v/>
      </c>
      <c r="V712" s="3">
        <f>K712*$D712</f>
        <v/>
      </c>
      <c r="W712" s="3">
        <f>L712*$D712</f>
        <v/>
      </c>
      <c r="X712" s="3">
        <f>M712*$D712</f>
        <v/>
      </c>
      <c r="Y712" s="3">
        <f>N712*$D712</f>
        <v/>
      </c>
      <c r="Z712" s="3">
        <f>C712*$D712</f>
        <v/>
      </c>
      <c r="AA712" s="9">
        <f>$L978+$K978*E712+$J978*F712+$I978*G712+$H978*H712+$G978*I712+$F978*J712+$E978*K712+$D978*L712+$C978*M712+$B978*N712</f>
        <v/>
      </c>
      <c r="AB712" s="9">
        <f>C712-AA712</f>
        <v/>
      </c>
      <c r="AC712" s="4">
        <f>AB712^2</f>
        <v/>
      </c>
    </row>
    <row r="713">
      <c r="A713" t="inlineStr">
        <is>
          <t>podd</t>
        </is>
      </c>
      <c r="B713" t="inlineStr">
        <is>
          <t>podd</t>
        </is>
      </c>
      <c r="C713" s="9" t="n">
        <v>-0.001087070043664706</v>
      </c>
      <c r="D713" s="3">
        <f>EXP(0.25*'3b-d Exposures'!G865)</f>
        <v/>
      </c>
      <c r="E713" s="3">
        <f>IF('3b-d Exposures'!C865="",0,'3b-d Exposures'!C865)</f>
        <v/>
      </c>
      <c r="F713" s="3">
        <f>IF('3b-d Exposures'!E865="",0,'3b-d Exposures'!E865)</f>
        <v/>
      </c>
      <c r="G713" s="3">
        <f>IF('3b-d Exposures'!G865="",0,'3b-d Exposures'!G865)</f>
        <v/>
      </c>
      <c r="H713" s="3">
        <f>IF('3b-d Exposures'!I865="",0,'3b-d Exposures'!I865)</f>
        <v/>
      </c>
      <c r="I713" s="3">
        <f>IF('3b-d Exposures'!K865="",0,'3b-d Exposures'!K865)</f>
        <v/>
      </c>
      <c r="J713" s="3">
        <f>IF('3b-d Exposures'!M865="",0,'3b-d Exposures'!M865)</f>
        <v/>
      </c>
      <c r="K713" s="3">
        <f>IF('3b-d Exposures'!O865="",0,'3b-d Exposures'!O865)</f>
        <v/>
      </c>
      <c r="L713" s="3">
        <f>IF('3b-d Exposures'!Q865="",0,'3b-d Exposures'!Q865)</f>
        <v/>
      </c>
      <c r="M713" s="3">
        <f>IF('3b-d Exposures'!S865="",0,'3b-d Exposures'!S865)</f>
        <v/>
      </c>
      <c r="N713" s="3">
        <f>IF('3b-d Exposures'!Z865="",0,'3b-d Exposures'!Z865)</f>
        <v/>
      </c>
      <c r="O713" s="3">
        <f>$D713</f>
        <v/>
      </c>
      <c r="P713" s="3">
        <f>E713*$D713</f>
        <v/>
      </c>
      <c r="Q713" s="3">
        <f>F713*$D713</f>
        <v/>
      </c>
      <c r="R713" s="3">
        <f>G713*$D713</f>
        <v/>
      </c>
      <c r="S713" s="3">
        <f>H713*$D713</f>
        <v/>
      </c>
      <c r="T713" s="3">
        <f>I713*$D713</f>
        <v/>
      </c>
      <c r="U713" s="3">
        <f>J713*$D713</f>
        <v/>
      </c>
      <c r="V713" s="3">
        <f>K713*$D713</f>
        <v/>
      </c>
      <c r="W713" s="3">
        <f>L713*$D713</f>
        <v/>
      </c>
      <c r="X713" s="3">
        <f>M713*$D713</f>
        <v/>
      </c>
      <c r="Y713" s="3">
        <f>N713*$D713</f>
        <v/>
      </c>
      <c r="Z713" s="3">
        <f>C713*$D713</f>
        <v/>
      </c>
      <c r="AA713" s="9">
        <f>$L978+$K978*E713+$J978*F713+$I978*G713+$H978*H713+$G978*I713+$F978*J713+$E978*K713+$D978*L713+$C978*M713+$B978*N713</f>
        <v/>
      </c>
      <c r="AB713" s="9">
        <f>C713-AA713</f>
        <v/>
      </c>
      <c r="AC713" s="4">
        <f>AB713^2</f>
        <v/>
      </c>
    </row>
    <row r="714">
      <c r="A714" t="inlineStr">
        <is>
          <t>BBG000BCVG28</t>
        </is>
      </c>
      <c r="B714" t="inlineStr">
        <is>
          <t>pool</t>
        </is>
      </c>
      <c r="C714" s="9" t="n">
        <v>-0.002970204585564407</v>
      </c>
      <c r="D714" s="3">
        <f>EXP(0.25*'3b-d Exposures'!G867)</f>
        <v/>
      </c>
      <c r="E714" s="3">
        <f>IF('3b-d Exposures'!C867="",0,'3b-d Exposures'!C867)</f>
        <v/>
      </c>
      <c r="F714" s="3">
        <f>IF('3b-d Exposures'!E867="",0,'3b-d Exposures'!E867)</f>
        <v/>
      </c>
      <c r="G714" s="3">
        <f>IF('3b-d Exposures'!G867="",0,'3b-d Exposures'!G867)</f>
        <v/>
      </c>
      <c r="H714" s="3">
        <f>IF('3b-d Exposures'!I867="",0,'3b-d Exposures'!I867)</f>
        <v/>
      </c>
      <c r="I714" s="3">
        <f>IF('3b-d Exposures'!K867="",0,'3b-d Exposures'!K867)</f>
        <v/>
      </c>
      <c r="J714" s="3">
        <f>IF('3b-d Exposures'!M867="",0,'3b-d Exposures'!M867)</f>
        <v/>
      </c>
      <c r="K714" s="3">
        <f>IF('3b-d Exposures'!O867="",0,'3b-d Exposures'!O867)</f>
        <v/>
      </c>
      <c r="L714" s="3">
        <f>IF('3b-d Exposures'!Q867="",0,'3b-d Exposures'!Q867)</f>
        <v/>
      </c>
      <c r="M714" s="3">
        <f>IF('3b-d Exposures'!S867="",0,'3b-d Exposures'!S867)</f>
        <v/>
      </c>
      <c r="N714" s="3">
        <f>IF('3b-d Exposures'!Z867="",0,'3b-d Exposures'!Z867)</f>
        <v/>
      </c>
      <c r="O714" s="3">
        <f>$D714</f>
        <v/>
      </c>
      <c r="P714" s="3">
        <f>E714*$D714</f>
        <v/>
      </c>
      <c r="Q714" s="3">
        <f>F714*$D714</f>
        <v/>
      </c>
      <c r="R714" s="3">
        <f>G714*$D714</f>
        <v/>
      </c>
      <c r="S714" s="3">
        <f>H714*$D714</f>
        <v/>
      </c>
      <c r="T714" s="3">
        <f>I714*$D714</f>
        <v/>
      </c>
      <c r="U714" s="3">
        <f>J714*$D714</f>
        <v/>
      </c>
      <c r="V714" s="3">
        <f>K714*$D714</f>
        <v/>
      </c>
      <c r="W714" s="3">
        <f>L714*$D714</f>
        <v/>
      </c>
      <c r="X714" s="3">
        <f>M714*$D714</f>
        <v/>
      </c>
      <c r="Y714" s="3">
        <f>N714*$D714</f>
        <v/>
      </c>
      <c r="Z714" s="3">
        <f>C714*$D714</f>
        <v/>
      </c>
      <c r="AA714" s="9">
        <f>$L978+$K978*E714+$J978*F714+$I978*G714+$H978*H714+$G978*I714+$F978*J714+$E978*K714+$D978*L714+$C978*M714+$B978*N714</f>
        <v/>
      </c>
      <c r="AB714" s="9">
        <f>C714-AA714</f>
        <v/>
      </c>
      <c r="AC714" s="4">
        <f>AB714^2</f>
        <v/>
      </c>
    </row>
    <row r="715">
      <c r="A715" t="inlineStr">
        <is>
          <t>BBG000BCRMW7</t>
        </is>
      </c>
      <c r="B715" t="inlineStr">
        <is>
          <t>por</t>
        </is>
      </c>
      <c r="C715" s="9" t="n">
        <v>-0.01481630113898313</v>
      </c>
      <c r="D715" s="3">
        <f>EXP(0.25*'3b-d Exposures'!G868)</f>
        <v/>
      </c>
      <c r="E715" s="3">
        <f>IF('3b-d Exposures'!C868="",0,'3b-d Exposures'!C868)</f>
        <v/>
      </c>
      <c r="F715" s="3">
        <f>IF('3b-d Exposures'!E868="",0,'3b-d Exposures'!E868)</f>
        <v/>
      </c>
      <c r="G715" s="3">
        <f>IF('3b-d Exposures'!G868="",0,'3b-d Exposures'!G868)</f>
        <v/>
      </c>
      <c r="H715" s="3">
        <f>IF('3b-d Exposures'!I868="",0,'3b-d Exposures'!I868)</f>
        <v/>
      </c>
      <c r="I715" s="3">
        <f>IF('3b-d Exposures'!K868="",0,'3b-d Exposures'!K868)</f>
        <v/>
      </c>
      <c r="J715" s="3">
        <f>IF('3b-d Exposures'!M868="",0,'3b-d Exposures'!M868)</f>
        <v/>
      </c>
      <c r="K715" s="3">
        <f>IF('3b-d Exposures'!O868="",0,'3b-d Exposures'!O868)</f>
        <v/>
      </c>
      <c r="L715" s="3">
        <f>IF('3b-d Exposures'!Q868="",0,'3b-d Exposures'!Q868)</f>
        <v/>
      </c>
      <c r="M715" s="3">
        <f>IF('3b-d Exposures'!S868="",0,'3b-d Exposures'!S868)</f>
        <v/>
      </c>
      <c r="N715" s="3">
        <f>IF('3b-d Exposures'!Z868="",0,'3b-d Exposures'!Z868)</f>
        <v/>
      </c>
      <c r="O715" s="3">
        <f>$D715</f>
        <v/>
      </c>
      <c r="P715" s="3">
        <f>E715*$D715</f>
        <v/>
      </c>
      <c r="Q715" s="3">
        <f>F715*$D715</f>
        <v/>
      </c>
      <c r="R715" s="3">
        <f>G715*$D715</f>
        <v/>
      </c>
      <c r="S715" s="3">
        <f>H715*$D715</f>
        <v/>
      </c>
      <c r="T715" s="3">
        <f>I715*$D715</f>
        <v/>
      </c>
      <c r="U715" s="3">
        <f>J715*$D715</f>
        <v/>
      </c>
      <c r="V715" s="3">
        <f>K715*$D715</f>
        <v/>
      </c>
      <c r="W715" s="3">
        <f>L715*$D715</f>
        <v/>
      </c>
      <c r="X715" s="3">
        <f>M715*$D715</f>
        <v/>
      </c>
      <c r="Y715" s="3">
        <f>N715*$D715</f>
        <v/>
      </c>
      <c r="Z715" s="3">
        <f>C715*$D715</f>
        <v/>
      </c>
      <c r="AA715" s="9">
        <f>$L978+$K978*E715+$J978*F715+$I978*G715+$H978*H715+$G978*I715+$F978*J715+$E978*K715+$D978*L715+$C978*M715+$B978*N715</f>
        <v/>
      </c>
      <c r="AB715" s="9">
        <f>C715-AA715</f>
        <v/>
      </c>
      <c r="AC715" s="4">
        <f>AB715^2</f>
        <v/>
      </c>
    </row>
    <row r="716">
      <c r="A716" t="inlineStr">
        <is>
          <t>BBG000BTT3D1</t>
        </is>
      </c>
      <c r="B716" t="inlineStr">
        <is>
          <t>powi</t>
        </is>
      </c>
      <c r="C716" s="9" t="n">
        <v>0.02472904657505848</v>
      </c>
      <c r="D716" s="3">
        <f>EXP(0.25*'3b-d Exposures'!G869)</f>
        <v/>
      </c>
      <c r="E716" s="3">
        <f>IF('3b-d Exposures'!C869="",0,'3b-d Exposures'!C869)</f>
        <v/>
      </c>
      <c r="F716" s="3">
        <f>IF('3b-d Exposures'!E869="",0,'3b-d Exposures'!E869)</f>
        <v/>
      </c>
      <c r="G716" s="3">
        <f>IF('3b-d Exposures'!G869="",0,'3b-d Exposures'!G869)</f>
        <v/>
      </c>
      <c r="H716" s="3">
        <f>IF('3b-d Exposures'!I869="",0,'3b-d Exposures'!I869)</f>
        <v/>
      </c>
      <c r="I716" s="3">
        <f>IF('3b-d Exposures'!K869="",0,'3b-d Exposures'!K869)</f>
        <v/>
      </c>
      <c r="J716" s="3">
        <f>IF('3b-d Exposures'!M869="",0,'3b-d Exposures'!M869)</f>
        <v/>
      </c>
      <c r="K716" s="3">
        <f>IF('3b-d Exposures'!O869="",0,'3b-d Exposures'!O869)</f>
        <v/>
      </c>
      <c r="L716" s="3">
        <f>IF('3b-d Exposures'!Q869="",0,'3b-d Exposures'!Q869)</f>
        <v/>
      </c>
      <c r="M716" s="3">
        <f>IF('3b-d Exposures'!S869="",0,'3b-d Exposures'!S869)</f>
        <v/>
      </c>
      <c r="N716" s="3">
        <f>IF('3b-d Exposures'!Z869="",0,'3b-d Exposures'!Z869)</f>
        <v/>
      </c>
      <c r="O716" s="3">
        <f>$D716</f>
        <v/>
      </c>
      <c r="P716" s="3">
        <f>E716*$D716</f>
        <v/>
      </c>
      <c r="Q716" s="3">
        <f>F716*$D716</f>
        <v/>
      </c>
      <c r="R716" s="3">
        <f>G716*$D716</f>
        <v/>
      </c>
      <c r="S716" s="3">
        <f>H716*$D716</f>
        <v/>
      </c>
      <c r="T716" s="3">
        <f>I716*$D716</f>
        <v/>
      </c>
      <c r="U716" s="3">
        <f>J716*$D716</f>
        <v/>
      </c>
      <c r="V716" s="3">
        <f>K716*$D716</f>
        <v/>
      </c>
      <c r="W716" s="3">
        <f>L716*$D716</f>
        <v/>
      </c>
      <c r="X716" s="3">
        <f>M716*$D716</f>
        <v/>
      </c>
      <c r="Y716" s="3">
        <f>N716*$D716</f>
        <v/>
      </c>
      <c r="Z716" s="3">
        <f>C716*$D716</f>
        <v/>
      </c>
      <c r="AA716" s="9">
        <f>$L978+$K978*E716+$J978*F716+$I978*G716+$H978*H716+$G978*I716+$F978*J716+$E978*K716+$D978*L716+$C978*M716+$B978*N716</f>
        <v/>
      </c>
      <c r="AB716" s="9">
        <f>C716-AA716</f>
        <v/>
      </c>
      <c r="AC716" s="4">
        <f>AB716^2</f>
        <v/>
      </c>
    </row>
    <row r="717">
      <c r="A717" t="inlineStr">
        <is>
          <t>BBG000BFLXV3</t>
        </is>
      </c>
      <c r="B717" t="inlineStr">
        <is>
          <t>ppc</t>
        </is>
      </c>
      <c r="C717" s="9" t="n">
        <v>-0.004068869769643046</v>
      </c>
      <c r="D717" s="3">
        <f>EXP(0.25*'3b-d Exposures'!G870)</f>
        <v/>
      </c>
      <c r="E717" s="3">
        <f>IF('3b-d Exposures'!C870="",0,'3b-d Exposures'!C870)</f>
        <v/>
      </c>
      <c r="F717" s="3">
        <f>IF('3b-d Exposures'!E870="",0,'3b-d Exposures'!E870)</f>
        <v/>
      </c>
      <c r="G717" s="3">
        <f>IF('3b-d Exposures'!G870="",0,'3b-d Exposures'!G870)</f>
        <v/>
      </c>
      <c r="H717" s="3">
        <f>IF('3b-d Exposures'!I870="",0,'3b-d Exposures'!I870)</f>
        <v/>
      </c>
      <c r="I717" s="3">
        <f>IF('3b-d Exposures'!K870="",0,'3b-d Exposures'!K870)</f>
        <v/>
      </c>
      <c r="J717" s="3">
        <f>IF('3b-d Exposures'!M870="",0,'3b-d Exposures'!M870)</f>
        <v/>
      </c>
      <c r="K717" s="3">
        <f>IF('3b-d Exposures'!O870="",0,'3b-d Exposures'!O870)</f>
        <v/>
      </c>
      <c r="L717" s="3">
        <f>IF('3b-d Exposures'!Q870="",0,'3b-d Exposures'!Q870)</f>
        <v/>
      </c>
      <c r="M717" s="3">
        <f>IF('3b-d Exposures'!S870="",0,'3b-d Exposures'!S870)</f>
        <v/>
      </c>
      <c r="N717" s="3">
        <f>IF('3b-d Exposures'!Z870="",0,'3b-d Exposures'!Z870)</f>
        <v/>
      </c>
      <c r="O717" s="3">
        <f>$D717</f>
        <v/>
      </c>
      <c r="P717" s="3">
        <f>E717*$D717</f>
        <v/>
      </c>
      <c r="Q717" s="3">
        <f>F717*$D717</f>
        <v/>
      </c>
      <c r="R717" s="3">
        <f>G717*$D717</f>
        <v/>
      </c>
      <c r="S717" s="3">
        <f>H717*$D717</f>
        <v/>
      </c>
      <c r="T717" s="3">
        <f>I717*$D717</f>
        <v/>
      </c>
      <c r="U717" s="3">
        <f>J717*$D717</f>
        <v/>
      </c>
      <c r="V717" s="3">
        <f>K717*$D717</f>
        <v/>
      </c>
      <c r="W717" s="3">
        <f>L717*$D717</f>
        <v/>
      </c>
      <c r="X717" s="3">
        <f>M717*$D717</f>
        <v/>
      </c>
      <c r="Y717" s="3">
        <f>N717*$D717</f>
        <v/>
      </c>
      <c r="Z717" s="3">
        <f>C717*$D717</f>
        <v/>
      </c>
      <c r="AA717" s="9">
        <f>$L978+$K978*E717+$J978*F717+$I978*G717+$H978*H717+$G978*I717+$F978*J717+$E978*K717+$D978*L717+$C978*M717+$B978*N717</f>
        <v/>
      </c>
      <c r="AB717" s="9">
        <f>C717-AA717</f>
        <v/>
      </c>
      <c r="AC717" s="4">
        <f>AB717^2</f>
        <v/>
      </c>
    </row>
    <row r="718">
      <c r="A718" t="inlineStr">
        <is>
          <t>BBG000BRJ809</t>
        </is>
      </c>
      <c r="B718" t="inlineStr">
        <is>
          <t>ppg</t>
        </is>
      </c>
      <c r="C718" s="9" t="n">
        <v>0.01286479750016323</v>
      </c>
      <c r="D718" s="3">
        <f>EXP(0.25*'3b-d Exposures'!G871)</f>
        <v/>
      </c>
      <c r="E718" s="3">
        <f>IF('3b-d Exposures'!C871="",0,'3b-d Exposures'!C871)</f>
        <v/>
      </c>
      <c r="F718" s="3">
        <f>IF('3b-d Exposures'!E871="",0,'3b-d Exposures'!E871)</f>
        <v/>
      </c>
      <c r="G718" s="3">
        <f>IF('3b-d Exposures'!G871="",0,'3b-d Exposures'!G871)</f>
        <v/>
      </c>
      <c r="H718" s="3">
        <f>IF('3b-d Exposures'!I871="",0,'3b-d Exposures'!I871)</f>
        <v/>
      </c>
      <c r="I718" s="3">
        <f>IF('3b-d Exposures'!K871="",0,'3b-d Exposures'!K871)</f>
        <v/>
      </c>
      <c r="J718" s="3">
        <f>IF('3b-d Exposures'!M871="",0,'3b-d Exposures'!M871)</f>
        <v/>
      </c>
      <c r="K718" s="3">
        <f>IF('3b-d Exposures'!O871="",0,'3b-d Exposures'!O871)</f>
        <v/>
      </c>
      <c r="L718" s="3">
        <f>IF('3b-d Exposures'!Q871="",0,'3b-d Exposures'!Q871)</f>
        <v/>
      </c>
      <c r="M718" s="3">
        <f>IF('3b-d Exposures'!S871="",0,'3b-d Exposures'!S871)</f>
        <v/>
      </c>
      <c r="N718" s="3">
        <f>IF('3b-d Exposures'!Z871="",0,'3b-d Exposures'!Z871)</f>
        <v/>
      </c>
      <c r="O718" s="3">
        <f>$D718</f>
        <v/>
      </c>
      <c r="P718" s="3">
        <f>E718*$D718</f>
        <v/>
      </c>
      <c r="Q718" s="3">
        <f>F718*$D718</f>
        <v/>
      </c>
      <c r="R718" s="3">
        <f>G718*$D718</f>
        <v/>
      </c>
      <c r="S718" s="3">
        <f>H718*$D718</f>
        <v/>
      </c>
      <c r="T718" s="3">
        <f>I718*$D718</f>
        <v/>
      </c>
      <c r="U718" s="3">
        <f>J718*$D718</f>
        <v/>
      </c>
      <c r="V718" s="3">
        <f>K718*$D718</f>
        <v/>
      </c>
      <c r="W718" s="3">
        <f>L718*$D718</f>
        <v/>
      </c>
      <c r="X718" s="3">
        <f>M718*$D718</f>
        <v/>
      </c>
      <c r="Y718" s="3">
        <f>N718*$D718</f>
        <v/>
      </c>
      <c r="Z718" s="3">
        <f>C718*$D718</f>
        <v/>
      </c>
      <c r="AA718" s="9">
        <f>$L978+$K978*E718+$J978*F718+$I978*G718+$H978*H718+$G978*I718+$F978*J718+$E978*K718+$D978*L718+$C978*M718+$B978*N718</f>
        <v/>
      </c>
      <c r="AB718" s="9">
        <f>C718-AA718</f>
        <v/>
      </c>
      <c r="AC718" s="4">
        <f>AB718^2</f>
        <v/>
      </c>
    </row>
    <row r="719">
      <c r="A719" t="inlineStr">
        <is>
          <t>BBG000BRJL00</t>
        </is>
      </c>
      <c r="B719" t="inlineStr">
        <is>
          <t>ppl</t>
        </is>
      </c>
      <c r="C719" s="9" t="n">
        <v>-0.01402812040682178</v>
      </c>
      <c r="D719" s="3">
        <f>EXP(0.25*'3b-d Exposures'!G872)</f>
        <v/>
      </c>
      <c r="E719" s="3">
        <f>IF('3b-d Exposures'!C872="",0,'3b-d Exposures'!C872)</f>
        <v/>
      </c>
      <c r="F719" s="3">
        <f>IF('3b-d Exposures'!E872="",0,'3b-d Exposures'!E872)</f>
        <v/>
      </c>
      <c r="G719" s="3">
        <f>IF('3b-d Exposures'!G872="",0,'3b-d Exposures'!G872)</f>
        <v/>
      </c>
      <c r="H719" s="3">
        <f>IF('3b-d Exposures'!I872="",0,'3b-d Exposures'!I872)</f>
        <v/>
      </c>
      <c r="I719" s="3">
        <f>IF('3b-d Exposures'!K872="",0,'3b-d Exposures'!K872)</f>
        <v/>
      </c>
      <c r="J719" s="3">
        <f>IF('3b-d Exposures'!M872="",0,'3b-d Exposures'!M872)</f>
        <v/>
      </c>
      <c r="K719" s="3">
        <f>IF('3b-d Exposures'!O872="",0,'3b-d Exposures'!O872)</f>
        <v/>
      </c>
      <c r="L719" s="3">
        <f>IF('3b-d Exposures'!Q872="",0,'3b-d Exposures'!Q872)</f>
        <v/>
      </c>
      <c r="M719" s="3">
        <f>IF('3b-d Exposures'!S872="",0,'3b-d Exposures'!S872)</f>
        <v/>
      </c>
      <c r="N719" s="3">
        <f>IF('3b-d Exposures'!Z872="",0,'3b-d Exposures'!Z872)</f>
        <v/>
      </c>
      <c r="O719" s="3">
        <f>$D719</f>
        <v/>
      </c>
      <c r="P719" s="3">
        <f>E719*$D719</f>
        <v/>
      </c>
      <c r="Q719" s="3">
        <f>F719*$D719</f>
        <v/>
      </c>
      <c r="R719" s="3">
        <f>G719*$D719</f>
        <v/>
      </c>
      <c r="S719" s="3">
        <f>H719*$D719</f>
        <v/>
      </c>
      <c r="T719" s="3">
        <f>I719*$D719</f>
        <v/>
      </c>
      <c r="U719" s="3">
        <f>J719*$D719</f>
        <v/>
      </c>
      <c r="V719" s="3">
        <f>K719*$D719</f>
        <v/>
      </c>
      <c r="W719" s="3">
        <f>L719*$D719</f>
        <v/>
      </c>
      <c r="X719" s="3">
        <f>M719*$D719</f>
        <v/>
      </c>
      <c r="Y719" s="3">
        <f>N719*$D719</f>
        <v/>
      </c>
      <c r="Z719" s="3">
        <f>C719*$D719</f>
        <v/>
      </c>
      <c r="AA719" s="9">
        <f>$L978+$K978*E719+$J978*F719+$I978*G719+$H978*H719+$G978*I719+$F978*J719+$E978*K719+$D978*L719+$C978*M719+$B978*N719</f>
        <v/>
      </c>
      <c r="AB719" s="9">
        <f>C719-AA719</f>
        <v/>
      </c>
      <c r="AC719" s="4">
        <f>AB719^2</f>
        <v/>
      </c>
    </row>
    <row r="720">
      <c r="A720" t="inlineStr">
        <is>
          <t>BBG0024TXN82</t>
        </is>
      </c>
      <c r="B720" t="inlineStr">
        <is>
          <t>ppta</t>
        </is>
      </c>
      <c r="C720" s="9" t="n">
        <v>-0.05246589863692619</v>
      </c>
      <c r="D720" s="3">
        <f>EXP(0.25*'3b-d Exposures'!G873)</f>
        <v/>
      </c>
      <c r="E720" s="3">
        <f>IF('3b-d Exposures'!C873="",0,'3b-d Exposures'!C873)</f>
        <v/>
      </c>
      <c r="F720" s="3">
        <f>IF('3b-d Exposures'!E873="",0,'3b-d Exposures'!E873)</f>
        <v/>
      </c>
      <c r="G720" s="3">
        <f>IF('3b-d Exposures'!G873="",0,'3b-d Exposures'!G873)</f>
        <v/>
      </c>
      <c r="H720" s="3">
        <f>IF('3b-d Exposures'!I873="",0,'3b-d Exposures'!I873)</f>
        <v/>
      </c>
      <c r="I720" s="3">
        <f>IF('3b-d Exposures'!K873="",0,'3b-d Exposures'!K873)</f>
        <v/>
      </c>
      <c r="J720" s="3">
        <f>IF('3b-d Exposures'!M873="",0,'3b-d Exposures'!M873)</f>
        <v/>
      </c>
      <c r="K720" s="3">
        <f>IF('3b-d Exposures'!O873="",0,'3b-d Exposures'!O873)</f>
        <v/>
      </c>
      <c r="L720" s="3">
        <f>IF('3b-d Exposures'!Q873="",0,'3b-d Exposures'!Q873)</f>
        <v/>
      </c>
      <c r="M720" s="3">
        <f>IF('3b-d Exposures'!S873="",0,'3b-d Exposures'!S873)</f>
        <v/>
      </c>
      <c r="N720" s="3">
        <f>IF('3b-d Exposures'!Z873="",0,'3b-d Exposures'!Z873)</f>
        <v/>
      </c>
      <c r="O720" s="3">
        <f>$D720</f>
        <v/>
      </c>
      <c r="P720" s="3">
        <f>E720*$D720</f>
        <v/>
      </c>
      <c r="Q720" s="3">
        <f>F720*$D720</f>
        <v/>
      </c>
      <c r="R720" s="3">
        <f>G720*$D720</f>
        <v/>
      </c>
      <c r="S720" s="3">
        <f>H720*$D720</f>
        <v/>
      </c>
      <c r="T720" s="3">
        <f>I720*$D720</f>
        <v/>
      </c>
      <c r="U720" s="3">
        <f>J720*$D720</f>
        <v/>
      </c>
      <c r="V720" s="3">
        <f>K720*$D720</f>
        <v/>
      </c>
      <c r="W720" s="3">
        <f>L720*$D720</f>
        <v/>
      </c>
      <c r="X720" s="3">
        <f>M720*$D720</f>
        <v/>
      </c>
      <c r="Y720" s="3">
        <f>N720*$D720</f>
        <v/>
      </c>
      <c r="Z720" s="3">
        <f>C720*$D720</f>
        <v/>
      </c>
      <c r="AA720" s="9">
        <f>$L978+$K978*E720+$J978*F720+$I978*G720+$H978*H720+$G978*I720+$F978*J720+$E978*K720+$D978*L720+$C978*M720+$B978*N720</f>
        <v/>
      </c>
      <c r="AB720" s="9">
        <f>C720-AA720</f>
        <v/>
      </c>
      <c r="AC720" s="4">
        <f>AB720^2</f>
        <v/>
      </c>
    </row>
    <row r="721">
      <c r="A721" t="inlineStr">
        <is>
          <t>BBG00CNYBQ76</t>
        </is>
      </c>
      <c r="B721" t="inlineStr">
        <is>
          <t>pr</t>
        </is>
      </c>
      <c r="C721" s="9" t="n">
        <v>-0.02426560359492136</v>
      </c>
      <c r="D721" s="3">
        <f>EXP(0.25*'3b-d Exposures'!G874)</f>
        <v/>
      </c>
      <c r="E721" s="3">
        <f>IF('3b-d Exposures'!C874="",0,'3b-d Exposures'!C874)</f>
        <v/>
      </c>
      <c r="F721" s="3">
        <f>IF('3b-d Exposures'!E874="",0,'3b-d Exposures'!E874)</f>
        <v/>
      </c>
      <c r="G721" s="3">
        <f>IF('3b-d Exposures'!G874="",0,'3b-d Exposures'!G874)</f>
        <v/>
      </c>
      <c r="H721" s="3">
        <f>IF('3b-d Exposures'!I874="",0,'3b-d Exposures'!I874)</f>
        <v/>
      </c>
      <c r="I721" s="3">
        <f>IF('3b-d Exposures'!K874="",0,'3b-d Exposures'!K874)</f>
        <v/>
      </c>
      <c r="J721" s="3">
        <f>IF('3b-d Exposures'!M874="",0,'3b-d Exposures'!M874)</f>
        <v/>
      </c>
      <c r="K721" s="3">
        <f>IF('3b-d Exposures'!O874="",0,'3b-d Exposures'!O874)</f>
        <v/>
      </c>
      <c r="L721" s="3">
        <f>IF('3b-d Exposures'!Q874="",0,'3b-d Exposures'!Q874)</f>
        <v/>
      </c>
      <c r="M721" s="3">
        <f>IF('3b-d Exposures'!S874="",0,'3b-d Exposures'!S874)</f>
        <v/>
      </c>
      <c r="N721" s="3">
        <f>IF('3b-d Exposures'!Z874="",0,'3b-d Exposures'!Z874)</f>
        <v/>
      </c>
      <c r="O721" s="3">
        <f>$D721</f>
        <v/>
      </c>
      <c r="P721" s="3">
        <f>E721*$D721</f>
        <v/>
      </c>
      <c r="Q721" s="3">
        <f>F721*$D721</f>
        <v/>
      </c>
      <c r="R721" s="3">
        <f>G721*$D721</f>
        <v/>
      </c>
      <c r="S721" s="3">
        <f>H721*$D721</f>
        <v/>
      </c>
      <c r="T721" s="3">
        <f>I721*$D721</f>
        <v/>
      </c>
      <c r="U721" s="3">
        <f>J721*$D721</f>
        <v/>
      </c>
      <c r="V721" s="3">
        <f>K721*$D721</f>
        <v/>
      </c>
      <c r="W721" s="3">
        <f>L721*$D721</f>
        <v/>
      </c>
      <c r="X721" s="3">
        <f>M721*$D721</f>
        <v/>
      </c>
      <c r="Y721" s="3">
        <f>N721*$D721</f>
        <v/>
      </c>
      <c r="Z721" s="3">
        <f>C721*$D721</f>
        <v/>
      </c>
      <c r="AA721" s="9">
        <f>$L978+$K978*E721+$J978*F721+$I978*G721+$H978*H721+$G978*I721+$F978*J721+$E978*K721+$D978*L721+$C978*M721+$B978*N721</f>
        <v/>
      </c>
      <c r="AB721" s="9">
        <f>C721-AA721</f>
        <v/>
      </c>
      <c r="AC721" s="4">
        <f>AB721^2</f>
        <v/>
      </c>
    </row>
    <row r="722">
      <c r="A722" t="inlineStr">
        <is>
          <t>BBG000BNTW77</t>
        </is>
      </c>
      <c r="B722" t="inlineStr">
        <is>
          <t>praa</t>
        </is>
      </c>
      <c r="C722" s="9" t="n">
        <v>0.01226407132907825</v>
      </c>
      <c r="D722" s="3">
        <f>EXP(0.25*'3b-d Exposures'!G875)</f>
        <v/>
      </c>
      <c r="E722" s="3">
        <f>IF('3b-d Exposures'!C875="",0,'3b-d Exposures'!C875)</f>
        <v/>
      </c>
      <c r="F722" s="3">
        <f>IF('3b-d Exposures'!E875="",0,'3b-d Exposures'!E875)</f>
        <v/>
      </c>
      <c r="G722" s="3">
        <f>IF('3b-d Exposures'!G875="",0,'3b-d Exposures'!G875)</f>
        <v/>
      </c>
      <c r="H722" s="3">
        <f>IF('3b-d Exposures'!I875="",0,'3b-d Exposures'!I875)</f>
        <v/>
      </c>
      <c r="I722" s="3">
        <f>IF('3b-d Exposures'!K875="",0,'3b-d Exposures'!K875)</f>
        <v/>
      </c>
      <c r="J722" s="3">
        <f>IF('3b-d Exposures'!M875="",0,'3b-d Exposures'!M875)</f>
        <v/>
      </c>
      <c r="K722" s="3">
        <f>IF('3b-d Exposures'!O875="",0,'3b-d Exposures'!O875)</f>
        <v/>
      </c>
      <c r="L722" s="3">
        <f>IF('3b-d Exposures'!Q875="",0,'3b-d Exposures'!Q875)</f>
        <v/>
      </c>
      <c r="M722" s="3">
        <f>IF('3b-d Exposures'!S875="",0,'3b-d Exposures'!S875)</f>
        <v/>
      </c>
      <c r="N722" s="3">
        <f>IF('3b-d Exposures'!Z875="",0,'3b-d Exposures'!Z875)</f>
        <v/>
      </c>
      <c r="O722" s="3">
        <f>$D722</f>
        <v/>
      </c>
      <c r="P722" s="3">
        <f>E722*$D722</f>
        <v/>
      </c>
      <c r="Q722" s="3">
        <f>F722*$D722</f>
        <v/>
      </c>
      <c r="R722" s="3">
        <f>G722*$D722</f>
        <v/>
      </c>
      <c r="S722" s="3">
        <f>H722*$D722</f>
        <v/>
      </c>
      <c r="T722" s="3">
        <f>I722*$D722</f>
        <v/>
      </c>
      <c r="U722" s="3">
        <f>J722*$D722</f>
        <v/>
      </c>
      <c r="V722" s="3">
        <f>K722*$D722</f>
        <v/>
      </c>
      <c r="W722" s="3">
        <f>L722*$D722</f>
        <v/>
      </c>
      <c r="X722" s="3">
        <f>M722*$D722</f>
        <v/>
      </c>
      <c r="Y722" s="3">
        <f>N722*$D722</f>
        <v/>
      </c>
      <c r="Z722" s="3">
        <f>C722*$D722</f>
        <v/>
      </c>
      <c r="AA722" s="9">
        <f>$L978+$K978*E722+$J978*F722+$I978*G722+$H978*H722+$G978*I722+$F978*J722+$E978*K722+$D978*L722+$C978*M722+$B978*N722</f>
        <v/>
      </c>
      <c r="AB722" s="9">
        <f>C722-AA722</f>
        <v/>
      </c>
      <c r="AC722" s="4">
        <f>AB722^2</f>
        <v/>
      </c>
    </row>
    <row r="723">
      <c r="A723" t="inlineStr">
        <is>
          <t>BBG000C4QP94</t>
        </is>
      </c>
      <c r="B723" t="inlineStr">
        <is>
          <t>prgs</t>
        </is>
      </c>
      <c r="C723" s="9" t="n">
        <v>-0.001461863735742197</v>
      </c>
      <c r="D723" s="3">
        <f>EXP(0.25*'3b-d Exposures'!G876)</f>
        <v/>
      </c>
      <c r="E723" s="3">
        <f>IF('3b-d Exposures'!C876="",0,'3b-d Exposures'!C876)</f>
        <v/>
      </c>
      <c r="F723" s="3">
        <f>IF('3b-d Exposures'!E876="",0,'3b-d Exposures'!E876)</f>
        <v/>
      </c>
      <c r="G723" s="3">
        <f>IF('3b-d Exposures'!G876="",0,'3b-d Exposures'!G876)</f>
        <v/>
      </c>
      <c r="H723" s="3">
        <f>IF('3b-d Exposures'!I876="",0,'3b-d Exposures'!I876)</f>
        <v/>
      </c>
      <c r="I723" s="3">
        <f>IF('3b-d Exposures'!K876="",0,'3b-d Exposures'!K876)</f>
        <v/>
      </c>
      <c r="J723" s="3">
        <f>IF('3b-d Exposures'!M876="",0,'3b-d Exposures'!M876)</f>
        <v/>
      </c>
      <c r="K723" s="3">
        <f>IF('3b-d Exposures'!O876="",0,'3b-d Exposures'!O876)</f>
        <v/>
      </c>
      <c r="L723" s="3">
        <f>IF('3b-d Exposures'!Q876="",0,'3b-d Exposures'!Q876)</f>
        <v/>
      </c>
      <c r="M723" s="3">
        <f>IF('3b-d Exposures'!S876="",0,'3b-d Exposures'!S876)</f>
        <v/>
      </c>
      <c r="N723" s="3">
        <f>IF('3b-d Exposures'!Z876="",0,'3b-d Exposures'!Z876)</f>
        <v/>
      </c>
      <c r="O723" s="3">
        <f>$D723</f>
        <v/>
      </c>
      <c r="P723" s="3">
        <f>E723*$D723</f>
        <v/>
      </c>
      <c r="Q723" s="3">
        <f>F723*$D723</f>
        <v/>
      </c>
      <c r="R723" s="3">
        <f>G723*$D723</f>
        <v/>
      </c>
      <c r="S723" s="3">
        <f>H723*$D723</f>
        <v/>
      </c>
      <c r="T723" s="3">
        <f>I723*$D723</f>
        <v/>
      </c>
      <c r="U723" s="3">
        <f>J723*$D723</f>
        <v/>
      </c>
      <c r="V723" s="3">
        <f>K723*$D723</f>
        <v/>
      </c>
      <c r="W723" s="3">
        <f>L723*$D723</f>
        <v/>
      </c>
      <c r="X723" s="3">
        <f>M723*$D723</f>
        <v/>
      </c>
      <c r="Y723" s="3">
        <f>N723*$D723</f>
        <v/>
      </c>
      <c r="Z723" s="3">
        <f>C723*$D723</f>
        <v/>
      </c>
      <c r="AA723" s="9">
        <f>$L978+$K978*E723+$J978*F723+$I978*G723+$H978*H723+$G978*I723+$F978*J723+$E978*K723+$D978*L723+$C978*M723+$B978*N723</f>
        <v/>
      </c>
      <c r="AB723" s="9">
        <f>C723-AA723</f>
        <v/>
      </c>
      <c r="AC723" s="4">
        <f>AB723^2</f>
        <v/>
      </c>
    </row>
    <row r="724">
      <c r="A724" t="inlineStr">
        <is>
          <t>BBG003RY97K2</t>
        </is>
      </c>
      <c r="B724" t="inlineStr">
        <is>
          <t>prks</t>
        </is>
      </c>
      <c r="C724" s="9" t="n">
        <v>0.02813781621850042</v>
      </c>
      <c r="D724" s="3">
        <f>EXP(0.25*'3b-d Exposures'!G877)</f>
        <v/>
      </c>
      <c r="E724" s="3">
        <f>IF('3b-d Exposures'!C877="",0,'3b-d Exposures'!C877)</f>
        <v/>
      </c>
      <c r="F724" s="3">
        <f>IF('3b-d Exposures'!E877="",0,'3b-d Exposures'!E877)</f>
        <v/>
      </c>
      <c r="G724" s="3">
        <f>IF('3b-d Exposures'!G877="",0,'3b-d Exposures'!G877)</f>
        <v/>
      </c>
      <c r="H724" s="3">
        <f>IF('3b-d Exposures'!I877="",0,'3b-d Exposures'!I877)</f>
        <v/>
      </c>
      <c r="I724" s="3">
        <f>IF('3b-d Exposures'!K877="",0,'3b-d Exposures'!K877)</f>
        <v/>
      </c>
      <c r="J724" s="3">
        <f>IF('3b-d Exposures'!M877="",0,'3b-d Exposures'!M877)</f>
        <v/>
      </c>
      <c r="K724" s="3">
        <f>IF('3b-d Exposures'!O877="",0,'3b-d Exposures'!O877)</f>
        <v/>
      </c>
      <c r="L724" s="3">
        <f>IF('3b-d Exposures'!Q877="",0,'3b-d Exposures'!Q877)</f>
        <v/>
      </c>
      <c r="M724" s="3">
        <f>IF('3b-d Exposures'!S877="",0,'3b-d Exposures'!S877)</f>
        <v/>
      </c>
      <c r="N724" s="3">
        <f>IF('3b-d Exposures'!Z877="",0,'3b-d Exposures'!Z877)</f>
        <v/>
      </c>
      <c r="O724" s="3">
        <f>$D724</f>
        <v/>
      </c>
      <c r="P724" s="3">
        <f>E724*$D724</f>
        <v/>
      </c>
      <c r="Q724" s="3">
        <f>F724*$D724</f>
        <v/>
      </c>
      <c r="R724" s="3">
        <f>G724*$D724</f>
        <v/>
      </c>
      <c r="S724" s="3">
        <f>H724*$D724</f>
        <v/>
      </c>
      <c r="T724" s="3">
        <f>I724*$D724</f>
        <v/>
      </c>
      <c r="U724" s="3">
        <f>J724*$D724</f>
        <v/>
      </c>
      <c r="V724" s="3">
        <f>K724*$D724</f>
        <v/>
      </c>
      <c r="W724" s="3">
        <f>L724*$D724</f>
        <v/>
      </c>
      <c r="X724" s="3">
        <f>M724*$D724</f>
        <v/>
      </c>
      <c r="Y724" s="3">
        <f>N724*$D724</f>
        <v/>
      </c>
      <c r="Z724" s="3">
        <f>C724*$D724</f>
        <v/>
      </c>
      <c r="AA724" s="9">
        <f>$L978+$K978*E724+$J978*F724+$I978*G724+$H978*H724+$G978*I724+$F978*J724+$E978*K724+$D978*L724+$C978*M724+$B978*N724</f>
        <v/>
      </c>
      <c r="AB724" s="9">
        <f>C724-AA724</f>
        <v/>
      </c>
      <c r="AC724" s="4">
        <f>AB724^2</f>
        <v/>
      </c>
    </row>
    <row r="725">
      <c r="A725" t="inlineStr">
        <is>
          <t>BBG000HCJMF9</t>
        </is>
      </c>
      <c r="B725" t="inlineStr">
        <is>
          <t>pru</t>
        </is>
      </c>
      <c r="C725" s="9" t="n">
        <v>-0.00772738361982761</v>
      </c>
      <c r="D725" s="3">
        <f>EXP(0.25*'3b-d Exposures'!G879)</f>
        <v/>
      </c>
      <c r="E725" s="3">
        <f>IF('3b-d Exposures'!C879="",0,'3b-d Exposures'!C879)</f>
        <v/>
      </c>
      <c r="F725" s="3">
        <f>IF('3b-d Exposures'!E879="",0,'3b-d Exposures'!E879)</f>
        <v/>
      </c>
      <c r="G725" s="3">
        <f>IF('3b-d Exposures'!G879="",0,'3b-d Exposures'!G879)</f>
        <v/>
      </c>
      <c r="H725" s="3">
        <f>IF('3b-d Exposures'!I879="",0,'3b-d Exposures'!I879)</f>
        <v/>
      </c>
      <c r="I725" s="3">
        <f>IF('3b-d Exposures'!K879="",0,'3b-d Exposures'!K879)</f>
        <v/>
      </c>
      <c r="J725" s="3">
        <f>IF('3b-d Exposures'!M879="",0,'3b-d Exposures'!M879)</f>
        <v/>
      </c>
      <c r="K725" s="3">
        <f>IF('3b-d Exposures'!O879="",0,'3b-d Exposures'!O879)</f>
        <v/>
      </c>
      <c r="L725" s="3">
        <f>IF('3b-d Exposures'!Q879="",0,'3b-d Exposures'!Q879)</f>
        <v/>
      </c>
      <c r="M725" s="3">
        <f>IF('3b-d Exposures'!S879="",0,'3b-d Exposures'!S879)</f>
        <v/>
      </c>
      <c r="N725" s="3">
        <f>IF('3b-d Exposures'!Z879="",0,'3b-d Exposures'!Z879)</f>
        <v/>
      </c>
      <c r="O725" s="3">
        <f>$D725</f>
        <v/>
      </c>
      <c r="P725" s="3">
        <f>E725*$D725</f>
        <v/>
      </c>
      <c r="Q725" s="3">
        <f>F725*$D725</f>
        <v/>
      </c>
      <c r="R725" s="3">
        <f>G725*$D725</f>
        <v/>
      </c>
      <c r="S725" s="3">
        <f>H725*$D725</f>
        <v/>
      </c>
      <c r="T725" s="3">
        <f>I725*$D725</f>
        <v/>
      </c>
      <c r="U725" s="3">
        <f>J725*$D725</f>
        <v/>
      </c>
      <c r="V725" s="3">
        <f>K725*$D725</f>
        <v/>
      </c>
      <c r="W725" s="3">
        <f>L725*$D725</f>
        <v/>
      </c>
      <c r="X725" s="3">
        <f>M725*$D725</f>
        <v/>
      </c>
      <c r="Y725" s="3">
        <f>N725*$D725</f>
        <v/>
      </c>
      <c r="Z725" s="3">
        <f>C725*$D725</f>
        <v/>
      </c>
      <c r="AA725" s="9">
        <f>$L978+$K978*E725+$J978*F725+$I978*G725+$H978*H725+$G978*I725+$F978*J725+$E978*K725+$D978*L725+$C978*M725+$B978*N725</f>
        <v/>
      </c>
      <c r="AB725" s="9">
        <f>C725-AA725</f>
        <v/>
      </c>
      <c r="AC725" s="4">
        <f>AB725^2</f>
        <v/>
      </c>
    </row>
    <row r="726">
      <c r="A726" t="inlineStr">
        <is>
          <t>BBG00ZXYXVP9</t>
        </is>
      </c>
      <c r="B726" t="inlineStr">
        <is>
          <t>prva</t>
        </is>
      </c>
      <c r="C726" s="9" t="n">
        <v>0.03864059317478197</v>
      </c>
      <c r="D726" s="3">
        <f>EXP(0.25*'3b-d Exposures'!G880)</f>
        <v/>
      </c>
      <c r="E726" s="3">
        <f>IF('3b-d Exposures'!C880="",0,'3b-d Exposures'!C880)</f>
        <v/>
      </c>
      <c r="F726" s="3">
        <f>IF('3b-d Exposures'!E880="",0,'3b-d Exposures'!E880)</f>
        <v/>
      </c>
      <c r="G726" s="3">
        <f>IF('3b-d Exposures'!G880="",0,'3b-d Exposures'!G880)</f>
        <v/>
      </c>
      <c r="H726" s="3">
        <f>IF('3b-d Exposures'!I880="",0,'3b-d Exposures'!I880)</f>
        <v/>
      </c>
      <c r="I726" s="3">
        <f>IF('3b-d Exposures'!K880="",0,'3b-d Exposures'!K880)</f>
        <v/>
      </c>
      <c r="J726" s="3">
        <f>IF('3b-d Exposures'!M880="",0,'3b-d Exposures'!M880)</f>
        <v/>
      </c>
      <c r="K726" s="3">
        <f>IF('3b-d Exposures'!O880="",0,'3b-d Exposures'!O880)</f>
        <v/>
      </c>
      <c r="L726" s="3">
        <f>IF('3b-d Exposures'!Q880="",0,'3b-d Exposures'!Q880)</f>
        <v/>
      </c>
      <c r="M726" s="3">
        <f>IF('3b-d Exposures'!S880="",0,'3b-d Exposures'!S880)</f>
        <v/>
      </c>
      <c r="N726" s="3">
        <f>IF('3b-d Exposures'!Z880="",0,'3b-d Exposures'!Z880)</f>
        <v/>
      </c>
      <c r="O726" s="3">
        <f>$D726</f>
        <v/>
      </c>
      <c r="P726" s="3">
        <f>E726*$D726</f>
        <v/>
      </c>
      <c r="Q726" s="3">
        <f>F726*$D726</f>
        <v/>
      </c>
      <c r="R726" s="3">
        <f>G726*$D726</f>
        <v/>
      </c>
      <c r="S726" s="3">
        <f>H726*$D726</f>
        <v/>
      </c>
      <c r="T726" s="3">
        <f>I726*$D726</f>
        <v/>
      </c>
      <c r="U726" s="3">
        <f>J726*$D726</f>
        <v/>
      </c>
      <c r="V726" s="3">
        <f>K726*$D726</f>
        <v/>
      </c>
      <c r="W726" s="3">
        <f>L726*$D726</f>
        <v/>
      </c>
      <c r="X726" s="3">
        <f>M726*$D726</f>
        <v/>
      </c>
      <c r="Y726" s="3">
        <f>N726*$D726</f>
        <v/>
      </c>
      <c r="Z726" s="3">
        <f>C726*$D726</f>
        <v/>
      </c>
      <c r="AA726" s="9">
        <f>$L978+$K978*E726+$J978*F726+$I978*G726+$H978*H726+$G978*I726+$F978*J726+$E978*K726+$D978*L726+$C978*M726+$B978*N726</f>
        <v/>
      </c>
      <c r="AB726" s="9">
        <f>C726-AA726</f>
        <v/>
      </c>
      <c r="AC726" s="4">
        <f>AB726^2</f>
        <v/>
      </c>
    </row>
    <row r="727">
      <c r="A727" t="inlineStr">
        <is>
          <t>psa</t>
        </is>
      </c>
      <c r="B727" t="inlineStr">
        <is>
          <t>psa</t>
        </is>
      </c>
      <c r="C727" s="9" t="n">
        <v>-0.01143493462668388</v>
      </c>
      <c r="D727" s="3">
        <f>EXP(0.25*'3b-d Exposures'!G881)</f>
        <v/>
      </c>
      <c r="E727" s="3">
        <f>IF('3b-d Exposures'!C881="",0,'3b-d Exposures'!C881)</f>
        <v/>
      </c>
      <c r="F727" s="3">
        <f>IF('3b-d Exposures'!E881="",0,'3b-d Exposures'!E881)</f>
        <v/>
      </c>
      <c r="G727" s="3">
        <f>IF('3b-d Exposures'!G881="",0,'3b-d Exposures'!G881)</f>
        <v/>
      </c>
      <c r="H727" s="3">
        <f>IF('3b-d Exposures'!I881="",0,'3b-d Exposures'!I881)</f>
        <v/>
      </c>
      <c r="I727" s="3">
        <f>IF('3b-d Exposures'!K881="",0,'3b-d Exposures'!K881)</f>
        <v/>
      </c>
      <c r="J727" s="3">
        <f>IF('3b-d Exposures'!M881="",0,'3b-d Exposures'!M881)</f>
        <v/>
      </c>
      <c r="K727" s="3">
        <f>IF('3b-d Exposures'!O881="",0,'3b-d Exposures'!O881)</f>
        <v/>
      </c>
      <c r="L727" s="3">
        <f>IF('3b-d Exposures'!Q881="",0,'3b-d Exposures'!Q881)</f>
        <v/>
      </c>
      <c r="M727" s="3">
        <f>IF('3b-d Exposures'!S881="",0,'3b-d Exposures'!S881)</f>
        <v/>
      </c>
      <c r="N727" s="3">
        <f>IF('3b-d Exposures'!Z881="",0,'3b-d Exposures'!Z881)</f>
        <v/>
      </c>
      <c r="O727" s="3">
        <f>$D727</f>
        <v/>
      </c>
      <c r="P727" s="3">
        <f>E727*$D727</f>
        <v/>
      </c>
      <c r="Q727" s="3">
        <f>F727*$D727</f>
        <v/>
      </c>
      <c r="R727" s="3">
        <f>G727*$D727</f>
        <v/>
      </c>
      <c r="S727" s="3">
        <f>H727*$D727</f>
        <v/>
      </c>
      <c r="T727" s="3">
        <f>I727*$D727</f>
        <v/>
      </c>
      <c r="U727" s="3">
        <f>J727*$D727</f>
        <v/>
      </c>
      <c r="V727" s="3">
        <f>K727*$D727</f>
        <v/>
      </c>
      <c r="W727" s="3">
        <f>L727*$D727</f>
        <v/>
      </c>
      <c r="X727" s="3">
        <f>M727*$D727</f>
        <v/>
      </c>
      <c r="Y727" s="3">
        <f>N727*$D727</f>
        <v/>
      </c>
      <c r="Z727" s="3">
        <f>C727*$D727</f>
        <v/>
      </c>
      <c r="AA727" s="9">
        <f>$L978+$K978*E727+$J978*F727+$I978*G727+$H978*H727+$G978*I727+$F978*J727+$E978*K727+$D978*L727+$C978*M727+$B978*N727</f>
        <v/>
      </c>
      <c r="AB727" s="9">
        <f>C727-AA727</f>
        <v/>
      </c>
      <c r="AC727" s="4">
        <f>AB727^2</f>
        <v/>
      </c>
    </row>
    <row r="728">
      <c r="A728" t="inlineStr">
        <is>
          <t>BBG000Q3RGN4</t>
        </is>
      </c>
      <c r="B728" t="inlineStr">
        <is>
          <t>psec</t>
        </is>
      </c>
      <c r="C728" s="9" t="n">
        <v>-0.04184132665534568</v>
      </c>
      <c r="D728" s="3">
        <f>EXP(0.25*'3b-d Exposures'!G882)</f>
        <v/>
      </c>
      <c r="E728" s="3">
        <f>IF('3b-d Exposures'!C882="",0,'3b-d Exposures'!C882)</f>
        <v/>
      </c>
      <c r="F728" s="3">
        <f>IF('3b-d Exposures'!E882="",0,'3b-d Exposures'!E882)</f>
        <v/>
      </c>
      <c r="G728" s="3">
        <f>IF('3b-d Exposures'!G882="",0,'3b-d Exposures'!G882)</f>
        <v/>
      </c>
      <c r="H728" s="3">
        <f>IF('3b-d Exposures'!I882="",0,'3b-d Exposures'!I882)</f>
        <v/>
      </c>
      <c r="I728" s="3">
        <f>IF('3b-d Exposures'!K882="",0,'3b-d Exposures'!K882)</f>
        <v/>
      </c>
      <c r="J728" s="3">
        <f>IF('3b-d Exposures'!M882="",0,'3b-d Exposures'!M882)</f>
        <v/>
      </c>
      <c r="K728" s="3">
        <f>IF('3b-d Exposures'!O882="",0,'3b-d Exposures'!O882)</f>
        <v/>
      </c>
      <c r="L728" s="3">
        <f>IF('3b-d Exposures'!Q882="",0,'3b-d Exposures'!Q882)</f>
        <v/>
      </c>
      <c r="M728" s="3">
        <f>IF('3b-d Exposures'!S882="",0,'3b-d Exposures'!S882)</f>
        <v/>
      </c>
      <c r="N728" s="3">
        <f>IF('3b-d Exposures'!Z882="",0,'3b-d Exposures'!Z882)</f>
        <v/>
      </c>
      <c r="O728" s="3">
        <f>$D728</f>
        <v/>
      </c>
      <c r="P728" s="3">
        <f>E728*$D728</f>
        <v/>
      </c>
      <c r="Q728" s="3">
        <f>F728*$D728</f>
        <v/>
      </c>
      <c r="R728" s="3">
        <f>G728*$D728</f>
        <v/>
      </c>
      <c r="S728" s="3">
        <f>H728*$D728</f>
        <v/>
      </c>
      <c r="T728" s="3">
        <f>I728*$D728</f>
        <v/>
      </c>
      <c r="U728" s="3">
        <f>J728*$D728</f>
        <v/>
      </c>
      <c r="V728" s="3">
        <f>K728*$D728</f>
        <v/>
      </c>
      <c r="W728" s="3">
        <f>L728*$D728</f>
        <v/>
      </c>
      <c r="X728" s="3">
        <f>M728*$D728</f>
        <v/>
      </c>
      <c r="Y728" s="3">
        <f>N728*$D728</f>
        <v/>
      </c>
      <c r="Z728" s="3">
        <f>C728*$D728</f>
        <v/>
      </c>
      <c r="AA728" s="9">
        <f>$L978+$K978*E728+$J978*F728+$I978*G728+$H978*H728+$G978*I728+$F978*J728+$E978*K728+$D978*L728+$C978*M728+$B978*N728</f>
        <v/>
      </c>
      <c r="AB728" s="9">
        <f>C728-AA728</f>
        <v/>
      </c>
      <c r="AC728" s="4">
        <f>AB728^2</f>
        <v/>
      </c>
    </row>
    <row r="729">
      <c r="A729" t="inlineStr">
        <is>
          <t>BBG000C3TKY6</t>
        </is>
      </c>
      <c r="B729" t="inlineStr">
        <is>
          <t>psn</t>
        </is>
      </c>
      <c r="C729" s="9" t="n">
        <v>0.0007298476921222541</v>
      </c>
      <c r="D729" s="3">
        <f>EXP(0.25*'3b-d Exposures'!G884)</f>
        <v/>
      </c>
      <c r="E729" s="3">
        <f>IF('3b-d Exposures'!C884="",0,'3b-d Exposures'!C884)</f>
        <v/>
      </c>
      <c r="F729" s="3">
        <f>IF('3b-d Exposures'!E884="",0,'3b-d Exposures'!E884)</f>
        <v/>
      </c>
      <c r="G729" s="3">
        <f>IF('3b-d Exposures'!G884="",0,'3b-d Exposures'!G884)</f>
        <v/>
      </c>
      <c r="H729" s="3">
        <f>IF('3b-d Exposures'!I884="",0,'3b-d Exposures'!I884)</f>
        <v/>
      </c>
      <c r="I729" s="3">
        <f>IF('3b-d Exposures'!K884="",0,'3b-d Exposures'!K884)</f>
        <v/>
      </c>
      <c r="J729" s="3">
        <f>IF('3b-d Exposures'!M884="",0,'3b-d Exposures'!M884)</f>
        <v/>
      </c>
      <c r="K729" s="3">
        <f>IF('3b-d Exposures'!O884="",0,'3b-d Exposures'!O884)</f>
        <v/>
      </c>
      <c r="L729" s="3">
        <f>IF('3b-d Exposures'!Q884="",0,'3b-d Exposures'!Q884)</f>
        <v/>
      </c>
      <c r="M729" s="3">
        <f>IF('3b-d Exposures'!S884="",0,'3b-d Exposures'!S884)</f>
        <v/>
      </c>
      <c r="N729" s="3">
        <f>IF('3b-d Exposures'!Z884="",0,'3b-d Exposures'!Z884)</f>
        <v/>
      </c>
      <c r="O729" s="3">
        <f>$D729</f>
        <v/>
      </c>
      <c r="P729" s="3">
        <f>E729*$D729</f>
        <v/>
      </c>
      <c r="Q729" s="3">
        <f>F729*$D729</f>
        <v/>
      </c>
      <c r="R729" s="3">
        <f>G729*$D729</f>
        <v/>
      </c>
      <c r="S729" s="3">
        <f>H729*$D729</f>
        <v/>
      </c>
      <c r="T729" s="3">
        <f>I729*$D729</f>
        <v/>
      </c>
      <c r="U729" s="3">
        <f>J729*$D729</f>
        <v/>
      </c>
      <c r="V729" s="3">
        <f>K729*$D729</f>
        <v/>
      </c>
      <c r="W729" s="3">
        <f>L729*$D729</f>
        <v/>
      </c>
      <c r="X729" s="3">
        <f>M729*$D729</f>
        <v/>
      </c>
      <c r="Y729" s="3">
        <f>N729*$D729</f>
        <v/>
      </c>
      <c r="Z729" s="3">
        <f>C729*$D729</f>
        <v/>
      </c>
      <c r="AA729" s="9">
        <f>$L978+$K978*E729+$J978*F729+$I978*G729+$H978*H729+$G978*I729+$F978*J729+$E978*K729+$D978*L729+$C978*M729+$B978*N729</f>
        <v/>
      </c>
      <c r="AB729" s="9">
        <f>C729-AA729</f>
        <v/>
      </c>
      <c r="AC729" s="4">
        <f>AB729^2</f>
        <v/>
      </c>
    </row>
    <row r="730">
      <c r="A730" t="inlineStr">
        <is>
          <t>BBG00286S4N9</t>
        </is>
      </c>
      <c r="B730" t="inlineStr">
        <is>
          <t>psx</t>
        </is>
      </c>
      <c r="C730" s="9" t="n">
        <v>0.01828633759650944</v>
      </c>
      <c r="D730" s="3">
        <f>EXP(0.25*'3b-d Exposures'!G885)</f>
        <v/>
      </c>
      <c r="E730" s="3">
        <f>IF('3b-d Exposures'!C885="",0,'3b-d Exposures'!C885)</f>
        <v/>
      </c>
      <c r="F730" s="3">
        <f>IF('3b-d Exposures'!E885="",0,'3b-d Exposures'!E885)</f>
        <v/>
      </c>
      <c r="G730" s="3">
        <f>IF('3b-d Exposures'!G885="",0,'3b-d Exposures'!G885)</f>
        <v/>
      </c>
      <c r="H730" s="3">
        <f>IF('3b-d Exposures'!I885="",0,'3b-d Exposures'!I885)</f>
        <v/>
      </c>
      <c r="I730" s="3">
        <f>IF('3b-d Exposures'!K885="",0,'3b-d Exposures'!K885)</f>
        <v/>
      </c>
      <c r="J730" s="3">
        <f>IF('3b-d Exposures'!M885="",0,'3b-d Exposures'!M885)</f>
        <v/>
      </c>
      <c r="K730" s="3">
        <f>IF('3b-d Exposures'!O885="",0,'3b-d Exposures'!O885)</f>
        <v/>
      </c>
      <c r="L730" s="3">
        <f>IF('3b-d Exposures'!Q885="",0,'3b-d Exposures'!Q885)</f>
        <v/>
      </c>
      <c r="M730" s="3">
        <f>IF('3b-d Exposures'!S885="",0,'3b-d Exposures'!S885)</f>
        <v/>
      </c>
      <c r="N730" s="3">
        <f>IF('3b-d Exposures'!Z885="",0,'3b-d Exposures'!Z885)</f>
        <v/>
      </c>
      <c r="O730" s="3">
        <f>$D730</f>
        <v/>
      </c>
      <c r="P730" s="3">
        <f>E730*$D730</f>
        <v/>
      </c>
      <c r="Q730" s="3">
        <f>F730*$D730</f>
        <v/>
      </c>
      <c r="R730" s="3">
        <f>G730*$D730</f>
        <v/>
      </c>
      <c r="S730" s="3">
        <f>H730*$D730</f>
        <v/>
      </c>
      <c r="T730" s="3">
        <f>I730*$D730</f>
        <v/>
      </c>
      <c r="U730" s="3">
        <f>J730*$D730</f>
        <v/>
      </c>
      <c r="V730" s="3">
        <f>K730*$D730</f>
        <v/>
      </c>
      <c r="W730" s="3">
        <f>L730*$D730</f>
        <v/>
      </c>
      <c r="X730" s="3">
        <f>M730*$D730</f>
        <v/>
      </c>
      <c r="Y730" s="3">
        <f>N730*$D730</f>
        <v/>
      </c>
      <c r="Z730" s="3">
        <f>C730*$D730</f>
        <v/>
      </c>
      <c r="AA730" s="9">
        <f>$L978+$K978*E730+$J978*F730+$I978*G730+$H978*H730+$G978*I730+$F978*J730+$E978*K730+$D978*L730+$C978*M730+$B978*N730</f>
        <v/>
      </c>
      <c r="AB730" s="9">
        <f>C730-AA730</f>
        <v/>
      </c>
      <c r="AC730" s="4">
        <f>AB730^2</f>
        <v/>
      </c>
    </row>
    <row r="731">
      <c r="A731" t="inlineStr">
        <is>
          <t>BBG000C2VBB0</t>
        </is>
      </c>
      <c r="B731" t="inlineStr">
        <is>
          <t>ptc</t>
        </is>
      </c>
      <c r="C731" s="9" t="n">
        <v>-0.003398943737276117</v>
      </c>
      <c r="D731" s="3">
        <f>EXP(0.25*'3b-d Exposures'!G886)</f>
        <v/>
      </c>
      <c r="E731" s="3">
        <f>IF('3b-d Exposures'!C886="",0,'3b-d Exposures'!C886)</f>
        <v/>
      </c>
      <c r="F731" s="3">
        <f>IF('3b-d Exposures'!E886="",0,'3b-d Exposures'!E886)</f>
        <v/>
      </c>
      <c r="G731" s="3">
        <f>IF('3b-d Exposures'!G886="",0,'3b-d Exposures'!G886)</f>
        <v/>
      </c>
      <c r="H731" s="3">
        <f>IF('3b-d Exposures'!I886="",0,'3b-d Exposures'!I886)</f>
        <v/>
      </c>
      <c r="I731" s="3">
        <f>IF('3b-d Exposures'!K886="",0,'3b-d Exposures'!K886)</f>
        <v/>
      </c>
      <c r="J731" s="3">
        <f>IF('3b-d Exposures'!M886="",0,'3b-d Exposures'!M886)</f>
        <v/>
      </c>
      <c r="K731" s="3">
        <f>IF('3b-d Exposures'!O886="",0,'3b-d Exposures'!O886)</f>
        <v/>
      </c>
      <c r="L731" s="3">
        <f>IF('3b-d Exposures'!Q886="",0,'3b-d Exposures'!Q886)</f>
        <v/>
      </c>
      <c r="M731" s="3">
        <f>IF('3b-d Exposures'!S886="",0,'3b-d Exposures'!S886)</f>
        <v/>
      </c>
      <c r="N731" s="3">
        <f>IF('3b-d Exposures'!Z886="",0,'3b-d Exposures'!Z886)</f>
        <v/>
      </c>
      <c r="O731" s="3">
        <f>$D731</f>
        <v/>
      </c>
      <c r="P731" s="3">
        <f>E731*$D731</f>
        <v/>
      </c>
      <c r="Q731" s="3">
        <f>F731*$D731</f>
        <v/>
      </c>
      <c r="R731" s="3">
        <f>G731*$D731</f>
        <v/>
      </c>
      <c r="S731" s="3">
        <f>H731*$D731</f>
        <v/>
      </c>
      <c r="T731" s="3">
        <f>I731*$D731</f>
        <v/>
      </c>
      <c r="U731" s="3">
        <f>J731*$D731</f>
        <v/>
      </c>
      <c r="V731" s="3">
        <f>K731*$D731</f>
        <v/>
      </c>
      <c r="W731" s="3">
        <f>L731*$D731</f>
        <v/>
      </c>
      <c r="X731" s="3">
        <f>M731*$D731</f>
        <v/>
      </c>
      <c r="Y731" s="3">
        <f>N731*$D731</f>
        <v/>
      </c>
      <c r="Z731" s="3">
        <f>C731*$D731</f>
        <v/>
      </c>
      <c r="AA731" s="9">
        <f>$L978+$K978*E731+$J978*F731+$I978*G731+$H978*H731+$G978*I731+$F978*J731+$E978*K731+$D978*L731+$C978*M731+$B978*N731</f>
        <v/>
      </c>
      <c r="AB731" s="9">
        <f>C731-AA731</f>
        <v/>
      </c>
      <c r="AC731" s="4">
        <f>AB731^2</f>
        <v/>
      </c>
    </row>
    <row r="732">
      <c r="A732" t="inlineStr">
        <is>
          <t>BBG002B63KM7</t>
        </is>
      </c>
      <c r="B732" t="inlineStr">
        <is>
          <t>ptgx</t>
        </is>
      </c>
      <c r="C732" s="9" t="n">
        <v>-0.01232878824049</v>
      </c>
      <c r="D732" s="3">
        <f>EXP(0.25*'3b-d Exposures'!G887)</f>
        <v/>
      </c>
      <c r="E732" s="3">
        <f>IF('3b-d Exposures'!C887="",0,'3b-d Exposures'!C887)</f>
        <v/>
      </c>
      <c r="F732" s="3">
        <f>IF('3b-d Exposures'!E887="",0,'3b-d Exposures'!E887)</f>
        <v/>
      </c>
      <c r="G732" s="3">
        <f>IF('3b-d Exposures'!G887="",0,'3b-d Exposures'!G887)</f>
        <v/>
      </c>
      <c r="H732" s="3">
        <f>IF('3b-d Exposures'!I887="",0,'3b-d Exposures'!I887)</f>
        <v/>
      </c>
      <c r="I732" s="3">
        <f>IF('3b-d Exposures'!K887="",0,'3b-d Exposures'!K887)</f>
        <v/>
      </c>
      <c r="J732" s="3">
        <f>IF('3b-d Exposures'!M887="",0,'3b-d Exposures'!M887)</f>
        <v/>
      </c>
      <c r="K732" s="3">
        <f>IF('3b-d Exposures'!O887="",0,'3b-d Exposures'!O887)</f>
        <v/>
      </c>
      <c r="L732" s="3">
        <f>IF('3b-d Exposures'!Q887="",0,'3b-d Exposures'!Q887)</f>
        <v/>
      </c>
      <c r="M732" s="3">
        <f>IF('3b-d Exposures'!S887="",0,'3b-d Exposures'!S887)</f>
        <v/>
      </c>
      <c r="N732" s="3">
        <f>IF('3b-d Exposures'!Z887="",0,'3b-d Exposures'!Z887)</f>
        <v/>
      </c>
      <c r="O732" s="3">
        <f>$D732</f>
        <v/>
      </c>
      <c r="P732" s="3">
        <f>E732*$D732</f>
        <v/>
      </c>
      <c r="Q732" s="3">
        <f>F732*$D732</f>
        <v/>
      </c>
      <c r="R732" s="3">
        <f>G732*$D732</f>
        <v/>
      </c>
      <c r="S732" s="3">
        <f>H732*$D732</f>
        <v/>
      </c>
      <c r="T732" s="3">
        <f>I732*$D732</f>
        <v/>
      </c>
      <c r="U732" s="3">
        <f>J732*$D732</f>
        <v/>
      </c>
      <c r="V732" s="3">
        <f>K732*$D732</f>
        <v/>
      </c>
      <c r="W732" s="3">
        <f>L732*$D732</f>
        <v/>
      </c>
      <c r="X732" s="3">
        <f>M732*$D732</f>
        <v/>
      </c>
      <c r="Y732" s="3">
        <f>N732*$D732</f>
        <v/>
      </c>
      <c r="Z732" s="3">
        <f>C732*$D732</f>
        <v/>
      </c>
      <c r="AA732" s="9">
        <f>$L978+$K978*E732+$J978*F732+$I978*G732+$H978*H732+$G978*I732+$F978*J732+$E978*K732+$D978*L732+$C978*M732+$B978*N732</f>
        <v/>
      </c>
      <c r="AB732" s="9">
        <f>C732-AA732</f>
        <v/>
      </c>
      <c r="AC732" s="4">
        <f>AB732^2</f>
        <v/>
      </c>
    </row>
    <row r="733">
      <c r="A733" t="inlineStr">
        <is>
          <t>BBG000BRRG02</t>
        </is>
      </c>
      <c r="B733" t="inlineStr">
        <is>
          <t>pvh</t>
        </is>
      </c>
      <c r="C733" s="9" t="n">
        <v>0.02583728767080529</v>
      </c>
      <c r="D733" s="3">
        <f>EXP(0.25*'3b-d Exposures'!G890)</f>
        <v/>
      </c>
      <c r="E733" s="3">
        <f>IF('3b-d Exposures'!C890="",0,'3b-d Exposures'!C890)</f>
        <v/>
      </c>
      <c r="F733" s="3">
        <f>IF('3b-d Exposures'!E890="",0,'3b-d Exposures'!E890)</f>
        <v/>
      </c>
      <c r="G733" s="3">
        <f>IF('3b-d Exposures'!G890="",0,'3b-d Exposures'!G890)</f>
        <v/>
      </c>
      <c r="H733" s="3">
        <f>IF('3b-d Exposures'!I890="",0,'3b-d Exposures'!I890)</f>
        <v/>
      </c>
      <c r="I733" s="3">
        <f>IF('3b-d Exposures'!K890="",0,'3b-d Exposures'!K890)</f>
        <v/>
      </c>
      <c r="J733" s="3">
        <f>IF('3b-d Exposures'!M890="",0,'3b-d Exposures'!M890)</f>
        <v/>
      </c>
      <c r="K733" s="3">
        <f>IF('3b-d Exposures'!O890="",0,'3b-d Exposures'!O890)</f>
        <v/>
      </c>
      <c r="L733" s="3">
        <f>IF('3b-d Exposures'!Q890="",0,'3b-d Exposures'!Q890)</f>
        <v/>
      </c>
      <c r="M733" s="3">
        <f>IF('3b-d Exposures'!S890="",0,'3b-d Exposures'!S890)</f>
        <v/>
      </c>
      <c r="N733" s="3">
        <f>IF('3b-d Exposures'!Z890="",0,'3b-d Exposures'!Z890)</f>
        <v/>
      </c>
      <c r="O733" s="3">
        <f>$D733</f>
        <v/>
      </c>
      <c r="P733" s="3">
        <f>E733*$D733</f>
        <v/>
      </c>
      <c r="Q733" s="3">
        <f>F733*$D733</f>
        <v/>
      </c>
      <c r="R733" s="3">
        <f>G733*$D733</f>
        <v/>
      </c>
      <c r="S733" s="3">
        <f>H733*$D733</f>
        <v/>
      </c>
      <c r="T733" s="3">
        <f>I733*$D733</f>
        <v/>
      </c>
      <c r="U733" s="3">
        <f>J733*$D733</f>
        <v/>
      </c>
      <c r="V733" s="3">
        <f>K733*$D733</f>
        <v/>
      </c>
      <c r="W733" s="3">
        <f>L733*$D733</f>
        <v/>
      </c>
      <c r="X733" s="3">
        <f>M733*$D733</f>
        <v/>
      </c>
      <c r="Y733" s="3">
        <f>N733*$D733</f>
        <v/>
      </c>
      <c r="Z733" s="3">
        <f>C733*$D733</f>
        <v/>
      </c>
      <c r="AA733" s="9">
        <f>$L978+$K978*E733+$J978*F733+$I978*G733+$H978*H733+$G978*I733+$F978*J733+$E978*K733+$D978*L733+$C978*M733+$B978*N733</f>
        <v/>
      </c>
      <c r="AB733" s="9">
        <f>C733-AA733</f>
        <v/>
      </c>
      <c r="AC733" s="4">
        <f>AB733^2</f>
        <v/>
      </c>
    </row>
    <row r="734">
      <c r="A734" t="inlineStr">
        <is>
          <t>pwr</t>
        </is>
      </c>
      <c r="B734" t="inlineStr">
        <is>
          <t>pwr</t>
        </is>
      </c>
      <c r="C734" s="9" t="n">
        <v>-0.006356663072634716</v>
      </c>
      <c r="D734" s="3">
        <f>EXP(0.25*'3b-d Exposures'!G891)</f>
        <v/>
      </c>
      <c r="E734" s="3">
        <f>IF('3b-d Exposures'!C891="",0,'3b-d Exposures'!C891)</f>
        <v/>
      </c>
      <c r="F734" s="3">
        <f>IF('3b-d Exposures'!E891="",0,'3b-d Exposures'!E891)</f>
        <v/>
      </c>
      <c r="G734" s="3">
        <f>IF('3b-d Exposures'!G891="",0,'3b-d Exposures'!G891)</f>
        <v/>
      </c>
      <c r="H734" s="3">
        <f>IF('3b-d Exposures'!I891="",0,'3b-d Exposures'!I891)</f>
        <v/>
      </c>
      <c r="I734" s="3">
        <f>IF('3b-d Exposures'!K891="",0,'3b-d Exposures'!K891)</f>
        <v/>
      </c>
      <c r="J734" s="3">
        <f>IF('3b-d Exposures'!M891="",0,'3b-d Exposures'!M891)</f>
        <v/>
      </c>
      <c r="K734" s="3">
        <f>IF('3b-d Exposures'!O891="",0,'3b-d Exposures'!O891)</f>
        <v/>
      </c>
      <c r="L734" s="3">
        <f>IF('3b-d Exposures'!Q891="",0,'3b-d Exposures'!Q891)</f>
        <v/>
      </c>
      <c r="M734" s="3">
        <f>IF('3b-d Exposures'!S891="",0,'3b-d Exposures'!S891)</f>
        <v/>
      </c>
      <c r="N734" s="3">
        <f>IF('3b-d Exposures'!Z891="",0,'3b-d Exposures'!Z891)</f>
        <v/>
      </c>
      <c r="O734" s="3">
        <f>$D734</f>
        <v/>
      </c>
      <c r="P734" s="3">
        <f>E734*$D734</f>
        <v/>
      </c>
      <c r="Q734" s="3">
        <f>F734*$D734</f>
        <v/>
      </c>
      <c r="R734" s="3">
        <f>G734*$D734</f>
        <v/>
      </c>
      <c r="S734" s="3">
        <f>H734*$D734</f>
        <v/>
      </c>
      <c r="T734" s="3">
        <f>I734*$D734</f>
        <v/>
      </c>
      <c r="U734" s="3">
        <f>J734*$D734</f>
        <v/>
      </c>
      <c r="V734" s="3">
        <f>K734*$D734</f>
        <v/>
      </c>
      <c r="W734" s="3">
        <f>L734*$D734</f>
        <v/>
      </c>
      <c r="X734" s="3">
        <f>M734*$D734</f>
        <v/>
      </c>
      <c r="Y734" s="3">
        <f>N734*$D734</f>
        <v/>
      </c>
      <c r="Z734" s="3">
        <f>C734*$D734</f>
        <v/>
      </c>
      <c r="AA734" s="9">
        <f>$L978+$K978*E734+$J978*F734+$I978*G734+$H978*H734+$G978*I734+$F978*J734+$E978*K734+$D978*L734+$C978*M734+$B978*N734</f>
        <v/>
      </c>
      <c r="AB734" s="9">
        <f>C734-AA734</f>
        <v/>
      </c>
      <c r="AC734" s="4">
        <f>AB734^2</f>
        <v/>
      </c>
    </row>
    <row r="735">
      <c r="A735" t="inlineStr">
        <is>
          <t>BBG0077VNXV6</t>
        </is>
      </c>
      <c r="B735" t="inlineStr">
        <is>
          <t>pypl</t>
        </is>
      </c>
      <c r="C735" s="9" t="n">
        <v>-0.002765828037617268</v>
      </c>
      <c r="D735" s="3">
        <f>EXP(0.25*'3b-d Exposures'!G892)</f>
        <v/>
      </c>
      <c r="E735" s="3">
        <f>IF('3b-d Exposures'!C892="",0,'3b-d Exposures'!C892)</f>
        <v/>
      </c>
      <c r="F735" s="3">
        <f>IF('3b-d Exposures'!E892="",0,'3b-d Exposures'!E892)</f>
        <v/>
      </c>
      <c r="G735" s="3">
        <f>IF('3b-d Exposures'!G892="",0,'3b-d Exposures'!G892)</f>
        <v/>
      </c>
      <c r="H735" s="3">
        <f>IF('3b-d Exposures'!I892="",0,'3b-d Exposures'!I892)</f>
        <v/>
      </c>
      <c r="I735" s="3">
        <f>IF('3b-d Exposures'!K892="",0,'3b-d Exposures'!K892)</f>
        <v/>
      </c>
      <c r="J735" s="3">
        <f>IF('3b-d Exposures'!M892="",0,'3b-d Exposures'!M892)</f>
        <v/>
      </c>
      <c r="K735" s="3">
        <f>IF('3b-d Exposures'!O892="",0,'3b-d Exposures'!O892)</f>
        <v/>
      </c>
      <c r="L735" s="3">
        <f>IF('3b-d Exposures'!Q892="",0,'3b-d Exposures'!Q892)</f>
        <v/>
      </c>
      <c r="M735" s="3">
        <f>IF('3b-d Exposures'!S892="",0,'3b-d Exposures'!S892)</f>
        <v/>
      </c>
      <c r="N735" s="3">
        <f>IF('3b-d Exposures'!Z892="",0,'3b-d Exposures'!Z892)</f>
        <v/>
      </c>
      <c r="O735" s="3">
        <f>$D735</f>
        <v/>
      </c>
      <c r="P735" s="3">
        <f>E735*$D735</f>
        <v/>
      </c>
      <c r="Q735" s="3">
        <f>F735*$D735</f>
        <v/>
      </c>
      <c r="R735" s="3">
        <f>G735*$D735</f>
        <v/>
      </c>
      <c r="S735" s="3">
        <f>H735*$D735</f>
        <v/>
      </c>
      <c r="T735" s="3">
        <f>I735*$D735</f>
        <v/>
      </c>
      <c r="U735" s="3">
        <f>J735*$D735</f>
        <v/>
      </c>
      <c r="V735" s="3">
        <f>K735*$D735</f>
        <v/>
      </c>
      <c r="W735" s="3">
        <f>L735*$D735</f>
        <v/>
      </c>
      <c r="X735" s="3">
        <f>M735*$D735</f>
        <v/>
      </c>
      <c r="Y735" s="3">
        <f>N735*$D735</f>
        <v/>
      </c>
      <c r="Z735" s="3">
        <f>C735*$D735</f>
        <v/>
      </c>
      <c r="AA735" s="9">
        <f>$L978+$K978*E735+$J978*F735+$I978*G735+$H978*H735+$G978*I735+$F978*J735+$E978*K735+$D978*L735+$C978*M735+$B978*N735</f>
        <v/>
      </c>
      <c r="AB735" s="9">
        <f>C735-AA735</f>
        <v/>
      </c>
      <c r="AC735" s="4">
        <f>AB735^2</f>
        <v/>
      </c>
    </row>
    <row r="736">
      <c r="A736" t="inlineStr">
        <is>
          <t>BBG000BFWF13</t>
        </is>
      </c>
      <c r="B736" t="inlineStr">
        <is>
          <t>pzza</t>
        </is>
      </c>
      <c r="C736" s="9" t="n">
        <v>-0.005819802900636217</v>
      </c>
      <c r="D736" s="3">
        <f>EXP(0.25*'3b-d Exposures'!G893)</f>
        <v/>
      </c>
      <c r="E736" s="3">
        <f>IF('3b-d Exposures'!C893="",0,'3b-d Exposures'!C893)</f>
        <v/>
      </c>
      <c r="F736" s="3">
        <f>IF('3b-d Exposures'!E893="",0,'3b-d Exposures'!E893)</f>
        <v/>
      </c>
      <c r="G736" s="3">
        <f>IF('3b-d Exposures'!G893="",0,'3b-d Exposures'!G893)</f>
        <v/>
      </c>
      <c r="H736" s="3">
        <f>IF('3b-d Exposures'!I893="",0,'3b-d Exposures'!I893)</f>
        <v/>
      </c>
      <c r="I736" s="3">
        <f>IF('3b-d Exposures'!K893="",0,'3b-d Exposures'!K893)</f>
        <v/>
      </c>
      <c r="J736" s="3">
        <f>IF('3b-d Exposures'!M893="",0,'3b-d Exposures'!M893)</f>
        <v/>
      </c>
      <c r="K736" s="3">
        <f>IF('3b-d Exposures'!O893="",0,'3b-d Exposures'!O893)</f>
        <v/>
      </c>
      <c r="L736" s="3">
        <f>IF('3b-d Exposures'!Q893="",0,'3b-d Exposures'!Q893)</f>
        <v/>
      </c>
      <c r="M736" s="3">
        <f>IF('3b-d Exposures'!S893="",0,'3b-d Exposures'!S893)</f>
        <v/>
      </c>
      <c r="N736" s="3">
        <f>IF('3b-d Exposures'!Z893="",0,'3b-d Exposures'!Z893)</f>
        <v/>
      </c>
      <c r="O736" s="3">
        <f>$D736</f>
        <v/>
      </c>
      <c r="P736" s="3">
        <f>E736*$D736</f>
        <v/>
      </c>
      <c r="Q736" s="3">
        <f>F736*$D736</f>
        <v/>
      </c>
      <c r="R736" s="3">
        <f>G736*$D736</f>
        <v/>
      </c>
      <c r="S736" s="3">
        <f>H736*$D736</f>
        <v/>
      </c>
      <c r="T736" s="3">
        <f>I736*$D736</f>
        <v/>
      </c>
      <c r="U736" s="3">
        <f>J736*$D736</f>
        <v/>
      </c>
      <c r="V736" s="3">
        <f>K736*$D736</f>
        <v/>
      </c>
      <c r="W736" s="3">
        <f>L736*$D736</f>
        <v/>
      </c>
      <c r="X736" s="3">
        <f>M736*$D736</f>
        <v/>
      </c>
      <c r="Y736" s="3">
        <f>N736*$D736</f>
        <v/>
      </c>
      <c r="Z736" s="3">
        <f>C736*$D736</f>
        <v/>
      </c>
      <c r="AA736" s="9">
        <f>$L978+$K978*E736+$J978*F736+$I978*G736+$H978*H736+$G978*I736+$F978*J736+$E978*K736+$D978*L736+$C978*M736+$B978*N736</f>
        <v/>
      </c>
      <c r="AB736" s="9">
        <f>C736-AA736</f>
        <v/>
      </c>
      <c r="AC736" s="4">
        <f>AB736^2</f>
        <v/>
      </c>
    </row>
    <row r="737">
      <c r="A737" t="inlineStr">
        <is>
          <t>BBG000CGC1X8</t>
        </is>
      </c>
      <c r="B737" t="inlineStr">
        <is>
          <t>qcom</t>
        </is>
      </c>
      <c r="C737" s="9" t="n">
        <v>0.0283856871378132</v>
      </c>
      <c r="D737" s="3">
        <f>EXP(0.25*'3b-d Exposures'!G895)</f>
        <v/>
      </c>
      <c r="E737" s="3">
        <f>IF('3b-d Exposures'!C895="",0,'3b-d Exposures'!C895)</f>
        <v/>
      </c>
      <c r="F737" s="3">
        <f>IF('3b-d Exposures'!E895="",0,'3b-d Exposures'!E895)</f>
        <v/>
      </c>
      <c r="G737" s="3">
        <f>IF('3b-d Exposures'!G895="",0,'3b-d Exposures'!G895)</f>
        <v/>
      </c>
      <c r="H737" s="3">
        <f>IF('3b-d Exposures'!I895="",0,'3b-d Exposures'!I895)</f>
        <v/>
      </c>
      <c r="I737" s="3">
        <f>IF('3b-d Exposures'!K895="",0,'3b-d Exposures'!K895)</f>
        <v/>
      </c>
      <c r="J737" s="3">
        <f>IF('3b-d Exposures'!M895="",0,'3b-d Exposures'!M895)</f>
        <v/>
      </c>
      <c r="K737" s="3">
        <f>IF('3b-d Exposures'!O895="",0,'3b-d Exposures'!O895)</f>
        <v/>
      </c>
      <c r="L737" s="3">
        <f>IF('3b-d Exposures'!Q895="",0,'3b-d Exposures'!Q895)</f>
        <v/>
      </c>
      <c r="M737" s="3">
        <f>IF('3b-d Exposures'!S895="",0,'3b-d Exposures'!S895)</f>
        <v/>
      </c>
      <c r="N737" s="3">
        <f>IF('3b-d Exposures'!Z895="",0,'3b-d Exposures'!Z895)</f>
        <v/>
      </c>
      <c r="O737" s="3">
        <f>$D737</f>
        <v/>
      </c>
      <c r="P737" s="3">
        <f>E737*$D737</f>
        <v/>
      </c>
      <c r="Q737" s="3">
        <f>F737*$D737</f>
        <v/>
      </c>
      <c r="R737" s="3">
        <f>G737*$D737</f>
        <v/>
      </c>
      <c r="S737" s="3">
        <f>H737*$D737</f>
        <v/>
      </c>
      <c r="T737" s="3">
        <f>I737*$D737</f>
        <v/>
      </c>
      <c r="U737" s="3">
        <f>J737*$D737</f>
        <v/>
      </c>
      <c r="V737" s="3">
        <f>K737*$D737</f>
        <v/>
      </c>
      <c r="W737" s="3">
        <f>L737*$D737</f>
        <v/>
      </c>
      <c r="X737" s="3">
        <f>M737*$D737</f>
        <v/>
      </c>
      <c r="Y737" s="3">
        <f>N737*$D737</f>
        <v/>
      </c>
      <c r="Z737" s="3">
        <f>C737*$D737</f>
        <v/>
      </c>
      <c r="AA737" s="9">
        <f>$L978+$K978*E737+$J978*F737+$I978*G737+$H978*H737+$G978*I737+$F978*J737+$E978*K737+$D978*L737+$C978*M737+$B978*N737</f>
        <v/>
      </c>
      <c r="AB737" s="9">
        <f>C737-AA737</f>
        <v/>
      </c>
      <c r="AC737" s="4">
        <f>AB737^2</f>
        <v/>
      </c>
    </row>
    <row r="738">
      <c r="A738" t="inlineStr">
        <is>
          <t>BBG00VJ17DS2</t>
        </is>
      </c>
      <c r="B738" t="inlineStr">
        <is>
          <t>qs</t>
        </is>
      </c>
      <c r="C738" s="9" t="n">
        <v>-0.005736177762703742</v>
      </c>
      <c r="D738" s="3">
        <f>EXP(0.25*'3b-d Exposures'!G897)</f>
        <v/>
      </c>
      <c r="E738" s="3">
        <f>IF('3b-d Exposures'!C897="",0,'3b-d Exposures'!C897)</f>
        <v/>
      </c>
      <c r="F738" s="3">
        <f>IF('3b-d Exposures'!E897="",0,'3b-d Exposures'!E897)</f>
        <v/>
      </c>
      <c r="G738" s="3">
        <f>IF('3b-d Exposures'!G897="",0,'3b-d Exposures'!G897)</f>
        <v/>
      </c>
      <c r="H738" s="3">
        <f>IF('3b-d Exposures'!I897="",0,'3b-d Exposures'!I897)</f>
        <v/>
      </c>
      <c r="I738" s="3">
        <f>IF('3b-d Exposures'!K897="",0,'3b-d Exposures'!K897)</f>
        <v/>
      </c>
      <c r="J738" s="3">
        <f>IF('3b-d Exposures'!M897="",0,'3b-d Exposures'!M897)</f>
        <v/>
      </c>
      <c r="K738" s="3">
        <f>IF('3b-d Exposures'!O897="",0,'3b-d Exposures'!O897)</f>
        <v/>
      </c>
      <c r="L738" s="3">
        <f>IF('3b-d Exposures'!Q897="",0,'3b-d Exposures'!Q897)</f>
        <v/>
      </c>
      <c r="M738" s="3">
        <f>IF('3b-d Exposures'!S897="",0,'3b-d Exposures'!S897)</f>
        <v/>
      </c>
      <c r="N738" s="3">
        <f>IF('3b-d Exposures'!Z897="",0,'3b-d Exposures'!Z897)</f>
        <v/>
      </c>
      <c r="O738" s="3">
        <f>$D738</f>
        <v/>
      </c>
      <c r="P738" s="3">
        <f>E738*$D738</f>
        <v/>
      </c>
      <c r="Q738" s="3">
        <f>F738*$D738</f>
        <v/>
      </c>
      <c r="R738" s="3">
        <f>G738*$D738</f>
        <v/>
      </c>
      <c r="S738" s="3">
        <f>H738*$D738</f>
        <v/>
      </c>
      <c r="T738" s="3">
        <f>I738*$D738</f>
        <v/>
      </c>
      <c r="U738" s="3">
        <f>J738*$D738</f>
        <v/>
      </c>
      <c r="V738" s="3">
        <f>K738*$D738</f>
        <v/>
      </c>
      <c r="W738" s="3">
        <f>L738*$D738</f>
        <v/>
      </c>
      <c r="X738" s="3">
        <f>M738*$D738</f>
        <v/>
      </c>
      <c r="Y738" s="3">
        <f>N738*$D738</f>
        <v/>
      </c>
      <c r="Z738" s="3">
        <f>C738*$D738</f>
        <v/>
      </c>
      <c r="AA738" s="9">
        <f>$L978+$K978*E738+$J978*F738+$I978*G738+$H978*H738+$G978*I738+$F978*J738+$E978*K738+$D978*L738+$C978*M738+$B978*N738</f>
        <v/>
      </c>
      <c r="AB738" s="9">
        <f>C738-AA738</f>
        <v/>
      </c>
      <c r="AC738" s="4">
        <f>AB738^2</f>
        <v/>
      </c>
    </row>
    <row r="739">
      <c r="A739" t="inlineStr">
        <is>
          <t>BBG000BV5627</t>
        </is>
      </c>
      <c r="B739" t="inlineStr">
        <is>
          <t>qxo</t>
        </is>
      </c>
      <c r="C739" s="9" t="n">
        <v>0.04086540445420939</v>
      </c>
      <c r="D739" s="3">
        <f>EXP(0.25*'3b-d Exposures'!G898)</f>
        <v/>
      </c>
      <c r="E739" s="3">
        <f>IF('3b-d Exposures'!C898="",0,'3b-d Exposures'!C898)</f>
        <v/>
      </c>
      <c r="F739" s="3">
        <f>IF('3b-d Exposures'!E898="",0,'3b-d Exposures'!E898)</f>
        <v/>
      </c>
      <c r="G739" s="3">
        <f>IF('3b-d Exposures'!G898="",0,'3b-d Exposures'!G898)</f>
        <v/>
      </c>
      <c r="H739" s="3">
        <f>IF('3b-d Exposures'!I898="",0,'3b-d Exposures'!I898)</f>
        <v/>
      </c>
      <c r="I739" s="3">
        <f>IF('3b-d Exposures'!K898="",0,'3b-d Exposures'!K898)</f>
        <v/>
      </c>
      <c r="J739" s="3">
        <f>IF('3b-d Exposures'!M898="",0,'3b-d Exposures'!M898)</f>
        <v/>
      </c>
      <c r="K739" s="3">
        <f>IF('3b-d Exposures'!O898="",0,'3b-d Exposures'!O898)</f>
        <v/>
      </c>
      <c r="L739" s="3">
        <f>IF('3b-d Exposures'!Q898="",0,'3b-d Exposures'!Q898)</f>
        <v/>
      </c>
      <c r="M739" s="3">
        <f>IF('3b-d Exposures'!S898="",0,'3b-d Exposures'!S898)</f>
        <v/>
      </c>
      <c r="N739" s="3">
        <f>IF('3b-d Exposures'!Z898="",0,'3b-d Exposures'!Z898)</f>
        <v/>
      </c>
      <c r="O739" s="3">
        <f>$D739</f>
        <v/>
      </c>
      <c r="P739" s="3">
        <f>E739*$D739</f>
        <v/>
      </c>
      <c r="Q739" s="3">
        <f>F739*$D739</f>
        <v/>
      </c>
      <c r="R739" s="3">
        <f>G739*$D739</f>
        <v/>
      </c>
      <c r="S739" s="3">
        <f>H739*$D739</f>
        <v/>
      </c>
      <c r="T739" s="3">
        <f>I739*$D739</f>
        <v/>
      </c>
      <c r="U739" s="3">
        <f>J739*$D739</f>
        <v/>
      </c>
      <c r="V739" s="3">
        <f>K739*$D739</f>
        <v/>
      </c>
      <c r="W739" s="3">
        <f>L739*$D739</f>
        <v/>
      </c>
      <c r="X739" s="3">
        <f>M739*$D739</f>
        <v/>
      </c>
      <c r="Y739" s="3">
        <f>N739*$D739</f>
        <v/>
      </c>
      <c r="Z739" s="3">
        <f>C739*$D739</f>
        <v/>
      </c>
      <c r="AA739" s="9">
        <f>$L978+$K978*E739+$J978*F739+$I978*G739+$H978*H739+$G978*I739+$F978*J739+$E978*K739+$D978*L739+$C978*M739+$B978*N739</f>
        <v/>
      </c>
      <c r="AB739" s="9">
        <f>C739-AA739</f>
        <v/>
      </c>
      <c r="AC739" s="4">
        <f>AB739^2</f>
        <v/>
      </c>
    </row>
    <row r="740">
      <c r="A740" t="inlineStr">
        <is>
          <t>BBG01FRNQ4P1</t>
        </is>
      </c>
      <c r="B740" t="inlineStr">
        <is>
          <t>rapp</t>
        </is>
      </c>
      <c r="C740" s="9" t="n">
        <v>0.05078808404826884</v>
      </c>
      <c r="D740" s="3">
        <f>EXP(0.25*'3b-d Exposures'!G900)</f>
        <v/>
      </c>
      <c r="E740" s="3">
        <f>IF('3b-d Exposures'!C900="",0,'3b-d Exposures'!C900)</f>
        <v/>
      </c>
      <c r="F740" s="3">
        <f>IF('3b-d Exposures'!E900="",0,'3b-d Exposures'!E900)</f>
        <v/>
      </c>
      <c r="G740" s="3">
        <f>IF('3b-d Exposures'!G900="",0,'3b-d Exposures'!G900)</f>
        <v/>
      </c>
      <c r="H740" s="3">
        <f>IF('3b-d Exposures'!I900="",0,'3b-d Exposures'!I900)</f>
        <v/>
      </c>
      <c r="I740" s="3">
        <f>IF('3b-d Exposures'!K900="",0,'3b-d Exposures'!K900)</f>
        <v/>
      </c>
      <c r="J740" s="3">
        <f>IF('3b-d Exposures'!M900="",0,'3b-d Exposures'!M900)</f>
        <v/>
      </c>
      <c r="K740" s="3">
        <f>IF('3b-d Exposures'!O900="",0,'3b-d Exposures'!O900)</f>
        <v/>
      </c>
      <c r="L740" s="3">
        <f>IF('3b-d Exposures'!Q900="",0,'3b-d Exposures'!Q900)</f>
        <v/>
      </c>
      <c r="M740" s="3">
        <f>IF('3b-d Exposures'!S900="",0,'3b-d Exposures'!S900)</f>
        <v/>
      </c>
      <c r="N740" s="3">
        <f>IF('3b-d Exposures'!Z900="",0,'3b-d Exposures'!Z900)</f>
        <v/>
      </c>
      <c r="O740" s="3">
        <f>$D740</f>
        <v/>
      </c>
      <c r="P740" s="3">
        <f>E740*$D740</f>
        <v/>
      </c>
      <c r="Q740" s="3">
        <f>F740*$D740</f>
        <v/>
      </c>
      <c r="R740" s="3">
        <f>G740*$D740</f>
        <v/>
      </c>
      <c r="S740" s="3">
        <f>H740*$D740</f>
        <v/>
      </c>
      <c r="T740" s="3">
        <f>I740*$D740</f>
        <v/>
      </c>
      <c r="U740" s="3">
        <f>J740*$D740</f>
        <v/>
      </c>
      <c r="V740" s="3">
        <f>K740*$D740</f>
        <v/>
      </c>
      <c r="W740" s="3">
        <f>L740*$D740</f>
        <v/>
      </c>
      <c r="X740" s="3">
        <f>M740*$D740</f>
        <v/>
      </c>
      <c r="Y740" s="3">
        <f>N740*$D740</f>
        <v/>
      </c>
      <c r="Z740" s="3">
        <f>C740*$D740</f>
        <v/>
      </c>
      <c r="AA740" s="9">
        <f>$L978+$K978*E740+$J978*F740+$I978*G740+$H978*H740+$G978*I740+$F978*J740+$E978*K740+$D978*L740+$C978*M740+$B978*N740</f>
        <v/>
      </c>
      <c r="AB740" s="9">
        <f>C740-AA740</f>
        <v/>
      </c>
      <c r="AC740" s="4">
        <f>AB740^2</f>
        <v/>
      </c>
    </row>
    <row r="741">
      <c r="A741" t="inlineStr">
        <is>
          <t>BBG000GMGNB3</t>
        </is>
      </c>
      <c r="B741" t="inlineStr">
        <is>
          <t>rbc</t>
        </is>
      </c>
      <c r="C741" s="9" t="n">
        <v>0.0003581678852084824</v>
      </c>
      <c r="D741" s="3">
        <f>EXP(0.25*'3b-d Exposures'!G901)</f>
        <v/>
      </c>
      <c r="E741" s="3">
        <f>IF('3b-d Exposures'!C901="",0,'3b-d Exposures'!C901)</f>
        <v/>
      </c>
      <c r="F741" s="3">
        <f>IF('3b-d Exposures'!E901="",0,'3b-d Exposures'!E901)</f>
        <v/>
      </c>
      <c r="G741" s="3">
        <f>IF('3b-d Exposures'!G901="",0,'3b-d Exposures'!G901)</f>
        <v/>
      </c>
      <c r="H741" s="3">
        <f>IF('3b-d Exposures'!I901="",0,'3b-d Exposures'!I901)</f>
        <v/>
      </c>
      <c r="I741" s="3">
        <f>IF('3b-d Exposures'!K901="",0,'3b-d Exposures'!K901)</f>
        <v/>
      </c>
      <c r="J741" s="3">
        <f>IF('3b-d Exposures'!M901="",0,'3b-d Exposures'!M901)</f>
        <v/>
      </c>
      <c r="K741" s="3">
        <f>IF('3b-d Exposures'!O901="",0,'3b-d Exposures'!O901)</f>
        <v/>
      </c>
      <c r="L741" s="3">
        <f>IF('3b-d Exposures'!Q901="",0,'3b-d Exposures'!Q901)</f>
        <v/>
      </c>
      <c r="M741" s="3">
        <f>IF('3b-d Exposures'!S901="",0,'3b-d Exposures'!S901)</f>
        <v/>
      </c>
      <c r="N741" s="3">
        <f>IF('3b-d Exposures'!Z901="",0,'3b-d Exposures'!Z901)</f>
        <v/>
      </c>
      <c r="O741" s="3">
        <f>$D741</f>
        <v/>
      </c>
      <c r="P741" s="3">
        <f>E741*$D741</f>
        <v/>
      </c>
      <c r="Q741" s="3">
        <f>F741*$D741</f>
        <v/>
      </c>
      <c r="R741" s="3">
        <f>G741*$D741</f>
        <v/>
      </c>
      <c r="S741" s="3">
        <f>H741*$D741</f>
        <v/>
      </c>
      <c r="T741" s="3">
        <f>I741*$D741</f>
        <v/>
      </c>
      <c r="U741" s="3">
        <f>J741*$D741</f>
        <v/>
      </c>
      <c r="V741" s="3">
        <f>K741*$D741</f>
        <v/>
      </c>
      <c r="W741" s="3">
        <f>L741*$D741</f>
        <v/>
      </c>
      <c r="X741" s="3">
        <f>M741*$D741</f>
        <v/>
      </c>
      <c r="Y741" s="3">
        <f>N741*$D741</f>
        <v/>
      </c>
      <c r="Z741" s="3">
        <f>C741*$D741</f>
        <v/>
      </c>
      <c r="AA741" s="9">
        <f>$L978+$K978*E741+$J978*F741+$I978*G741+$H978*H741+$G978*I741+$F978*J741+$E978*K741+$D978*L741+$C978*M741+$B978*N741</f>
        <v/>
      </c>
      <c r="AB741" s="9">
        <f>C741-AA741</f>
        <v/>
      </c>
      <c r="AC741" s="4">
        <f>AB741^2</f>
        <v/>
      </c>
    </row>
    <row r="742">
      <c r="A742" t="inlineStr">
        <is>
          <t>BBG001R1GCT0</t>
        </is>
      </c>
      <c r="B742" t="inlineStr">
        <is>
          <t>rblx</t>
        </is>
      </c>
      <c r="C742" s="9" t="n">
        <v>0.04049468853069782</v>
      </c>
      <c r="D742" s="3">
        <f>EXP(0.25*'3b-d Exposures'!G902)</f>
        <v/>
      </c>
      <c r="E742" s="3">
        <f>IF('3b-d Exposures'!C902="",0,'3b-d Exposures'!C902)</f>
        <v/>
      </c>
      <c r="F742" s="3">
        <f>IF('3b-d Exposures'!E902="",0,'3b-d Exposures'!E902)</f>
        <v/>
      </c>
      <c r="G742" s="3">
        <f>IF('3b-d Exposures'!G902="",0,'3b-d Exposures'!G902)</f>
        <v/>
      </c>
      <c r="H742" s="3">
        <f>IF('3b-d Exposures'!I902="",0,'3b-d Exposures'!I902)</f>
        <v/>
      </c>
      <c r="I742" s="3">
        <f>IF('3b-d Exposures'!K902="",0,'3b-d Exposures'!K902)</f>
        <v/>
      </c>
      <c r="J742" s="3">
        <f>IF('3b-d Exposures'!M902="",0,'3b-d Exposures'!M902)</f>
        <v/>
      </c>
      <c r="K742" s="3">
        <f>IF('3b-d Exposures'!O902="",0,'3b-d Exposures'!O902)</f>
        <v/>
      </c>
      <c r="L742" s="3">
        <f>IF('3b-d Exposures'!Q902="",0,'3b-d Exposures'!Q902)</f>
        <v/>
      </c>
      <c r="M742" s="3">
        <f>IF('3b-d Exposures'!S902="",0,'3b-d Exposures'!S902)</f>
        <v/>
      </c>
      <c r="N742" s="3">
        <f>IF('3b-d Exposures'!Z902="",0,'3b-d Exposures'!Z902)</f>
        <v/>
      </c>
      <c r="O742" s="3">
        <f>$D742</f>
        <v/>
      </c>
      <c r="P742" s="3">
        <f>E742*$D742</f>
        <v/>
      </c>
      <c r="Q742" s="3">
        <f>F742*$D742</f>
        <v/>
      </c>
      <c r="R742" s="3">
        <f>G742*$D742</f>
        <v/>
      </c>
      <c r="S742" s="3">
        <f>H742*$D742</f>
        <v/>
      </c>
      <c r="T742" s="3">
        <f>I742*$D742</f>
        <v/>
      </c>
      <c r="U742" s="3">
        <f>J742*$D742</f>
        <v/>
      </c>
      <c r="V742" s="3">
        <f>K742*$D742</f>
        <v/>
      </c>
      <c r="W742" s="3">
        <f>L742*$D742</f>
        <v/>
      </c>
      <c r="X742" s="3">
        <f>M742*$D742</f>
        <v/>
      </c>
      <c r="Y742" s="3">
        <f>N742*$D742</f>
        <v/>
      </c>
      <c r="Z742" s="3">
        <f>C742*$D742</f>
        <v/>
      </c>
      <c r="AA742" s="9">
        <f>$L978+$K978*E742+$J978*F742+$I978*G742+$H978*H742+$G978*I742+$F978*J742+$E978*K742+$D978*L742+$C978*M742+$B978*N742</f>
        <v/>
      </c>
      <c r="AB742" s="9">
        <f>C742-AA742</f>
        <v/>
      </c>
      <c r="AC742" s="4">
        <f>AB742^2</f>
        <v/>
      </c>
    </row>
    <row r="743">
      <c r="A743" t="inlineStr">
        <is>
          <t>rcl</t>
        </is>
      </c>
      <c r="B743" t="inlineStr">
        <is>
          <t>rcl</t>
        </is>
      </c>
      <c r="C743" s="9" t="n">
        <v>0.009628750389970797</v>
      </c>
      <c r="D743" s="3">
        <f>EXP(0.25*'3b-d Exposures'!G904)</f>
        <v/>
      </c>
      <c r="E743" s="3">
        <f>IF('3b-d Exposures'!C904="",0,'3b-d Exposures'!C904)</f>
        <v/>
      </c>
      <c r="F743" s="3">
        <f>IF('3b-d Exposures'!E904="",0,'3b-d Exposures'!E904)</f>
        <v/>
      </c>
      <c r="G743" s="3">
        <f>IF('3b-d Exposures'!G904="",0,'3b-d Exposures'!G904)</f>
        <v/>
      </c>
      <c r="H743" s="3">
        <f>IF('3b-d Exposures'!I904="",0,'3b-d Exposures'!I904)</f>
        <v/>
      </c>
      <c r="I743" s="3">
        <f>IF('3b-d Exposures'!K904="",0,'3b-d Exposures'!K904)</f>
        <v/>
      </c>
      <c r="J743" s="3">
        <f>IF('3b-d Exposures'!M904="",0,'3b-d Exposures'!M904)</f>
        <v/>
      </c>
      <c r="K743" s="3">
        <f>IF('3b-d Exposures'!O904="",0,'3b-d Exposures'!O904)</f>
        <v/>
      </c>
      <c r="L743" s="3">
        <f>IF('3b-d Exposures'!Q904="",0,'3b-d Exposures'!Q904)</f>
        <v/>
      </c>
      <c r="M743" s="3">
        <f>IF('3b-d Exposures'!S904="",0,'3b-d Exposures'!S904)</f>
        <v/>
      </c>
      <c r="N743" s="3">
        <f>IF('3b-d Exposures'!Z904="",0,'3b-d Exposures'!Z904)</f>
        <v/>
      </c>
      <c r="O743" s="3">
        <f>$D743</f>
        <v/>
      </c>
      <c r="P743" s="3">
        <f>E743*$D743</f>
        <v/>
      </c>
      <c r="Q743" s="3">
        <f>F743*$D743</f>
        <v/>
      </c>
      <c r="R743" s="3">
        <f>G743*$D743</f>
        <v/>
      </c>
      <c r="S743" s="3">
        <f>H743*$D743</f>
        <v/>
      </c>
      <c r="T743" s="3">
        <f>I743*$D743</f>
        <v/>
      </c>
      <c r="U743" s="3">
        <f>J743*$D743</f>
        <v/>
      </c>
      <c r="V743" s="3">
        <f>K743*$D743</f>
        <v/>
      </c>
      <c r="W743" s="3">
        <f>L743*$D743</f>
        <v/>
      </c>
      <c r="X743" s="3">
        <f>M743*$D743</f>
        <v/>
      </c>
      <c r="Y743" s="3">
        <f>N743*$D743</f>
        <v/>
      </c>
      <c r="Z743" s="3">
        <f>C743*$D743</f>
        <v/>
      </c>
      <c r="AA743" s="9">
        <f>$L978+$K978*E743+$J978*F743+$I978*G743+$H978*H743+$G978*I743+$F978*J743+$E978*K743+$D978*L743+$C978*M743+$B978*N743</f>
        <v/>
      </c>
      <c r="AB743" s="9">
        <f>C743-AA743</f>
        <v/>
      </c>
      <c r="AC743" s="4">
        <f>AB743^2</f>
        <v/>
      </c>
    </row>
    <row r="744">
      <c r="A744" t="inlineStr">
        <is>
          <t>BBG000BMWV95</t>
        </is>
      </c>
      <c r="B744" t="inlineStr">
        <is>
          <t>rdn</t>
        </is>
      </c>
      <c r="C744" s="9" t="n">
        <v>-0.001396904531811183</v>
      </c>
      <c r="D744" s="3">
        <f>EXP(0.25*'3b-d Exposures'!G906)</f>
        <v/>
      </c>
      <c r="E744" s="3">
        <f>IF('3b-d Exposures'!C906="",0,'3b-d Exposures'!C906)</f>
        <v/>
      </c>
      <c r="F744" s="3">
        <f>IF('3b-d Exposures'!E906="",0,'3b-d Exposures'!E906)</f>
        <v/>
      </c>
      <c r="G744" s="3">
        <f>IF('3b-d Exposures'!G906="",0,'3b-d Exposures'!G906)</f>
        <v/>
      </c>
      <c r="H744" s="3">
        <f>IF('3b-d Exposures'!I906="",0,'3b-d Exposures'!I906)</f>
        <v/>
      </c>
      <c r="I744" s="3">
        <f>IF('3b-d Exposures'!K906="",0,'3b-d Exposures'!K906)</f>
        <v/>
      </c>
      <c r="J744" s="3">
        <f>IF('3b-d Exposures'!M906="",0,'3b-d Exposures'!M906)</f>
        <v/>
      </c>
      <c r="K744" s="3">
        <f>IF('3b-d Exposures'!O906="",0,'3b-d Exposures'!O906)</f>
        <v/>
      </c>
      <c r="L744" s="3">
        <f>IF('3b-d Exposures'!Q906="",0,'3b-d Exposures'!Q906)</f>
        <v/>
      </c>
      <c r="M744" s="3">
        <f>IF('3b-d Exposures'!S906="",0,'3b-d Exposures'!S906)</f>
        <v/>
      </c>
      <c r="N744" s="3">
        <f>IF('3b-d Exposures'!Z906="",0,'3b-d Exposures'!Z906)</f>
        <v/>
      </c>
      <c r="O744" s="3">
        <f>$D744</f>
        <v/>
      </c>
      <c r="P744" s="3">
        <f>E744*$D744</f>
        <v/>
      </c>
      <c r="Q744" s="3">
        <f>F744*$D744</f>
        <v/>
      </c>
      <c r="R744" s="3">
        <f>G744*$D744</f>
        <v/>
      </c>
      <c r="S744" s="3">
        <f>H744*$D744</f>
        <v/>
      </c>
      <c r="T744" s="3">
        <f>I744*$D744</f>
        <v/>
      </c>
      <c r="U744" s="3">
        <f>J744*$D744</f>
        <v/>
      </c>
      <c r="V744" s="3">
        <f>K744*$D744</f>
        <v/>
      </c>
      <c r="W744" s="3">
        <f>L744*$D744</f>
        <v/>
      </c>
      <c r="X744" s="3">
        <f>M744*$D744</f>
        <v/>
      </c>
      <c r="Y744" s="3">
        <f>N744*$D744</f>
        <v/>
      </c>
      <c r="Z744" s="3">
        <f>C744*$D744</f>
        <v/>
      </c>
      <c r="AA744" s="9">
        <f>$L978+$K978*E744+$J978*F744+$I978*G744+$H978*H744+$G978*I744+$F978*J744+$E978*K744+$D978*L744+$C978*M744+$B978*N744</f>
        <v/>
      </c>
      <c r="AB744" s="9">
        <f>C744-AA744</f>
        <v/>
      </c>
      <c r="AC744" s="4">
        <f>AB744^2</f>
        <v/>
      </c>
    </row>
    <row r="745">
      <c r="A745" t="inlineStr">
        <is>
          <t>BBG000CXSF54</t>
        </is>
      </c>
      <c r="B745" t="inlineStr">
        <is>
          <t>rdnt</t>
        </is>
      </c>
      <c r="C745" s="9" t="n">
        <v>0.01333165740473508</v>
      </c>
      <c r="D745" s="3">
        <f>EXP(0.25*'3b-d Exposures'!G907)</f>
        <v/>
      </c>
      <c r="E745" s="3">
        <f>IF('3b-d Exposures'!C907="",0,'3b-d Exposures'!C907)</f>
        <v/>
      </c>
      <c r="F745" s="3">
        <f>IF('3b-d Exposures'!E907="",0,'3b-d Exposures'!E907)</f>
        <v/>
      </c>
      <c r="G745" s="3">
        <f>IF('3b-d Exposures'!G907="",0,'3b-d Exposures'!G907)</f>
        <v/>
      </c>
      <c r="H745" s="3">
        <f>IF('3b-d Exposures'!I907="",0,'3b-d Exposures'!I907)</f>
        <v/>
      </c>
      <c r="I745" s="3">
        <f>IF('3b-d Exposures'!K907="",0,'3b-d Exposures'!K907)</f>
        <v/>
      </c>
      <c r="J745" s="3">
        <f>IF('3b-d Exposures'!M907="",0,'3b-d Exposures'!M907)</f>
        <v/>
      </c>
      <c r="K745" s="3">
        <f>IF('3b-d Exposures'!O907="",0,'3b-d Exposures'!O907)</f>
        <v/>
      </c>
      <c r="L745" s="3">
        <f>IF('3b-d Exposures'!Q907="",0,'3b-d Exposures'!Q907)</f>
        <v/>
      </c>
      <c r="M745" s="3">
        <f>IF('3b-d Exposures'!S907="",0,'3b-d Exposures'!S907)</f>
        <v/>
      </c>
      <c r="N745" s="3">
        <f>IF('3b-d Exposures'!Z907="",0,'3b-d Exposures'!Z907)</f>
        <v/>
      </c>
      <c r="O745" s="3">
        <f>$D745</f>
        <v/>
      </c>
      <c r="P745" s="3">
        <f>E745*$D745</f>
        <v/>
      </c>
      <c r="Q745" s="3">
        <f>F745*$D745</f>
        <v/>
      </c>
      <c r="R745" s="3">
        <f>G745*$D745</f>
        <v/>
      </c>
      <c r="S745" s="3">
        <f>H745*$D745</f>
        <v/>
      </c>
      <c r="T745" s="3">
        <f>I745*$D745</f>
        <v/>
      </c>
      <c r="U745" s="3">
        <f>J745*$D745</f>
        <v/>
      </c>
      <c r="V745" s="3">
        <f>K745*$D745</f>
        <v/>
      </c>
      <c r="W745" s="3">
        <f>L745*$D745</f>
        <v/>
      </c>
      <c r="X745" s="3">
        <f>M745*$D745</f>
        <v/>
      </c>
      <c r="Y745" s="3">
        <f>N745*$D745</f>
        <v/>
      </c>
      <c r="Z745" s="3">
        <f>C745*$D745</f>
        <v/>
      </c>
      <c r="AA745" s="9">
        <f>$L978+$K978*E745+$J978*F745+$I978*G745+$H978*H745+$G978*I745+$F978*J745+$E978*K745+$D978*L745+$C978*M745+$B978*N745</f>
        <v/>
      </c>
      <c r="AB745" s="9">
        <f>C745-AA745</f>
        <v/>
      </c>
      <c r="AC745" s="4">
        <f>AB745^2</f>
        <v/>
      </c>
    </row>
    <row r="746">
      <c r="A746" t="inlineStr">
        <is>
          <t>reg</t>
        </is>
      </c>
      <c r="B746" t="inlineStr">
        <is>
          <t>reg</t>
        </is>
      </c>
      <c r="C746" s="9" t="n">
        <v>-0.01269990318013359</v>
      </c>
      <c r="D746" s="3">
        <f>EXP(0.25*'3b-d Exposures'!G908)</f>
        <v/>
      </c>
      <c r="E746" s="3">
        <f>IF('3b-d Exposures'!C908="",0,'3b-d Exposures'!C908)</f>
        <v/>
      </c>
      <c r="F746" s="3">
        <f>IF('3b-d Exposures'!E908="",0,'3b-d Exposures'!E908)</f>
        <v/>
      </c>
      <c r="G746" s="3">
        <f>IF('3b-d Exposures'!G908="",0,'3b-d Exposures'!G908)</f>
        <v/>
      </c>
      <c r="H746" s="3">
        <f>IF('3b-d Exposures'!I908="",0,'3b-d Exposures'!I908)</f>
        <v/>
      </c>
      <c r="I746" s="3">
        <f>IF('3b-d Exposures'!K908="",0,'3b-d Exposures'!K908)</f>
        <v/>
      </c>
      <c r="J746" s="3">
        <f>IF('3b-d Exposures'!M908="",0,'3b-d Exposures'!M908)</f>
        <v/>
      </c>
      <c r="K746" s="3">
        <f>IF('3b-d Exposures'!O908="",0,'3b-d Exposures'!O908)</f>
        <v/>
      </c>
      <c r="L746" s="3">
        <f>IF('3b-d Exposures'!Q908="",0,'3b-d Exposures'!Q908)</f>
        <v/>
      </c>
      <c r="M746" s="3">
        <f>IF('3b-d Exposures'!S908="",0,'3b-d Exposures'!S908)</f>
        <v/>
      </c>
      <c r="N746" s="3">
        <f>IF('3b-d Exposures'!Z908="",0,'3b-d Exposures'!Z908)</f>
        <v/>
      </c>
      <c r="O746" s="3">
        <f>$D746</f>
        <v/>
      </c>
      <c r="P746" s="3">
        <f>E746*$D746</f>
        <v/>
      </c>
      <c r="Q746" s="3">
        <f>F746*$D746</f>
        <v/>
      </c>
      <c r="R746" s="3">
        <f>G746*$D746</f>
        <v/>
      </c>
      <c r="S746" s="3">
        <f>H746*$D746</f>
        <v/>
      </c>
      <c r="T746" s="3">
        <f>I746*$D746</f>
        <v/>
      </c>
      <c r="U746" s="3">
        <f>J746*$D746</f>
        <v/>
      </c>
      <c r="V746" s="3">
        <f>K746*$D746</f>
        <v/>
      </c>
      <c r="W746" s="3">
        <f>L746*$D746</f>
        <v/>
      </c>
      <c r="X746" s="3">
        <f>M746*$D746</f>
        <v/>
      </c>
      <c r="Y746" s="3">
        <f>N746*$D746</f>
        <v/>
      </c>
      <c r="Z746" s="3">
        <f>C746*$D746</f>
        <v/>
      </c>
      <c r="AA746" s="9">
        <f>$L978+$K978*E746+$J978*F746+$I978*G746+$H978*H746+$G978*I746+$F978*J746+$E978*K746+$D978*L746+$C978*M746+$B978*N746</f>
        <v/>
      </c>
      <c r="AB746" s="9">
        <f>C746-AA746</f>
        <v/>
      </c>
      <c r="AC746" s="4">
        <f>AB746^2</f>
        <v/>
      </c>
    </row>
    <row r="747">
      <c r="A747" t="inlineStr">
        <is>
          <t>BBG000C734W3</t>
        </is>
      </c>
      <c r="B747" t="inlineStr">
        <is>
          <t>regn</t>
        </is>
      </c>
      <c r="C747" s="9" t="n">
        <v>0.01615539245047581</v>
      </c>
      <c r="D747" s="3">
        <f>EXP(0.25*'3b-d Exposures'!G909)</f>
        <v/>
      </c>
      <c r="E747" s="3">
        <f>IF('3b-d Exposures'!C909="",0,'3b-d Exposures'!C909)</f>
        <v/>
      </c>
      <c r="F747" s="3">
        <f>IF('3b-d Exposures'!E909="",0,'3b-d Exposures'!E909)</f>
        <v/>
      </c>
      <c r="G747" s="3">
        <f>IF('3b-d Exposures'!G909="",0,'3b-d Exposures'!G909)</f>
        <v/>
      </c>
      <c r="H747" s="3">
        <f>IF('3b-d Exposures'!I909="",0,'3b-d Exposures'!I909)</f>
        <v/>
      </c>
      <c r="I747" s="3">
        <f>IF('3b-d Exposures'!K909="",0,'3b-d Exposures'!K909)</f>
        <v/>
      </c>
      <c r="J747" s="3">
        <f>IF('3b-d Exposures'!M909="",0,'3b-d Exposures'!M909)</f>
        <v/>
      </c>
      <c r="K747" s="3">
        <f>IF('3b-d Exposures'!O909="",0,'3b-d Exposures'!O909)</f>
        <v/>
      </c>
      <c r="L747" s="3">
        <f>IF('3b-d Exposures'!Q909="",0,'3b-d Exposures'!Q909)</f>
        <v/>
      </c>
      <c r="M747" s="3">
        <f>IF('3b-d Exposures'!S909="",0,'3b-d Exposures'!S909)</f>
        <v/>
      </c>
      <c r="N747" s="3">
        <f>IF('3b-d Exposures'!Z909="",0,'3b-d Exposures'!Z909)</f>
        <v/>
      </c>
      <c r="O747" s="3">
        <f>$D747</f>
        <v/>
      </c>
      <c r="P747" s="3">
        <f>E747*$D747</f>
        <v/>
      </c>
      <c r="Q747" s="3">
        <f>F747*$D747</f>
        <v/>
      </c>
      <c r="R747" s="3">
        <f>G747*$D747</f>
        <v/>
      </c>
      <c r="S747" s="3">
        <f>H747*$D747</f>
        <v/>
      </c>
      <c r="T747" s="3">
        <f>I747*$D747</f>
        <v/>
      </c>
      <c r="U747" s="3">
        <f>J747*$D747</f>
        <v/>
      </c>
      <c r="V747" s="3">
        <f>K747*$D747</f>
        <v/>
      </c>
      <c r="W747" s="3">
        <f>L747*$D747</f>
        <v/>
      </c>
      <c r="X747" s="3">
        <f>M747*$D747</f>
        <v/>
      </c>
      <c r="Y747" s="3">
        <f>N747*$D747</f>
        <v/>
      </c>
      <c r="Z747" s="3">
        <f>C747*$D747</f>
        <v/>
      </c>
      <c r="AA747" s="9">
        <f>$L978+$K978*E747+$J978*F747+$I978*G747+$H978*H747+$G978*I747+$F978*J747+$E978*K747+$D978*L747+$C978*M747+$B978*N747</f>
        <v/>
      </c>
      <c r="AB747" s="9">
        <f>C747-AA747</f>
        <v/>
      </c>
      <c r="AC747" s="4">
        <f>AB747^2</f>
        <v/>
      </c>
    </row>
    <row r="748">
      <c r="A748" t="inlineStr">
        <is>
          <t>BBG004MB82R0</t>
        </is>
      </c>
      <c r="B748" t="inlineStr">
        <is>
          <t>rexr</t>
        </is>
      </c>
      <c r="C748" s="9" t="n">
        <v>0.001188048184780133</v>
      </c>
      <c r="D748" s="3">
        <f>EXP(0.25*'3b-d Exposures'!G910)</f>
        <v/>
      </c>
      <c r="E748" s="3">
        <f>IF('3b-d Exposures'!C910="",0,'3b-d Exposures'!C910)</f>
        <v/>
      </c>
      <c r="F748" s="3">
        <f>IF('3b-d Exposures'!E910="",0,'3b-d Exposures'!E910)</f>
        <v/>
      </c>
      <c r="G748" s="3">
        <f>IF('3b-d Exposures'!G910="",0,'3b-d Exposures'!G910)</f>
        <v/>
      </c>
      <c r="H748" s="3">
        <f>IF('3b-d Exposures'!I910="",0,'3b-d Exposures'!I910)</f>
        <v/>
      </c>
      <c r="I748" s="3">
        <f>IF('3b-d Exposures'!K910="",0,'3b-d Exposures'!K910)</f>
        <v/>
      </c>
      <c r="J748" s="3">
        <f>IF('3b-d Exposures'!M910="",0,'3b-d Exposures'!M910)</f>
        <v/>
      </c>
      <c r="K748" s="3">
        <f>IF('3b-d Exposures'!O910="",0,'3b-d Exposures'!O910)</f>
        <v/>
      </c>
      <c r="L748" s="3">
        <f>IF('3b-d Exposures'!Q910="",0,'3b-d Exposures'!Q910)</f>
        <v/>
      </c>
      <c r="M748" s="3">
        <f>IF('3b-d Exposures'!S910="",0,'3b-d Exposures'!S910)</f>
        <v/>
      </c>
      <c r="N748" s="3">
        <f>IF('3b-d Exposures'!Z910="",0,'3b-d Exposures'!Z910)</f>
        <v/>
      </c>
      <c r="O748" s="3">
        <f>$D748</f>
        <v/>
      </c>
      <c r="P748" s="3">
        <f>E748*$D748</f>
        <v/>
      </c>
      <c r="Q748" s="3">
        <f>F748*$D748</f>
        <v/>
      </c>
      <c r="R748" s="3">
        <f>G748*$D748</f>
        <v/>
      </c>
      <c r="S748" s="3">
        <f>H748*$D748</f>
        <v/>
      </c>
      <c r="T748" s="3">
        <f>I748*$D748</f>
        <v/>
      </c>
      <c r="U748" s="3">
        <f>J748*$D748</f>
        <v/>
      </c>
      <c r="V748" s="3">
        <f>K748*$D748</f>
        <v/>
      </c>
      <c r="W748" s="3">
        <f>L748*$D748</f>
        <v/>
      </c>
      <c r="X748" s="3">
        <f>M748*$D748</f>
        <v/>
      </c>
      <c r="Y748" s="3">
        <f>N748*$D748</f>
        <v/>
      </c>
      <c r="Z748" s="3">
        <f>C748*$D748</f>
        <v/>
      </c>
      <c r="AA748" s="9">
        <f>$L978+$K978*E748+$J978*F748+$I978*G748+$H978*H748+$G978*I748+$F978*J748+$E978*K748+$D978*L748+$C978*M748+$B978*N748</f>
        <v/>
      </c>
      <c r="AB748" s="9">
        <f>C748-AA748</f>
        <v/>
      </c>
      <c r="AC748" s="4">
        <f>AB748^2</f>
        <v/>
      </c>
    </row>
    <row r="749">
      <c r="A749" t="inlineStr">
        <is>
          <t>BBG000Q3JN03</t>
        </is>
      </c>
      <c r="B749" t="inlineStr">
        <is>
          <t>rf</t>
        </is>
      </c>
      <c r="C749" s="9" t="n">
        <v>-0.01777112200184983</v>
      </c>
      <c r="D749" s="3">
        <f>EXP(0.25*'3b-d Exposures'!G911)</f>
        <v/>
      </c>
      <c r="E749" s="3">
        <f>IF('3b-d Exposures'!C911="",0,'3b-d Exposures'!C911)</f>
        <v/>
      </c>
      <c r="F749" s="3">
        <f>IF('3b-d Exposures'!E911="",0,'3b-d Exposures'!E911)</f>
        <v/>
      </c>
      <c r="G749" s="3">
        <f>IF('3b-d Exposures'!G911="",0,'3b-d Exposures'!G911)</f>
        <v/>
      </c>
      <c r="H749" s="3">
        <f>IF('3b-d Exposures'!I911="",0,'3b-d Exposures'!I911)</f>
        <v/>
      </c>
      <c r="I749" s="3">
        <f>IF('3b-d Exposures'!K911="",0,'3b-d Exposures'!K911)</f>
        <v/>
      </c>
      <c r="J749" s="3">
        <f>IF('3b-d Exposures'!M911="",0,'3b-d Exposures'!M911)</f>
        <v/>
      </c>
      <c r="K749" s="3">
        <f>IF('3b-d Exposures'!O911="",0,'3b-d Exposures'!O911)</f>
        <v/>
      </c>
      <c r="L749" s="3">
        <f>IF('3b-d Exposures'!Q911="",0,'3b-d Exposures'!Q911)</f>
        <v/>
      </c>
      <c r="M749" s="3">
        <f>IF('3b-d Exposures'!S911="",0,'3b-d Exposures'!S911)</f>
        <v/>
      </c>
      <c r="N749" s="3">
        <f>IF('3b-d Exposures'!Z911="",0,'3b-d Exposures'!Z911)</f>
        <v/>
      </c>
      <c r="O749" s="3">
        <f>$D749</f>
        <v/>
      </c>
      <c r="P749" s="3">
        <f>E749*$D749</f>
        <v/>
      </c>
      <c r="Q749" s="3">
        <f>F749*$D749</f>
        <v/>
      </c>
      <c r="R749" s="3">
        <f>G749*$D749</f>
        <v/>
      </c>
      <c r="S749" s="3">
        <f>H749*$D749</f>
        <v/>
      </c>
      <c r="T749" s="3">
        <f>I749*$D749</f>
        <v/>
      </c>
      <c r="U749" s="3">
        <f>J749*$D749</f>
        <v/>
      </c>
      <c r="V749" s="3">
        <f>K749*$D749</f>
        <v/>
      </c>
      <c r="W749" s="3">
        <f>L749*$D749</f>
        <v/>
      </c>
      <c r="X749" s="3">
        <f>M749*$D749</f>
        <v/>
      </c>
      <c r="Y749" s="3">
        <f>N749*$D749</f>
        <v/>
      </c>
      <c r="Z749" s="3">
        <f>C749*$D749</f>
        <v/>
      </c>
      <c r="AA749" s="9">
        <f>$L978+$K978*E749+$J978*F749+$I978*G749+$H978*H749+$G978*I749+$F978*J749+$E978*K749+$D978*L749+$C978*M749+$B978*N749</f>
        <v/>
      </c>
      <c r="AB749" s="9">
        <f>C749-AA749</f>
        <v/>
      </c>
      <c r="AC749" s="4">
        <f>AB749^2</f>
        <v/>
      </c>
    </row>
    <row r="750">
      <c r="A750" t="inlineStr">
        <is>
          <t>BBG002293PJ4</t>
        </is>
      </c>
      <c r="B750" t="inlineStr">
        <is>
          <t>rh</t>
        </is>
      </c>
      <c r="C750" s="9" t="n">
        <v>-0.01526718766986568</v>
      </c>
      <c r="D750" s="3">
        <f>EXP(0.25*'3b-d Exposures'!G913)</f>
        <v/>
      </c>
      <c r="E750" s="3">
        <f>IF('3b-d Exposures'!C913="",0,'3b-d Exposures'!C913)</f>
        <v/>
      </c>
      <c r="F750" s="3">
        <f>IF('3b-d Exposures'!E913="",0,'3b-d Exposures'!E913)</f>
        <v/>
      </c>
      <c r="G750" s="3">
        <f>IF('3b-d Exposures'!G913="",0,'3b-d Exposures'!G913)</f>
        <v/>
      </c>
      <c r="H750" s="3">
        <f>IF('3b-d Exposures'!I913="",0,'3b-d Exposures'!I913)</f>
        <v/>
      </c>
      <c r="I750" s="3">
        <f>IF('3b-d Exposures'!K913="",0,'3b-d Exposures'!K913)</f>
        <v/>
      </c>
      <c r="J750" s="3">
        <f>IF('3b-d Exposures'!M913="",0,'3b-d Exposures'!M913)</f>
        <v/>
      </c>
      <c r="K750" s="3">
        <f>IF('3b-d Exposures'!O913="",0,'3b-d Exposures'!O913)</f>
        <v/>
      </c>
      <c r="L750" s="3">
        <f>IF('3b-d Exposures'!Q913="",0,'3b-d Exposures'!Q913)</f>
        <v/>
      </c>
      <c r="M750" s="3">
        <f>IF('3b-d Exposures'!S913="",0,'3b-d Exposures'!S913)</f>
        <v/>
      </c>
      <c r="N750" s="3">
        <f>IF('3b-d Exposures'!Z913="",0,'3b-d Exposures'!Z913)</f>
        <v/>
      </c>
      <c r="O750" s="3">
        <f>$D750</f>
        <v/>
      </c>
      <c r="P750" s="3">
        <f>E750*$D750</f>
        <v/>
      </c>
      <c r="Q750" s="3">
        <f>F750*$D750</f>
        <v/>
      </c>
      <c r="R750" s="3">
        <f>G750*$D750</f>
        <v/>
      </c>
      <c r="S750" s="3">
        <f>H750*$D750</f>
        <v/>
      </c>
      <c r="T750" s="3">
        <f>I750*$D750</f>
        <v/>
      </c>
      <c r="U750" s="3">
        <f>J750*$D750</f>
        <v/>
      </c>
      <c r="V750" s="3">
        <f>K750*$D750</f>
        <v/>
      </c>
      <c r="W750" s="3">
        <f>L750*$D750</f>
        <v/>
      </c>
      <c r="X750" s="3">
        <f>M750*$D750</f>
        <v/>
      </c>
      <c r="Y750" s="3">
        <f>N750*$D750</f>
        <v/>
      </c>
      <c r="Z750" s="3">
        <f>C750*$D750</f>
        <v/>
      </c>
      <c r="AA750" s="9">
        <f>$L978+$K978*E750+$J978*F750+$I978*G750+$H978*H750+$G978*I750+$F978*J750+$E978*K750+$D978*L750+$C978*M750+$B978*N750</f>
        <v/>
      </c>
      <c r="AB750" s="9">
        <f>C750-AA750</f>
        <v/>
      </c>
      <c r="AC750" s="4">
        <f>AB750^2</f>
        <v/>
      </c>
    </row>
    <row r="751">
      <c r="A751" t="inlineStr">
        <is>
          <t>BBG000BS5DR2</t>
        </is>
      </c>
      <c r="B751" t="inlineStr">
        <is>
          <t>rhi</t>
        </is>
      </c>
      <c r="C751" s="9" t="n">
        <v>-0.0004020238044545321</v>
      </c>
      <c r="D751" s="3">
        <f>EXP(0.25*'3b-d Exposures'!G914)</f>
        <v/>
      </c>
      <c r="E751" s="3">
        <f>IF('3b-d Exposures'!C914="",0,'3b-d Exposures'!C914)</f>
        <v/>
      </c>
      <c r="F751" s="3">
        <f>IF('3b-d Exposures'!E914="",0,'3b-d Exposures'!E914)</f>
        <v/>
      </c>
      <c r="G751" s="3">
        <f>IF('3b-d Exposures'!G914="",0,'3b-d Exposures'!G914)</f>
        <v/>
      </c>
      <c r="H751" s="3">
        <f>IF('3b-d Exposures'!I914="",0,'3b-d Exposures'!I914)</f>
        <v/>
      </c>
      <c r="I751" s="3">
        <f>IF('3b-d Exposures'!K914="",0,'3b-d Exposures'!K914)</f>
        <v/>
      </c>
      <c r="J751" s="3">
        <f>IF('3b-d Exposures'!M914="",0,'3b-d Exposures'!M914)</f>
        <v/>
      </c>
      <c r="K751" s="3">
        <f>IF('3b-d Exposures'!O914="",0,'3b-d Exposures'!O914)</f>
        <v/>
      </c>
      <c r="L751" s="3">
        <f>IF('3b-d Exposures'!Q914="",0,'3b-d Exposures'!Q914)</f>
        <v/>
      </c>
      <c r="M751" s="3">
        <f>IF('3b-d Exposures'!S914="",0,'3b-d Exposures'!S914)</f>
        <v/>
      </c>
      <c r="N751" s="3">
        <f>IF('3b-d Exposures'!Z914="",0,'3b-d Exposures'!Z914)</f>
        <v/>
      </c>
      <c r="O751" s="3">
        <f>$D751</f>
        <v/>
      </c>
      <c r="P751" s="3">
        <f>E751*$D751</f>
        <v/>
      </c>
      <c r="Q751" s="3">
        <f>F751*$D751</f>
        <v/>
      </c>
      <c r="R751" s="3">
        <f>G751*$D751</f>
        <v/>
      </c>
      <c r="S751" s="3">
        <f>H751*$D751</f>
        <v/>
      </c>
      <c r="T751" s="3">
        <f>I751*$D751</f>
        <v/>
      </c>
      <c r="U751" s="3">
        <f>J751*$D751</f>
        <v/>
      </c>
      <c r="V751" s="3">
        <f>K751*$D751</f>
        <v/>
      </c>
      <c r="W751" s="3">
        <f>L751*$D751</f>
        <v/>
      </c>
      <c r="X751" s="3">
        <f>M751*$D751</f>
        <v/>
      </c>
      <c r="Y751" s="3">
        <f>N751*$D751</f>
        <v/>
      </c>
      <c r="Z751" s="3">
        <f>C751*$D751</f>
        <v/>
      </c>
      <c r="AA751" s="9">
        <f>$L978+$K978*E751+$J978*F751+$I978*G751+$H978*H751+$G978*I751+$F978*J751+$E978*K751+$D978*L751+$C978*M751+$B978*N751</f>
        <v/>
      </c>
      <c r="AB751" s="9">
        <f>C751-AA751</f>
        <v/>
      </c>
      <c r="AC751" s="4">
        <f>AB751^2</f>
        <v/>
      </c>
    </row>
    <row r="752">
      <c r="A752" t="inlineStr">
        <is>
          <t>BBG000BDVP80</t>
        </is>
      </c>
      <c r="B752" t="inlineStr">
        <is>
          <t>rhp</t>
        </is>
      </c>
      <c r="C752" s="9" t="n">
        <v>0.002644200068562697</v>
      </c>
      <c r="D752" s="3">
        <f>EXP(0.25*'3b-d Exposures'!G915)</f>
        <v/>
      </c>
      <c r="E752" s="3">
        <f>IF('3b-d Exposures'!C915="",0,'3b-d Exposures'!C915)</f>
        <v/>
      </c>
      <c r="F752" s="3">
        <f>IF('3b-d Exposures'!E915="",0,'3b-d Exposures'!E915)</f>
        <v/>
      </c>
      <c r="G752" s="3">
        <f>IF('3b-d Exposures'!G915="",0,'3b-d Exposures'!G915)</f>
        <v/>
      </c>
      <c r="H752" s="3">
        <f>IF('3b-d Exposures'!I915="",0,'3b-d Exposures'!I915)</f>
        <v/>
      </c>
      <c r="I752" s="3">
        <f>IF('3b-d Exposures'!K915="",0,'3b-d Exposures'!K915)</f>
        <v/>
      </c>
      <c r="J752" s="3">
        <f>IF('3b-d Exposures'!M915="",0,'3b-d Exposures'!M915)</f>
        <v/>
      </c>
      <c r="K752" s="3">
        <f>IF('3b-d Exposures'!O915="",0,'3b-d Exposures'!O915)</f>
        <v/>
      </c>
      <c r="L752" s="3">
        <f>IF('3b-d Exposures'!Q915="",0,'3b-d Exposures'!Q915)</f>
        <v/>
      </c>
      <c r="M752" s="3">
        <f>IF('3b-d Exposures'!S915="",0,'3b-d Exposures'!S915)</f>
        <v/>
      </c>
      <c r="N752" s="3">
        <f>IF('3b-d Exposures'!Z915="",0,'3b-d Exposures'!Z915)</f>
        <v/>
      </c>
      <c r="O752" s="3">
        <f>$D752</f>
        <v/>
      </c>
      <c r="P752" s="3">
        <f>E752*$D752</f>
        <v/>
      </c>
      <c r="Q752" s="3">
        <f>F752*$D752</f>
        <v/>
      </c>
      <c r="R752" s="3">
        <f>G752*$D752</f>
        <v/>
      </c>
      <c r="S752" s="3">
        <f>H752*$D752</f>
        <v/>
      </c>
      <c r="T752" s="3">
        <f>I752*$D752</f>
        <v/>
      </c>
      <c r="U752" s="3">
        <f>J752*$D752</f>
        <v/>
      </c>
      <c r="V752" s="3">
        <f>K752*$D752</f>
        <v/>
      </c>
      <c r="W752" s="3">
        <f>L752*$D752</f>
        <v/>
      </c>
      <c r="X752" s="3">
        <f>M752*$D752</f>
        <v/>
      </c>
      <c r="Y752" s="3">
        <f>N752*$D752</f>
        <v/>
      </c>
      <c r="Z752" s="3">
        <f>C752*$D752</f>
        <v/>
      </c>
      <c r="AA752" s="9">
        <f>$L978+$K978*E752+$J978*F752+$I978*G752+$H978*H752+$G978*I752+$F978*J752+$E978*K752+$D978*L752+$C978*M752+$B978*N752</f>
        <v/>
      </c>
      <c r="AB752" s="9">
        <f>C752-AA752</f>
        <v/>
      </c>
      <c r="AC752" s="4">
        <f>AB752^2</f>
        <v/>
      </c>
    </row>
    <row r="753">
      <c r="A753" t="inlineStr">
        <is>
          <t>BBG000RTNP69</t>
        </is>
      </c>
      <c r="B753" t="inlineStr">
        <is>
          <t>rily</t>
        </is>
      </c>
      <c r="C753" s="9" t="n">
        <v>-0.06484643443395643</v>
      </c>
      <c r="D753" s="3">
        <f>EXP(0.25*'3b-d Exposures'!G916)</f>
        <v/>
      </c>
      <c r="E753" s="3">
        <f>IF('3b-d Exposures'!C916="",0,'3b-d Exposures'!C916)</f>
        <v/>
      </c>
      <c r="F753" s="3">
        <f>IF('3b-d Exposures'!E916="",0,'3b-d Exposures'!E916)</f>
        <v/>
      </c>
      <c r="G753" s="3">
        <f>IF('3b-d Exposures'!G916="",0,'3b-d Exposures'!G916)</f>
        <v/>
      </c>
      <c r="H753" s="3">
        <f>IF('3b-d Exposures'!I916="",0,'3b-d Exposures'!I916)</f>
        <v/>
      </c>
      <c r="I753" s="3">
        <f>IF('3b-d Exposures'!K916="",0,'3b-d Exposures'!K916)</f>
        <v/>
      </c>
      <c r="J753" s="3">
        <f>IF('3b-d Exposures'!M916="",0,'3b-d Exposures'!M916)</f>
        <v/>
      </c>
      <c r="K753" s="3">
        <f>IF('3b-d Exposures'!O916="",0,'3b-d Exposures'!O916)</f>
        <v/>
      </c>
      <c r="L753" s="3">
        <f>IF('3b-d Exposures'!Q916="",0,'3b-d Exposures'!Q916)</f>
        <v/>
      </c>
      <c r="M753" s="3">
        <f>IF('3b-d Exposures'!S916="",0,'3b-d Exposures'!S916)</f>
        <v/>
      </c>
      <c r="N753" s="3">
        <f>IF('3b-d Exposures'!Z916="",0,'3b-d Exposures'!Z916)</f>
        <v/>
      </c>
      <c r="O753" s="3">
        <f>$D753</f>
        <v/>
      </c>
      <c r="P753" s="3">
        <f>E753*$D753</f>
        <v/>
      </c>
      <c r="Q753" s="3">
        <f>F753*$D753</f>
        <v/>
      </c>
      <c r="R753" s="3">
        <f>G753*$D753</f>
        <v/>
      </c>
      <c r="S753" s="3">
        <f>H753*$D753</f>
        <v/>
      </c>
      <c r="T753" s="3">
        <f>I753*$D753</f>
        <v/>
      </c>
      <c r="U753" s="3">
        <f>J753*$D753</f>
        <v/>
      </c>
      <c r="V753" s="3">
        <f>K753*$D753</f>
        <v/>
      </c>
      <c r="W753" s="3">
        <f>L753*$D753</f>
        <v/>
      </c>
      <c r="X753" s="3">
        <f>M753*$D753</f>
        <v/>
      </c>
      <c r="Y753" s="3">
        <f>N753*$D753</f>
        <v/>
      </c>
      <c r="Z753" s="3">
        <f>C753*$D753</f>
        <v/>
      </c>
      <c r="AA753" s="9">
        <f>$L978+$K978*E753+$J978*F753+$I978*G753+$H978*H753+$G978*I753+$F978*J753+$E978*K753+$D978*L753+$C978*M753+$B978*N753</f>
        <v/>
      </c>
      <c r="AB753" s="9">
        <f>C753-AA753</f>
        <v/>
      </c>
      <c r="AC753" s="4">
        <f>AB753^2</f>
        <v/>
      </c>
    </row>
    <row r="754">
      <c r="A754" t="inlineStr">
        <is>
          <t>BBG003T1GM03</t>
        </is>
      </c>
      <c r="B754" t="inlineStr">
        <is>
          <t>ritm</t>
        </is>
      </c>
      <c r="C754" s="9" t="n">
        <v>-0.004444524537083439</v>
      </c>
      <c r="D754" s="3">
        <f>EXP(0.25*'3b-d Exposures'!G917)</f>
        <v/>
      </c>
      <c r="E754" s="3">
        <f>IF('3b-d Exposures'!C917="",0,'3b-d Exposures'!C917)</f>
        <v/>
      </c>
      <c r="F754" s="3">
        <f>IF('3b-d Exposures'!E917="",0,'3b-d Exposures'!E917)</f>
        <v/>
      </c>
      <c r="G754" s="3">
        <f>IF('3b-d Exposures'!G917="",0,'3b-d Exposures'!G917)</f>
        <v/>
      </c>
      <c r="H754" s="3">
        <f>IF('3b-d Exposures'!I917="",0,'3b-d Exposures'!I917)</f>
        <v/>
      </c>
      <c r="I754" s="3">
        <f>IF('3b-d Exposures'!K917="",0,'3b-d Exposures'!K917)</f>
        <v/>
      </c>
      <c r="J754" s="3">
        <f>IF('3b-d Exposures'!M917="",0,'3b-d Exposures'!M917)</f>
        <v/>
      </c>
      <c r="K754" s="3">
        <f>IF('3b-d Exposures'!O917="",0,'3b-d Exposures'!O917)</f>
        <v/>
      </c>
      <c r="L754" s="3">
        <f>IF('3b-d Exposures'!Q917="",0,'3b-d Exposures'!Q917)</f>
        <v/>
      </c>
      <c r="M754" s="3">
        <f>IF('3b-d Exposures'!S917="",0,'3b-d Exposures'!S917)</f>
        <v/>
      </c>
      <c r="N754" s="3">
        <f>IF('3b-d Exposures'!Z917="",0,'3b-d Exposures'!Z917)</f>
        <v/>
      </c>
      <c r="O754" s="3">
        <f>$D754</f>
        <v/>
      </c>
      <c r="P754" s="3">
        <f>E754*$D754</f>
        <v/>
      </c>
      <c r="Q754" s="3">
        <f>F754*$D754</f>
        <v/>
      </c>
      <c r="R754" s="3">
        <f>G754*$D754</f>
        <v/>
      </c>
      <c r="S754" s="3">
        <f>H754*$D754</f>
        <v/>
      </c>
      <c r="T754" s="3">
        <f>I754*$D754</f>
        <v/>
      </c>
      <c r="U754" s="3">
        <f>J754*$D754</f>
        <v/>
      </c>
      <c r="V754" s="3">
        <f>K754*$D754</f>
        <v/>
      </c>
      <c r="W754" s="3">
        <f>L754*$D754</f>
        <v/>
      </c>
      <c r="X754" s="3">
        <f>M754*$D754</f>
        <v/>
      </c>
      <c r="Y754" s="3">
        <f>N754*$D754</f>
        <v/>
      </c>
      <c r="Z754" s="3">
        <f>C754*$D754</f>
        <v/>
      </c>
      <c r="AA754" s="9">
        <f>$L978+$K978*E754+$J978*F754+$I978*G754+$H978*H754+$G978*I754+$F978*J754+$E978*K754+$D978*L754+$C978*M754+$B978*N754</f>
        <v/>
      </c>
      <c r="AB754" s="9">
        <f>C754-AA754</f>
        <v/>
      </c>
      <c r="AC754" s="4">
        <f>AB754^2</f>
        <v/>
      </c>
    </row>
    <row r="755">
      <c r="A755" t="inlineStr">
        <is>
          <t>BBG00741Y1N2</t>
        </is>
      </c>
      <c r="B755" t="inlineStr">
        <is>
          <t>rivn</t>
        </is>
      </c>
      <c r="C755" s="9" t="n">
        <v>-0.02943578660277024</v>
      </c>
      <c r="D755" s="3">
        <f>EXP(0.25*'3b-d Exposures'!G918)</f>
        <v/>
      </c>
      <c r="E755" s="3">
        <f>IF('3b-d Exposures'!C918="",0,'3b-d Exposures'!C918)</f>
        <v/>
      </c>
      <c r="F755" s="3">
        <f>IF('3b-d Exposures'!E918="",0,'3b-d Exposures'!E918)</f>
        <v/>
      </c>
      <c r="G755" s="3">
        <f>IF('3b-d Exposures'!G918="",0,'3b-d Exposures'!G918)</f>
        <v/>
      </c>
      <c r="H755" s="3">
        <f>IF('3b-d Exposures'!I918="",0,'3b-d Exposures'!I918)</f>
        <v/>
      </c>
      <c r="I755" s="3">
        <f>IF('3b-d Exposures'!K918="",0,'3b-d Exposures'!K918)</f>
        <v/>
      </c>
      <c r="J755" s="3">
        <f>IF('3b-d Exposures'!M918="",0,'3b-d Exposures'!M918)</f>
        <v/>
      </c>
      <c r="K755" s="3">
        <f>IF('3b-d Exposures'!O918="",0,'3b-d Exposures'!O918)</f>
        <v/>
      </c>
      <c r="L755" s="3">
        <f>IF('3b-d Exposures'!Q918="",0,'3b-d Exposures'!Q918)</f>
        <v/>
      </c>
      <c r="M755" s="3">
        <f>IF('3b-d Exposures'!S918="",0,'3b-d Exposures'!S918)</f>
        <v/>
      </c>
      <c r="N755" s="3">
        <f>IF('3b-d Exposures'!Z918="",0,'3b-d Exposures'!Z918)</f>
        <v/>
      </c>
      <c r="O755" s="3">
        <f>$D755</f>
        <v/>
      </c>
      <c r="P755" s="3">
        <f>E755*$D755</f>
        <v/>
      </c>
      <c r="Q755" s="3">
        <f>F755*$D755</f>
        <v/>
      </c>
      <c r="R755" s="3">
        <f>G755*$D755</f>
        <v/>
      </c>
      <c r="S755" s="3">
        <f>H755*$D755</f>
        <v/>
      </c>
      <c r="T755" s="3">
        <f>I755*$D755</f>
        <v/>
      </c>
      <c r="U755" s="3">
        <f>J755*$D755</f>
        <v/>
      </c>
      <c r="V755" s="3">
        <f>K755*$D755</f>
        <v/>
      </c>
      <c r="W755" s="3">
        <f>L755*$D755</f>
        <v/>
      </c>
      <c r="X755" s="3">
        <f>M755*$D755</f>
        <v/>
      </c>
      <c r="Y755" s="3">
        <f>N755*$D755</f>
        <v/>
      </c>
      <c r="Z755" s="3">
        <f>C755*$D755</f>
        <v/>
      </c>
      <c r="AA755" s="9">
        <f>$L978+$K978*E755+$J978*F755+$I978*G755+$H978*H755+$G978*I755+$F978*J755+$E978*K755+$D978*L755+$C978*M755+$B978*N755</f>
        <v/>
      </c>
      <c r="AB755" s="9">
        <f>C755-AA755</f>
        <v/>
      </c>
      <c r="AC755" s="4">
        <f>AB755^2</f>
        <v/>
      </c>
    </row>
    <row r="756">
      <c r="A756" t="inlineStr">
        <is>
          <t>rjf</t>
        </is>
      </c>
      <c r="B756" t="inlineStr">
        <is>
          <t>rjf</t>
        </is>
      </c>
      <c r="C756" s="9" t="n">
        <v>-0.01376426241575812</v>
      </c>
      <c r="D756" s="3">
        <f>EXP(0.25*'3b-d Exposures'!G919)</f>
        <v/>
      </c>
      <c r="E756" s="3">
        <f>IF('3b-d Exposures'!C919="",0,'3b-d Exposures'!C919)</f>
        <v/>
      </c>
      <c r="F756" s="3">
        <f>IF('3b-d Exposures'!E919="",0,'3b-d Exposures'!E919)</f>
        <v/>
      </c>
      <c r="G756" s="3">
        <f>IF('3b-d Exposures'!G919="",0,'3b-d Exposures'!G919)</f>
        <v/>
      </c>
      <c r="H756" s="3">
        <f>IF('3b-d Exposures'!I919="",0,'3b-d Exposures'!I919)</f>
        <v/>
      </c>
      <c r="I756" s="3">
        <f>IF('3b-d Exposures'!K919="",0,'3b-d Exposures'!K919)</f>
        <v/>
      </c>
      <c r="J756" s="3">
        <f>IF('3b-d Exposures'!M919="",0,'3b-d Exposures'!M919)</f>
        <v/>
      </c>
      <c r="K756" s="3">
        <f>IF('3b-d Exposures'!O919="",0,'3b-d Exposures'!O919)</f>
        <v/>
      </c>
      <c r="L756" s="3">
        <f>IF('3b-d Exposures'!Q919="",0,'3b-d Exposures'!Q919)</f>
        <v/>
      </c>
      <c r="M756" s="3">
        <f>IF('3b-d Exposures'!S919="",0,'3b-d Exposures'!S919)</f>
        <v/>
      </c>
      <c r="N756" s="3">
        <f>IF('3b-d Exposures'!Z919="",0,'3b-d Exposures'!Z919)</f>
        <v/>
      </c>
      <c r="O756" s="3">
        <f>$D756</f>
        <v/>
      </c>
      <c r="P756" s="3">
        <f>E756*$D756</f>
        <v/>
      </c>
      <c r="Q756" s="3">
        <f>F756*$D756</f>
        <v/>
      </c>
      <c r="R756" s="3">
        <f>G756*$D756</f>
        <v/>
      </c>
      <c r="S756" s="3">
        <f>H756*$D756</f>
        <v/>
      </c>
      <c r="T756" s="3">
        <f>I756*$D756</f>
        <v/>
      </c>
      <c r="U756" s="3">
        <f>J756*$D756</f>
        <v/>
      </c>
      <c r="V756" s="3">
        <f>K756*$D756</f>
        <v/>
      </c>
      <c r="W756" s="3">
        <f>L756*$D756</f>
        <v/>
      </c>
      <c r="X756" s="3">
        <f>M756*$D756</f>
        <v/>
      </c>
      <c r="Y756" s="3">
        <f>N756*$D756</f>
        <v/>
      </c>
      <c r="Z756" s="3">
        <f>C756*$D756</f>
        <v/>
      </c>
      <c r="AA756" s="9">
        <f>$L978+$K978*E756+$J978*F756+$I978*G756+$H978*H756+$G978*I756+$F978*J756+$E978*K756+$D978*L756+$C978*M756+$B978*N756</f>
        <v/>
      </c>
      <c r="AB756" s="9">
        <f>C756-AA756</f>
        <v/>
      </c>
      <c r="AC756" s="4">
        <f>AB756^2</f>
        <v/>
      </c>
    </row>
    <row r="757">
      <c r="A757" t="inlineStr">
        <is>
          <t>BBG000BS7ZF4</t>
        </is>
      </c>
      <c r="B757" t="inlineStr">
        <is>
          <t>rli</t>
        </is>
      </c>
      <c r="C757" s="9" t="n">
        <v>-0.0133597213647888</v>
      </c>
      <c r="D757" s="3">
        <f>EXP(0.25*'3b-d Exposures'!G922)</f>
        <v/>
      </c>
      <c r="E757" s="3">
        <f>IF('3b-d Exposures'!C922="",0,'3b-d Exposures'!C922)</f>
        <v/>
      </c>
      <c r="F757" s="3">
        <f>IF('3b-d Exposures'!E922="",0,'3b-d Exposures'!E922)</f>
        <v/>
      </c>
      <c r="G757" s="3">
        <f>IF('3b-d Exposures'!G922="",0,'3b-d Exposures'!G922)</f>
        <v/>
      </c>
      <c r="H757" s="3">
        <f>IF('3b-d Exposures'!I922="",0,'3b-d Exposures'!I922)</f>
        <v/>
      </c>
      <c r="I757" s="3">
        <f>IF('3b-d Exposures'!K922="",0,'3b-d Exposures'!K922)</f>
        <v/>
      </c>
      <c r="J757" s="3">
        <f>IF('3b-d Exposures'!M922="",0,'3b-d Exposures'!M922)</f>
        <v/>
      </c>
      <c r="K757" s="3">
        <f>IF('3b-d Exposures'!O922="",0,'3b-d Exposures'!O922)</f>
        <v/>
      </c>
      <c r="L757" s="3">
        <f>IF('3b-d Exposures'!Q922="",0,'3b-d Exposures'!Q922)</f>
        <v/>
      </c>
      <c r="M757" s="3">
        <f>IF('3b-d Exposures'!S922="",0,'3b-d Exposures'!S922)</f>
        <v/>
      </c>
      <c r="N757" s="3">
        <f>IF('3b-d Exposures'!Z922="",0,'3b-d Exposures'!Z922)</f>
        <v/>
      </c>
      <c r="O757" s="3">
        <f>$D757</f>
        <v/>
      </c>
      <c r="P757" s="3">
        <f>E757*$D757</f>
        <v/>
      </c>
      <c r="Q757" s="3">
        <f>F757*$D757</f>
        <v/>
      </c>
      <c r="R757" s="3">
        <f>G757*$D757</f>
        <v/>
      </c>
      <c r="S757" s="3">
        <f>H757*$D757</f>
        <v/>
      </c>
      <c r="T757" s="3">
        <f>I757*$D757</f>
        <v/>
      </c>
      <c r="U757" s="3">
        <f>J757*$D757</f>
        <v/>
      </c>
      <c r="V757" s="3">
        <f>K757*$D757</f>
        <v/>
      </c>
      <c r="W757" s="3">
        <f>L757*$D757</f>
        <v/>
      </c>
      <c r="X757" s="3">
        <f>M757*$D757</f>
        <v/>
      </c>
      <c r="Y757" s="3">
        <f>N757*$D757</f>
        <v/>
      </c>
      <c r="Z757" s="3">
        <f>C757*$D757</f>
        <v/>
      </c>
      <c r="AA757" s="9">
        <f>$L978+$K978*E757+$J978*F757+$I978*G757+$H978*H757+$G978*I757+$F978*J757+$E978*K757+$D978*L757+$C978*M757+$B978*N757</f>
        <v/>
      </c>
      <c r="AB757" s="9">
        <f>C757-AA757</f>
        <v/>
      </c>
      <c r="AC757" s="4">
        <f>AB757^2</f>
        <v/>
      </c>
    </row>
    <row r="758">
      <c r="A758" t="inlineStr">
        <is>
          <t>BBG000BR32C6</t>
        </is>
      </c>
      <c r="B758" t="inlineStr">
        <is>
          <t>rmbs</t>
        </is>
      </c>
      <c r="C758" s="9" t="n">
        <v>0.01833588537300201</v>
      </c>
      <c r="D758" s="3">
        <f>EXP(0.25*'3b-d Exposures'!G923)</f>
        <v/>
      </c>
      <c r="E758" s="3">
        <f>IF('3b-d Exposures'!C923="",0,'3b-d Exposures'!C923)</f>
        <v/>
      </c>
      <c r="F758" s="3">
        <f>IF('3b-d Exposures'!E923="",0,'3b-d Exposures'!E923)</f>
        <v/>
      </c>
      <c r="G758" s="3">
        <f>IF('3b-d Exposures'!G923="",0,'3b-d Exposures'!G923)</f>
        <v/>
      </c>
      <c r="H758" s="3">
        <f>IF('3b-d Exposures'!I923="",0,'3b-d Exposures'!I923)</f>
        <v/>
      </c>
      <c r="I758" s="3">
        <f>IF('3b-d Exposures'!K923="",0,'3b-d Exposures'!K923)</f>
        <v/>
      </c>
      <c r="J758" s="3">
        <f>IF('3b-d Exposures'!M923="",0,'3b-d Exposures'!M923)</f>
        <v/>
      </c>
      <c r="K758" s="3">
        <f>IF('3b-d Exposures'!O923="",0,'3b-d Exposures'!O923)</f>
        <v/>
      </c>
      <c r="L758" s="3">
        <f>IF('3b-d Exposures'!Q923="",0,'3b-d Exposures'!Q923)</f>
        <v/>
      </c>
      <c r="M758" s="3">
        <f>IF('3b-d Exposures'!S923="",0,'3b-d Exposures'!S923)</f>
        <v/>
      </c>
      <c r="N758" s="3">
        <f>IF('3b-d Exposures'!Z923="",0,'3b-d Exposures'!Z923)</f>
        <v/>
      </c>
      <c r="O758" s="3">
        <f>$D758</f>
        <v/>
      </c>
      <c r="P758" s="3">
        <f>E758*$D758</f>
        <v/>
      </c>
      <c r="Q758" s="3">
        <f>F758*$D758</f>
        <v/>
      </c>
      <c r="R758" s="3">
        <f>G758*$D758</f>
        <v/>
      </c>
      <c r="S758" s="3">
        <f>H758*$D758</f>
        <v/>
      </c>
      <c r="T758" s="3">
        <f>I758*$D758</f>
        <v/>
      </c>
      <c r="U758" s="3">
        <f>J758*$D758</f>
        <v/>
      </c>
      <c r="V758" s="3">
        <f>K758*$D758</f>
        <v/>
      </c>
      <c r="W758" s="3">
        <f>L758*$D758</f>
        <v/>
      </c>
      <c r="X758" s="3">
        <f>M758*$D758</f>
        <v/>
      </c>
      <c r="Y758" s="3">
        <f>N758*$D758</f>
        <v/>
      </c>
      <c r="Z758" s="3">
        <f>C758*$D758</f>
        <v/>
      </c>
      <c r="AA758" s="9">
        <f>$L978+$K978*E758+$J978*F758+$I978*G758+$H978*H758+$G978*I758+$F978*J758+$E978*K758+$D978*L758+$C978*M758+$B978*N758</f>
        <v/>
      </c>
      <c r="AB758" s="9">
        <f>C758-AA758</f>
        <v/>
      </c>
      <c r="AC758" s="4">
        <f>AB758^2</f>
        <v/>
      </c>
    </row>
    <row r="759">
      <c r="A759" t="inlineStr">
        <is>
          <t>BBG000L4M7F1</t>
        </is>
      </c>
      <c r="B759" t="inlineStr">
        <is>
          <t>rmd</t>
        </is>
      </c>
      <c r="C759" s="9" t="n">
        <v>-0.01646457135882273</v>
      </c>
      <c r="D759" s="3">
        <f>EXP(0.25*'3b-d Exposures'!G924)</f>
        <v/>
      </c>
      <c r="E759" s="3">
        <f>IF('3b-d Exposures'!C924="",0,'3b-d Exposures'!C924)</f>
        <v/>
      </c>
      <c r="F759" s="3">
        <f>IF('3b-d Exposures'!E924="",0,'3b-d Exposures'!E924)</f>
        <v/>
      </c>
      <c r="G759" s="3">
        <f>IF('3b-d Exposures'!G924="",0,'3b-d Exposures'!G924)</f>
        <v/>
      </c>
      <c r="H759" s="3">
        <f>IF('3b-d Exposures'!I924="",0,'3b-d Exposures'!I924)</f>
        <v/>
      </c>
      <c r="I759" s="3">
        <f>IF('3b-d Exposures'!K924="",0,'3b-d Exposures'!K924)</f>
        <v/>
      </c>
      <c r="J759" s="3">
        <f>IF('3b-d Exposures'!M924="",0,'3b-d Exposures'!M924)</f>
        <v/>
      </c>
      <c r="K759" s="3">
        <f>IF('3b-d Exposures'!O924="",0,'3b-d Exposures'!O924)</f>
        <v/>
      </c>
      <c r="L759" s="3">
        <f>IF('3b-d Exposures'!Q924="",0,'3b-d Exposures'!Q924)</f>
        <v/>
      </c>
      <c r="M759" s="3">
        <f>IF('3b-d Exposures'!S924="",0,'3b-d Exposures'!S924)</f>
        <v/>
      </c>
      <c r="N759" s="3">
        <f>IF('3b-d Exposures'!Z924="",0,'3b-d Exposures'!Z924)</f>
        <v/>
      </c>
      <c r="O759" s="3">
        <f>$D759</f>
        <v/>
      </c>
      <c r="P759" s="3">
        <f>E759*$D759</f>
        <v/>
      </c>
      <c r="Q759" s="3">
        <f>F759*$D759</f>
        <v/>
      </c>
      <c r="R759" s="3">
        <f>G759*$D759</f>
        <v/>
      </c>
      <c r="S759" s="3">
        <f>H759*$D759</f>
        <v/>
      </c>
      <c r="T759" s="3">
        <f>I759*$D759</f>
        <v/>
      </c>
      <c r="U759" s="3">
        <f>J759*$D759</f>
        <v/>
      </c>
      <c r="V759" s="3">
        <f>K759*$D759</f>
        <v/>
      </c>
      <c r="W759" s="3">
        <f>L759*$D759</f>
        <v/>
      </c>
      <c r="X759" s="3">
        <f>M759*$D759</f>
        <v/>
      </c>
      <c r="Y759" s="3">
        <f>N759*$D759</f>
        <v/>
      </c>
      <c r="Z759" s="3">
        <f>C759*$D759</f>
        <v/>
      </c>
      <c r="AA759" s="9">
        <f>$L978+$K978*E759+$J978*F759+$I978*G759+$H978*H759+$G978*I759+$F978*J759+$E978*K759+$D978*L759+$C978*M759+$B978*N759</f>
        <v/>
      </c>
      <c r="AB759" s="9">
        <f>C759-AA759</f>
        <v/>
      </c>
      <c r="AC759" s="4">
        <f>AB759^2</f>
        <v/>
      </c>
    </row>
    <row r="760">
      <c r="A760" t="inlineStr">
        <is>
          <t>BBG000J094P3</t>
        </is>
      </c>
      <c r="B760" t="inlineStr">
        <is>
          <t>rng</t>
        </is>
      </c>
      <c r="C760" s="9" t="n">
        <v>0.003454595588553211</v>
      </c>
      <c r="D760" s="3">
        <f>EXP(0.25*'3b-d Exposures'!G925)</f>
        <v/>
      </c>
      <c r="E760" s="3">
        <f>IF('3b-d Exposures'!C925="",0,'3b-d Exposures'!C925)</f>
        <v/>
      </c>
      <c r="F760" s="3">
        <f>IF('3b-d Exposures'!E925="",0,'3b-d Exposures'!E925)</f>
        <v/>
      </c>
      <c r="G760" s="3">
        <f>IF('3b-d Exposures'!G925="",0,'3b-d Exposures'!G925)</f>
        <v/>
      </c>
      <c r="H760" s="3">
        <f>IF('3b-d Exposures'!I925="",0,'3b-d Exposures'!I925)</f>
        <v/>
      </c>
      <c r="I760" s="3">
        <f>IF('3b-d Exposures'!K925="",0,'3b-d Exposures'!K925)</f>
        <v/>
      </c>
      <c r="J760" s="3">
        <f>IF('3b-d Exposures'!M925="",0,'3b-d Exposures'!M925)</f>
        <v/>
      </c>
      <c r="K760" s="3">
        <f>IF('3b-d Exposures'!O925="",0,'3b-d Exposures'!O925)</f>
        <v/>
      </c>
      <c r="L760" s="3">
        <f>IF('3b-d Exposures'!Q925="",0,'3b-d Exposures'!Q925)</f>
        <v/>
      </c>
      <c r="M760" s="3">
        <f>IF('3b-d Exposures'!S925="",0,'3b-d Exposures'!S925)</f>
        <v/>
      </c>
      <c r="N760" s="3">
        <f>IF('3b-d Exposures'!Z925="",0,'3b-d Exposures'!Z925)</f>
        <v/>
      </c>
      <c r="O760" s="3">
        <f>$D760</f>
        <v/>
      </c>
      <c r="P760" s="3">
        <f>E760*$D760</f>
        <v/>
      </c>
      <c r="Q760" s="3">
        <f>F760*$D760</f>
        <v/>
      </c>
      <c r="R760" s="3">
        <f>G760*$D760</f>
        <v/>
      </c>
      <c r="S760" s="3">
        <f>H760*$D760</f>
        <v/>
      </c>
      <c r="T760" s="3">
        <f>I760*$D760</f>
        <v/>
      </c>
      <c r="U760" s="3">
        <f>J760*$D760</f>
        <v/>
      </c>
      <c r="V760" s="3">
        <f>K760*$D760</f>
        <v/>
      </c>
      <c r="W760" s="3">
        <f>L760*$D760</f>
        <v/>
      </c>
      <c r="X760" s="3">
        <f>M760*$D760</f>
        <v/>
      </c>
      <c r="Y760" s="3">
        <f>N760*$D760</f>
        <v/>
      </c>
      <c r="Z760" s="3">
        <f>C760*$D760</f>
        <v/>
      </c>
      <c r="AA760" s="9">
        <f>$L978+$K978*E760+$J978*F760+$I978*G760+$H978*H760+$G978*I760+$F978*J760+$E978*K760+$D978*L760+$C978*M760+$B978*N760</f>
        <v/>
      </c>
      <c r="AB760" s="9">
        <f>C760-AA760</f>
        <v/>
      </c>
      <c r="AC760" s="4">
        <f>AB760^2</f>
        <v/>
      </c>
    </row>
    <row r="761">
      <c r="A761" t="inlineStr">
        <is>
          <t>BBG000BS9HN3</t>
        </is>
      </c>
      <c r="B761" t="inlineStr">
        <is>
          <t>rog</t>
        </is>
      </c>
      <c r="C761" s="9" t="n">
        <v>0.0241359331512434</v>
      </c>
      <c r="D761" s="3">
        <f>EXP(0.25*'3b-d Exposures'!G926)</f>
        <v/>
      </c>
      <c r="E761" s="3">
        <f>IF('3b-d Exposures'!C926="",0,'3b-d Exposures'!C926)</f>
        <v/>
      </c>
      <c r="F761" s="3">
        <f>IF('3b-d Exposures'!E926="",0,'3b-d Exposures'!E926)</f>
        <v/>
      </c>
      <c r="G761" s="3">
        <f>IF('3b-d Exposures'!G926="",0,'3b-d Exposures'!G926)</f>
        <v/>
      </c>
      <c r="H761" s="3">
        <f>IF('3b-d Exposures'!I926="",0,'3b-d Exposures'!I926)</f>
        <v/>
      </c>
      <c r="I761" s="3">
        <f>IF('3b-d Exposures'!K926="",0,'3b-d Exposures'!K926)</f>
        <v/>
      </c>
      <c r="J761" s="3">
        <f>IF('3b-d Exposures'!M926="",0,'3b-d Exposures'!M926)</f>
        <v/>
      </c>
      <c r="K761" s="3">
        <f>IF('3b-d Exposures'!O926="",0,'3b-d Exposures'!O926)</f>
        <v/>
      </c>
      <c r="L761" s="3">
        <f>IF('3b-d Exposures'!Q926="",0,'3b-d Exposures'!Q926)</f>
        <v/>
      </c>
      <c r="M761" s="3">
        <f>IF('3b-d Exposures'!S926="",0,'3b-d Exposures'!S926)</f>
        <v/>
      </c>
      <c r="N761" s="3">
        <f>IF('3b-d Exposures'!Z926="",0,'3b-d Exposures'!Z926)</f>
        <v/>
      </c>
      <c r="O761" s="3">
        <f>$D761</f>
        <v/>
      </c>
      <c r="P761" s="3">
        <f>E761*$D761</f>
        <v/>
      </c>
      <c r="Q761" s="3">
        <f>F761*$D761</f>
        <v/>
      </c>
      <c r="R761" s="3">
        <f>G761*$D761</f>
        <v/>
      </c>
      <c r="S761" s="3">
        <f>H761*$D761</f>
        <v/>
      </c>
      <c r="T761" s="3">
        <f>I761*$D761</f>
        <v/>
      </c>
      <c r="U761" s="3">
        <f>J761*$D761</f>
        <v/>
      </c>
      <c r="V761" s="3">
        <f>K761*$D761</f>
        <v/>
      </c>
      <c r="W761" s="3">
        <f>L761*$D761</f>
        <v/>
      </c>
      <c r="X761" s="3">
        <f>M761*$D761</f>
        <v/>
      </c>
      <c r="Y761" s="3">
        <f>N761*$D761</f>
        <v/>
      </c>
      <c r="Z761" s="3">
        <f>C761*$D761</f>
        <v/>
      </c>
      <c r="AA761" s="9">
        <f>$L978+$K978*E761+$J978*F761+$I978*G761+$H978*H761+$G978*I761+$F978*J761+$E978*K761+$D978*L761+$C978*M761+$B978*N761</f>
        <v/>
      </c>
      <c r="AB761" s="9">
        <f>C761-AA761</f>
        <v/>
      </c>
      <c r="AC761" s="4">
        <f>AB761^2</f>
        <v/>
      </c>
    </row>
    <row r="762">
      <c r="A762" t="inlineStr">
        <is>
          <t>rok</t>
        </is>
      </c>
      <c r="B762" t="inlineStr">
        <is>
          <t>rok</t>
        </is>
      </c>
      <c r="C762" s="9" t="n">
        <v>0.006708681830389862</v>
      </c>
      <c r="D762" s="3">
        <f>EXP(0.25*'3b-d Exposures'!G927)</f>
        <v/>
      </c>
      <c r="E762" s="3">
        <f>IF('3b-d Exposures'!C927="",0,'3b-d Exposures'!C927)</f>
        <v/>
      </c>
      <c r="F762" s="3">
        <f>IF('3b-d Exposures'!E927="",0,'3b-d Exposures'!E927)</f>
        <v/>
      </c>
      <c r="G762" s="3">
        <f>IF('3b-d Exposures'!G927="",0,'3b-d Exposures'!G927)</f>
        <v/>
      </c>
      <c r="H762" s="3">
        <f>IF('3b-d Exposures'!I927="",0,'3b-d Exposures'!I927)</f>
        <v/>
      </c>
      <c r="I762" s="3">
        <f>IF('3b-d Exposures'!K927="",0,'3b-d Exposures'!K927)</f>
        <v/>
      </c>
      <c r="J762" s="3">
        <f>IF('3b-d Exposures'!M927="",0,'3b-d Exposures'!M927)</f>
        <v/>
      </c>
      <c r="K762" s="3">
        <f>IF('3b-d Exposures'!O927="",0,'3b-d Exposures'!O927)</f>
        <v/>
      </c>
      <c r="L762" s="3">
        <f>IF('3b-d Exposures'!Q927="",0,'3b-d Exposures'!Q927)</f>
        <v/>
      </c>
      <c r="M762" s="3">
        <f>IF('3b-d Exposures'!S927="",0,'3b-d Exposures'!S927)</f>
        <v/>
      </c>
      <c r="N762" s="3">
        <f>IF('3b-d Exposures'!Z927="",0,'3b-d Exposures'!Z927)</f>
        <v/>
      </c>
      <c r="O762" s="3">
        <f>$D762</f>
        <v/>
      </c>
      <c r="P762" s="3">
        <f>E762*$D762</f>
        <v/>
      </c>
      <c r="Q762" s="3">
        <f>F762*$D762</f>
        <v/>
      </c>
      <c r="R762" s="3">
        <f>G762*$D762</f>
        <v/>
      </c>
      <c r="S762" s="3">
        <f>H762*$D762</f>
        <v/>
      </c>
      <c r="T762" s="3">
        <f>I762*$D762</f>
        <v/>
      </c>
      <c r="U762" s="3">
        <f>J762*$D762</f>
        <v/>
      </c>
      <c r="V762" s="3">
        <f>K762*$D762</f>
        <v/>
      </c>
      <c r="W762" s="3">
        <f>L762*$D762</f>
        <v/>
      </c>
      <c r="X762" s="3">
        <f>M762*$D762</f>
        <v/>
      </c>
      <c r="Y762" s="3">
        <f>N762*$D762</f>
        <v/>
      </c>
      <c r="Z762" s="3">
        <f>C762*$D762</f>
        <v/>
      </c>
      <c r="AA762" s="9">
        <f>$L978+$K978*E762+$J978*F762+$I978*G762+$H978*H762+$G978*I762+$F978*J762+$E978*K762+$D978*L762+$C978*M762+$B978*N762</f>
        <v/>
      </c>
      <c r="AB762" s="9">
        <f>C762-AA762</f>
        <v/>
      </c>
      <c r="AC762" s="4">
        <f>AB762^2</f>
        <v/>
      </c>
    </row>
    <row r="763">
      <c r="A763" t="inlineStr">
        <is>
          <t>BBG001ZZPQJ6</t>
        </is>
      </c>
      <c r="B763" t="inlineStr">
        <is>
          <t>roku</t>
        </is>
      </c>
      <c r="C763" s="9" t="n">
        <v>0.1161814343659855</v>
      </c>
      <c r="D763" s="3">
        <f>EXP(0.25*'3b-d Exposures'!G928)</f>
        <v/>
      </c>
      <c r="E763" s="3">
        <f>IF('3b-d Exposures'!C928="",0,'3b-d Exposures'!C928)</f>
        <v/>
      </c>
      <c r="F763" s="3">
        <f>IF('3b-d Exposures'!E928="",0,'3b-d Exposures'!E928)</f>
        <v/>
      </c>
      <c r="G763" s="3">
        <f>IF('3b-d Exposures'!G928="",0,'3b-d Exposures'!G928)</f>
        <v/>
      </c>
      <c r="H763" s="3">
        <f>IF('3b-d Exposures'!I928="",0,'3b-d Exposures'!I928)</f>
        <v/>
      </c>
      <c r="I763" s="3">
        <f>IF('3b-d Exposures'!K928="",0,'3b-d Exposures'!K928)</f>
        <v/>
      </c>
      <c r="J763" s="3">
        <f>IF('3b-d Exposures'!M928="",0,'3b-d Exposures'!M928)</f>
        <v/>
      </c>
      <c r="K763" s="3">
        <f>IF('3b-d Exposures'!O928="",0,'3b-d Exposures'!O928)</f>
        <v/>
      </c>
      <c r="L763" s="3">
        <f>IF('3b-d Exposures'!Q928="",0,'3b-d Exposures'!Q928)</f>
        <v/>
      </c>
      <c r="M763" s="3">
        <f>IF('3b-d Exposures'!S928="",0,'3b-d Exposures'!S928)</f>
        <v/>
      </c>
      <c r="N763" s="3">
        <f>IF('3b-d Exposures'!Z928="",0,'3b-d Exposures'!Z928)</f>
        <v/>
      </c>
      <c r="O763" s="3">
        <f>$D763</f>
        <v/>
      </c>
      <c r="P763" s="3">
        <f>E763*$D763</f>
        <v/>
      </c>
      <c r="Q763" s="3">
        <f>F763*$D763</f>
        <v/>
      </c>
      <c r="R763" s="3">
        <f>G763*$D763</f>
        <v/>
      </c>
      <c r="S763" s="3">
        <f>H763*$D763</f>
        <v/>
      </c>
      <c r="T763" s="3">
        <f>I763*$D763</f>
        <v/>
      </c>
      <c r="U763" s="3">
        <f>J763*$D763</f>
        <v/>
      </c>
      <c r="V763" s="3">
        <f>K763*$D763</f>
        <v/>
      </c>
      <c r="W763" s="3">
        <f>L763*$D763</f>
        <v/>
      </c>
      <c r="X763" s="3">
        <f>M763*$D763</f>
        <v/>
      </c>
      <c r="Y763" s="3">
        <f>N763*$D763</f>
        <v/>
      </c>
      <c r="Z763" s="3">
        <f>C763*$D763</f>
        <v/>
      </c>
      <c r="AA763" s="9">
        <f>$L978+$K978*E763+$J978*F763+$I978*G763+$H978*H763+$G978*I763+$F978*J763+$E978*K763+$D978*L763+$C978*M763+$B978*N763</f>
        <v/>
      </c>
      <c r="AB763" s="9">
        <f>C763-AA763</f>
        <v/>
      </c>
      <c r="AC763" s="4">
        <f>AB763^2</f>
        <v/>
      </c>
    </row>
    <row r="764">
      <c r="A764" t="inlineStr">
        <is>
          <t>BBG000BSBBP1</t>
        </is>
      </c>
      <c r="B764" t="inlineStr">
        <is>
          <t>rol</t>
        </is>
      </c>
      <c r="C764" s="9" t="n">
        <v>-0.009338250957416472</v>
      </c>
      <c r="D764" s="3">
        <f>EXP(0.25*'3b-d Exposures'!G929)</f>
        <v/>
      </c>
      <c r="E764" s="3">
        <f>IF('3b-d Exposures'!C929="",0,'3b-d Exposures'!C929)</f>
        <v/>
      </c>
      <c r="F764" s="3">
        <f>IF('3b-d Exposures'!E929="",0,'3b-d Exposures'!E929)</f>
        <v/>
      </c>
      <c r="G764" s="3">
        <f>IF('3b-d Exposures'!G929="",0,'3b-d Exposures'!G929)</f>
        <v/>
      </c>
      <c r="H764" s="3">
        <f>IF('3b-d Exposures'!I929="",0,'3b-d Exposures'!I929)</f>
        <v/>
      </c>
      <c r="I764" s="3">
        <f>IF('3b-d Exposures'!K929="",0,'3b-d Exposures'!K929)</f>
        <v/>
      </c>
      <c r="J764" s="3">
        <f>IF('3b-d Exposures'!M929="",0,'3b-d Exposures'!M929)</f>
        <v/>
      </c>
      <c r="K764" s="3">
        <f>IF('3b-d Exposures'!O929="",0,'3b-d Exposures'!O929)</f>
        <v/>
      </c>
      <c r="L764" s="3">
        <f>IF('3b-d Exposures'!Q929="",0,'3b-d Exposures'!Q929)</f>
        <v/>
      </c>
      <c r="M764" s="3">
        <f>IF('3b-d Exposures'!S929="",0,'3b-d Exposures'!S929)</f>
        <v/>
      </c>
      <c r="N764" s="3">
        <f>IF('3b-d Exposures'!Z929="",0,'3b-d Exposures'!Z929)</f>
        <v/>
      </c>
      <c r="O764" s="3">
        <f>$D764</f>
        <v/>
      </c>
      <c r="P764" s="3">
        <f>E764*$D764</f>
        <v/>
      </c>
      <c r="Q764" s="3">
        <f>F764*$D764</f>
        <v/>
      </c>
      <c r="R764" s="3">
        <f>G764*$D764</f>
        <v/>
      </c>
      <c r="S764" s="3">
        <f>H764*$D764</f>
        <v/>
      </c>
      <c r="T764" s="3">
        <f>I764*$D764</f>
        <v/>
      </c>
      <c r="U764" s="3">
        <f>J764*$D764</f>
        <v/>
      </c>
      <c r="V764" s="3">
        <f>K764*$D764</f>
        <v/>
      </c>
      <c r="W764" s="3">
        <f>L764*$D764</f>
        <v/>
      </c>
      <c r="X764" s="3">
        <f>M764*$D764</f>
        <v/>
      </c>
      <c r="Y764" s="3">
        <f>N764*$D764</f>
        <v/>
      </c>
      <c r="Z764" s="3">
        <f>C764*$D764</f>
        <v/>
      </c>
      <c r="AA764" s="9">
        <f>$L978+$K978*E764+$J978*F764+$I978*G764+$H978*H764+$G978*I764+$F978*J764+$E978*K764+$D978*L764+$C978*M764+$B978*N764</f>
        <v/>
      </c>
      <c r="AB764" s="9">
        <f>C764-AA764</f>
        <v/>
      </c>
      <c r="AC764" s="4">
        <f>AB764^2</f>
        <v/>
      </c>
    </row>
    <row r="765">
      <c r="A765" t="inlineStr">
        <is>
          <t>BBG000F1ZSN5</t>
        </is>
      </c>
      <c r="B765" t="inlineStr">
        <is>
          <t>rop</t>
        </is>
      </c>
      <c r="C765" s="9" t="n">
        <v>0.003866076647779604</v>
      </c>
      <c r="D765" s="3">
        <f>EXP(0.25*'3b-d Exposures'!G930)</f>
        <v/>
      </c>
      <c r="E765" s="3">
        <f>IF('3b-d Exposures'!C930="",0,'3b-d Exposures'!C930)</f>
        <v/>
      </c>
      <c r="F765" s="3">
        <f>IF('3b-d Exposures'!E930="",0,'3b-d Exposures'!E930)</f>
        <v/>
      </c>
      <c r="G765" s="3">
        <f>IF('3b-d Exposures'!G930="",0,'3b-d Exposures'!G930)</f>
        <v/>
      </c>
      <c r="H765" s="3">
        <f>IF('3b-d Exposures'!I930="",0,'3b-d Exposures'!I930)</f>
        <v/>
      </c>
      <c r="I765" s="3">
        <f>IF('3b-d Exposures'!K930="",0,'3b-d Exposures'!K930)</f>
        <v/>
      </c>
      <c r="J765" s="3">
        <f>IF('3b-d Exposures'!M930="",0,'3b-d Exposures'!M930)</f>
        <v/>
      </c>
      <c r="K765" s="3">
        <f>IF('3b-d Exposures'!O930="",0,'3b-d Exposures'!O930)</f>
        <v/>
      </c>
      <c r="L765" s="3">
        <f>IF('3b-d Exposures'!Q930="",0,'3b-d Exposures'!Q930)</f>
        <v/>
      </c>
      <c r="M765" s="3">
        <f>IF('3b-d Exposures'!S930="",0,'3b-d Exposures'!S930)</f>
        <v/>
      </c>
      <c r="N765" s="3">
        <f>IF('3b-d Exposures'!Z930="",0,'3b-d Exposures'!Z930)</f>
        <v/>
      </c>
      <c r="O765" s="3">
        <f>$D765</f>
        <v/>
      </c>
      <c r="P765" s="3">
        <f>E765*$D765</f>
        <v/>
      </c>
      <c r="Q765" s="3">
        <f>F765*$D765</f>
        <v/>
      </c>
      <c r="R765" s="3">
        <f>G765*$D765</f>
        <v/>
      </c>
      <c r="S765" s="3">
        <f>H765*$D765</f>
        <v/>
      </c>
      <c r="T765" s="3">
        <f>I765*$D765</f>
        <v/>
      </c>
      <c r="U765" s="3">
        <f>J765*$D765</f>
        <v/>
      </c>
      <c r="V765" s="3">
        <f>K765*$D765</f>
        <v/>
      </c>
      <c r="W765" s="3">
        <f>L765*$D765</f>
        <v/>
      </c>
      <c r="X765" s="3">
        <f>M765*$D765</f>
        <v/>
      </c>
      <c r="Y765" s="3">
        <f>N765*$D765</f>
        <v/>
      </c>
      <c r="Z765" s="3">
        <f>C765*$D765</f>
        <v/>
      </c>
      <c r="AA765" s="9">
        <f>$L978+$K978*E765+$J978*F765+$I978*G765+$H978*H765+$G978*I765+$F978*J765+$E978*K765+$D978*L765+$C978*M765+$B978*N765</f>
        <v/>
      </c>
      <c r="AB765" s="9">
        <f>C765-AA765</f>
        <v/>
      </c>
      <c r="AC765" s="4">
        <f>AB765^2</f>
        <v/>
      </c>
    </row>
    <row r="766">
      <c r="A766" t="inlineStr">
        <is>
          <t>BBG000BSBZH7</t>
        </is>
      </c>
      <c r="B766" t="inlineStr">
        <is>
          <t>rost</t>
        </is>
      </c>
      <c r="C766" s="9" t="n">
        <v>0.009620866319127286</v>
      </c>
      <c r="D766" s="3">
        <f>EXP(0.25*'3b-d Exposures'!G931)</f>
        <v/>
      </c>
      <c r="E766" s="3">
        <f>IF('3b-d Exposures'!C931="",0,'3b-d Exposures'!C931)</f>
        <v/>
      </c>
      <c r="F766" s="3">
        <f>IF('3b-d Exposures'!E931="",0,'3b-d Exposures'!E931)</f>
        <v/>
      </c>
      <c r="G766" s="3">
        <f>IF('3b-d Exposures'!G931="",0,'3b-d Exposures'!G931)</f>
        <v/>
      </c>
      <c r="H766" s="3">
        <f>IF('3b-d Exposures'!I931="",0,'3b-d Exposures'!I931)</f>
        <v/>
      </c>
      <c r="I766" s="3">
        <f>IF('3b-d Exposures'!K931="",0,'3b-d Exposures'!K931)</f>
        <v/>
      </c>
      <c r="J766" s="3">
        <f>IF('3b-d Exposures'!M931="",0,'3b-d Exposures'!M931)</f>
        <v/>
      </c>
      <c r="K766" s="3">
        <f>IF('3b-d Exposures'!O931="",0,'3b-d Exposures'!O931)</f>
        <v/>
      </c>
      <c r="L766" s="3">
        <f>IF('3b-d Exposures'!Q931="",0,'3b-d Exposures'!Q931)</f>
        <v/>
      </c>
      <c r="M766" s="3">
        <f>IF('3b-d Exposures'!S931="",0,'3b-d Exposures'!S931)</f>
        <v/>
      </c>
      <c r="N766" s="3">
        <f>IF('3b-d Exposures'!Z931="",0,'3b-d Exposures'!Z931)</f>
        <v/>
      </c>
      <c r="O766" s="3">
        <f>$D766</f>
        <v/>
      </c>
      <c r="P766" s="3">
        <f>E766*$D766</f>
        <v/>
      </c>
      <c r="Q766" s="3">
        <f>F766*$D766</f>
        <v/>
      </c>
      <c r="R766" s="3">
        <f>G766*$D766</f>
        <v/>
      </c>
      <c r="S766" s="3">
        <f>H766*$D766</f>
        <v/>
      </c>
      <c r="T766" s="3">
        <f>I766*$D766</f>
        <v/>
      </c>
      <c r="U766" s="3">
        <f>J766*$D766</f>
        <v/>
      </c>
      <c r="V766" s="3">
        <f>K766*$D766</f>
        <v/>
      </c>
      <c r="W766" s="3">
        <f>L766*$D766</f>
        <v/>
      </c>
      <c r="X766" s="3">
        <f>M766*$D766</f>
        <v/>
      </c>
      <c r="Y766" s="3">
        <f>N766*$D766</f>
        <v/>
      </c>
      <c r="Z766" s="3">
        <f>C766*$D766</f>
        <v/>
      </c>
      <c r="AA766" s="9">
        <f>$L978+$K978*E766+$J978*F766+$I978*G766+$H978*H766+$G978*I766+$F978*J766+$E978*K766+$D978*L766+$C978*M766+$B978*N766</f>
        <v/>
      </c>
      <c r="AB766" s="9">
        <f>C766-AA766</f>
        <v/>
      </c>
      <c r="AC766" s="4">
        <f>AB766^2</f>
        <v/>
      </c>
    </row>
    <row r="767">
      <c r="A767" t="inlineStr">
        <is>
          <t>BBG009DFHWG6</t>
        </is>
      </c>
      <c r="B767" t="inlineStr">
        <is>
          <t>rpd</t>
        </is>
      </c>
      <c r="C767" s="9" t="n">
        <v>-0.001173691052851145</v>
      </c>
      <c r="D767" s="3">
        <f>EXP(0.25*'3b-d Exposures'!G932)</f>
        <v/>
      </c>
      <c r="E767" s="3">
        <f>IF('3b-d Exposures'!C932="",0,'3b-d Exposures'!C932)</f>
        <v/>
      </c>
      <c r="F767" s="3">
        <f>IF('3b-d Exposures'!E932="",0,'3b-d Exposures'!E932)</f>
        <v/>
      </c>
      <c r="G767" s="3">
        <f>IF('3b-d Exposures'!G932="",0,'3b-d Exposures'!G932)</f>
        <v/>
      </c>
      <c r="H767" s="3">
        <f>IF('3b-d Exposures'!I932="",0,'3b-d Exposures'!I932)</f>
        <v/>
      </c>
      <c r="I767" s="3">
        <f>IF('3b-d Exposures'!K932="",0,'3b-d Exposures'!K932)</f>
        <v/>
      </c>
      <c r="J767" s="3">
        <f>IF('3b-d Exposures'!M932="",0,'3b-d Exposures'!M932)</f>
        <v/>
      </c>
      <c r="K767" s="3">
        <f>IF('3b-d Exposures'!O932="",0,'3b-d Exposures'!O932)</f>
        <v/>
      </c>
      <c r="L767" s="3">
        <f>IF('3b-d Exposures'!Q932="",0,'3b-d Exposures'!Q932)</f>
        <v/>
      </c>
      <c r="M767" s="3">
        <f>IF('3b-d Exposures'!S932="",0,'3b-d Exposures'!S932)</f>
        <v/>
      </c>
      <c r="N767" s="3">
        <f>IF('3b-d Exposures'!Z932="",0,'3b-d Exposures'!Z932)</f>
        <v/>
      </c>
      <c r="O767" s="3">
        <f>$D767</f>
        <v/>
      </c>
      <c r="P767" s="3">
        <f>E767*$D767</f>
        <v/>
      </c>
      <c r="Q767" s="3">
        <f>F767*$D767</f>
        <v/>
      </c>
      <c r="R767" s="3">
        <f>G767*$D767</f>
        <v/>
      </c>
      <c r="S767" s="3">
        <f>H767*$D767</f>
        <v/>
      </c>
      <c r="T767" s="3">
        <f>I767*$D767</f>
        <v/>
      </c>
      <c r="U767" s="3">
        <f>J767*$D767</f>
        <v/>
      </c>
      <c r="V767" s="3">
        <f>K767*$D767</f>
        <v/>
      </c>
      <c r="W767" s="3">
        <f>L767*$D767</f>
        <v/>
      </c>
      <c r="X767" s="3">
        <f>M767*$D767</f>
        <v/>
      </c>
      <c r="Y767" s="3">
        <f>N767*$D767</f>
        <v/>
      </c>
      <c r="Z767" s="3">
        <f>C767*$D767</f>
        <v/>
      </c>
      <c r="AA767" s="9">
        <f>$L978+$K978*E767+$J978*F767+$I978*G767+$H978*H767+$G978*I767+$F978*J767+$E978*K767+$D978*L767+$C978*M767+$B978*N767</f>
        <v/>
      </c>
      <c r="AB767" s="9">
        <f>C767-AA767</f>
        <v/>
      </c>
      <c r="AC767" s="4">
        <f>AB767^2</f>
        <v/>
      </c>
    </row>
    <row r="768">
      <c r="A768" t="inlineStr">
        <is>
          <t>BBG000DCNK80</t>
        </is>
      </c>
      <c r="B768" t="inlineStr">
        <is>
          <t>rpm</t>
        </is>
      </c>
      <c r="C768" s="9" t="n">
        <v>0.006268960648263766</v>
      </c>
      <c r="D768" s="3">
        <f>EXP(0.25*'3b-d Exposures'!G933)</f>
        <v/>
      </c>
      <c r="E768" s="3">
        <f>IF('3b-d Exposures'!C933="",0,'3b-d Exposures'!C933)</f>
        <v/>
      </c>
      <c r="F768" s="3">
        <f>IF('3b-d Exposures'!E933="",0,'3b-d Exposures'!E933)</f>
        <v/>
      </c>
      <c r="G768" s="3">
        <f>IF('3b-d Exposures'!G933="",0,'3b-d Exposures'!G933)</f>
        <v/>
      </c>
      <c r="H768" s="3">
        <f>IF('3b-d Exposures'!I933="",0,'3b-d Exposures'!I933)</f>
        <v/>
      </c>
      <c r="I768" s="3">
        <f>IF('3b-d Exposures'!K933="",0,'3b-d Exposures'!K933)</f>
        <v/>
      </c>
      <c r="J768" s="3">
        <f>IF('3b-d Exposures'!M933="",0,'3b-d Exposures'!M933)</f>
        <v/>
      </c>
      <c r="K768" s="3">
        <f>IF('3b-d Exposures'!O933="",0,'3b-d Exposures'!O933)</f>
        <v/>
      </c>
      <c r="L768" s="3">
        <f>IF('3b-d Exposures'!Q933="",0,'3b-d Exposures'!Q933)</f>
        <v/>
      </c>
      <c r="M768" s="3">
        <f>IF('3b-d Exposures'!S933="",0,'3b-d Exposures'!S933)</f>
        <v/>
      </c>
      <c r="N768" s="3">
        <f>IF('3b-d Exposures'!Z933="",0,'3b-d Exposures'!Z933)</f>
        <v/>
      </c>
      <c r="O768" s="3">
        <f>$D768</f>
        <v/>
      </c>
      <c r="P768" s="3">
        <f>E768*$D768</f>
        <v/>
      </c>
      <c r="Q768" s="3">
        <f>F768*$D768</f>
        <v/>
      </c>
      <c r="R768" s="3">
        <f>G768*$D768</f>
        <v/>
      </c>
      <c r="S768" s="3">
        <f>H768*$D768</f>
        <v/>
      </c>
      <c r="T768" s="3">
        <f>I768*$D768</f>
        <v/>
      </c>
      <c r="U768" s="3">
        <f>J768*$D768</f>
        <v/>
      </c>
      <c r="V768" s="3">
        <f>K768*$D768</f>
        <v/>
      </c>
      <c r="W768" s="3">
        <f>L768*$D768</f>
        <v/>
      </c>
      <c r="X768" s="3">
        <f>M768*$D768</f>
        <v/>
      </c>
      <c r="Y768" s="3">
        <f>N768*$D768</f>
        <v/>
      </c>
      <c r="Z768" s="3">
        <f>C768*$D768</f>
        <v/>
      </c>
      <c r="AA768" s="9">
        <f>$L978+$K978*E768+$J978*F768+$I978*G768+$H978*H768+$G978*I768+$F978*J768+$E978*K768+$D978*L768+$C978*M768+$B978*N768</f>
        <v/>
      </c>
      <c r="AB768" s="9">
        <f>C768-AA768</f>
        <v/>
      </c>
      <c r="AC768" s="4">
        <f>AB768^2</f>
        <v/>
      </c>
    </row>
    <row r="769">
      <c r="A769" t="inlineStr">
        <is>
          <t>BBG000FVXD63</t>
        </is>
      </c>
      <c r="B769" t="inlineStr">
        <is>
          <t>rrc</t>
        </is>
      </c>
      <c r="C769" s="9" t="n">
        <v>-0.02322321800750315</v>
      </c>
      <c r="D769" s="3">
        <f>EXP(0.25*'3b-d Exposures'!G934)</f>
        <v/>
      </c>
      <c r="E769" s="3">
        <f>IF('3b-d Exposures'!C934="",0,'3b-d Exposures'!C934)</f>
        <v/>
      </c>
      <c r="F769" s="3">
        <f>IF('3b-d Exposures'!E934="",0,'3b-d Exposures'!E934)</f>
        <v/>
      </c>
      <c r="G769" s="3">
        <f>IF('3b-d Exposures'!G934="",0,'3b-d Exposures'!G934)</f>
        <v/>
      </c>
      <c r="H769" s="3">
        <f>IF('3b-d Exposures'!I934="",0,'3b-d Exposures'!I934)</f>
        <v/>
      </c>
      <c r="I769" s="3">
        <f>IF('3b-d Exposures'!K934="",0,'3b-d Exposures'!K934)</f>
        <v/>
      </c>
      <c r="J769" s="3">
        <f>IF('3b-d Exposures'!M934="",0,'3b-d Exposures'!M934)</f>
        <v/>
      </c>
      <c r="K769" s="3">
        <f>IF('3b-d Exposures'!O934="",0,'3b-d Exposures'!O934)</f>
        <v/>
      </c>
      <c r="L769" s="3">
        <f>IF('3b-d Exposures'!Q934="",0,'3b-d Exposures'!Q934)</f>
        <v/>
      </c>
      <c r="M769" s="3">
        <f>IF('3b-d Exposures'!S934="",0,'3b-d Exposures'!S934)</f>
        <v/>
      </c>
      <c r="N769" s="3">
        <f>IF('3b-d Exposures'!Z934="",0,'3b-d Exposures'!Z934)</f>
        <v/>
      </c>
      <c r="O769" s="3">
        <f>$D769</f>
        <v/>
      </c>
      <c r="P769" s="3">
        <f>E769*$D769</f>
        <v/>
      </c>
      <c r="Q769" s="3">
        <f>F769*$D769</f>
        <v/>
      </c>
      <c r="R769" s="3">
        <f>G769*$D769</f>
        <v/>
      </c>
      <c r="S769" s="3">
        <f>H769*$D769</f>
        <v/>
      </c>
      <c r="T769" s="3">
        <f>I769*$D769</f>
        <v/>
      </c>
      <c r="U769" s="3">
        <f>J769*$D769</f>
        <v/>
      </c>
      <c r="V769" s="3">
        <f>K769*$D769</f>
        <v/>
      </c>
      <c r="W769" s="3">
        <f>L769*$D769</f>
        <v/>
      </c>
      <c r="X769" s="3">
        <f>M769*$D769</f>
        <v/>
      </c>
      <c r="Y769" s="3">
        <f>N769*$D769</f>
        <v/>
      </c>
      <c r="Z769" s="3">
        <f>C769*$D769</f>
        <v/>
      </c>
      <c r="AA769" s="9">
        <f>$L978+$K978*E769+$J978*F769+$I978*G769+$H978*H769+$G978*I769+$F978*J769+$E978*K769+$D978*L769+$C978*M769+$B978*N769</f>
        <v/>
      </c>
      <c r="AB769" s="9">
        <f>C769-AA769</f>
        <v/>
      </c>
      <c r="AC769" s="4">
        <f>AB769^2</f>
        <v/>
      </c>
    </row>
    <row r="770">
      <c r="A770" t="inlineStr">
        <is>
          <t>BBG000BRXTR8</t>
        </is>
      </c>
      <c r="B770" t="inlineStr">
        <is>
          <t>rrx</t>
        </is>
      </c>
      <c r="C770" s="9" t="n">
        <v>0.01047991844968355</v>
      </c>
      <c r="D770" s="3">
        <f>EXP(0.25*'3b-d Exposures'!G935)</f>
        <v/>
      </c>
      <c r="E770" s="3">
        <f>IF('3b-d Exposures'!C935="",0,'3b-d Exposures'!C935)</f>
        <v/>
      </c>
      <c r="F770" s="3">
        <f>IF('3b-d Exposures'!E935="",0,'3b-d Exposures'!E935)</f>
        <v/>
      </c>
      <c r="G770" s="3">
        <f>IF('3b-d Exposures'!G935="",0,'3b-d Exposures'!G935)</f>
        <v/>
      </c>
      <c r="H770" s="3">
        <f>IF('3b-d Exposures'!I935="",0,'3b-d Exposures'!I935)</f>
        <v/>
      </c>
      <c r="I770" s="3">
        <f>IF('3b-d Exposures'!K935="",0,'3b-d Exposures'!K935)</f>
        <v/>
      </c>
      <c r="J770" s="3">
        <f>IF('3b-d Exposures'!M935="",0,'3b-d Exposures'!M935)</f>
        <v/>
      </c>
      <c r="K770" s="3">
        <f>IF('3b-d Exposures'!O935="",0,'3b-d Exposures'!O935)</f>
        <v/>
      </c>
      <c r="L770" s="3">
        <f>IF('3b-d Exposures'!Q935="",0,'3b-d Exposures'!Q935)</f>
        <v/>
      </c>
      <c r="M770" s="3">
        <f>IF('3b-d Exposures'!S935="",0,'3b-d Exposures'!S935)</f>
        <v/>
      </c>
      <c r="N770" s="3">
        <f>IF('3b-d Exposures'!Z935="",0,'3b-d Exposures'!Z935)</f>
        <v/>
      </c>
      <c r="O770" s="3">
        <f>$D770</f>
        <v/>
      </c>
      <c r="P770" s="3">
        <f>E770*$D770</f>
        <v/>
      </c>
      <c r="Q770" s="3">
        <f>F770*$D770</f>
        <v/>
      </c>
      <c r="R770" s="3">
        <f>G770*$D770</f>
        <v/>
      </c>
      <c r="S770" s="3">
        <f>H770*$D770</f>
        <v/>
      </c>
      <c r="T770" s="3">
        <f>I770*$D770</f>
        <v/>
      </c>
      <c r="U770" s="3">
        <f>J770*$D770</f>
        <v/>
      </c>
      <c r="V770" s="3">
        <f>K770*$D770</f>
        <v/>
      </c>
      <c r="W770" s="3">
        <f>L770*$D770</f>
        <v/>
      </c>
      <c r="X770" s="3">
        <f>M770*$D770</f>
        <v/>
      </c>
      <c r="Y770" s="3">
        <f>N770*$D770</f>
        <v/>
      </c>
      <c r="Z770" s="3">
        <f>C770*$D770</f>
        <v/>
      </c>
      <c r="AA770" s="9">
        <f>$L978+$K978*E770+$J978*F770+$I978*G770+$H978*H770+$G978*I770+$F978*J770+$E978*K770+$D978*L770+$C978*M770+$B978*N770</f>
        <v/>
      </c>
      <c r="AB770" s="9">
        <f>C770-AA770</f>
        <v/>
      </c>
      <c r="AC770" s="4">
        <f>AB770^2</f>
        <v/>
      </c>
    </row>
    <row r="771">
      <c r="A771" t="inlineStr">
        <is>
          <t>rsg</t>
        </is>
      </c>
      <c r="B771" t="inlineStr">
        <is>
          <t>rsg</t>
        </is>
      </c>
      <c r="C771" s="9" t="n">
        <v>-0.01530006928421723</v>
      </c>
      <c r="D771" s="3">
        <f>EXP(0.25*'3b-d Exposures'!G936)</f>
        <v/>
      </c>
      <c r="E771" s="3">
        <f>IF('3b-d Exposures'!C936="",0,'3b-d Exposures'!C936)</f>
        <v/>
      </c>
      <c r="F771" s="3">
        <f>IF('3b-d Exposures'!E936="",0,'3b-d Exposures'!E936)</f>
        <v/>
      </c>
      <c r="G771" s="3">
        <f>IF('3b-d Exposures'!G936="",0,'3b-d Exposures'!G936)</f>
        <v/>
      </c>
      <c r="H771" s="3">
        <f>IF('3b-d Exposures'!I936="",0,'3b-d Exposures'!I936)</f>
        <v/>
      </c>
      <c r="I771" s="3">
        <f>IF('3b-d Exposures'!K936="",0,'3b-d Exposures'!K936)</f>
        <v/>
      </c>
      <c r="J771" s="3">
        <f>IF('3b-d Exposures'!M936="",0,'3b-d Exposures'!M936)</f>
        <v/>
      </c>
      <c r="K771" s="3">
        <f>IF('3b-d Exposures'!O936="",0,'3b-d Exposures'!O936)</f>
        <v/>
      </c>
      <c r="L771" s="3">
        <f>IF('3b-d Exposures'!Q936="",0,'3b-d Exposures'!Q936)</f>
        <v/>
      </c>
      <c r="M771" s="3">
        <f>IF('3b-d Exposures'!S936="",0,'3b-d Exposures'!S936)</f>
        <v/>
      </c>
      <c r="N771" s="3">
        <f>IF('3b-d Exposures'!Z936="",0,'3b-d Exposures'!Z936)</f>
        <v/>
      </c>
      <c r="O771" s="3">
        <f>$D771</f>
        <v/>
      </c>
      <c r="P771" s="3">
        <f>E771*$D771</f>
        <v/>
      </c>
      <c r="Q771" s="3">
        <f>F771*$D771</f>
        <v/>
      </c>
      <c r="R771" s="3">
        <f>G771*$D771</f>
        <v/>
      </c>
      <c r="S771" s="3">
        <f>H771*$D771</f>
        <v/>
      </c>
      <c r="T771" s="3">
        <f>I771*$D771</f>
        <v/>
      </c>
      <c r="U771" s="3">
        <f>J771*$D771</f>
        <v/>
      </c>
      <c r="V771" s="3">
        <f>K771*$D771</f>
        <v/>
      </c>
      <c r="W771" s="3">
        <f>L771*$D771</f>
        <v/>
      </c>
      <c r="X771" s="3">
        <f>M771*$D771</f>
        <v/>
      </c>
      <c r="Y771" s="3">
        <f>N771*$D771</f>
        <v/>
      </c>
      <c r="Z771" s="3">
        <f>C771*$D771</f>
        <v/>
      </c>
      <c r="AA771" s="9">
        <f>$L978+$K978*E771+$J978*F771+$I978*G771+$H978*H771+$G978*I771+$F978*J771+$E978*K771+$D978*L771+$C978*M771+$B978*N771</f>
        <v/>
      </c>
      <c r="AB771" s="9">
        <f>C771-AA771</f>
        <v/>
      </c>
      <c r="AC771" s="4">
        <f>AB771^2</f>
        <v/>
      </c>
    </row>
    <row r="772">
      <c r="A772" t="inlineStr">
        <is>
          <t>BBG000BW8S60</t>
        </is>
      </c>
      <c r="B772" t="inlineStr">
        <is>
          <t>rtx</t>
        </is>
      </c>
      <c r="C772" s="9" t="n">
        <v>-0.02585579550640638</v>
      </c>
      <c r="D772" s="3">
        <f>EXP(0.25*'3b-d Exposures'!G937)</f>
        <v/>
      </c>
      <c r="E772" s="3">
        <f>IF('3b-d Exposures'!C937="",0,'3b-d Exposures'!C937)</f>
        <v/>
      </c>
      <c r="F772" s="3">
        <f>IF('3b-d Exposures'!E937="",0,'3b-d Exposures'!E937)</f>
        <v/>
      </c>
      <c r="G772" s="3">
        <f>IF('3b-d Exposures'!G937="",0,'3b-d Exposures'!G937)</f>
        <v/>
      </c>
      <c r="H772" s="3">
        <f>IF('3b-d Exposures'!I937="",0,'3b-d Exposures'!I937)</f>
        <v/>
      </c>
      <c r="I772" s="3">
        <f>IF('3b-d Exposures'!K937="",0,'3b-d Exposures'!K937)</f>
        <v/>
      </c>
      <c r="J772" s="3">
        <f>IF('3b-d Exposures'!M937="",0,'3b-d Exposures'!M937)</f>
        <v/>
      </c>
      <c r="K772" s="3">
        <f>IF('3b-d Exposures'!O937="",0,'3b-d Exposures'!O937)</f>
        <v/>
      </c>
      <c r="L772" s="3">
        <f>IF('3b-d Exposures'!Q937="",0,'3b-d Exposures'!Q937)</f>
        <v/>
      </c>
      <c r="M772" s="3">
        <f>IF('3b-d Exposures'!S937="",0,'3b-d Exposures'!S937)</f>
        <v/>
      </c>
      <c r="N772" s="3">
        <f>IF('3b-d Exposures'!Z937="",0,'3b-d Exposures'!Z937)</f>
        <v/>
      </c>
      <c r="O772" s="3">
        <f>$D772</f>
        <v/>
      </c>
      <c r="P772" s="3">
        <f>E772*$D772</f>
        <v/>
      </c>
      <c r="Q772" s="3">
        <f>F772*$D772</f>
        <v/>
      </c>
      <c r="R772" s="3">
        <f>G772*$D772</f>
        <v/>
      </c>
      <c r="S772" s="3">
        <f>H772*$D772</f>
        <v/>
      </c>
      <c r="T772" s="3">
        <f>I772*$D772</f>
        <v/>
      </c>
      <c r="U772" s="3">
        <f>J772*$D772</f>
        <v/>
      </c>
      <c r="V772" s="3">
        <f>K772*$D772</f>
        <v/>
      </c>
      <c r="W772" s="3">
        <f>L772*$D772</f>
        <v/>
      </c>
      <c r="X772" s="3">
        <f>M772*$D772</f>
        <v/>
      </c>
      <c r="Y772" s="3">
        <f>N772*$D772</f>
        <v/>
      </c>
      <c r="Z772" s="3">
        <f>C772*$D772</f>
        <v/>
      </c>
      <c r="AA772" s="9">
        <f>$L978+$K978*E772+$J978*F772+$I978*G772+$H978*H772+$G978*I772+$F978*J772+$E978*K772+$D978*L772+$C978*M772+$B978*N772</f>
        <v/>
      </c>
      <c r="AB772" s="9">
        <f>C772-AA772</f>
        <v/>
      </c>
      <c r="AC772" s="4">
        <f>AB772^2</f>
        <v/>
      </c>
    </row>
    <row r="773">
      <c r="A773" t="inlineStr">
        <is>
          <t>BBG0025XVR85</t>
        </is>
      </c>
      <c r="B773" t="inlineStr">
        <is>
          <t>run</t>
        </is>
      </c>
      <c r="C773" s="9" t="n">
        <v>0.01214226769862004</v>
      </c>
      <c r="D773" s="3">
        <f>EXP(0.25*'3b-d Exposures'!G938)</f>
        <v/>
      </c>
      <c r="E773" s="3">
        <f>IF('3b-d Exposures'!C938="",0,'3b-d Exposures'!C938)</f>
        <v/>
      </c>
      <c r="F773" s="3">
        <f>IF('3b-d Exposures'!E938="",0,'3b-d Exposures'!E938)</f>
        <v/>
      </c>
      <c r="G773" s="3">
        <f>IF('3b-d Exposures'!G938="",0,'3b-d Exposures'!G938)</f>
        <v/>
      </c>
      <c r="H773" s="3">
        <f>IF('3b-d Exposures'!I938="",0,'3b-d Exposures'!I938)</f>
        <v/>
      </c>
      <c r="I773" s="3">
        <f>IF('3b-d Exposures'!K938="",0,'3b-d Exposures'!K938)</f>
        <v/>
      </c>
      <c r="J773" s="3">
        <f>IF('3b-d Exposures'!M938="",0,'3b-d Exposures'!M938)</f>
        <v/>
      </c>
      <c r="K773" s="3">
        <f>IF('3b-d Exposures'!O938="",0,'3b-d Exposures'!O938)</f>
        <v/>
      </c>
      <c r="L773" s="3">
        <f>IF('3b-d Exposures'!Q938="",0,'3b-d Exposures'!Q938)</f>
        <v/>
      </c>
      <c r="M773" s="3">
        <f>IF('3b-d Exposures'!S938="",0,'3b-d Exposures'!S938)</f>
        <v/>
      </c>
      <c r="N773" s="3">
        <f>IF('3b-d Exposures'!Z938="",0,'3b-d Exposures'!Z938)</f>
        <v/>
      </c>
      <c r="O773" s="3">
        <f>$D773</f>
        <v/>
      </c>
      <c r="P773" s="3">
        <f>E773*$D773</f>
        <v/>
      </c>
      <c r="Q773" s="3">
        <f>F773*$D773</f>
        <v/>
      </c>
      <c r="R773" s="3">
        <f>G773*$D773</f>
        <v/>
      </c>
      <c r="S773" s="3">
        <f>H773*$D773</f>
        <v/>
      </c>
      <c r="T773" s="3">
        <f>I773*$D773</f>
        <v/>
      </c>
      <c r="U773" s="3">
        <f>J773*$D773</f>
        <v/>
      </c>
      <c r="V773" s="3">
        <f>K773*$D773</f>
        <v/>
      </c>
      <c r="W773" s="3">
        <f>L773*$D773</f>
        <v/>
      </c>
      <c r="X773" s="3">
        <f>M773*$D773</f>
        <v/>
      </c>
      <c r="Y773" s="3">
        <f>N773*$D773</f>
        <v/>
      </c>
      <c r="Z773" s="3">
        <f>C773*$D773</f>
        <v/>
      </c>
      <c r="AA773" s="9">
        <f>$L978+$K978*E773+$J978*F773+$I978*G773+$H978*H773+$G978*I773+$F978*J773+$E978*K773+$D978*L773+$C978*M773+$B978*N773</f>
        <v/>
      </c>
      <c r="AB773" s="9">
        <f>C773-AA773</f>
        <v/>
      </c>
      <c r="AC773" s="4">
        <f>AB773^2</f>
        <v/>
      </c>
    </row>
    <row r="774">
      <c r="A774" t="inlineStr">
        <is>
          <t>BBG000PLLP24</t>
        </is>
      </c>
      <c r="B774" t="inlineStr">
        <is>
          <t>rusha</t>
        </is>
      </c>
      <c r="C774" s="9" t="n">
        <v>0.0009685229720188815</v>
      </c>
      <c r="D774" s="3">
        <f>EXP(0.25*'3b-d Exposures'!G939)</f>
        <v/>
      </c>
      <c r="E774" s="3">
        <f>IF('3b-d Exposures'!C939="",0,'3b-d Exposures'!C939)</f>
        <v/>
      </c>
      <c r="F774" s="3">
        <f>IF('3b-d Exposures'!E939="",0,'3b-d Exposures'!E939)</f>
        <v/>
      </c>
      <c r="G774" s="3">
        <f>IF('3b-d Exposures'!G939="",0,'3b-d Exposures'!G939)</f>
        <v/>
      </c>
      <c r="H774" s="3">
        <f>IF('3b-d Exposures'!I939="",0,'3b-d Exposures'!I939)</f>
        <v/>
      </c>
      <c r="I774" s="3">
        <f>IF('3b-d Exposures'!K939="",0,'3b-d Exposures'!K939)</f>
        <v/>
      </c>
      <c r="J774" s="3">
        <f>IF('3b-d Exposures'!M939="",0,'3b-d Exposures'!M939)</f>
        <v/>
      </c>
      <c r="K774" s="3">
        <f>IF('3b-d Exposures'!O939="",0,'3b-d Exposures'!O939)</f>
        <v/>
      </c>
      <c r="L774" s="3">
        <f>IF('3b-d Exposures'!Q939="",0,'3b-d Exposures'!Q939)</f>
        <v/>
      </c>
      <c r="M774" s="3">
        <f>IF('3b-d Exposures'!S939="",0,'3b-d Exposures'!S939)</f>
        <v/>
      </c>
      <c r="N774" s="3">
        <f>IF('3b-d Exposures'!Z939="",0,'3b-d Exposures'!Z939)</f>
        <v/>
      </c>
      <c r="O774" s="3">
        <f>$D774</f>
        <v/>
      </c>
      <c r="P774" s="3">
        <f>E774*$D774</f>
        <v/>
      </c>
      <c r="Q774" s="3">
        <f>F774*$D774</f>
        <v/>
      </c>
      <c r="R774" s="3">
        <f>G774*$D774</f>
        <v/>
      </c>
      <c r="S774" s="3">
        <f>H774*$D774</f>
        <v/>
      </c>
      <c r="T774" s="3">
        <f>I774*$D774</f>
        <v/>
      </c>
      <c r="U774" s="3">
        <f>J774*$D774</f>
        <v/>
      </c>
      <c r="V774" s="3">
        <f>K774*$D774</f>
        <v/>
      </c>
      <c r="W774" s="3">
        <f>L774*$D774</f>
        <v/>
      </c>
      <c r="X774" s="3">
        <f>M774*$D774</f>
        <v/>
      </c>
      <c r="Y774" s="3">
        <f>N774*$D774</f>
        <v/>
      </c>
      <c r="Z774" s="3">
        <f>C774*$D774</f>
        <v/>
      </c>
      <c r="AA774" s="9">
        <f>$L978+$K978*E774+$J978*F774+$I978*G774+$H978*H774+$G978*I774+$F978*J774+$E978*K774+$D978*L774+$C978*M774+$B978*N774</f>
        <v/>
      </c>
      <c r="AB774" s="9">
        <f>C774-AA774</f>
        <v/>
      </c>
      <c r="AC774" s="4">
        <f>AB774^2</f>
        <v/>
      </c>
    </row>
    <row r="775">
      <c r="A775" t="inlineStr">
        <is>
          <t>rvty</t>
        </is>
      </c>
      <c r="B775" t="inlineStr">
        <is>
          <t>rvty</t>
        </is>
      </c>
      <c r="C775" s="9" t="n">
        <v>0.004821719984278605</v>
      </c>
      <c r="D775" s="3">
        <f>EXP(0.25*'3b-d Exposures'!G940)</f>
        <v/>
      </c>
      <c r="E775" s="3">
        <f>IF('3b-d Exposures'!C940="",0,'3b-d Exposures'!C940)</f>
        <v/>
      </c>
      <c r="F775" s="3">
        <f>IF('3b-d Exposures'!E940="",0,'3b-d Exposures'!E940)</f>
        <v/>
      </c>
      <c r="G775" s="3">
        <f>IF('3b-d Exposures'!G940="",0,'3b-d Exposures'!G940)</f>
        <v/>
      </c>
      <c r="H775" s="3">
        <f>IF('3b-d Exposures'!I940="",0,'3b-d Exposures'!I940)</f>
        <v/>
      </c>
      <c r="I775" s="3">
        <f>IF('3b-d Exposures'!K940="",0,'3b-d Exposures'!K940)</f>
        <v/>
      </c>
      <c r="J775" s="3">
        <f>IF('3b-d Exposures'!M940="",0,'3b-d Exposures'!M940)</f>
        <v/>
      </c>
      <c r="K775" s="3">
        <f>IF('3b-d Exposures'!O940="",0,'3b-d Exposures'!O940)</f>
        <v/>
      </c>
      <c r="L775" s="3">
        <f>IF('3b-d Exposures'!Q940="",0,'3b-d Exposures'!Q940)</f>
        <v/>
      </c>
      <c r="M775" s="3">
        <f>IF('3b-d Exposures'!S940="",0,'3b-d Exposures'!S940)</f>
        <v/>
      </c>
      <c r="N775" s="3">
        <f>IF('3b-d Exposures'!Z940="",0,'3b-d Exposures'!Z940)</f>
        <v/>
      </c>
      <c r="O775" s="3">
        <f>$D775</f>
        <v/>
      </c>
      <c r="P775" s="3">
        <f>E775*$D775</f>
        <v/>
      </c>
      <c r="Q775" s="3">
        <f>F775*$D775</f>
        <v/>
      </c>
      <c r="R775" s="3">
        <f>G775*$D775</f>
        <v/>
      </c>
      <c r="S775" s="3">
        <f>H775*$D775</f>
        <v/>
      </c>
      <c r="T775" s="3">
        <f>I775*$D775</f>
        <v/>
      </c>
      <c r="U775" s="3">
        <f>J775*$D775</f>
        <v/>
      </c>
      <c r="V775" s="3">
        <f>K775*$D775</f>
        <v/>
      </c>
      <c r="W775" s="3">
        <f>L775*$D775</f>
        <v/>
      </c>
      <c r="X775" s="3">
        <f>M775*$D775</f>
        <v/>
      </c>
      <c r="Y775" s="3">
        <f>N775*$D775</f>
        <v/>
      </c>
      <c r="Z775" s="3">
        <f>C775*$D775</f>
        <v/>
      </c>
      <c r="AA775" s="9">
        <f>$L978+$K978*E775+$J978*F775+$I978*G775+$H978*H775+$G978*I775+$F978*J775+$E978*K775+$D978*L775+$C978*M775+$B978*N775</f>
        <v/>
      </c>
      <c r="AB775" s="9">
        <f>C775-AA775</f>
        <v/>
      </c>
      <c r="AC775" s="4">
        <f>AB775^2</f>
        <v/>
      </c>
    </row>
    <row r="776">
      <c r="A776" t="inlineStr">
        <is>
          <t>BBG000BG7L34</t>
        </is>
      </c>
      <c r="B776" t="inlineStr">
        <is>
          <t>ryn</t>
        </is>
      </c>
      <c r="C776" s="9" t="n">
        <v>-0.01255106257661953</v>
      </c>
      <c r="D776" s="3">
        <f>EXP(0.25*'3b-d Exposures'!G941)</f>
        <v/>
      </c>
      <c r="E776" s="3">
        <f>IF('3b-d Exposures'!C941="",0,'3b-d Exposures'!C941)</f>
        <v/>
      </c>
      <c r="F776" s="3">
        <f>IF('3b-d Exposures'!E941="",0,'3b-d Exposures'!E941)</f>
        <v/>
      </c>
      <c r="G776" s="3">
        <f>IF('3b-d Exposures'!G941="",0,'3b-d Exposures'!G941)</f>
        <v/>
      </c>
      <c r="H776" s="3">
        <f>IF('3b-d Exposures'!I941="",0,'3b-d Exposures'!I941)</f>
        <v/>
      </c>
      <c r="I776" s="3">
        <f>IF('3b-d Exposures'!K941="",0,'3b-d Exposures'!K941)</f>
        <v/>
      </c>
      <c r="J776" s="3">
        <f>IF('3b-d Exposures'!M941="",0,'3b-d Exposures'!M941)</f>
        <v/>
      </c>
      <c r="K776" s="3">
        <f>IF('3b-d Exposures'!O941="",0,'3b-d Exposures'!O941)</f>
        <v/>
      </c>
      <c r="L776" s="3">
        <f>IF('3b-d Exposures'!Q941="",0,'3b-d Exposures'!Q941)</f>
        <v/>
      </c>
      <c r="M776" s="3">
        <f>IF('3b-d Exposures'!S941="",0,'3b-d Exposures'!S941)</f>
        <v/>
      </c>
      <c r="N776" s="3">
        <f>IF('3b-d Exposures'!Z941="",0,'3b-d Exposures'!Z941)</f>
        <v/>
      </c>
      <c r="O776" s="3">
        <f>$D776</f>
        <v/>
      </c>
      <c r="P776" s="3">
        <f>E776*$D776</f>
        <v/>
      </c>
      <c r="Q776" s="3">
        <f>F776*$D776</f>
        <v/>
      </c>
      <c r="R776" s="3">
        <f>G776*$D776</f>
        <v/>
      </c>
      <c r="S776" s="3">
        <f>H776*$D776</f>
        <v/>
      </c>
      <c r="T776" s="3">
        <f>I776*$D776</f>
        <v/>
      </c>
      <c r="U776" s="3">
        <f>J776*$D776</f>
        <v/>
      </c>
      <c r="V776" s="3">
        <f>K776*$D776</f>
        <v/>
      </c>
      <c r="W776" s="3">
        <f>L776*$D776</f>
        <v/>
      </c>
      <c r="X776" s="3">
        <f>M776*$D776</f>
        <v/>
      </c>
      <c r="Y776" s="3">
        <f>N776*$D776</f>
        <v/>
      </c>
      <c r="Z776" s="3">
        <f>C776*$D776</f>
        <v/>
      </c>
      <c r="AA776" s="9">
        <f>$L978+$K978*E776+$J978*F776+$I978*G776+$H978*H776+$G978*I776+$F978*J776+$E978*K776+$D978*L776+$C978*M776+$B978*N776</f>
        <v/>
      </c>
      <c r="AB776" s="9">
        <f>C776-AA776</f>
        <v/>
      </c>
      <c r="AC776" s="4">
        <f>AB776^2</f>
        <v/>
      </c>
    </row>
    <row r="777">
      <c r="A777" t="inlineStr">
        <is>
          <t>BBG000TGLV00</t>
        </is>
      </c>
      <c r="B777" t="inlineStr">
        <is>
          <t>sats</t>
        </is>
      </c>
      <c r="C777" s="9" t="n">
        <v>-0.003558724765906685</v>
      </c>
      <c r="D777" s="3">
        <f>EXP(0.25*'3b-d Exposures'!G946)</f>
        <v/>
      </c>
      <c r="E777" s="3">
        <f>IF('3b-d Exposures'!C946="",0,'3b-d Exposures'!C946)</f>
        <v/>
      </c>
      <c r="F777" s="3">
        <f>IF('3b-d Exposures'!E946="",0,'3b-d Exposures'!E946)</f>
        <v/>
      </c>
      <c r="G777" s="3">
        <f>IF('3b-d Exposures'!G946="",0,'3b-d Exposures'!G946)</f>
        <v/>
      </c>
      <c r="H777" s="3">
        <f>IF('3b-d Exposures'!I946="",0,'3b-d Exposures'!I946)</f>
        <v/>
      </c>
      <c r="I777" s="3">
        <f>IF('3b-d Exposures'!K946="",0,'3b-d Exposures'!K946)</f>
        <v/>
      </c>
      <c r="J777" s="3">
        <f>IF('3b-d Exposures'!M946="",0,'3b-d Exposures'!M946)</f>
        <v/>
      </c>
      <c r="K777" s="3">
        <f>IF('3b-d Exposures'!O946="",0,'3b-d Exposures'!O946)</f>
        <v/>
      </c>
      <c r="L777" s="3">
        <f>IF('3b-d Exposures'!Q946="",0,'3b-d Exposures'!Q946)</f>
        <v/>
      </c>
      <c r="M777" s="3">
        <f>IF('3b-d Exposures'!S946="",0,'3b-d Exposures'!S946)</f>
        <v/>
      </c>
      <c r="N777" s="3">
        <f>IF('3b-d Exposures'!Z946="",0,'3b-d Exposures'!Z946)</f>
        <v/>
      </c>
      <c r="O777" s="3">
        <f>$D777</f>
        <v/>
      </c>
      <c r="P777" s="3">
        <f>E777*$D777</f>
        <v/>
      </c>
      <c r="Q777" s="3">
        <f>F777*$D777</f>
        <v/>
      </c>
      <c r="R777" s="3">
        <f>G777*$D777</f>
        <v/>
      </c>
      <c r="S777" s="3">
        <f>H777*$D777</f>
        <v/>
      </c>
      <c r="T777" s="3">
        <f>I777*$D777</f>
        <v/>
      </c>
      <c r="U777" s="3">
        <f>J777*$D777</f>
        <v/>
      </c>
      <c r="V777" s="3">
        <f>K777*$D777</f>
        <v/>
      </c>
      <c r="W777" s="3">
        <f>L777*$D777</f>
        <v/>
      </c>
      <c r="X777" s="3">
        <f>M777*$D777</f>
        <v/>
      </c>
      <c r="Y777" s="3">
        <f>N777*$D777</f>
        <v/>
      </c>
      <c r="Z777" s="3">
        <f>C777*$D777</f>
        <v/>
      </c>
      <c r="AA777" s="9">
        <f>$L978+$K978*E777+$J978*F777+$I978*G777+$H978*H777+$G978*I777+$F978*J777+$E978*K777+$D978*L777+$C978*M777+$B978*N777</f>
        <v/>
      </c>
      <c r="AB777" s="9">
        <f>C777-AA777</f>
        <v/>
      </c>
      <c r="AC777" s="4">
        <f>AB777^2</f>
        <v/>
      </c>
    </row>
    <row r="778">
      <c r="A778" t="inlineStr">
        <is>
          <t>BBG000D2M0Z7</t>
        </is>
      </c>
      <c r="B778" t="inlineStr">
        <is>
          <t>sbac</t>
        </is>
      </c>
      <c r="C778" s="9" t="n">
        <v>-0.0146298810427542</v>
      </c>
      <c r="D778" s="3">
        <f>EXP(0.25*'3b-d Exposures'!G947)</f>
        <v/>
      </c>
      <c r="E778" s="3">
        <f>IF('3b-d Exposures'!C947="",0,'3b-d Exposures'!C947)</f>
        <v/>
      </c>
      <c r="F778" s="3">
        <f>IF('3b-d Exposures'!E947="",0,'3b-d Exposures'!E947)</f>
        <v/>
      </c>
      <c r="G778" s="3">
        <f>IF('3b-d Exposures'!G947="",0,'3b-d Exposures'!G947)</f>
        <v/>
      </c>
      <c r="H778" s="3">
        <f>IF('3b-d Exposures'!I947="",0,'3b-d Exposures'!I947)</f>
        <v/>
      </c>
      <c r="I778" s="3">
        <f>IF('3b-d Exposures'!K947="",0,'3b-d Exposures'!K947)</f>
        <v/>
      </c>
      <c r="J778" s="3">
        <f>IF('3b-d Exposures'!M947="",0,'3b-d Exposures'!M947)</f>
        <v/>
      </c>
      <c r="K778" s="3">
        <f>IF('3b-d Exposures'!O947="",0,'3b-d Exposures'!O947)</f>
        <v/>
      </c>
      <c r="L778" s="3">
        <f>IF('3b-d Exposures'!Q947="",0,'3b-d Exposures'!Q947)</f>
        <v/>
      </c>
      <c r="M778" s="3">
        <f>IF('3b-d Exposures'!S947="",0,'3b-d Exposures'!S947)</f>
        <v/>
      </c>
      <c r="N778" s="3">
        <f>IF('3b-d Exposures'!Z947="",0,'3b-d Exposures'!Z947)</f>
        <v/>
      </c>
      <c r="O778" s="3">
        <f>$D778</f>
        <v/>
      </c>
      <c r="P778" s="3">
        <f>E778*$D778</f>
        <v/>
      </c>
      <c r="Q778" s="3">
        <f>F778*$D778</f>
        <v/>
      </c>
      <c r="R778" s="3">
        <f>G778*$D778</f>
        <v/>
      </c>
      <c r="S778" s="3">
        <f>H778*$D778</f>
        <v/>
      </c>
      <c r="T778" s="3">
        <f>I778*$D778</f>
        <v/>
      </c>
      <c r="U778" s="3">
        <f>J778*$D778</f>
        <v/>
      </c>
      <c r="V778" s="3">
        <f>K778*$D778</f>
        <v/>
      </c>
      <c r="W778" s="3">
        <f>L778*$D778</f>
        <v/>
      </c>
      <c r="X778" s="3">
        <f>M778*$D778</f>
        <v/>
      </c>
      <c r="Y778" s="3">
        <f>N778*$D778</f>
        <v/>
      </c>
      <c r="Z778" s="3">
        <f>C778*$D778</f>
        <v/>
      </c>
      <c r="AA778" s="9">
        <f>$L978+$K978*E778+$J978*F778+$I978*G778+$H978*H778+$G978*I778+$F978*J778+$E978*K778+$D978*L778+$C978*M778+$B978*N778</f>
        <v/>
      </c>
      <c r="AB778" s="9">
        <f>C778-AA778</f>
        <v/>
      </c>
      <c r="AC778" s="4">
        <f>AB778^2</f>
        <v/>
      </c>
    </row>
    <row r="779">
      <c r="A779" t="inlineStr">
        <is>
          <t>BBG000LR8515</t>
        </is>
      </c>
      <c r="B779" t="inlineStr">
        <is>
          <t>sbh</t>
        </is>
      </c>
      <c r="C779" s="9" t="n">
        <v>0</v>
      </c>
      <c r="D779" s="3">
        <f>EXP(0.25*'3b-d Exposures'!G948)</f>
        <v/>
      </c>
      <c r="E779" s="3">
        <f>IF('3b-d Exposures'!C948="",0,'3b-d Exposures'!C948)</f>
        <v/>
      </c>
      <c r="F779" s="3">
        <f>IF('3b-d Exposures'!E948="",0,'3b-d Exposures'!E948)</f>
        <v/>
      </c>
      <c r="G779" s="3">
        <f>IF('3b-d Exposures'!G948="",0,'3b-d Exposures'!G948)</f>
        <v/>
      </c>
      <c r="H779" s="3">
        <f>IF('3b-d Exposures'!I948="",0,'3b-d Exposures'!I948)</f>
        <v/>
      </c>
      <c r="I779" s="3">
        <f>IF('3b-d Exposures'!K948="",0,'3b-d Exposures'!K948)</f>
        <v/>
      </c>
      <c r="J779" s="3">
        <f>IF('3b-d Exposures'!M948="",0,'3b-d Exposures'!M948)</f>
        <v/>
      </c>
      <c r="K779" s="3">
        <f>IF('3b-d Exposures'!O948="",0,'3b-d Exposures'!O948)</f>
        <v/>
      </c>
      <c r="L779" s="3">
        <f>IF('3b-d Exposures'!Q948="",0,'3b-d Exposures'!Q948)</f>
        <v/>
      </c>
      <c r="M779" s="3">
        <f>IF('3b-d Exposures'!S948="",0,'3b-d Exposures'!S948)</f>
        <v/>
      </c>
      <c r="N779" s="3">
        <f>IF('3b-d Exposures'!Z948="",0,'3b-d Exposures'!Z948)</f>
        <v/>
      </c>
      <c r="O779" s="3">
        <f>$D779</f>
        <v/>
      </c>
      <c r="P779" s="3">
        <f>E779*$D779</f>
        <v/>
      </c>
      <c r="Q779" s="3">
        <f>F779*$D779</f>
        <v/>
      </c>
      <c r="R779" s="3">
        <f>G779*$D779</f>
        <v/>
      </c>
      <c r="S779" s="3">
        <f>H779*$D779</f>
        <v/>
      </c>
      <c r="T779" s="3">
        <f>I779*$D779</f>
        <v/>
      </c>
      <c r="U779" s="3">
        <f>J779*$D779</f>
        <v/>
      </c>
      <c r="V779" s="3">
        <f>K779*$D779</f>
        <v/>
      </c>
      <c r="W779" s="3">
        <f>L779*$D779</f>
        <v/>
      </c>
      <c r="X779" s="3">
        <f>M779*$D779</f>
        <v/>
      </c>
      <c r="Y779" s="3">
        <f>N779*$D779</f>
        <v/>
      </c>
      <c r="Z779" s="3">
        <f>C779*$D779</f>
        <v/>
      </c>
      <c r="AA779" s="9">
        <f>$L978+$K978*E779+$J978*F779+$I978*G779+$H978*H779+$G978*I779+$F978*J779+$E978*K779+$D978*L779+$C978*M779+$B978*N779</f>
        <v/>
      </c>
      <c r="AB779" s="9">
        <f>C779-AA779</f>
        <v/>
      </c>
      <c r="AC779" s="4">
        <f>AB779^2</f>
        <v/>
      </c>
    </row>
    <row r="780">
      <c r="A780" t="inlineStr">
        <is>
          <t>BBG000CTQBF3</t>
        </is>
      </c>
      <c r="B780" t="inlineStr">
        <is>
          <t>sbux</t>
        </is>
      </c>
      <c r="C780" s="9" t="n">
        <v>-0.009272025296796493</v>
      </c>
      <c r="D780" s="3">
        <f>EXP(0.25*'3b-d Exposures'!G949)</f>
        <v/>
      </c>
      <c r="E780" s="3">
        <f>IF('3b-d Exposures'!C949="",0,'3b-d Exposures'!C949)</f>
        <v/>
      </c>
      <c r="F780" s="3">
        <f>IF('3b-d Exposures'!E949="",0,'3b-d Exposures'!E949)</f>
        <v/>
      </c>
      <c r="G780" s="3">
        <f>IF('3b-d Exposures'!G949="",0,'3b-d Exposures'!G949)</f>
        <v/>
      </c>
      <c r="H780" s="3">
        <f>IF('3b-d Exposures'!I949="",0,'3b-d Exposures'!I949)</f>
        <v/>
      </c>
      <c r="I780" s="3">
        <f>IF('3b-d Exposures'!K949="",0,'3b-d Exposures'!K949)</f>
        <v/>
      </c>
      <c r="J780" s="3">
        <f>IF('3b-d Exposures'!M949="",0,'3b-d Exposures'!M949)</f>
        <v/>
      </c>
      <c r="K780" s="3">
        <f>IF('3b-d Exposures'!O949="",0,'3b-d Exposures'!O949)</f>
        <v/>
      </c>
      <c r="L780" s="3">
        <f>IF('3b-d Exposures'!Q949="",0,'3b-d Exposures'!Q949)</f>
        <v/>
      </c>
      <c r="M780" s="3">
        <f>IF('3b-d Exposures'!S949="",0,'3b-d Exposures'!S949)</f>
        <v/>
      </c>
      <c r="N780" s="3">
        <f>IF('3b-d Exposures'!Z949="",0,'3b-d Exposures'!Z949)</f>
        <v/>
      </c>
      <c r="O780" s="3">
        <f>$D780</f>
        <v/>
      </c>
      <c r="P780" s="3">
        <f>E780*$D780</f>
        <v/>
      </c>
      <c r="Q780" s="3">
        <f>F780*$D780</f>
        <v/>
      </c>
      <c r="R780" s="3">
        <f>G780*$D780</f>
        <v/>
      </c>
      <c r="S780" s="3">
        <f>H780*$D780</f>
        <v/>
      </c>
      <c r="T780" s="3">
        <f>I780*$D780</f>
        <v/>
      </c>
      <c r="U780" s="3">
        <f>J780*$D780</f>
        <v/>
      </c>
      <c r="V780" s="3">
        <f>K780*$D780</f>
        <v/>
      </c>
      <c r="W780" s="3">
        <f>L780*$D780</f>
        <v/>
      </c>
      <c r="X780" s="3">
        <f>M780*$D780</f>
        <v/>
      </c>
      <c r="Y780" s="3">
        <f>N780*$D780</f>
        <v/>
      </c>
      <c r="Z780" s="3">
        <f>C780*$D780</f>
        <v/>
      </c>
      <c r="AA780" s="9">
        <f>$L978+$K978*E780+$J978*F780+$I978*G780+$H978*H780+$G978*I780+$F978*J780+$E978*K780+$D978*L780+$C978*M780+$B978*N780</f>
        <v/>
      </c>
      <c r="AB780" s="9">
        <f>C780-AA780</f>
        <v/>
      </c>
      <c r="AC780" s="4">
        <f>AB780^2</f>
        <v/>
      </c>
    </row>
    <row r="781">
      <c r="A781" t="inlineStr">
        <is>
          <t>BBG000BSLZY7</t>
        </is>
      </c>
      <c r="B781" t="inlineStr">
        <is>
          <t>schw</t>
        </is>
      </c>
      <c r="C781" s="9" t="n">
        <v>-0.0165539076748501</v>
      </c>
      <c r="D781" s="3">
        <f>EXP(0.25*'3b-d Exposures'!G950)</f>
        <v/>
      </c>
      <c r="E781" s="3">
        <f>IF('3b-d Exposures'!C950="",0,'3b-d Exposures'!C950)</f>
        <v/>
      </c>
      <c r="F781" s="3">
        <f>IF('3b-d Exposures'!E950="",0,'3b-d Exposures'!E950)</f>
        <v/>
      </c>
      <c r="G781" s="3">
        <f>IF('3b-d Exposures'!G950="",0,'3b-d Exposures'!G950)</f>
        <v/>
      </c>
      <c r="H781" s="3">
        <f>IF('3b-d Exposures'!I950="",0,'3b-d Exposures'!I950)</f>
        <v/>
      </c>
      <c r="I781" s="3">
        <f>IF('3b-d Exposures'!K950="",0,'3b-d Exposures'!K950)</f>
        <v/>
      </c>
      <c r="J781" s="3">
        <f>IF('3b-d Exposures'!M950="",0,'3b-d Exposures'!M950)</f>
        <v/>
      </c>
      <c r="K781" s="3">
        <f>IF('3b-d Exposures'!O950="",0,'3b-d Exposures'!O950)</f>
        <v/>
      </c>
      <c r="L781" s="3">
        <f>IF('3b-d Exposures'!Q950="",0,'3b-d Exposures'!Q950)</f>
        <v/>
      </c>
      <c r="M781" s="3">
        <f>IF('3b-d Exposures'!S950="",0,'3b-d Exposures'!S950)</f>
        <v/>
      </c>
      <c r="N781" s="3">
        <f>IF('3b-d Exposures'!Z950="",0,'3b-d Exposures'!Z950)</f>
        <v/>
      </c>
      <c r="O781" s="3">
        <f>$D781</f>
        <v/>
      </c>
      <c r="P781" s="3">
        <f>E781*$D781</f>
        <v/>
      </c>
      <c r="Q781" s="3">
        <f>F781*$D781</f>
        <v/>
      </c>
      <c r="R781" s="3">
        <f>G781*$D781</f>
        <v/>
      </c>
      <c r="S781" s="3">
        <f>H781*$D781</f>
        <v/>
      </c>
      <c r="T781" s="3">
        <f>I781*$D781</f>
        <v/>
      </c>
      <c r="U781" s="3">
        <f>J781*$D781</f>
        <v/>
      </c>
      <c r="V781" s="3">
        <f>K781*$D781</f>
        <v/>
      </c>
      <c r="W781" s="3">
        <f>L781*$D781</f>
        <v/>
      </c>
      <c r="X781" s="3">
        <f>M781*$D781</f>
        <v/>
      </c>
      <c r="Y781" s="3">
        <f>N781*$D781</f>
        <v/>
      </c>
      <c r="Z781" s="3">
        <f>C781*$D781</f>
        <v/>
      </c>
      <c r="AA781" s="9">
        <f>$L978+$K978*E781+$J978*F781+$I978*G781+$H978*H781+$G978*I781+$F978*J781+$E978*K781+$D978*L781+$C978*M781+$B978*N781</f>
        <v/>
      </c>
      <c r="AB781" s="9">
        <f>C781-AA781</f>
        <v/>
      </c>
      <c r="AC781" s="4">
        <f>AB781^2</f>
        <v/>
      </c>
    </row>
    <row r="782">
      <c r="A782" t="inlineStr">
        <is>
          <t>BBG000BTHH16</t>
        </is>
      </c>
      <c r="B782" t="inlineStr">
        <is>
          <t>sci</t>
        </is>
      </c>
      <c r="C782" s="9" t="n">
        <v>-0.00507965291490986</v>
      </c>
      <c r="D782" s="3">
        <f>EXP(0.25*'3b-d Exposures'!G951)</f>
        <v/>
      </c>
      <c r="E782" s="3">
        <f>IF('3b-d Exposures'!C951="",0,'3b-d Exposures'!C951)</f>
        <v/>
      </c>
      <c r="F782" s="3">
        <f>IF('3b-d Exposures'!E951="",0,'3b-d Exposures'!E951)</f>
        <v/>
      </c>
      <c r="G782" s="3">
        <f>IF('3b-d Exposures'!G951="",0,'3b-d Exposures'!G951)</f>
        <v/>
      </c>
      <c r="H782" s="3">
        <f>IF('3b-d Exposures'!I951="",0,'3b-d Exposures'!I951)</f>
        <v/>
      </c>
      <c r="I782" s="3">
        <f>IF('3b-d Exposures'!K951="",0,'3b-d Exposures'!K951)</f>
        <v/>
      </c>
      <c r="J782" s="3">
        <f>IF('3b-d Exposures'!M951="",0,'3b-d Exposures'!M951)</f>
        <v/>
      </c>
      <c r="K782" s="3">
        <f>IF('3b-d Exposures'!O951="",0,'3b-d Exposures'!O951)</f>
        <v/>
      </c>
      <c r="L782" s="3">
        <f>IF('3b-d Exposures'!Q951="",0,'3b-d Exposures'!Q951)</f>
        <v/>
      </c>
      <c r="M782" s="3">
        <f>IF('3b-d Exposures'!S951="",0,'3b-d Exposures'!S951)</f>
        <v/>
      </c>
      <c r="N782" s="3">
        <f>IF('3b-d Exposures'!Z951="",0,'3b-d Exposures'!Z951)</f>
        <v/>
      </c>
      <c r="O782" s="3">
        <f>$D782</f>
        <v/>
      </c>
      <c r="P782" s="3">
        <f>E782*$D782</f>
        <v/>
      </c>
      <c r="Q782" s="3">
        <f>F782*$D782</f>
        <v/>
      </c>
      <c r="R782" s="3">
        <f>G782*$D782</f>
        <v/>
      </c>
      <c r="S782" s="3">
        <f>H782*$D782</f>
        <v/>
      </c>
      <c r="T782" s="3">
        <f>I782*$D782</f>
        <v/>
      </c>
      <c r="U782" s="3">
        <f>J782*$D782</f>
        <v/>
      </c>
      <c r="V782" s="3">
        <f>K782*$D782</f>
        <v/>
      </c>
      <c r="W782" s="3">
        <f>L782*$D782</f>
        <v/>
      </c>
      <c r="X782" s="3">
        <f>M782*$D782</f>
        <v/>
      </c>
      <c r="Y782" s="3">
        <f>N782*$D782</f>
        <v/>
      </c>
      <c r="Z782" s="3">
        <f>C782*$D782</f>
        <v/>
      </c>
      <c r="AA782" s="9">
        <f>$L978+$K978*E782+$J978*F782+$I978*G782+$H978*H782+$G978*I782+$F978*J782+$E978*K782+$D978*L782+$C978*M782+$B978*N782</f>
        <v/>
      </c>
      <c r="AB782" s="9">
        <f>C782-AA782</f>
        <v/>
      </c>
      <c r="AC782" s="4">
        <f>AB782^2</f>
        <v/>
      </c>
    </row>
    <row r="783">
      <c r="A783" t="inlineStr">
        <is>
          <t>BBG003LB3TH0</t>
        </is>
      </c>
      <c r="B783" t="inlineStr">
        <is>
          <t>scm</t>
        </is>
      </c>
      <c r="C783" s="9" t="n">
        <v>0.0007250107596052935</v>
      </c>
      <c r="D783" s="3">
        <f>EXP(0.25*'3b-d Exposures'!G952)</f>
        <v/>
      </c>
      <c r="E783" s="3">
        <f>IF('3b-d Exposures'!C952="",0,'3b-d Exposures'!C952)</f>
        <v/>
      </c>
      <c r="F783" s="3">
        <f>IF('3b-d Exposures'!E952="",0,'3b-d Exposures'!E952)</f>
        <v/>
      </c>
      <c r="G783" s="3">
        <f>IF('3b-d Exposures'!G952="",0,'3b-d Exposures'!G952)</f>
        <v/>
      </c>
      <c r="H783" s="3">
        <f>IF('3b-d Exposures'!I952="",0,'3b-d Exposures'!I952)</f>
        <v/>
      </c>
      <c r="I783" s="3">
        <f>IF('3b-d Exposures'!K952="",0,'3b-d Exposures'!K952)</f>
        <v/>
      </c>
      <c r="J783" s="3">
        <f>IF('3b-d Exposures'!M952="",0,'3b-d Exposures'!M952)</f>
        <v/>
      </c>
      <c r="K783" s="3">
        <f>IF('3b-d Exposures'!O952="",0,'3b-d Exposures'!O952)</f>
        <v/>
      </c>
      <c r="L783" s="3">
        <f>IF('3b-d Exposures'!Q952="",0,'3b-d Exposures'!Q952)</f>
        <v/>
      </c>
      <c r="M783" s="3">
        <f>IF('3b-d Exposures'!S952="",0,'3b-d Exposures'!S952)</f>
        <v/>
      </c>
      <c r="N783" s="3">
        <f>IF('3b-d Exposures'!Z952="",0,'3b-d Exposures'!Z952)</f>
        <v/>
      </c>
      <c r="O783" s="3">
        <f>$D783</f>
        <v/>
      </c>
      <c r="P783" s="3">
        <f>E783*$D783</f>
        <v/>
      </c>
      <c r="Q783" s="3">
        <f>F783*$D783</f>
        <v/>
      </c>
      <c r="R783" s="3">
        <f>G783*$D783</f>
        <v/>
      </c>
      <c r="S783" s="3">
        <f>H783*$D783</f>
        <v/>
      </c>
      <c r="T783" s="3">
        <f>I783*$D783</f>
        <v/>
      </c>
      <c r="U783" s="3">
        <f>J783*$D783</f>
        <v/>
      </c>
      <c r="V783" s="3">
        <f>K783*$D783</f>
        <v/>
      </c>
      <c r="W783" s="3">
        <f>L783*$D783</f>
        <v/>
      </c>
      <c r="X783" s="3">
        <f>M783*$D783</f>
        <v/>
      </c>
      <c r="Y783" s="3">
        <f>N783*$D783</f>
        <v/>
      </c>
      <c r="Z783" s="3">
        <f>C783*$D783</f>
        <v/>
      </c>
      <c r="AA783" s="9">
        <f>$L978+$K978*E783+$J978*F783+$I978*G783+$H978*H783+$G978*I783+$F978*J783+$E978*K783+$D978*L783+$C978*M783+$B978*N783</f>
        <v/>
      </c>
      <c r="AB783" s="9">
        <f>C783-AA783</f>
        <v/>
      </c>
      <c r="AC783" s="4">
        <f>AB783^2</f>
        <v/>
      </c>
    </row>
    <row r="784">
      <c r="A784" t="inlineStr">
        <is>
          <t>BBG0084BBZY6</t>
        </is>
      </c>
      <c r="B784" t="inlineStr">
        <is>
          <t>sedg</t>
        </is>
      </c>
      <c r="C784" s="9" t="n">
        <v>0.005696212120343214</v>
      </c>
      <c r="D784" s="3">
        <f>EXP(0.25*'3b-d Exposures'!G954)</f>
        <v/>
      </c>
      <c r="E784" s="3">
        <f>IF('3b-d Exposures'!C954="",0,'3b-d Exposures'!C954)</f>
        <v/>
      </c>
      <c r="F784" s="3">
        <f>IF('3b-d Exposures'!E954="",0,'3b-d Exposures'!E954)</f>
        <v/>
      </c>
      <c r="G784" s="3">
        <f>IF('3b-d Exposures'!G954="",0,'3b-d Exposures'!G954)</f>
        <v/>
      </c>
      <c r="H784" s="3">
        <f>IF('3b-d Exposures'!I954="",0,'3b-d Exposures'!I954)</f>
        <v/>
      </c>
      <c r="I784" s="3">
        <f>IF('3b-d Exposures'!K954="",0,'3b-d Exposures'!K954)</f>
        <v/>
      </c>
      <c r="J784" s="3">
        <f>IF('3b-d Exposures'!M954="",0,'3b-d Exposures'!M954)</f>
        <v/>
      </c>
      <c r="K784" s="3">
        <f>IF('3b-d Exposures'!O954="",0,'3b-d Exposures'!O954)</f>
        <v/>
      </c>
      <c r="L784" s="3">
        <f>IF('3b-d Exposures'!Q954="",0,'3b-d Exposures'!Q954)</f>
        <v/>
      </c>
      <c r="M784" s="3">
        <f>IF('3b-d Exposures'!S954="",0,'3b-d Exposures'!S954)</f>
        <v/>
      </c>
      <c r="N784" s="3">
        <f>IF('3b-d Exposures'!Z954="",0,'3b-d Exposures'!Z954)</f>
        <v/>
      </c>
      <c r="O784" s="3">
        <f>$D784</f>
        <v/>
      </c>
      <c r="P784" s="3">
        <f>E784*$D784</f>
        <v/>
      </c>
      <c r="Q784" s="3">
        <f>F784*$D784</f>
        <v/>
      </c>
      <c r="R784" s="3">
        <f>G784*$D784</f>
        <v/>
      </c>
      <c r="S784" s="3">
        <f>H784*$D784</f>
        <v/>
      </c>
      <c r="T784" s="3">
        <f>I784*$D784</f>
        <v/>
      </c>
      <c r="U784" s="3">
        <f>J784*$D784</f>
        <v/>
      </c>
      <c r="V784" s="3">
        <f>K784*$D784</f>
        <v/>
      </c>
      <c r="W784" s="3">
        <f>L784*$D784</f>
        <v/>
      </c>
      <c r="X784" s="3">
        <f>M784*$D784</f>
        <v/>
      </c>
      <c r="Y784" s="3">
        <f>N784*$D784</f>
        <v/>
      </c>
      <c r="Z784" s="3">
        <f>C784*$D784</f>
        <v/>
      </c>
      <c r="AA784" s="9">
        <f>$L978+$K978*E784+$J978*F784+$I978*G784+$H978*H784+$G978*I784+$F978*J784+$E978*K784+$D978*L784+$C978*M784+$B978*N784</f>
        <v/>
      </c>
      <c r="AB784" s="9">
        <f>C784-AA784</f>
        <v/>
      </c>
      <c r="AC784" s="4">
        <f>AB784^2</f>
        <v/>
      </c>
    </row>
    <row r="785">
      <c r="A785" t="inlineStr">
        <is>
          <t>BBG000QCHMH9</t>
        </is>
      </c>
      <c r="B785" t="inlineStr">
        <is>
          <t>sem</t>
        </is>
      </c>
      <c r="C785" s="9" t="n">
        <v>-0.003789610087459261</v>
      </c>
      <c r="D785" s="3">
        <f>EXP(0.25*'3b-d Exposures'!G955)</f>
        <v/>
      </c>
      <c r="E785" s="3">
        <f>IF('3b-d Exposures'!C955="",0,'3b-d Exposures'!C955)</f>
        <v/>
      </c>
      <c r="F785" s="3">
        <f>IF('3b-d Exposures'!E955="",0,'3b-d Exposures'!E955)</f>
        <v/>
      </c>
      <c r="G785" s="3">
        <f>IF('3b-d Exposures'!G955="",0,'3b-d Exposures'!G955)</f>
        <v/>
      </c>
      <c r="H785" s="3">
        <f>IF('3b-d Exposures'!I955="",0,'3b-d Exposures'!I955)</f>
        <v/>
      </c>
      <c r="I785" s="3">
        <f>IF('3b-d Exposures'!K955="",0,'3b-d Exposures'!K955)</f>
        <v/>
      </c>
      <c r="J785" s="3">
        <f>IF('3b-d Exposures'!M955="",0,'3b-d Exposures'!M955)</f>
        <v/>
      </c>
      <c r="K785" s="3">
        <f>IF('3b-d Exposures'!O955="",0,'3b-d Exposures'!O955)</f>
        <v/>
      </c>
      <c r="L785" s="3">
        <f>IF('3b-d Exposures'!Q955="",0,'3b-d Exposures'!Q955)</f>
        <v/>
      </c>
      <c r="M785" s="3">
        <f>IF('3b-d Exposures'!S955="",0,'3b-d Exposures'!S955)</f>
        <v/>
      </c>
      <c r="N785" s="3">
        <f>IF('3b-d Exposures'!Z955="",0,'3b-d Exposures'!Z955)</f>
        <v/>
      </c>
      <c r="O785" s="3">
        <f>$D785</f>
        <v/>
      </c>
      <c r="P785" s="3">
        <f>E785*$D785</f>
        <v/>
      </c>
      <c r="Q785" s="3">
        <f>F785*$D785</f>
        <v/>
      </c>
      <c r="R785" s="3">
        <f>G785*$D785</f>
        <v/>
      </c>
      <c r="S785" s="3">
        <f>H785*$D785</f>
        <v/>
      </c>
      <c r="T785" s="3">
        <f>I785*$D785</f>
        <v/>
      </c>
      <c r="U785" s="3">
        <f>J785*$D785</f>
        <v/>
      </c>
      <c r="V785" s="3">
        <f>K785*$D785</f>
        <v/>
      </c>
      <c r="W785" s="3">
        <f>L785*$D785</f>
        <v/>
      </c>
      <c r="X785" s="3">
        <f>M785*$D785</f>
        <v/>
      </c>
      <c r="Y785" s="3">
        <f>N785*$D785</f>
        <v/>
      </c>
      <c r="Z785" s="3">
        <f>C785*$D785</f>
        <v/>
      </c>
      <c r="AA785" s="9">
        <f>$L978+$K978*E785+$J978*F785+$I978*G785+$H978*H785+$G978*I785+$F978*J785+$E978*K785+$D978*L785+$C978*M785+$B978*N785</f>
        <v/>
      </c>
      <c r="AB785" s="9">
        <f>C785-AA785</f>
        <v/>
      </c>
      <c r="AC785" s="4">
        <f>AB785^2</f>
        <v/>
      </c>
    </row>
    <row r="786">
      <c r="A786" t="inlineStr">
        <is>
          <t>BBG000FB8PF8</t>
        </is>
      </c>
      <c r="B786" t="inlineStr">
        <is>
          <t>sfbs</t>
        </is>
      </c>
      <c r="C786" s="9" t="n">
        <v>-0.005115937432865092</v>
      </c>
      <c r="D786" s="3">
        <f>EXP(0.25*'3b-d Exposures'!G957)</f>
        <v/>
      </c>
      <c r="E786" s="3">
        <f>IF('3b-d Exposures'!C957="",0,'3b-d Exposures'!C957)</f>
        <v/>
      </c>
      <c r="F786" s="3">
        <f>IF('3b-d Exposures'!E957="",0,'3b-d Exposures'!E957)</f>
        <v/>
      </c>
      <c r="G786" s="3">
        <f>IF('3b-d Exposures'!G957="",0,'3b-d Exposures'!G957)</f>
        <v/>
      </c>
      <c r="H786" s="3">
        <f>IF('3b-d Exposures'!I957="",0,'3b-d Exposures'!I957)</f>
        <v/>
      </c>
      <c r="I786" s="3">
        <f>IF('3b-d Exposures'!K957="",0,'3b-d Exposures'!K957)</f>
        <v/>
      </c>
      <c r="J786" s="3">
        <f>IF('3b-d Exposures'!M957="",0,'3b-d Exposures'!M957)</f>
        <v/>
      </c>
      <c r="K786" s="3">
        <f>IF('3b-d Exposures'!O957="",0,'3b-d Exposures'!O957)</f>
        <v/>
      </c>
      <c r="L786" s="3">
        <f>IF('3b-d Exposures'!Q957="",0,'3b-d Exposures'!Q957)</f>
        <v/>
      </c>
      <c r="M786" s="3">
        <f>IF('3b-d Exposures'!S957="",0,'3b-d Exposures'!S957)</f>
        <v/>
      </c>
      <c r="N786" s="3">
        <f>IF('3b-d Exposures'!Z957="",0,'3b-d Exposures'!Z957)</f>
        <v/>
      </c>
      <c r="O786" s="3">
        <f>$D786</f>
        <v/>
      </c>
      <c r="P786" s="3">
        <f>E786*$D786</f>
        <v/>
      </c>
      <c r="Q786" s="3">
        <f>F786*$D786</f>
        <v/>
      </c>
      <c r="R786" s="3">
        <f>G786*$D786</f>
        <v/>
      </c>
      <c r="S786" s="3">
        <f>H786*$D786</f>
        <v/>
      </c>
      <c r="T786" s="3">
        <f>I786*$D786</f>
        <v/>
      </c>
      <c r="U786" s="3">
        <f>J786*$D786</f>
        <v/>
      </c>
      <c r="V786" s="3">
        <f>K786*$D786</f>
        <v/>
      </c>
      <c r="W786" s="3">
        <f>L786*$D786</f>
        <v/>
      </c>
      <c r="X786" s="3">
        <f>M786*$D786</f>
        <v/>
      </c>
      <c r="Y786" s="3">
        <f>N786*$D786</f>
        <v/>
      </c>
      <c r="Z786" s="3">
        <f>C786*$D786</f>
        <v/>
      </c>
      <c r="AA786" s="9">
        <f>$L978+$K978*E786+$J978*F786+$I978*G786+$H978*H786+$G978*I786+$F978*J786+$E978*K786+$D978*L786+$C978*M786+$B978*N786</f>
        <v/>
      </c>
      <c r="AB786" s="9">
        <f>C786-AA786</f>
        <v/>
      </c>
      <c r="AC786" s="4">
        <f>AB786^2</f>
        <v/>
      </c>
    </row>
    <row r="787">
      <c r="A787" t="inlineStr">
        <is>
          <t>BBG001KFKQM7</t>
        </is>
      </c>
      <c r="B787" t="inlineStr">
        <is>
          <t>sfm</t>
        </is>
      </c>
      <c r="C787" s="9" t="n">
        <v>-0.02304503920930079</v>
      </c>
      <c r="D787" s="3">
        <f>EXP(0.25*'3b-d Exposures'!G959)</f>
        <v/>
      </c>
      <c r="E787" s="3">
        <f>IF('3b-d Exposures'!C959="",0,'3b-d Exposures'!C959)</f>
        <v/>
      </c>
      <c r="F787" s="3">
        <f>IF('3b-d Exposures'!E959="",0,'3b-d Exposures'!E959)</f>
        <v/>
      </c>
      <c r="G787" s="3">
        <f>IF('3b-d Exposures'!G959="",0,'3b-d Exposures'!G959)</f>
        <v/>
      </c>
      <c r="H787" s="3">
        <f>IF('3b-d Exposures'!I959="",0,'3b-d Exposures'!I959)</f>
        <v/>
      </c>
      <c r="I787" s="3">
        <f>IF('3b-d Exposures'!K959="",0,'3b-d Exposures'!K959)</f>
        <v/>
      </c>
      <c r="J787" s="3">
        <f>IF('3b-d Exposures'!M959="",0,'3b-d Exposures'!M959)</f>
        <v/>
      </c>
      <c r="K787" s="3">
        <f>IF('3b-d Exposures'!O959="",0,'3b-d Exposures'!O959)</f>
        <v/>
      </c>
      <c r="L787" s="3">
        <f>IF('3b-d Exposures'!Q959="",0,'3b-d Exposures'!Q959)</f>
        <v/>
      </c>
      <c r="M787" s="3">
        <f>IF('3b-d Exposures'!S959="",0,'3b-d Exposures'!S959)</f>
        <v/>
      </c>
      <c r="N787" s="3">
        <f>IF('3b-d Exposures'!Z959="",0,'3b-d Exposures'!Z959)</f>
        <v/>
      </c>
      <c r="O787" s="3">
        <f>$D787</f>
        <v/>
      </c>
      <c r="P787" s="3">
        <f>E787*$D787</f>
        <v/>
      </c>
      <c r="Q787" s="3">
        <f>F787*$D787</f>
        <v/>
      </c>
      <c r="R787" s="3">
        <f>G787*$D787</f>
        <v/>
      </c>
      <c r="S787" s="3">
        <f>H787*$D787</f>
        <v/>
      </c>
      <c r="T787" s="3">
        <f>I787*$D787</f>
        <v/>
      </c>
      <c r="U787" s="3">
        <f>J787*$D787</f>
        <v/>
      </c>
      <c r="V787" s="3">
        <f>K787*$D787</f>
        <v/>
      </c>
      <c r="W787" s="3">
        <f>L787*$D787</f>
        <v/>
      </c>
      <c r="X787" s="3">
        <f>M787*$D787</f>
        <v/>
      </c>
      <c r="Y787" s="3">
        <f>N787*$D787</f>
        <v/>
      </c>
      <c r="Z787" s="3">
        <f>C787*$D787</f>
        <v/>
      </c>
      <c r="AA787" s="9">
        <f>$L978+$K978*E787+$J978*F787+$I978*G787+$H978*H787+$G978*I787+$F978*J787+$E978*K787+$D978*L787+$C978*M787+$B978*N787</f>
        <v/>
      </c>
      <c r="AB787" s="9">
        <f>C787-AA787</f>
        <v/>
      </c>
      <c r="AC787" s="4">
        <f>AB787^2</f>
        <v/>
      </c>
    </row>
    <row r="788">
      <c r="A788" t="inlineStr">
        <is>
          <t>BBG000BSTBM5</t>
        </is>
      </c>
      <c r="B788" t="inlineStr">
        <is>
          <t>sfnc</t>
        </is>
      </c>
      <c r="C788" s="9" t="n">
        <v>0.001635470661527139</v>
      </c>
      <c r="D788" s="3">
        <f>EXP(0.25*'3b-d Exposures'!G960)</f>
        <v/>
      </c>
      <c r="E788" s="3">
        <f>IF('3b-d Exposures'!C960="",0,'3b-d Exposures'!C960)</f>
        <v/>
      </c>
      <c r="F788" s="3">
        <f>IF('3b-d Exposures'!E960="",0,'3b-d Exposures'!E960)</f>
        <v/>
      </c>
      <c r="G788" s="3">
        <f>IF('3b-d Exposures'!G960="",0,'3b-d Exposures'!G960)</f>
        <v/>
      </c>
      <c r="H788" s="3">
        <f>IF('3b-d Exposures'!I960="",0,'3b-d Exposures'!I960)</f>
        <v/>
      </c>
      <c r="I788" s="3">
        <f>IF('3b-d Exposures'!K960="",0,'3b-d Exposures'!K960)</f>
        <v/>
      </c>
      <c r="J788" s="3">
        <f>IF('3b-d Exposures'!M960="",0,'3b-d Exposures'!M960)</f>
        <v/>
      </c>
      <c r="K788" s="3">
        <f>IF('3b-d Exposures'!O960="",0,'3b-d Exposures'!O960)</f>
        <v/>
      </c>
      <c r="L788" s="3">
        <f>IF('3b-d Exposures'!Q960="",0,'3b-d Exposures'!Q960)</f>
        <v/>
      </c>
      <c r="M788" s="3">
        <f>IF('3b-d Exposures'!S960="",0,'3b-d Exposures'!S960)</f>
        <v/>
      </c>
      <c r="N788" s="3">
        <f>IF('3b-d Exposures'!Z960="",0,'3b-d Exposures'!Z960)</f>
        <v/>
      </c>
      <c r="O788" s="3">
        <f>$D788</f>
        <v/>
      </c>
      <c r="P788" s="3">
        <f>E788*$D788</f>
        <v/>
      </c>
      <c r="Q788" s="3">
        <f>F788*$D788</f>
        <v/>
      </c>
      <c r="R788" s="3">
        <f>G788*$D788</f>
        <v/>
      </c>
      <c r="S788" s="3">
        <f>H788*$D788</f>
        <v/>
      </c>
      <c r="T788" s="3">
        <f>I788*$D788</f>
        <v/>
      </c>
      <c r="U788" s="3">
        <f>J788*$D788</f>
        <v/>
      </c>
      <c r="V788" s="3">
        <f>K788*$D788</f>
        <v/>
      </c>
      <c r="W788" s="3">
        <f>L788*$D788</f>
        <v/>
      </c>
      <c r="X788" s="3">
        <f>M788*$D788</f>
        <v/>
      </c>
      <c r="Y788" s="3">
        <f>N788*$D788</f>
        <v/>
      </c>
      <c r="Z788" s="3">
        <f>C788*$D788</f>
        <v/>
      </c>
      <c r="AA788" s="9">
        <f>$L978+$K978*E788+$J978*F788+$I978*G788+$H978*H788+$G978*I788+$F978*J788+$E978*K788+$D978*L788+$C978*M788+$B978*N788</f>
        <v/>
      </c>
      <c r="AB788" s="9">
        <f>C788-AA788</f>
        <v/>
      </c>
      <c r="AC788" s="4">
        <f>AB788^2</f>
        <v/>
      </c>
    </row>
    <row r="789">
      <c r="A789" t="inlineStr">
        <is>
          <t>BBG000PXGT62</t>
        </is>
      </c>
      <c r="B789" t="inlineStr">
        <is>
          <t>sgi</t>
        </is>
      </c>
      <c r="C789" s="9" t="n">
        <v>0.002500877391842016</v>
      </c>
      <c r="D789" s="3">
        <f>EXP(0.25*'3b-d Exposures'!G961)</f>
        <v/>
      </c>
      <c r="E789" s="3">
        <f>IF('3b-d Exposures'!C961="",0,'3b-d Exposures'!C961)</f>
        <v/>
      </c>
      <c r="F789" s="3">
        <f>IF('3b-d Exposures'!E961="",0,'3b-d Exposures'!E961)</f>
        <v/>
      </c>
      <c r="G789" s="3">
        <f>IF('3b-d Exposures'!G961="",0,'3b-d Exposures'!G961)</f>
        <v/>
      </c>
      <c r="H789" s="3">
        <f>IF('3b-d Exposures'!I961="",0,'3b-d Exposures'!I961)</f>
        <v/>
      </c>
      <c r="I789" s="3">
        <f>IF('3b-d Exposures'!K961="",0,'3b-d Exposures'!K961)</f>
        <v/>
      </c>
      <c r="J789" s="3">
        <f>IF('3b-d Exposures'!M961="",0,'3b-d Exposures'!M961)</f>
        <v/>
      </c>
      <c r="K789" s="3">
        <f>IF('3b-d Exposures'!O961="",0,'3b-d Exposures'!O961)</f>
        <v/>
      </c>
      <c r="L789" s="3">
        <f>IF('3b-d Exposures'!Q961="",0,'3b-d Exposures'!Q961)</f>
        <v/>
      </c>
      <c r="M789" s="3">
        <f>IF('3b-d Exposures'!S961="",0,'3b-d Exposures'!S961)</f>
        <v/>
      </c>
      <c r="N789" s="3">
        <f>IF('3b-d Exposures'!Z961="",0,'3b-d Exposures'!Z961)</f>
        <v/>
      </c>
      <c r="O789" s="3">
        <f>$D789</f>
        <v/>
      </c>
      <c r="P789" s="3">
        <f>E789*$D789</f>
        <v/>
      </c>
      <c r="Q789" s="3">
        <f>F789*$D789</f>
        <v/>
      </c>
      <c r="R789" s="3">
        <f>G789*$D789</f>
        <v/>
      </c>
      <c r="S789" s="3">
        <f>H789*$D789</f>
        <v/>
      </c>
      <c r="T789" s="3">
        <f>I789*$D789</f>
        <v/>
      </c>
      <c r="U789" s="3">
        <f>J789*$D789</f>
        <v/>
      </c>
      <c r="V789" s="3">
        <f>K789*$D789</f>
        <v/>
      </c>
      <c r="W789" s="3">
        <f>L789*$D789</f>
        <v/>
      </c>
      <c r="X789" s="3">
        <f>M789*$D789</f>
        <v/>
      </c>
      <c r="Y789" s="3">
        <f>N789*$D789</f>
        <v/>
      </c>
      <c r="Z789" s="3">
        <f>C789*$D789</f>
        <v/>
      </c>
      <c r="AA789" s="9">
        <f>$L978+$K978*E789+$J978*F789+$I978*G789+$H978*H789+$G978*I789+$F978*J789+$E978*K789+$D978*L789+$C978*M789+$B978*N789</f>
        <v/>
      </c>
      <c r="AB789" s="9">
        <f>C789-AA789</f>
        <v/>
      </c>
      <c r="AC789" s="4">
        <f>AB789^2</f>
        <v/>
      </c>
    </row>
    <row r="790">
      <c r="A790" t="inlineStr">
        <is>
          <t>BBG009T0TKV8</t>
        </is>
      </c>
      <c r="B790" t="inlineStr">
        <is>
          <t>sgry</t>
        </is>
      </c>
      <c r="C790" s="9" t="n">
        <v>-0.001258418055934962</v>
      </c>
      <c r="D790" s="3">
        <f>EXP(0.25*'3b-d Exposures'!G962)</f>
        <v/>
      </c>
      <c r="E790" s="3">
        <f>IF('3b-d Exposures'!C962="",0,'3b-d Exposures'!C962)</f>
        <v/>
      </c>
      <c r="F790" s="3">
        <f>IF('3b-d Exposures'!E962="",0,'3b-d Exposures'!E962)</f>
        <v/>
      </c>
      <c r="G790" s="3">
        <f>IF('3b-d Exposures'!G962="",0,'3b-d Exposures'!G962)</f>
        <v/>
      </c>
      <c r="H790" s="3">
        <f>IF('3b-d Exposures'!I962="",0,'3b-d Exposures'!I962)</f>
        <v/>
      </c>
      <c r="I790" s="3">
        <f>IF('3b-d Exposures'!K962="",0,'3b-d Exposures'!K962)</f>
        <v/>
      </c>
      <c r="J790" s="3">
        <f>IF('3b-d Exposures'!M962="",0,'3b-d Exposures'!M962)</f>
        <v/>
      </c>
      <c r="K790" s="3">
        <f>IF('3b-d Exposures'!O962="",0,'3b-d Exposures'!O962)</f>
        <v/>
      </c>
      <c r="L790" s="3">
        <f>IF('3b-d Exposures'!Q962="",0,'3b-d Exposures'!Q962)</f>
        <v/>
      </c>
      <c r="M790" s="3">
        <f>IF('3b-d Exposures'!S962="",0,'3b-d Exposures'!S962)</f>
        <v/>
      </c>
      <c r="N790" s="3">
        <f>IF('3b-d Exposures'!Z962="",0,'3b-d Exposures'!Z962)</f>
        <v/>
      </c>
      <c r="O790" s="3">
        <f>$D790</f>
        <v/>
      </c>
      <c r="P790" s="3">
        <f>E790*$D790</f>
        <v/>
      </c>
      <c r="Q790" s="3">
        <f>F790*$D790</f>
        <v/>
      </c>
      <c r="R790" s="3">
        <f>G790*$D790</f>
        <v/>
      </c>
      <c r="S790" s="3">
        <f>H790*$D790</f>
        <v/>
      </c>
      <c r="T790" s="3">
        <f>I790*$D790</f>
        <v/>
      </c>
      <c r="U790" s="3">
        <f>J790*$D790</f>
        <v/>
      </c>
      <c r="V790" s="3">
        <f>K790*$D790</f>
        <v/>
      </c>
      <c r="W790" s="3">
        <f>L790*$D790</f>
        <v/>
      </c>
      <c r="X790" s="3">
        <f>M790*$D790</f>
        <v/>
      </c>
      <c r="Y790" s="3">
        <f>N790*$D790</f>
        <v/>
      </c>
      <c r="Z790" s="3">
        <f>C790*$D790</f>
        <v/>
      </c>
      <c r="AA790" s="9">
        <f>$L978+$K978*E790+$J978*F790+$I978*G790+$H978*H790+$G978*I790+$F978*J790+$E978*K790+$D978*L790+$C978*M790+$B978*N790</f>
        <v/>
      </c>
      <c r="AB790" s="9">
        <f>C790-AA790</f>
        <v/>
      </c>
      <c r="AC790" s="4">
        <f>AB790^2</f>
        <v/>
      </c>
    </row>
    <row r="791">
      <c r="A791" t="inlineStr">
        <is>
          <t>BBG008LZG0Z5</t>
        </is>
      </c>
      <c r="B791" t="inlineStr">
        <is>
          <t>shc</t>
        </is>
      </c>
      <c r="C791" s="9" t="n">
        <v>0.006074405713182518</v>
      </c>
      <c r="D791" s="3">
        <f>EXP(0.25*'3b-d Exposures'!G963)</f>
        <v/>
      </c>
      <c r="E791" s="3">
        <f>IF('3b-d Exposures'!C963="",0,'3b-d Exposures'!C963)</f>
        <v/>
      </c>
      <c r="F791" s="3">
        <f>IF('3b-d Exposures'!E963="",0,'3b-d Exposures'!E963)</f>
        <v/>
      </c>
      <c r="G791" s="3">
        <f>IF('3b-d Exposures'!G963="",0,'3b-d Exposures'!G963)</f>
        <v/>
      </c>
      <c r="H791" s="3">
        <f>IF('3b-d Exposures'!I963="",0,'3b-d Exposures'!I963)</f>
        <v/>
      </c>
      <c r="I791" s="3">
        <f>IF('3b-d Exposures'!K963="",0,'3b-d Exposures'!K963)</f>
        <v/>
      </c>
      <c r="J791" s="3">
        <f>IF('3b-d Exposures'!M963="",0,'3b-d Exposures'!M963)</f>
        <v/>
      </c>
      <c r="K791" s="3">
        <f>IF('3b-d Exposures'!O963="",0,'3b-d Exposures'!O963)</f>
        <v/>
      </c>
      <c r="L791" s="3">
        <f>IF('3b-d Exposures'!Q963="",0,'3b-d Exposures'!Q963)</f>
        <v/>
      </c>
      <c r="M791" s="3">
        <f>IF('3b-d Exposures'!S963="",0,'3b-d Exposures'!S963)</f>
        <v/>
      </c>
      <c r="N791" s="3">
        <f>IF('3b-d Exposures'!Z963="",0,'3b-d Exposures'!Z963)</f>
        <v/>
      </c>
      <c r="O791" s="3">
        <f>$D791</f>
        <v/>
      </c>
      <c r="P791" s="3">
        <f>E791*$D791</f>
        <v/>
      </c>
      <c r="Q791" s="3">
        <f>F791*$D791</f>
        <v/>
      </c>
      <c r="R791" s="3">
        <f>G791*$D791</f>
        <v/>
      </c>
      <c r="S791" s="3">
        <f>H791*$D791</f>
        <v/>
      </c>
      <c r="T791" s="3">
        <f>I791*$D791</f>
        <v/>
      </c>
      <c r="U791" s="3">
        <f>J791*$D791</f>
        <v/>
      </c>
      <c r="V791" s="3">
        <f>K791*$D791</f>
        <v/>
      </c>
      <c r="W791" s="3">
        <f>L791*$D791</f>
        <v/>
      </c>
      <c r="X791" s="3">
        <f>M791*$D791</f>
        <v/>
      </c>
      <c r="Y791" s="3">
        <f>N791*$D791</f>
        <v/>
      </c>
      <c r="Z791" s="3">
        <f>C791*$D791</f>
        <v/>
      </c>
      <c r="AA791" s="9">
        <f>$L978+$K978*E791+$J978*F791+$I978*G791+$H978*H791+$G978*I791+$F978*J791+$E978*K791+$D978*L791+$C978*M791+$B978*N791</f>
        <v/>
      </c>
      <c r="AB791" s="9">
        <f>C791-AA791</f>
        <v/>
      </c>
      <c r="AC791" s="4">
        <f>AB791^2</f>
        <v/>
      </c>
    </row>
    <row r="792">
      <c r="A792" t="inlineStr">
        <is>
          <t>BBG000Q3TSJ1</t>
        </is>
      </c>
      <c r="B792" t="inlineStr">
        <is>
          <t>sho</t>
        </is>
      </c>
      <c r="C792" s="9" t="n">
        <v>0.001860557440473976</v>
      </c>
      <c r="D792" s="3">
        <f>EXP(0.25*'3b-d Exposures'!G966)</f>
        <v/>
      </c>
      <c r="E792" s="3">
        <f>IF('3b-d Exposures'!C966="",0,'3b-d Exposures'!C966)</f>
        <v/>
      </c>
      <c r="F792" s="3">
        <f>IF('3b-d Exposures'!E966="",0,'3b-d Exposures'!E966)</f>
        <v/>
      </c>
      <c r="G792" s="3">
        <f>IF('3b-d Exposures'!G966="",0,'3b-d Exposures'!G966)</f>
        <v/>
      </c>
      <c r="H792" s="3">
        <f>IF('3b-d Exposures'!I966="",0,'3b-d Exposures'!I966)</f>
        <v/>
      </c>
      <c r="I792" s="3">
        <f>IF('3b-d Exposures'!K966="",0,'3b-d Exposures'!K966)</f>
        <v/>
      </c>
      <c r="J792" s="3">
        <f>IF('3b-d Exposures'!M966="",0,'3b-d Exposures'!M966)</f>
        <v/>
      </c>
      <c r="K792" s="3">
        <f>IF('3b-d Exposures'!O966="",0,'3b-d Exposures'!O966)</f>
        <v/>
      </c>
      <c r="L792" s="3">
        <f>IF('3b-d Exposures'!Q966="",0,'3b-d Exposures'!Q966)</f>
        <v/>
      </c>
      <c r="M792" s="3">
        <f>IF('3b-d Exposures'!S966="",0,'3b-d Exposures'!S966)</f>
        <v/>
      </c>
      <c r="N792" s="3">
        <f>IF('3b-d Exposures'!Z966="",0,'3b-d Exposures'!Z966)</f>
        <v/>
      </c>
      <c r="O792" s="3">
        <f>$D792</f>
        <v/>
      </c>
      <c r="P792" s="3">
        <f>E792*$D792</f>
        <v/>
      </c>
      <c r="Q792" s="3">
        <f>F792*$D792</f>
        <v/>
      </c>
      <c r="R792" s="3">
        <f>G792*$D792</f>
        <v/>
      </c>
      <c r="S792" s="3">
        <f>H792*$D792</f>
        <v/>
      </c>
      <c r="T792" s="3">
        <f>I792*$D792</f>
        <v/>
      </c>
      <c r="U792" s="3">
        <f>J792*$D792</f>
        <v/>
      </c>
      <c r="V792" s="3">
        <f>K792*$D792</f>
        <v/>
      </c>
      <c r="W792" s="3">
        <f>L792*$D792</f>
        <v/>
      </c>
      <c r="X792" s="3">
        <f>M792*$D792</f>
        <v/>
      </c>
      <c r="Y792" s="3">
        <f>N792*$D792</f>
        <v/>
      </c>
      <c r="Z792" s="3">
        <f>C792*$D792</f>
        <v/>
      </c>
      <c r="AA792" s="9">
        <f>$L978+$K978*E792+$J978*F792+$I978*G792+$H978*H792+$G978*I792+$F978*J792+$E978*K792+$D978*L792+$C978*M792+$B978*N792</f>
        <v/>
      </c>
      <c r="AB792" s="9">
        <f>C792-AA792</f>
        <v/>
      </c>
      <c r="AC792" s="4">
        <f>AB792^2</f>
        <v/>
      </c>
    </row>
    <row r="793">
      <c r="A793" t="inlineStr">
        <is>
          <t>BBG000BSXQV7</t>
        </is>
      </c>
      <c r="B793" t="inlineStr">
        <is>
          <t>shw</t>
        </is>
      </c>
      <c r="C793" s="9" t="n">
        <v>-0.004579749873163119</v>
      </c>
      <c r="D793" s="3">
        <f>EXP(0.25*'3b-d Exposures'!G968)</f>
        <v/>
      </c>
      <c r="E793" s="3">
        <f>IF('3b-d Exposures'!C968="",0,'3b-d Exposures'!C968)</f>
        <v/>
      </c>
      <c r="F793" s="3">
        <f>IF('3b-d Exposures'!E968="",0,'3b-d Exposures'!E968)</f>
        <v/>
      </c>
      <c r="G793" s="3">
        <f>IF('3b-d Exposures'!G968="",0,'3b-d Exposures'!G968)</f>
        <v/>
      </c>
      <c r="H793" s="3">
        <f>IF('3b-d Exposures'!I968="",0,'3b-d Exposures'!I968)</f>
        <v/>
      </c>
      <c r="I793" s="3">
        <f>IF('3b-d Exposures'!K968="",0,'3b-d Exposures'!K968)</f>
        <v/>
      </c>
      <c r="J793" s="3">
        <f>IF('3b-d Exposures'!M968="",0,'3b-d Exposures'!M968)</f>
        <v/>
      </c>
      <c r="K793" s="3">
        <f>IF('3b-d Exposures'!O968="",0,'3b-d Exposures'!O968)</f>
        <v/>
      </c>
      <c r="L793" s="3">
        <f>IF('3b-d Exposures'!Q968="",0,'3b-d Exposures'!Q968)</f>
        <v/>
      </c>
      <c r="M793" s="3">
        <f>IF('3b-d Exposures'!S968="",0,'3b-d Exposures'!S968)</f>
        <v/>
      </c>
      <c r="N793" s="3">
        <f>IF('3b-d Exposures'!Z968="",0,'3b-d Exposures'!Z968)</f>
        <v/>
      </c>
      <c r="O793" s="3">
        <f>$D793</f>
        <v/>
      </c>
      <c r="P793" s="3">
        <f>E793*$D793</f>
        <v/>
      </c>
      <c r="Q793" s="3">
        <f>F793*$D793</f>
        <v/>
      </c>
      <c r="R793" s="3">
        <f>G793*$D793</f>
        <v/>
      </c>
      <c r="S793" s="3">
        <f>H793*$D793</f>
        <v/>
      </c>
      <c r="T793" s="3">
        <f>I793*$D793</f>
        <v/>
      </c>
      <c r="U793" s="3">
        <f>J793*$D793</f>
        <v/>
      </c>
      <c r="V793" s="3">
        <f>K793*$D793</f>
        <v/>
      </c>
      <c r="W793" s="3">
        <f>L793*$D793</f>
        <v/>
      </c>
      <c r="X793" s="3">
        <f>M793*$D793</f>
        <v/>
      </c>
      <c r="Y793" s="3">
        <f>N793*$D793</f>
        <v/>
      </c>
      <c r="Z793" s="3">
        <f>C793*$D793</f>
        <v/>
      </c>
      <c r="AA793" s="9">
        <f>$L978+$K978*E793+$J978*F793+$I978*G793+$H978*H793+$G978*I793+$F978*J793+$E978*K793+$D978*L793+$C978*M793+$B978*N793</f>
        <v/>
      </c>
      <c r="AB793" s="9">
        <f>C793-AA793</f>
        <v/>
      </c>
      <c r="AC793" s="4">
        <f>AB793^2</f>
        <v/>
      </c>
    </row>
    <row r="794">
      <c r="A794" t="inlineStr">
        <is>
          <t>BBG000GT7XY1</t>
        </is>
      </c>
      <c r="B794" t="inlineStr">
        <is>
          <t>simo</t>
        </is>
      </c>
      <c r="C794" s="9" t="n">
        <v>0.01658185201664564</v>
      </c>
      <c r="D794" s="3">
        <f>EXP(0.25*'3b-d Exposures'!G969)</f>
        <v/>
      </c>
      <c r="E794" s="3">
        <f>IF('3b-d Exposures'!C969="",0,'3b-d Exposures'!C969)</f>
        <v/>
      </c>
      <c r="F794" s="3">
        <f>IF('3b-d Exposures'!E969="",0,'3b-d Exposures'!E969)</f>
        <v/>
      </c>
      <c r="G794" s="3">
        <f>IF('3b-d Exposures'!G969="",0,'3b-d Exposures'!G969)</f>
        <v/>
      </c>
      <c r="H794" s="3">
        <f>IF('3b-d Exposures'!I969="",0,'3b-d Exposures'!I969)</f>
        <v/>
      </c>
      <c r="I794" s="3">
        <f>IF('3b-d Exposures'!K969="",0,'3b-d Exposures'!K969)</f>
        <v/>
      </c>
      <c r="J794" s="3">
        <f>IF('3b-d Exposures'!M969="",0,'3b-d Exposures'!M969)</f>
        <v/>
      </c>
      <c r="K794" s="3">
        <f>IF('3b-d Exposures'!O969="",0,'3b-d Exposures'!O969)</f>
        <v/>
      </c>
      <c r="L794" s="3">
        <f>IF('3b-d Exposures'!Q969="",0,'3b-d Exposures'!Q969)</f>
        <v/>
      </c>
      <c r="M794" s="3">
        <f>IF('3b-d Exposures'!S969="",0,'3b-d Exposures'!S969)</f>
        <v/>
      </c>
      <c r="N794" s="3">
        <f>IF('3b-d Exposures'!Z969="",0,'3b-d Exposures'!Z969)</f>
        <v/>
      </c>
      <c r="O794" s="3">
        <f>$D794</f>
        <v/>
      </c>
      <c r="P794" s="3">
        <f>E794*$D794</f>
        <v/>
      </c>
      <c r="Q794" s="3">
        <f>F794*$D794</f>
        <v/>
      </c>
      <c r="R794" s="3">
        <f>G794*$D794</f>
        <v/>
      </c>
      <c r="S794" s="3">
        <f>H794*$D794</f>
        <v/>
      </c>
      <c r="T794" s="3">
        <f>I794*$D794</f>
        <v/>
      </c>
      <c r="U794" s="3">
        <f>J794*$D794</f>
        <v/>
      </c>
      <c r="V794" s="3">
        <f>K794*$D794</f>
        <v/>
      </c>
      <c r="W794" s="3">
        <f>L794*$D794</f>
        <v/>
      </c>
      <c r="X794" s="3">
        <f>M794*$D794</f>
        <v/>
      </c>
      <c r="Y794" s="3">
        <f>N794*$D794</f>
        <v/>
      </c>
      <c r="Z794" s="3">
        <f>C794*$D794</f>
        <v/>
      </c>
      <c r="AA794" s="9">
        <f>$L978+$K978*E794+$J978*F794+$I978*G794+$H978*H794+$G978*I794+$F978*J794+$E978*K794+$D978*L794+$C978*M794+$B978*N794</f>
        <v/>
      </c>
      <c r="AB794" s="9">
        <f>C794-AA794</f>
        <v/>
      </c>
      <c r="AC794" s="4">
        <f>AB794^2</f>
        <v/>
      </c>
    </row>
    <row r="795">
      <c r="A795" t="inlineStr">
        <is>
          <t>BBG000BGZ832</t>
        </is>
      </c>
      <c r="B795" t="inlineStr">
        <is>
          <t>sitc</t>
        </is>
      </c>
      <c r="C795" s="9" t="n">
        <v>0.01159788708857912</v>
      </c>
      <c r="D795" s="3">
        <f>EXP(0.25*'3b-d Exposures'!G970)</f>
        <v/>
      </c>
      <c r="E795" s="3">
        <f>IF('3b-d Exposures'!C970="",0,'3b-d Exposures'!C970)</f>
        <v/>
      </c>
      <c r="F795" s="3">
        <f>IF('3b-d Exposures'!E970="",0,'3b-d Exposures'!E970)</f>
        <v/>
      </c>
      <c r="G795" s="3">
        <f>IF('3b-d Exposures'!G970="",0,'3b-d Exposures'!G970)</f>
        <v/>
      </c>
      <c r="H795" s="3">
        <f>IF('3b-d Exposures'!I970="",0,'3b-d Exposures'!I970)</f>
        <v/>
      </c>
      <c r="I795" s="3">
        <f>IF('3b-d Exposures'!K970="",0,'3b-d Exposures'!K970)</f>
        <v/>
      </c>
      <c r="J795" s="3">
        <f>IF('3b-d Exposures'!M970="",0,'3b-d Exposures'!M970)</f>
        <v/>
      </c>
      <c r="K795" s="3">
        <f>IF('3b-d Exposures'!O970="",0,'3b-d Exposures'!O970)</f>
        <v/>
      </c>
      <c r="L795" s="3">
        <f>IF('3b-d Exposures'!Q970="",0,'3b-d Exposures'!Q970)</f>
        <v/>
      </c>
      <c r="M795" s="3">
        <f>IF('3b-d Exposures'!S970="",0,'3b-d Exposures'!S970)</f>
        <v/>
      </c>
      <c r="N795" s="3">
        <f>IF('3b-d Exposures'!Z970="",0,'3b-d Exposures'!Z970)</f>
        <v/>
      </c>
      <c r="O795" s="3">
        <f>$D795</f>
        <v/>
      </c>
      <c r="P795" s="3">
        <f>E795*$D795</f>
        <v/>
      </c>
      <c r="Q795" s="3">
        <f>F795*$D795</f>
        <v/>
      </c>
      <c r="R795" s="3">
        <f>G795*$D795</f>
        <v/>
      </c>
      <c r="S795" s="3">
        <f>H795*$D795</f>
        <v/>
      </c>
      <c r="T795" s="3">
        <f>I795*$D795</f>
        <v/>
      </c>
      <c r="U795" s="3">
        <f>J795*$D795</f>
        <v/>
      </c>
      <c r="V795" s="3">
        <f>K795*$D795</f>
        <v/>
      </c>
      <c r="W795" s="3">
        <f>L795*$D795</f>
        <v/>
      </c>
      <c r="X795" s="3">
        <f>M795*$D795</f>
        <v/>
      </c>
      <c r="Y795" s="3">
        <f>N795*$D795</f>
        <v/>
      </c>
      <c r="Z795" s="3">
        <f>C795*$D795</f>
        <v/>
      </c>
      <c r="AA795" s="9">
        <f>$L978+$K978*E795+$J978*F795+$I978*G795+$H978*H795+$G978*I795+$F978*J795+$E978*K795+$D978*L795+$C978*M795+$B978*N795</f>
        <v/>
      </c>
      <c r="AB795" s="9">
        <f>C795-AA795</f>
        <v/>
      </c>
      <c r="AC795" s="4">
        <f>AB795^2</f>
        <v/>
      </c>
    </row>
    <row r="796">
      <c r="A796" t="inlineStr">
        <is>
          <t>BBG000BT1715</t>
        </is>
      </c>
      <c r="B796" t="inlineStr">
        <is>
          <t>sjm</t>
        </is>
      </c>
      <c r="C796" s="9" t="n">
        <v>0.01519660926012989</v>
      </c>
      <c r="D796" s="3">
        <f>EXP(0.25*'3b-d Exposures'!G971)</f>
        <v/>
      </c>
      <c r="E796" s="3">
        <f>IF('3b-d Exposures'!C971="",0,'3b-d Exposures'!C971)</f>
        <v/>
      </c>
      <c r="F796" s="3">
        <f>IF('3b-d Exposures'!E971="",0,'3b-d Exposures'!E971)</f>
        <v/>
      </c>
      <c r="G796" s="3">
        <f>IF('3b-d Exposures'!G971="",0,'3b-d Exposures'!G971)</f>
        <v/>
      </c>
      <c r="H796" s="3">
        <f>IF('3b-d Exposures'!I971="",0,'3b-d Exposures'!I971)</f>
        <v/>
      </c>
      <c r="I796" s="3">
        <f>IF('3b-d Exposures'!K971="",0,'3b-d Exposures'!K971)</f>
        <v/>
      </c>
      <c r="J796" s="3">
        <f>IF('3b-d Exposures'!M971="",0,'3b-d Exposures'!M971)</f>
        <v/>
      </c>
      <c r="K796" s="3">
        <f>IF('3b-d Exposures'!O971="",0,'3b-d Exposures'!O971)</f>
        <v/>
      </c>
      <c r="L796" s="3">
        <f>IF('3b-d Exposures'!Q971="",0,'3b-d Exposures'!Q971)</f>
        <v/>
      </c>
      <c r="M796" s="3">
        <f>IF('3b-d Exposures'!S971="",0,'3b-d Exposures'!S971)</f>
        <v/>
      </c>
      <c r="N796" s="3">
        <f>IF('3b-d Exposures'!Z971="",0,'3b-d Exposures'!Z971)</f>
        <v/>
      </c>
      <c r="O796" s="3">
        <f>$D796</f>
        <v/>
      </c>
      <c r="P796" s="3">
        <f>E796*$D796</f>
        <v/>
      </c>
      <c r="Q796" s="3">
        <f>F796*$D796</f>
        <v/>
      </c>
      <c r="R796" s="3">
        <f>G796*$D796</f>
        <v/>
      </c>
      <c r="S796" s="3">
        <f>H796*$D796</f>
        <v/>
      </c>
      <c r="T796" s="3">
        <f>I796*$D796</f>
        <v/>
      </c>
      <c r="U796" s="3">
        <f>J796*$D796</f>
        <v/>
      </c>
      <c r="V796" s="3">
        <f>K796*$D796</f>
        <v/>
      </c>
      <c r="W796" s="3">
        <f>L796*$D796</f>
        <v/>
      </c>
      <c r="X796" s="3">
        <f>M796*$D796</f>
        <v/>
      </c>
      <c r="Y796" s="3">
        <f>N796*$D796</f>
        <v/>
      </c>
      <c r="Z796" s="3">
        <f>C796*$D796</f>
        <v/>
      </c>
      <c r="AA796" s="9">
        <f>$L978+$K978*E796+$J978*F796+$I978*G796+$H978*H796+$G978*I796+$F978*J796+$E978*K796+$D978*L796+$C978*M796+$B978*N796</f>
        <v/>
      </c>
      <c r="AB796" s="9">
        <f>C796-AA796</f>
        <v/>
      </c>
      <c r="AC796" s="4">
        <f>AB796^2</f>
        <v/>
      </c>
    </row>
    <row r="797">
      <c r="A797" t="inlineStr">
        <is>
          <t>BBG000BT41Q8</t>
        </is>
      </c>
      <c r="B797" t="inlineStr">
        <is>
          <t>slb</t>
        </is>
      </c>
      <c r="C797" s="9" t="n">
        <v>-0.007055000826177604</v>
      </c>
      <c r="D797" s="3">
        <f>EXP(0.25*'3b-d Exposures'!G972)</f>
        <v/>
      </c>
      <c r="E797" s="3">
        <f>IF('3b-d Exposures'!C972="",0,'3b-d Exposures'!C972)</f>
        <v/>
      </c>
      <c r="F797" s="3">
        <f>IF('3b-d Exposures'!E972="",0,'3b-d Exposures'!E972)</f>
        <v/>
      </c>
      <c r="G797" s="3">
        <f>IF('3b-d Exposures'!G972="",0,'3b-d Exposures'!G972)</f>
        <v/>
      </c>
      <c r="H797" s="3">
        <f>IF('3b-d Exposures'!I972="",0,'3b-d Exposures'!I972)</f>
        <v/>
      </c>
      <c r="I797" s="3">
        <f>IF('3b-d Exposures'!K972="",0,'3b-d Exposures'!K972)</f>
        <v/>
      </c>
      <c r="J797" s="3">
        <f>IF('3b-d Exposures'!M972="",0,'3b-d Exposures'!M972)</f>
        <v/>
      </c>
      <c r="K797" s="3">
        <f>IF('3b-d Exposures'!O972="",0,'3b-d Exposures'!O972)</f>
        <v/>
      </c>
      <c r="L797" s="3">
        <f>IF('3b-d Exposures'!Q972="",0,'3b-d Exposures'!Q972)</f>
        <v/>
      </c>
      <c r="M797" s="3">
        <f>IF('3b-d Exposures'!S972="",0,'3b-d Exposures'!S972)</f>
        <v/>
      </c>
      <c r="N797" s="3">
        <f>IF('3b-d Exposures'!Z972="",0,'3b-d Exposures'!Z972)</f>
        <v/>
      </c>
      <c r="O797" s="3">
        <f>$D797</f>
        <v/>
      </c>
      <c r="P797" s="3">
        <f>E797*$D797</f>
        <v/>
      </c>
      <c r="Q797" s="3">
        <f>F797*$D797</f>
        <v/>
      </c>
      <c r="R797" s="3">
        <f>G797*$D797</f>
        <v/>
      </c>
      <c r="S797" s="3">
        <f>H797*$D797</f>
        <v/>
      </c>
      <c r="T797" s="3">
        <f>I797*$D797</f>
        <v/>
      </c>
      <c r="U797" s="3">
        <f>J797*$D797</f>
        <v/>
      </c>
      <c r="V797" s="3">
        <f>K797*$D797</f>
        <v/>
      </c>
      <c r="W797" s="3">
        <f>L797*$D797</f>
        <v/>
      </c>
      <c r="X797" s="3">
        <f>M797*$D797</f>
        <v/>
      </c>
      <c r="Y797" s="3">
        <f>N797*$D797</f>
        <v/>
      </c>
      <c r="Z797" s="3">
        <f>C797*$D797</f>
        <v/>
      </c>
      <c r="AA797" s="9">
        <f>$L978+$K978*E797+$J978*F797+$I978*G797+$H978*H797+$G978*I797+$F978*J797+$E978*K797+$D978*L797+$C978*M797+$B978*N797</f>
        <v/>
      </c>
      <c r="AB797" s="9">
        <f>C797-AA797</f>
        <v/>
      </c>
      <c r="AC797" s="4">
        <f>AB797^2</f>
        <v/>
      </c>
    </row>
    <row r="798">
      <c r="A798" t="inlineStr">
        <is>
          <t>BBG0112HCSY4</t>
        </is>
      </c>
      <c r="B798" t="inlineStr">
        <is>
          <t>sldp</t>
        </is>
      </c>
      <c r="C798" s="9" t="n">
        <v>0.01724136336379845</v>
      </c>
      <c r="D798" s="3">
        <f>EXP(0.25*'3b-d Exposures'!G974)</f>
        <v/>
      </c>
      <c r="E798" s="3">
        <f>IF('3b-d Exposures'!C974="",0,'3b-d Exposures'!C974)</f>
        <v/>
      </c>
      <c r="F798" s="3">
        <f>IF('3b-d Exposures'!E974="",0,'3b-d Exposures'!E974)</f>
        <v/>
      </c>
      <c r="G798" s="3">
        <f>IF('3b-d Exposures'!G974="",0,'3b-d Exposures'!G974)</f>
        <v/>
      </c>
      <c r="H798" s="3">
        <f>IF('3b-d Exposures'!I974="",0,'3b-d Exposures'!I974)</f>
        <v/>
      </c>
      <c r="I798" s="3">
        <f>IF('3b-d Exposures'!K974="",0,'3b-d Exposures'!K974)</f>
        <v/>
      </c>
      <c r="J798" s="3">
        <f>IF('3b-d Exposures'!M974="",0,'3b-d Exposures'!M974)</f>
        <v/>
      </c>
      <c r="K798" s="3">
        <f>IF('3b-d Exposures'!O974="",0,'3b-d Exposures'!O974)</f>
        <v/>
      </c>
      <c r="L798" s="3">
        <f>IF('3b-d Exposures'!Q974="",0,'3b-d Exposures'!Q974)</f>
        <v/>
      </c>
      <c r="M798" s="3">
        <f>IF('3b-d Exposures'!S974="",0,'3b-d Exposures'!S974)</f>
        <v/>
      </c>
      <c r="N798" s="3">
        <f>IF('3b-d Exposures'!Z974="",0,'3b-d Exposures'!Z974)</f>
        <v/>
      </c>
      <c r="O798" s="3">
        <f>$D798</f>
        <v/>
      </c>
      <c r="P798" s="3">
        <f>E798*$D798</f>
        <v/>
      </c>
      <c r="Q798" s="3">
        <f>F798*$D798</f>
        <v/>
      </c>
      <c r="R798" s="3">
        <f>G798*$D798</f>
        <v/>
      </c>
      <c r="S798" s="3">
        <f>H798*$D798</f>
        <v/>
      </c>
      <c r="T798" s="3">
        <f>I798*$D798</f>
        <v/>
      </c>
      <c r="U798" s="3">
        <f>J798*$D798</f>
        <v/>
      </c>
      <c r="V798" s="3">
        <f>K798*$D798</f>
        <v/>
      </c>
      <c r="W798" s="3">
        <f>L798*$D798</f>
        <v/>
      </c>
      <c r="X798" s="3">
        <f>M798*$D798</f>
        <v/>
      </c>
      <c r="Y798" s="3">
        <f>N798*$D798</f>
        <v/>
      </c>
      <c r="Z798" s="3">
        <f>C798*$D798</f>
        <v/>
      </c>
      <c r="AA798" s="9">
        <f>$L978+$K978*E798+$J978*F798+$I978*G798+$H978*H798+$G978*I798+$F978*J798+$E978*K798+$D978*L798+$C978*M798+$B978*N798</f>
        <v/>
      </c>
      <c r="AB798" s="9">
        <f>C798-AA798</f>
        <v/>
      </c>
      <c r="AC798" s="4">
        <f>AB798^2</f>
        <v/>
      </c>
    </row>
    <row r="799">
      <c r="A799" t="inlineStr">
        <is>
          <t>BBG000BBCQD7</t>
        </is>
      </c>
      <c r="B799" t="inlineStr">
        <is>
          <t>slm</t>
        </is>
      </c>
      <c r="C799" s="9" t="n">
        <v>-0.0299489963179792</v>
      </c>
      <c r="D799" s="3">
        <f>EXP(0.25*'3b-d Exposures'!G975)</f>
        <v/>
      </c>
      <c r="E799" s="3">
        <f>IF('3b-d Exposures'!C975="",0,'3b-d Exposures'!C975)</f>
        <v/>
      </c>
      <c r="F799" s="3">
        <f>IF('3b-d Exposures'!E975="",0,'3b-d Exposures'!E975)</f>
        <v/>
      </c>
      <c r="G799" s="3">
        <f>IF('3b-d Exposures'!G975="",0,'3b-d Exposures'!G975)</f>
        <v/>
      </c>
      <c r="H799" s="3">
        <f>IF('3b-d Exposures'!I975="",0,'3b-d Exposures'!I975)</f>
        <v/>
      </c>
      <c r="I799" s="3">
        <f>IF('3b-d Exposures'!K975="",0,'3b-d Exposures'!K975)</f>
        <v/>
      </c>
      <c r="J799" s="3">
        <f>IF('3b-d Exposures'!M975="",0,'3b-d Exposures'!M975)</f>
        <v/>
      </c>
      <c r="K799" s="3">
        <f>IF('3b-d Exposures'!O975="",0,'3b-d Exposures'!O975)</f>
        <v/>
      </c>
      <c r="L799" s="3">
        <f>IF('3b-d Exposures'!Q975="",0,'3b-d Exposures'!Q975)</f>
        <v/>
      </c>
      <c r="M799" s="3">
        <f>IF('3b-d Exposures'!S975="",0,'3b-d Exposures'!S975)</f>
        <v/>
      </c>
      <c r="N799" s="3">
        <f>IF('3b-d Exposures'!Z975="",0,'3b-d Exposures'!Z975)</f>
        <v/>
      </c>
      <c r="O799" s="3">
        <f>$D799</f>
        <v/>
      </c>
      <c r="P799" s="3">
        <f>E799*$D799</f>
        <v/>
      </c>
      <c r="Q799" s="3">
        <f>F799*$D799</f>
        <v/>
      </c>
      <c r="R799" s="3">
        <f>G799*$D799</f>
        <v/>
      </c>
      <c r="S799" s="3">
        <f>H799*$D799</f>
        <v/>
      </c>
      <c r="T799" s="3">
        <f>I799*$D799</f>
        <v/>
      </c>
      <c r="U799" s="3">
        <f>J799*$D799</f>
        <v/>
      </c>
      <c r="V799" s="3">
        <f>K799*$D799</f>
        <v/>
      </c>
      <c r="W799" s="3">
        <f>L799*$D799</f>
        <v/>
      </c>
      <c r="X799" s="3">
        <f>M799*$D799</f>
        <v/>
      </c>
      <c r="Y799" s="3">
        <f>N799*$D799</f>
        <v/>
      </c>
      <c r="Z799" s="3">
        <f>C799*$D799</f>
        <v/>
      </c>
      <c r="AA799" s="9">
        <f>$L978+$K978*E799+$J978*F799+$I978*G799+$H978*H799+$G978*I799+$F978*J799+$E978*K799+$D978*L799+$C978*M799+$B978*N799</f>
        <v/>
      </c>
      <c r="AB799" s="9">
        <f>C799-AA799</f>
        <v/>
      </c>
      <c r="AC799" s="4">
        <f>AB799^2</f>
        <v/>
      </c>
    </row>
    <row r="800">
      <c r="A800" t="inlineStr">
        <is>
          <t>BBG000GTP1B6</t>
        </is>
      </c>
      <c r="B800" t="inlineStr">
        <is>
          <t>slqt</t>
        </is>
      </c>
      <c r="C800" s="9" t="n">
        <v>0.006688956810275259</v>
      </c>
      <c r="D800" s="3">
        <f>EXP(0.25*'3b-d Exposures'!G976)</f>
        <v/>
      </c>
      <c r="E800" s="3">
        <f>IF('3b-d Exposures'!C976="",0,'3b-d Exposures'!C976)</f>
        <v/>
      </c>
      <c r="F800" s="3">
        <f>IF('3b-d Exposures'!E976="",0,'3b-d Exposures'!E976)</f>
        <v/>
      </c>
      <c r="G800" s="3">
        <f>IF('3b-d Exposures'!G976="",0,'3b-d Exposures'!G976)</f>
        <v/>
      </c>
      <c r="H800" s="3">
        <f>IF('3b-d Exposures'!I976="",0,'3b-d Exposures'!I976)</f>
        <v/>
      </c>
      <c r="I800" s="3">
        <f>IF('3b-d Exposures'!K976="",0,'3b-d Exposures'!K976)</f>
        <v/>
      </c>
      <c r="J800" s="3">
        <f>IF('3b-d Exposures'!M976="",0,'3b-d Exposures'!M976)</f>
        <v/>
      </c>
      <c r="K800" s="3">
        <f>IF('3b-d Exposures'!O976="",0,'3b-d Exposures'!O976)</f>
        <v/>
      </c>
      <c r="L800" s="3">
        <f>IF('3b-d Exposures'!Q976="",0,'3b-d Exposures'!Q976)</f>
        <v/>
      </c>
      <c r="M800" s="3">
        <f>IF('3b-d Exposures'!S976="",0,'3b-d Exposures'!S976)</f>
        <v/>
      </c>
      <c r="N800" s="3">
        <f>IF('3b-d Exposures'!Z976="",0,'3b-d Exposures'!Z976)</f>
        <v/>
      </c>
      <c r="O800" s="3">
        <f>$D800</f>
        <v/>
      </c>
      <c r="P800" s="3">
        <f>E800*$D800</f>
        <v/>
      </c>
      <c r="Q800" s="3">
        <f>F800*$D800</f>
        <v/>
      </c>
      <c r="R800" s="3">
        <f>G800*$D800</f>
        <v/>
      </c>
      <c r="S800" s="3">
        <f>H800*$D800</f>
        <v/>
      </c>
      <c r="T800" s="3">
        <f>I800*$D800</f>
        <v/>
      </c>
      <c r="U800" s="3">
        <f>J800*$D800</f>
        <v/>
      </c>
      <c r="V800" s="3">
        <f>K800*$D800</f>
        <v/>
      </c>
      <c r="W800" s="3">
        <f>L800*$D800</f>
        <v/>
      </c>
      <c r="X800" s="3">
        <f>M800*$D800</f>
        <v/>
      </c>
      <c r="Y800" s="3">
        <f>N800*$D800</f>
        <v/>
      </c>
      <c r="Z800" s="3">
        <f>C800*$D800</f>
        <v/>
      </c>
      <c r="AA800" s="9">
        <f>$L978+$K978*E800+$J978*F800+$I978*G800+$H978*H800+$G978*I800+$F978*J800+$E978*K800+$D978*L800+$C978*M800+$B978*N800</f>
        <v/>
      </c>
      <c r="AB800" s="9">
        <f>C800-AA800</f>
        <v/>
      </c>
      <c r="AC800" s="4">
        <f>AB800^2</f>
        <v/>
      </c>
    </row>
    <row r="801">
      <c r="A801" t="inlineStr">
        <is>
          <t>BBG000MYZDJ3</t>
        </is>
      </c>
      <c r="B801" t="inlineStr">
        <is>
          <t>smci</t>
        </is>
      </c>
      <c r="C801" s="9" t="n">
        <v>0.2867647299442053</v>
      </c>
      <c r="D801" s="3">
        <f>EXP(0.25*'3b-d Exposures'!G979)</f>
        <v/>
      </c>
      <c r="E801" s="3">
        <f>IF('3b-d Exposures'!C979="",0,'3b-d Exposures'!C979)</f>
        <v/>
      </c>
      <c r="F801" s="3">
        <f>IF('3b-d Exposures'!E979="",0,'3b-d Exposures'!E979)</f>
        <v/>
      </c>
      <c r="G801" s="3">
        <f>IF('3b-d Exposures'!G979="",0,'3b-d Exposures'!G979)</f>
        <v/>
      </c>
      <c r="H801" s="3">
        <f>IF('3b-d Exposures'!I979="",0,'3b-d Exposures'!I979)</f>
        <v/>
      </c>
      <c r="I801" s="3">
        <f>IF('3b-d Exposures'!K979="",0,'3b-d Exposures'!K979)</f>
        <v/>
      </c>
      <c r="J801" s="3">
        <f>IF('3b-d Exposures'!M979="",0,'3b-d Exposures'!M979)</f>
        <v/>
      </c>
      <c r="K801" s="3">
        <f>IF('3b-d Exposures'!O979="",0,'3b-d Exposures'!O979)</f>
        <v/>
      </c>
      <c r="L801" s="3">
        <f>IF('3b-d Exposures'!Q979="",0,'3b-d Exposures'!Q979)</f>
        <v/>
      </c>
      <c r="M801" s="3">
        <f>IF('3b-d Exposures'!S979="",0,'3b-d Exposures'!S979)</f>
        <v/>
      </c>
      <c r="N801" s="3">
        <f>IF('3b-d Exposures'!Z979="",0,'3b-d Exposures'!Z979)</f>
        <v/>
      </c>
      <c r="O801" s="3">
        <f>$D801</f>
        <v/>
      </c>
      <c r="P801" s="3">
        <f>E801*$D801</f>
        <v/>
      </c>
      <c r="Q801" s="3">
        <f>F801*$D801</f>
        <v/>
      </c>
      <c r="R801" s="3">
        <f>G801*$D801</f>
        <v/>
      </c>
      <c r="S801" s="3">
        <f>H801*$D801</f>
        <v/>
      </c>
      <c r="T801" s="3">
        <f>I801*$D801</f>
        <v/>
      </c>
      <c r="U801" s="3">
        <f>J801*$D801</f>
        <v/>
      </c>
      <c r="V801" s="3">
        <f>K801*$D801</f>
        <v/>
      </c>
      <c r="W801" s="3">
        <f>L801*$D801</f>
        <v/>
      </c>
      <c r="X801" s="3">
        <f>M801*$D801</f>
        <v/>
      </c>
      <c r="Y801" s="3">
        <f>N801*$D801</f>
        <v/>
      </c>
      <c r="Z801" s="3">
        <f>C801*$D801</f>
        <v/>
      </c>
      <c r="AA801" s="9">
        <f>$L978+$K978*E801+$J978*F801+$I978*G801+$H978*H801+$G978*I801+$F978*J801+$E978*K801+$D978*L801+$C978*M801+$B978*N801</f>
        <v/>
      </c>
      <c r="AB801" s="9">
        <f>C801-AA801</f>
        <v/>
      </c>
      <c r="AC801" s="4">
        <f>AB801^2</f>
        <v/>
      </c>
    </row>
    <row r="802">
      <c r="A802" t="inlineStr">
        <is>
          <t>BBG00YG48NM6</t>
        </is>
      </c>
      <c r="B802" t="inlineStr">
        <is>
          <t>smr</t>
        </is>
      </c>
      <c r="C802" s="9" t="n">
        <v>-0.08195616649037363</v>
      </c>
      <c r="D802" s="3">
        <f>EXP(0.25*'3b-d Exposures'!G980)</f>
        <v/>
      </c>
      <c r="E802" s="3">
        <f>IF('3b-d Exposures'!C980="",0,'3b-d Exposures'!C980)</f>
        <v/>
      </c>
      <c r="F802" s="3">
        <f>IF('3b-d Exposures'!E980="",0,'3b-d Exposures'!E980)</f>
        <v/>
      </c>
      <c r="G802" s="3">
        <f>IF('3b-d Exposures'!G980="",0,'3b-d Exposures'!G980)</f>
        <v/>
      </c>
      <c r="H802" s="3">
        <f>IF('3b-d Exposures'!I980="",0,'3b-d Exposures'!I980)</f>
        <v/>
      </c>
      <c r="I802" s="3">
        <f>IF('3b-d Exposures'!K980="",0,'3b-d Exposures'!K980)</f>
        <v/>
      </c>
      <c r="J802" s="3">
        <f>IF('3b-d Exposures'!M980="",0,'3b-d Exposures'!M980)</f>
        <v/>
      </c>
      <c r="K802" s="3">
        <f>IF('3b-d Exposures'!O980="",0,'3b-d Exposures'!O980)</f>
        <v/>
      </c>
      <c r="L802" s="3">
        <f>IF('3b-d Exposures'!Q980="",0,'3b-d Exposures'!Q980)</f>
        <v/>
      </c>
      <c r="M802" s="3">
        <f>IF('3b-d Exposures'!S980="",0,'3b-d Exposures'!S980)</f>
        <v/>
      </c>
      <c r="N802" s="3">
        <f>IF('3b-d Exposures'!Z980="",0,'3b-d Exposures'!Z980)</f>
        <v/>
      </c>
      <c r="O802" s="3">
        <f>$D802</f>
        <v/>
      </c>
      <c r="P802" s="3">
        <f>E802*$D802</f>
        <v/>
      </c>
      <c r="Q802" s="3">
        <f>F802*$D802</f>
        <v/>
      </c>
      <c r="R802" s="3">
        <f>G802*$D802</f>
        <v/>
      </c>
      <c r="S802" s="3">
        <f>H802*$D802</f>
        <v/>
      </c>
      <c r="T802" s="3">
        <f>I802*$D802</f>
        <v/>
      </c>
      <c r="U802" s="3">
        <f>J802*$D802</f>
        <v/>
      </c>
      <c r="V802" s="3">
        <f>K802*$D802</f>
        <v/>
      </c>
      <c r="W802" s="3">
        <f>L802*$D802</f>
        <v/>
      </c>
      <c r="X802" s="3">
        <f>M802*$D802</f>
        <v/>
      </c>
      <c r="Y802" s="3">
        <f>N802*$D802</f>
        <v/>
      </c>
      <c r="Z802" s="3">
        <f>C802*$D802</f>
        <v/>
      </c>
      <c r="AA802" s="9">
        <f>$L978+$K978*E802+$J978*F802+$I978*G802+$H978*H802+$G978*I802+$F978*J802+$E978*K802+$D978*L802+$C978*M802+$B978*N802</f>
        <v/>
      </c>
      <c r="AB802" s="9">
        <f>C802-AA802</f>
        <v/>
      </c>
      <c r="AC802" s="4">
        <f>AB802^2</f>
        <v/>
      </c>
    </row>
    <row r="803">
      <c r="A803" t="inlineStr">
        <is>
          <t>BBG000DBKR53</t>
        </is>
      </c>
      <c r="B803" t="inlineStr">
        <is>
          <t>smtc</t>
        </is>
      </c>
      <c r="C803" s="9" t="n">
        <v>-0.02123673627277878</v>
      </c>
      <c r="D803" s="3">
        <f>EXP(0.25*'3b-d Exposures'!G981)</f>
        <v/>
      </c>
      <c r="E803" s="3">
        <f>IF('3b-d Exposures'!C981="",0,'3b-d Exposures'!C981)</f>
        <v/>
      </c>
      <c r="F803" s="3">
        <f>IF('3b-d Exposures'!E981="",0,'3b-d Exposures'!E981)</f>
        <v/>
      </c>
      <c r="G803" s="3">
        <f>IF('3b-d Exposures'!G981="",0,'3b-d Exposures'!G981)</f>
        <v/>
      </c>
      <c r="H803" s="3">
        <f>IF('3b-d Exposures'!I981="",0,'3b-d Exposures'!I981)</f>
        <v/>
      </c>
      <c r="I803" s="3">
        <f>IF('3b-d Exposures'!K981="",0,'3b-d Exposures'!K981)</f>
        <v/>
      </c>
      <c r="J803" s="3">
        <f>IF('3b-d Exposures'!M981="",0,'3b-d Exposures'!M981)</f>
        <v/>
      </c>
      <c r="K803" s="3">
        <f>IF('3b-d Exposures'!O981="",0,'3b-d Exposures'!O981)</f>
        <v/>
      </c>
      <c r="L803" s="3">
        <f>IF('3b-d Exposures'!Q981="",0,'3b-d Exposures'!Q981)</f>
        <v/>
      </c>
      <c r="M803" s="3">
        <f>IF('3b-d Exposures'!S981="",0,'3b-d Exposures'!S981)</f>
        <v/>
      </c>
      <c r="N803" s="3">
        <f>IF('3b-d Exposures'!Z981="",0,'3b-d Exposures'!Z981)</f>
        <v/>
      </c>
      <c r="O803" s="3">
        <f>$D803</f>
        <v/>
      </c>
      <c r="P803" s="3">
        <f>E803*$D803</f>
        <v/>
      </c>
      <c r="Q803" s="3">
        <f>F803*$D803</f>
        <v/>
      </c>
      <c r="R803" s="3">
        <f>G803*$D803</f>
        <v/>
      </c>
      <c r="S803" s="3">
        <f>H803*$D803</f>
        <v/>
      </c>
      <c r="T803" s="3">
        <f>I803*$D803</f>
        <v/>
      </c>
      <c r="U803" s="3">
        <f>J803*$D803</f>
        <v/>
      </c>
      <c r="V803" s="3">
        <f>K803*$D803</f>
        <v/>
      </c>
      <c r="W803" s="3">
        <f>L803*$D803</f>
        <v/>
      </c>
      <c r="X803" s="3">
        <f>M803*$D803</f>
        <v/>
      </c>
      <c r="Y803" s="3">
        <f>N803*$D803</f>
        <v/>
      </c>
      <c r="Z803" s="3">
        <f>C803*$D803</f>
        <v/>
      </c>
      <c r="AA803" s="9">
        <f>$L978+$K978*E803+$J978*F803+$I978*G803+$H978*H803+$G978*I803+$F978*J803+$E978*K803+$D978*L803+$C978*M803+$B978*N803</f>
        <v/>
      </c>
      <c r="AB803" s="9">
        <f>C803-AA803</f>
        <v/>
      </c>
      <c r="AC803" s="4">
        <f>AB803^2</f>
        <v/>
      </c>
    </row>
    <row r="804">
      <c r="A804" t="inlineStr">
        <is>
          <t>BBG000BT7JW9</t>
        </is>
      </c>
      <c r="B804" t="inlineStr">
        <is>
          <t>sna</t>
        </is>
      </c>
      <c r="C804" s="9" t="n">
        <v>-0.007601034367563431</v>
      </c>
      <c r="D804" s="3">
        <f>EXP(0.25*'3b-d Exposures'!G982)</f>
        <v/>
      </c>
      <c r="E804" s="3">
        <f>IF('3b-d Exposures'!C982="",0,'3b-d Exposures'!C982)</f>
        <v/>
      </c>
      <c r="F804" s="3">
        <f>IF('3b-d Exposures'!E982="",0,'3b-d Exposures'!E982)</f>
        <v/>
      </c>
      <c r="G804" s="3">
        <f>IF('3b-d Exposures'!G982="",0,'3b-d Exposures'!G982)</f>
        <v/>
      </c>
      <c r="H804" s="3">
        <f>IF('3b-d Exposures'!I982="",0,'3b-d Exposures'!I982)</f>
        <v/>
      </c>
      <c r="I804" s="3">
        <f>IF('3b-d Exposures'!K982="",0,'3b-d Exposures'!K982)</f>
        <v/>
      </c>
      <c r="J804" s="3">
        <f>IF('3b-d Exposures'!M982="",0,'3b-d Exposures'!M982)</f>
        <v/>
      </c>
      <c r="K804" s="3">
        <f>IF('3b-d Exposures'!O982="",0,'3b-d Exposures'!O982)</f>
        <v/>
      </c>
      <c r="L804" s="3">
        <f>IF('3b-d Exposures'!Q982="",0,'3b-d Exposures'!Q982)</f>
        <v/>
      </c>
      <c r="M804" s="3">
        <f>IF('3b-d Exposures'!S982="",0,'3b-d Exposures'!S982)</f>
        <v/>
      </c>
      <c r="N804" s="3">
        <f>IF('3b-d Exposures'!Z982="",0,'3b-d Exposures'!Z982)</f>
        <v/>
      </c>
      <c r="O804" s="3">
        <f>$D804</f>
        <v/>
      </c>
      <c r="P804" s="3">
        <f>E804*$D804</f>
        <v/>
      </c>
      <c r="Q804" s="3">
        <f>F804*$D804</f>
        <v/>
      </c>
      <c r="R804" s="3">
        <f>G804*$D804</f>
        <v/>
      </c>
      <c r="S804" s="3">
        <f>H804*$D804</f>
        <v/>
      </c>
      <c r="T804" s="3">
        <f>I804*$D804</f>
        <v/>
      </c>
      <c r="U804" s="3">
        <f>J804*$D804</f>
        <v/>
      </c>
      <c r="V804" s="3">
        <f>K804*$D804</f>
        <v/>
      </c>
      <c r="W804" s="3">
        <f>L804*$D804</f>
        <v/>
      </c>
      <c r="X804" s="3">
        <f>M804*$D804</f>
        <v/>
      </c>
      <c r="Y804" s="3">
        <f>N804*$D804</f>
        <v/>
      </c>
      <c r="Z804" s="3">
        <f>C804*$D804</f>
        <v/>
      </c>
      <c r="AA804" s="9">
        <f>$L978+$K978*E804+$J978*F804+$I978*G804+$H978*H804+$G978*I804+$F978*J804+$E978*K804+$D978*L804+$C978*M804+$B978*N804</f>
        <v/>
      </c>
      <c r="AB804" s="9">
        <f>C804-AA804</f>
        <v/>
      </c>
      <c r="AC804" s="4">
        <f>AB804^2</f>
        <v/>
      </c>
    </row>
    <row r="805">
      <c r="A805" t="inlineStr">
        <is>
          <t>BBG00441QMJ7</t>
        </is>
      </c>
      <c r="B805" t="inlineStr">
        <is>
          <t>snap</t>
        </is>
      </c>
      <c r="C805" s="9" t="n">
        <v>0.02540213602043906</v>
      </c>
      <c r="D805" s="3">
        <f>EXP(0.25*'3b-d Exposures'!G983)</f>
        <v/>
      </c>
      <c r="E805" s="3">
        <f>IF('3b-d Exposures'!C983="",0,'3b-d Exposures'!C983)</f>
        <v/>
      </c>
      <c r="F805" s="3">
        <f>IF('3b-d Exposures'!E983="",0,'3b-d Exposures'!E983)</f>
        <v/>
      </c>
      <c r="G805" s="3">
        <f>IF('3b-d Exposures'!G983="",0,'3b-d Exposures'!G983)</f>
        <v/>
      </c>
      <c r="H805" s="3">
        <f>IF('3b-d Exposures'!I983="",0,'3b-d Exposures'!I983)</f>
        <v/>
      </c>
      <c r="I805" s="3">
        <f>IF('3b-d Exposures'!K983="",0,'3b-d Exposures'!K983)</f>
        <v/>
      </c>
      <c r="J805" s="3">
        <f>IF('3b-d Exposures'!M983="",0,'3b-d Exposures'!M983)</f>
        <v/>
      </c>
      <c r="K805" s="3">
        <f>IF('3b-d Exposures'!O983="",0,'3b-d Exposures'!O983)</f>
        <v/>
      </c>
      <c r="L805" s="3">
        <f>IF('3b-d Exposures'!Q983="",0,'3b-d Exposures'!Q983)</f>
        <v/>
      </c>
      <c r="M805" s="3">
        <f>IF('3b-d Exposures'!S983="",0,'3b-d Exposures'!S983)</f>
        <v/>
      </c>
      <c r="N805" s="3">
        <f>IF('3b-d Exposures'!Z983="",0,'3b-d Exposures'!Z983)</f>
        <v/>
      </c>
      <c r="O805" s="3">
        <f>$D805</f>
        <v/>
      </c>
      <c r="P805" s="3">
        <f>E805*$D805</f>
        <v/>
      </c>
      <c r="Q805" s="3">
        <f>F805*$D805</f>
        <v/>
      </c>
      <c r="R805" s="3">
        <f>G805*$D805</f>
        <v/>
      </c>
      <c r="S805" s="3">
        <f>H805*$D805</f>
        <v/>
      </c>
      <c r="T805" s="3">
        <f>I805*$D805</f>
        <v/>
      </c>
      <c r="U805" s="3">
        <f>J805*$D805</f>
        <v/>
      </c>
      <c r="V805" s="3">
        <f>K805*$D805</f>
        <v/>
      </c>
      <c r="W805" s="3">
        <f>L805*$D805</f>
        <v/>
      </c>
      <c r="X805" s="3">
        <f>M805*$D805</f>
        <v/>
      </c>
      <c r="Y805" s="3">
        <f>N805*$D805</f>
        <v/>
      </c>
      <c r="Z805" s="3">
        <f>C805*$D805</f>
        <v/>
      </c>
      <c r="AA805" s="9">
        <f>$L978+$K978*E805+$J978*F805+$I978*G805+$H978*H805+$G978*I805+$F978*J805+$E978*K805+$D978*L805+$C978*M805+$B978*N805</f>
        <v/>
      </c>
      <c r="AB805" s="9">
        <f>C805-AA805</f>
        <v/>
      </c>
      <c r="AC805" s="4">
        <f>AB805^2</f>
        <v/>
      </c>
    </row>
    <row r="806">
      <c r="A806" t="inlineStr">
        <is>
          <t>BBG007DHGNJ4</t>
        </is>
      </c>
      <c r="B806" t="inlineStr">
        <is>
          <t>snow</t>
        </is>
      </c>
      <c r="C806" s="9" t="n">
        <v>-0.01361558833673349</v>
      </c>
      <c r="D806" s="3">
        <f>EXP(0.25*'3b-d Exposures'!G985)</f>
        <v/>
      </c>
      <c r="E806" s="3">
        <f>IF('3b-d Exposures'!C985="",0,'3b-d Exposures'!C985)</f>
        <v/>
      </c>
      <c r="F806" s="3">
        <f>IF('3b-d Exposures'!E985="",0,'3b-d Exposures'!E985)</f>
        <v/>
      </c>
      <c r="G806" s="3">
        <f>IF('3b-d Exposures'!G985="",0,'3b-d Exposures'!G985)</f>
        <v/>
      </c>
      <c r="H806" s="3">
        <f>IF('3b-d Exposures'!I985="",0,'3b-d Exposures'!I985)</f>
        <v/>
      </c>
      <c r="I806" s="3">
        <f>IF('3b-d Exposures'!K985="",0,'3b-d Exposures'!K985)</f>
        <v/>
      </c>
      <c r="J806" s="3">
        <f>IF('3b-d Exposures'!M985="",0,'3b-d Exposures'!M985)</f>
        <v/>
      </c>
      <c r="K806" s="3">
        <f>IF('3b-d Exposures'!O985="",0,'3b-d Exposures'!O985)</f>
        <v/>
      </c>
      <c r="L806" s="3">
        <f>IF('3b-d Exposures'!Q985="",0,'3b-d Exposures'!Q985)</f>
        <v/>
      </c>
      <c r="M806" s="3">
        <f>IF('3b-d Exposures'!S985="",0,'3b-d Exposures'!S985)</f>
        <v/>
      </c>
      <c r="N806" s="3">
        <f>IF('3b-d Exposures'!Z985="",0,'3b-d Exposures'!Z985)</f>
        <v/>
      </c>
      <c r="O806" s="3">
        <f>$D806</f>
        <v/>
      </c>
      <c r="P806" s="3">
        <f>E806*$D806</f>
        <v/>
      </c>
      <c r="Q806" s="3">
        <f>F806*$D806</f>
        <v/>
      </c>
      <c r="R806" s="3">
        <f>G806*$D806</f>
        <v/>
      </c>
      <c r="S806" s="3">
        <f>H806*$D806</f>
        <v/>
      </c>
      <c r="T806" s="3">
        <f>I806*$D806</f>
        <v/>
      </c>
      <c r="U806" s="3">
        <f>J806*$D806</f>
        <v/>
      </c>
      <c r="V806" s="3">
        <f>K806*$D806</f>
        <v/>
      </c>
      <c r="W806" s="3">
        <f>L806*$D806</f>
        <v/>
      </c>
      <c r="X806" s="3">
        <f>M806*$D806</f>
        <v/>
      </c>
      <c r="Y806" s="3">
        <f>N806*$D806</f>
        <v/>
      </c>
      <c r="Z806" s="3">
        <f>C806*$D806</f>
        <v/>
      </c>
      <c r="AA806" s="9">
        <f>$L978+$K978*E806+$J978*F806+$I978*G806+$H978*H806+$G978*I806+$F978*J806+$E978*K806+$D978*L806+$C978*M806+$B978*N806</f>
        <v/>
      </c>
      <c r="AB806" s="9">
        <f>C806-AA806</f>
        <v/>
      </c>
      <c r="AC806" s="4">
        <f>AB806^2</f>
        <v/>
      </c>
    </row>
    <row r="807">
      <c r="A807" t="inlineStr">
        <is>
          <t>snps</t>
        </is>
      </c>
      <c r="B807" t="inlineStr">
        <is>
          <t>snps</t>
        </is>
      </c>
      <c r="C807" s="9" t="n">
        <v>0.01332163972765921</v>
      </c>
      <c r="D807" s="3">
        <f>EXP(0.25*'3b-d Exposures'!G986)</f>
        <v/>
      </c>
      <c r="E807" s="3">
        <f>IF('3b-d Exposures'!C986="",0,'3b-d Exposures'!C986)</f>
        <v/>
      </c>
      <c r="F807" s="3">
        <f>IF('3b-d Exposures'!E986="",0,'3b-d Exposures'!E986)</f>
        <v/>
      </c>
      <c r="G807" s="3">
        <f>IF('3b-d Exposures'!G986="",0,'3b-d Exposures'!G986)</f>
        <v/>
      </c>
      <c r="H807" s="3">
        <f>IF('3b-d Exposures'!I986="",0,'3b-d Exposures'!I986)</f>
        <v/>
      </c>
      <c r="I807" s="3">
        <f>IF('3b-d Exposures'!K986="",0,'3b-d Exposures'!K986)</f>
        <v/>
      </c>
      <c r="J807" s="3">
        <f>IF('3b-d Exposures'!M986="",0,'3b-d Exposures'!M986)</f>
        <v/>
      </c>
      <c r="K807" s="3">
        <f>IF('3b-d Exposures'!O986="",0,'3b-d Exposures'!O986)</f>
        <v/>
      </c>
      <c r="L807" s="3">
        <f>IF('3b-d Exposures'!Q986="",0,'3b-d Exposures'!Q986)</f>
        <v/>
      </c>
      <c r="M807" s="3">
        <f>IF('3b-d Exposures'!S986="",0,'3b-d Exposures'!S986)</f>
        <v/>
      </c>
      <c r="N807" s="3">
        <f>IF('3b-d Exposures'!Z986="",0,'3b-d Exposures'!Z986)</f>
        <v/>
      </c>
      <c r="O807" s="3">
        <f>$D807</f>
        <v/>
      </c>
      <c r="P807" s="3">
        <f>E807*$D807</f>
        <v/>
      </c>
      <c r="Q807" s="3">
        <f>F807*$D807</f>
        <v/>
      </c>
      <c r="R807" s="3">
        <f>G807*$D807</f>
        <v/>
      </c>
      <c r="S807" s="3">
        <f>H807*$D807</f>
        <v/>
      </c>
      <c r="T807" s="3">
        <f>I807*$D807</f>
        <v/>
      </c>
      <c r="U807" s="3">
        <f>J807*$D807</f>
        <v/>
      </c>
      <c r="V807" s="3">
        <f>K807*$D807</f>
        <v/>
      </c>
      <c r="W807" s="3">
        <f>L807*$D807</f>
        <v/>
      </c>
      <c r="X807" s="3">
        <f>M807*$D807</f>
        <v/>
      </c>
      <c r="Y807" s="3">
        <f>N807*$D807</f>
        <v/>
      </c>
      <c r="Z807" s="3">
        <f>C807*$D807</f>
        <v/>
      </c>
      <c r="AA807" s="9">
        <f>$L978+$K978*E807+$J978*F807+$I978*G807+$H978*H807+$G978*I807+$F978*J807+$E978*K807+$D978*L807+$C978*M807+$B978*N807</f>
        <v/>
      </c>
      <c r="AB807" s="9">
        <f>C807-AA807</f>
        <v/>
      </c>
      <c r="AC807" s="4">
        <f>AB807^2</f>
        <v/>
      </c>
    </row>
    <row r="808">
      <c r="A808" t="inlineStr">
        <is>
          <t>BBG000CL9JV4</t>
        </is>
      </c>
      <c r="B808" t="inlineStr">
        <is>
          <t>snx</t>
        </is>
      </c>
      <c r="C808" s="9" t="n">
        <v>0.02622072749053728</v>
      </c>
      <c r="D808" s="3">
        <f>EXP(0.25*'3b-d Exposures'!G987)</f>
        <v/>
      </c>
      <c r="E808" s="3">
        <f>IF('3b-d Exposures'!C987="",0,'3b-d Exposures'!C987)</f>
        <v/>
      </c>
      <c r="F808" s="3">
        <f>IF('3b-d Exposures'!E987="",0,'3b-d Exposures'!E987)</f>
        <v/>
      </c>
      <c r="G808" s="3">
        <f>IF('3b-d Exposures'!G987="",0,'3b-d Exposures'!G987)</f>
        <v/>
      </c>
      <c r="H808" s="3">
        <f>IF('3b-d Exposures'!I987="",0,'3b-d Exposures'!I987)</f>
        <v/>
      </c>
      <c r="I808" s="3">
        <f>IF('3b-d Exposures'!K987="",0,'3b-d Exposures'!K987)</f>
        <v/>
      </c>
      <c r="J808" s="3">
        <f>IF('3b-d Exposures'!M987="",0,'3b-d Exposures'!M987)</f>
        <v/>
      </c>
      <c r="K808" s="3">
        <f>IF('3b-d Exposures'!O987="",0,'3b-d Exposures'!O987)</f>
        <v/>
      </c>
      <c r="L808" s="3">
        <f>IF('3b-d Exposures'!Q987="",0,'3b-d Exposures'!Q987)</f>
        <v/>
      </c>
      <c r="M808" s="3">
        <f>IF('3b-d Exposures'!S987="",0,'3b-d Exposures'!S987)</f>
        <v/>
      </c>
      <c r="N808" s="3">
        <f>IF('3b-d Exposures'!Z987="",0,'3b-d Exposures'!Z987)</f>
        <v/>
      </c>
      <c r="O808" s="3">
        <f>$D808</f>
        <v/>
      </c>
      <c r="P808" s="3">
        <f>E808*$D808</f>
        <v/>
      </c>
      <c r="Q808" s="3">
        <f>F808*$D808</f>
        <v/>
      </c>
      <c r="R808" s="3">
        <f>G808*$D808</f>
        <v/>
      </c>
      <c r="S808" s="3">
        <f>H808*$D808</f>
        <v/>
      </c>
      <c r="T808" s="3">
        <f>I808*$D808</f>
        <v/>
      </c>
      <c r="U808" s="3">
        <f>J808*$D808</f>
        <v/>
      </c>
      <c r="V808" s="3">
        <f>K808*$D808</f>
        <v/>
      </c>
      <c r="W808" s="3">
        <f>L808*$D808</f>
        <v/>
      </c>
      <c r="X808" s="3">
        <f>M808*$D808</f>
        <v/>
      </c>
      <c r="Y808" s="3">
        <f>N808*$D808</f>
        <v/>
      </c>
      <c r="Z808" s="3">
        <f>C808*$D808</f>
        <v/>
      </c>
      <c r="AA808" s="9">
        <f>$L978+$K978*E808+$J978*F808+$I978*G808+$H978*H808+$G978*I808+$F978*J808+$E978*K808+$D978*L808+$C978*M808+$B978*N808</f>
        <v/>
      </c>
      <c r="AB808" s="9">
        <f>C808-AA808</f>
        <v/>
      </c>
      <c r="AC808" s="4">
        <f>AB808^2</f>
        <v/>
      </c>
    </row>
    <row r="809">
      <c r="A809" t="inlineStr">
        <is>
          <t>BBG000BT9DW0</t>
        </is>
      </c>
      <c r="B809" t="inlineStr">
        <is>
          <t>so</t>
        </is>
      </c>
      <c r="C809" s="9" t="n">
        <v>-0.01525868348513626</v>
      </c>
      <c r="D809" s="3">
        <f>EXP(0.25*'3b-d Exposures'!G989)</f>
        <v/>
      </c>
      <c r="E809" s="3">
        <f>IF('3b-d Exposures'!C989="",0,'3b-d Exposures'!C989)</f>
        <v/>
      </c>
      <c r="F809" s="3">
        <f>IF('3b-d Exposures'!E989="",0,'3b-d Exposures'!E989)</f>
        <v/>
      </c>
      <c r="G809" s="3">
        <f>IF('3b-d Exposures'!G989="",0,'3b-d Exposures'!G989)</f>
        <v/>
      </c>
      <c r="H809" s="3">
        <f>IF('3b-d Exposures'!I989="",0,'3b-d Exposures'!I989)</f>
        <v/>
      </c>
      <c r="I809" s="3">
        <f>IF('3b-d Exposures'!K989="",0,'3b-d Exposures'!K989)</f>
        <v/>
      </c>
      <c r="J809" s="3">
        <f>IF('3b-d Exposures'!M989="",0,'3b-d Exposures'!M989)</f>
        <v/>
      </c>
      <c r="K809" s="3">
        <f>IF('3b-d Exposures'!O989="",0,'3b-d Exposures'!O989)</f>
        <v/>
      </c>
      <c r="L809" s="3">
        <f>IF('3b-d Exposures'!Q989="",0,'3b-d Exposures'!Q989)</f>
        <v/>
      </c>
      <c r="M809" s="3">
        <f>IF('3b-d Exposures'!S989="",0,'3b-d Exposures'!S989)</f>
        <v/>
      </c>
      <c r="N809" s="3">
        <f>IF('3b-d Exposures'!Z989="",0,'3b-d Exposures'!Z989)</f>
        <v/>
      </c>
      <c r="O809" s="3">
        <f>$D809</f>
        <v/>
      </c>
      <c r="P809" s="3">
        <f>E809*$D809</f>
        <v/>
      </c>
      <c r="Q809" s="3">
        <f>F809*$D809</f>
        <v/>
      </c>
      <c r="R809" s="3">
        <f>G809*$D809</f>
        <v/>
      </c>
      <c r="S809" s="3">
        <f>H809*$D809</f>
        <v/>
      </c>
      <c r="T809" s="3">
        <f>I809*$D809</f>
        <v/>
      </c>
      <c r="U809" s="3">
        <f>J809*$D809</f>
        <v/>
      </c>
      <c r="V809" s="3">
        <f>K809*$D809</f>
        <v/>
      </c>
      <c r="W809" s="3">
        <f>L809*$D809</f>
        <v/>
      </c>
      <c r="X809" s="3">
        <f>M809*$D809</f>
        <v/>
      </c>
      <c r="Y809" s="3">
        <f>N809*$D809</f>
        <v/>
      </c>
      <c r="Z809" s="3">
        <f>C809*$D809</f>
        <v/>
      </c>
      <c r="AA809" s="9">
        <f>$L978+$K978*E809+$J978*F809+$I978*G809+$H978*H809+$G978*I809+$F978*J809+$E978*K809+$D978*L809+$C978*M809+$B978*N809</f>
        <v/>
      </c>
      <c r="AB809" s="9">
        <f>C809-AA809</f>
        <v/>
      </c>
      <c r="AC809" s="4">
        <f>AB809^2</f>
        <v/>
      </c>
    </row>
    <row r="810">
      <c r="A810" t="inlineStr">
        <is>
          <t>BBG00YB1ZD58</t>
        </is>
      </c>
      <c r="B810" t="inlineStr">
        <is>
          <t>sofi</t>
        </is>
      </c>
      <c r="C810" s="9" t="n">
        <v>-0.03046922636497473</v>
      </c>
      <c r="D810" s="3">
        <f>EXP(0.25*'3b-d Exposures'!G990)</f>
        <v/>
      </c>
      <c r="E810" s="3">
        <f>IF('3b-d Exposures'!C990="",0,'3b-d Exposures'!C990)</f>
        <v/>
      </c>
      <c r="F810" s="3">
        <f>IF('3b-d Exposures'!E990="",0,'3b-d Exposures'!E990)</f>
        <v/>
      </c>
      <c r="G810" s="3">
        <f>IF('3b-d Exposures'!G990="",0,'3b-d Exposures'!G990)</f>
        <v/>
      </c>
      <c r="H810" s="3">
        <f>IF('3b-d Exposures'!I990="",0,'3b-d Exposures'!I990)</f>
        <v/>
      </c>
      <c r="I810" s="3">
        <f>IF('3b-d Exposures'!K990="",0,'3b-d Exposures'!K990)</f>
        <v/>
      </c>
      <c r="J810" s="3">
        <f>IF('3b-d Exposures'!M990="",0,'3b-d Exposures'!M990)</f>
        <v/>
      </c>
      <c r="K810" s="3">
        <f>IF('3b-d Exposures'!O990="",0,'3b-d Exposures'!O990)</f>
        <v/>
      </c>
      <c r="L810" s="3">
        <f>IF('3b-d Exposures'!Q990="",0,'3b-d Exposures'!Q990)</f>
        <v/>
      </c>
      <c r="M810" s="3">
        <f>IF('3b-d Exposures'!S990="",0,'3b-d Exposures'!S990)</f>
        <v/>
      </c>
      <c r="N810" s="3">
        <f>IF('3b-d Exposures'!Z990="",0,'3b-d Exposures'!Z990)</f>
        <v/>
      </c>
      <c r="O810" s="3">
        <f>$D810</f>
        <v/>
      </c>
      <c r="P810" s="3">
        <f>E810*$D810</f>
        <v/>
      </c>
      <c r="Q810" s="3">
        <f>F810*$D810</f>
        <v/>
      </c>
      <c r="R810" s="3">
        <f>G810*$D810</f>
        <v/>
      </c>
      <c r="S810" s="3">
        <f>H810*$D810</f>
        <v/>
      </c>
      <c r="T810" s="3">
        <f>I810*$D810</f>
        <v/>
      </c>
      <c r="U810" s="3">
        <f>J810*$D810</f>
        <v/>
      </c>
      <c r="V810" s="3">
        <f>K810*$D810</f>
        <v/>
      </c>
      <c r="W810" s="3">
        <f>L810*$D810</f>
        <v/>
      </c>
      <c r="X810" s="3">
        <f>M810*$D810</f>
        <v/>
      </c>
      <c r="Y810" s="3">
        <f>N810*$D810</f>
        <v/>
      </c>
      <c r="Z810" s="3">
        <f>C810*$D810</f>
        <v/>
      </c>
      <c r="AA810" s="9">
        <f>$L978+$K978*E810+$J978*F810+$I978*G810+$H978*H810+$G978*I810+$F978*J810+$E978*K810+$D978*L810+$C978*M810+$B978*N810</f>
        <v/>
      </c>
      <c r="AB810" s="9">
        <f>C810-AA810</f>
        <v/>
      </c>
      <c r="AC810" s="4">
        <f>AB810^2</f>
        <v/>
      </c>
    </row>
    <row r="811">
      <c r="A811" t="inlineStr">
        <is>
          <t>BBG018YZH6T3</t>
        </is>
      </c>
      <c r="B811" t="inlineStr">
        <is>
          <t>solv</t>
        </is>
      </c>
      <c r="C811" s="9" t="n">
        <v>0.006712287976507803</v>
      </c>
      <c r="D811" s="3">
        <f>EXP(0.25*'3b-d Exposures'!G991)</f>
        <v/>
      </c>
      <c r="E811" s="3">
        <f>IF('3b-d Exposures'!C991="",0,'3b-d Exposures'!C991)</f>
        <v/>
      </c>
      <c r="F811" s="3">
        <f>IF('3b-d Exposures'!E991="",0,'3b-d Exposures'!E991)</f>
        <v/>
      </c>
      <c r="G811" s="3">
        <f>IF('3b-d Exposures'!G991="",0,'3b-d Exposures'!G991)</f>
        <v/>
      </c>
      <c r="H811" s="3">
        <f>IF('3b-d Exposures'!I991="",0,'3b-d Exposures'!I991)</f>
        <v/>
      </c>
      <c r="I811" s="3">
        <f>IF('3b-d Exposures'!K991="",0,'3b-d Exposures'!K991)</f>
        <v/>
      </c>
      <c r="J811" s="3">
        <f>IF('3b-d Exposures'!M991="",0,'3b-d Exposures'!M991)</f>
        <v/>
      </c>
      <c r="K811" s="3">
        <f>IF('3b-d Exposures'!O991="",0,'3b-d Exposures'!O991)</f>
        <v/>
      </c>
      <c r="L811" s="3">
        <f>IF('3b-d Exposures'!Q991="",0,'3b-d Exposures'!Q991)</f>
        <v/>
      </c>
      <c r="M811" s="3">
        <f>IF('3b-d Exposures'!S991="",0,'3b-d Exposures'!S991)</f>
        <v/>
      </c>
      <c r="N811" s="3">
        <f>IF('3b-d Exposures'!Z991="",0,'3b-d Exposures'!Z991)</f>
        <v/>
      </c>
      <c r="O811" s="3">
        <f>$D811</f>
        <v/>
      </c>
      <c r="P811" s="3">
        <f>E811*$D811</f>
        <v/>
      </c>
      <c r="Q811" s="3">
        <f>F811*$D811</f>
        <v/>
      </c>
      <c r="R811" s="3">
        <f>G811*$D811</f>
        <v/>
      </c>
      <c r="S811" s="3">
        <f>H811*$D811</f>
        <v/>
      </c>
      <c r="T811" s="3">
        <f>I811*$D811</f>
        <v/>
      </c>
      <c r="U811" s="3">
        <f>J811*$D811</f>
        <v/>
      </c>
      <c r="V811" s="3">
        <f>K811*$D811</f>
        <v/>
      </c>
      <c r="W811" s="3">
        <f>L811*$D811</f>
        <v/>
      </c>
      <c r="X811" s="3">
        <f>M811*$D811</f>
        <v/>
      </c>
      <c r="Y811" s="3">
        <f>N811*$D811</f>
        <v/>
      </c>
      <c r="Z811" s="3">
        <f>C811*$D811</f>
        <v/>
      </c>
      <c r="AA811" s="9">
        <f>$L978+$K978*E811+$J978*F811+$I978*G811+$H978*H811+$G978*I811+$F978*J811+$E978*K811+$D978*L811+$C978*M811+$B978*N811</f>
        <v/>
      </c>
      <c r="AB811" s="9">
        <f>C811-AA811</f>
        <v/>
      </c>
      <c r="AC811" s="4">
        <f>AB811^2</f>
        <v/>
      </c>
    </row>
    <row r="812">
      <c r="A812" t="inlineStr">
        <is>
          <t>BBG000BJ2D31</t>
        </is>
      </c>
      <c r="B812" t="inlineStr">
        <is>
          <t>spg</t>
        </is>
      </c>
      <c r="C812" s="9" t="n">
        <v>-0.01214608617731294</v>
      </c>
      <c r="D812" s="3">
        <f>EXP(0.25*'3b-d Exposures'!G992)</f>
        <v/>
      </c>
      <c r="E812" s="3">
        <f>IF('3b-d Exposures'!C992="",0,'3b-d Exposures'!C992)</f>
        <v/>
      </c>
      <c r="F812" s="3">
        <f>IF('3b-d Exposures'!E992="",0,'3b-d Exposures'!E992)</f>
        <v/>
      </c>
      <c r="G812" s="3">
        <f>IF('3b-d Exposures'!G992="",0,'3b-d Exposures'!G992)</f>
        <v/>
      </c>
      <c r="H812" s="3">
        <f>IF('3b-d Exposures'!I992="",0,'3b-d Exposures'!I992)</f>
        <v/>
      </c>
      <c r="I812" s="3">
        <f>IF('3b-d Exposures'!K992="",0,'3b-d Exposures'!K992)</f>
        <v/>
      </c>
      <c r="J812" s="3">
        <f>IF('3b-d Exposures'!M992="",0,'3b-d Exposures'!M992)</f>
        <v/>
      </c>
      <c r="K812" s="3">
        <f>IF('3b-d Exposures'!O992="",0,'3b-d Exposures'!O992)</f>
        <v/>
      </c>
      <c r="L812" s="3">
        <f>IF('3b-d Exposures'!Q992="",0,'3b-d Exposures'!Q992)</f>
        <v/>
      </c>
      <c r="M812" s="3">
        <f>IF('3b-d Exposures'!S992="",0,'3b-d Exposures'!S992)</f>
        <v/>
      </c>
      <c r="N812" s="3">
        <f>IF('3b-d Exposures'!Z992="",0,'3b-d Exposures'!Z992)</f>
        <v/>
      </c>
      <c r="O812" s="3">
        <f>$D812</f>
        <v/>
      </c>
      <c r="P812" s="3">
        <f>E812*$D812</f>
        <v/>
      </c>
      <c r="Q812" s="3">
        <f>F812*$D812</f>
        <v/>
      </c>
      <c r="R812" s="3">
        <f>G812*$D812</f>
        <v/>
      </c>
      <c r="S812" s="3">
        <f>H812*$D812</f>
        <v/>
      </c>
      <c r="T812" s="3">
        <f>I812*$D812</f>
        <v/>
      </c>
      <c r="U812" s="3">
        <f>J812*$D812</f>
        <v/>
      </c>
      <c r="V812" s="3">
        <f>K812*$D812</f>
        <v/>
      </c>
      <c r="W812" s="3">
        <f>L812*$D812</f>
        <v/>
      </c>
      <c r="X812" s="3">
        <f>M812*$D812</f>
        <v/>
      </c>
      <c r="Y812" s="3">
        <f>N812*$D812</f>
        <v/>
      </c>
      <c r="Z812" s="3">
        <f>C812*$D812</f>
        <v/>
      </c>
      <c r="AA812" s="9">
        <f>$L978+$K978*E812+$J978*F812+$I978*G812+$H978*H812+$G978*I812+$F978*J812+$E978*K812+$D978*L812+$C978*M812+$B978*N812</f>
        <v/>
      </c>
      <c r="AB812" s="9">
        <f>C812-AA812</f>
        <v/>
      </c>
      <c r="AC812" s="4">
        <f>AB812^2</f>
        <v/>
      </c>
    </row>
    <row r="813">
      <c r="A813" t="inlineStr">
        <is>
          <t>BBG000BP1Q11</t>
        </is>
      </c>
      <c r="B813" t="inlineStr">
        <is>
          <t>spgi</t>
        </is>
      </c>
      <c r="C813" s="9" t="n">
        <v>0.0006888869657903918</v>
      </c>
      <c r="D813" s="3">
        <f>EXP(0.25*'3b-d Exposures'!G993)</f>
        <v/>
      </c>
      <c r="E813" s="3">
        <f>IF('3b-d Exposures'!C993="",0,'3b-d Exposures'!C993)</f>
        <v/>
      </c>
      <c r="F813" s="3">
        <f>IF('3b-d Exposures'!E993="",0,'3b-d Exposures'!E993)</f>
        <v/>
      </c>
      <c r="G813" s="3">
        <f>IF('3b-d Exposures'!G993="",0,'3b-d Exposures'!G993)</f>
        <v/>
      </c>
      <c r="H813" s="3">
        <f>IF('3b-d Exposures'!I993="",0,'3b-d Exposures'!I993)</f>
        <v/>
      </c>
      <c r="I813" s="3">
        <f>IF('3b-d Exposures'!K993="",0,'3b-d Exposures'!K993)</f>
        <v/>
      </c>
      <c r="J813" s="3">
        <f>IF('3b-d Exposures'!M993="",0,'3b-d Exposures'!M993)</f>
        <v/>
      </c>
      <c r="K813" s="3">
        <f>IF('3b-d Exposures'!O993="",0,'3b-d Exposures'!O993)</f>
        <v/>
      </c>
      <c r="L813" s="3">
        <f>IF('3b-d Exposures'!Q993="",0,'3b-d Exposures'!Q993)</f>
        <v/>
      </c>
      <c r="M813" s="3">
        <f>IF('3b-d Exposures'!S993="",0,'3b-d Exposures'!S993)</f>
        <v/>
      </c>
      <c r="N813" s="3">
        <f>IF('3b-d Exposures'!Z993="",0,'3b-d Exposures'!Z993)</f>
        <v/>
      </c>
      <c r="O813" s="3">
        <f>$D813</f>
        <v/>
      </c>
      <c r="P813" s="3">
        <f>E813*$D813</f>
        <v/>
      </c>
      <c r="Q813" s="3">
        <f>F813*$D813</f>
        <v/>
      </c>
      <c r="R813" s="3">
        <f>G813*$D813</f>
        <v/>
      </c>
      <c r="S813" s="3">
        <f>H813*$D813</f>
        <v/>
      </c>
      <c r="T813" s="3">
        <f>I813*$D813</f>
        <v/>
      </c>
      <c r="U813" s="3">
        <f>J813*$D813</f>
        <v/>
      </c>
      <c r="V813" s="3">
        <f>K813*$D813</f>
        <v/>
      </c>
      <c r="W813" s="3">
        <f>L813*$D813</f>
        <v/>
      </c>
      <c r="X813" s="3">
        <f>M813*$D813</f>
        <v/>
      </c>
      <c r="Y813" s="3">
        <f>N813*$D813</f>
        <v/>
      </c>
      <c r="Z813" s="3">
        <f>C813*$D813</f>
        <v/>
      </c>
      <c r="AA813" s="9">
        <f>$L978+$K978*E813+$J978*F813+$I978*G813+$H978*H813+$G978*I813+$F978*J813+$E978*K813+$D978*L813+$C978*M813+$B978*N813</f>
        <v/>
      </c>
      <c r="AB813" s="9">
        <f>C813-AA813</f>
        <v/>
      </c>
      <c r="AC813" s="4">
        <f>AB813^2</f>
        <v/>
      </c>
    </row>
    <row r="814">
      <c r="A814" t="inlineStr">
        <is>
          <t>BBG000C2ZCH8</t>
        </is>
      </c>
      <c r="B814" t="inlineStr">
        <is>
          <t>sre</t>
        </is>
      </c>
      <c r="C814" s="9" t="n">
        <v>-0.01676090566659483</v>
      </c>
      <c r="D814" s="3">
        <f>EXP(0.25*'3b-d Exposures'!G996)</f>
        <v/>
      </c>
      <c r="E814" s="3">
        <f>IF('3b-d Exposures'!C996="",0,'3b-d Exposures'!C996)</f>
        <v/>
      </c>
      <c r="F814" s="3">
        <f>IF('3b-d Exposures'!E996="",0,'3b-d Exposures'!E996)</f>
        <v/>
      </c>
      <c r="G814" s="3">
        <f>IF('3b-d Exposures'!G996="",0,'3b-d Exposures'!G996)</f>
        <v/>
      </c>
      <c r="H814" s="3">
        <f>IF('3b-d Exposures'!I996="",0,'3b-d Exposures'!I996)</f>
        <v/>
      </c>
      <c r="I814" s="3">
        <f>IF('3b-d Exposures'!K996="",0,'3b-d Exposures'!K996)</f>
        <v/>
      </c>
      <c r="J814" s="3">
        <f>IF('3b-d Exposures'!M996="",0,'3b-d Exposures'!M996)</f>
        <v/>
      </c>
      <c r="K814" s="3">
        <f>IF('3b-d Exposures'!O996="",0,'3b-d Exposures'!O996)</f>
        <v/>
      </c>
      <c r="L814" s="3">
        <f>IF('3b-d Exposures'!Q996="",0,'3b-d Exposures'!Q996)</f>
        <v/>
      </c>
      <c r="M814" s="3">
        <f>IF('3b-d Exposures'!S996="",0,'3b-d Exposures'!S996)</f>
        <v/>
      </c>
      <c r="N814" s="3">
        <f>IF('3b-d Exposures'!Z996="",0,'3b-d Exposures'!Z996)</f>
        <v/>
      </c>
      <c r="O814" s="3">
        <f>$D814</f>
        <v/>
      </c>
      <c r="P814" s="3">
        <f>E814*$D814</f>
        <v/>
      </c>
      <c r="Q814" s="3">
        <f>F814*$D814</f>
        <v/>
      </c>
      <c r="R814" s="3">
        <f>G814*$D814</f>
        <v/>
      </c>
      <c r="S814" s="3">
        <f>H814*$D814</f>
        <v/>
      </c>
      <c r="T814" s="3">
        <f>I814*$D814</f>
        <v/>
      </c>
      <c r="U814" s="3">
        <f>J814*$D814</f>
        <v/>
      </c>
      <c r="V814" s="3">
        <f>K814*$D814</f>
        <v/>
      </c>
      <c r="W814" s="3">
        <f>L814*$D814</f>
        <v/>
      </c>
      <c r="X814" s="3">
        <f>M814*$D814</f>
        <v/>
      </c>
      <c r="Y814" s="3">
        <f>N814*$D814</f>
        <v/>
      </c>
      <c r="Z814" s="3">
        <f>C814*$D814</f>
        <v/>
      </c>
      <c r="AA814" s="9">
        <f>$L978+$K978*E814+$J978*F814+$I978*G814+$H978*H814+$G978*I814+$F978*J814+$E978*K814+$D978*L814+$C978*M814+$B978*N814</f>
        <v/>
      </c>
      <c r="AB814" s="9">
        <f>C814-AA814</f>
        <v/>
      </c>
      <c r="AC814" s="4">
        <f>AB814^2</f>
        <v/>
      </c>
    </row>
    <row r="815">
      <c r="A815" t="inlineStr">
        <is>
          <t>BBG000BCJ161</t>
        </is>
      </c>
      <c r="B815" t="inlineStr">
        <is>
          <t>srpt</t>
        </is>
      </c>
      <c r="C815" s="9" t="n">
        <v>-0.04042297538384432</v>
      </c>
      <c r="D815" s="3">
        <f>EXP(0.25*'3b-d Exposures'!G997)</f>
        <v/>
      </c>
      <c r="E815" s="3">
        <f>IF('3b-d Exposures'!C997="",0,'3b-d Exposures'!C997)</f>
        <v/>
      </c>
      <c r="F815" s="3">
        <f>IF('3b-d Exposures'!E997="",0,'3b-d Exposures'!E997)</f>
        <v/>
      </c>
      <c r="G815" s="3">
        <f>IF('3b-d Exposures'!G997="",0,'3b-d Exposures'!G997)</f>
        <v/>
      </c>
      <c r="H815" s="3">
        <f>IF('3b-d Exposures'!I997="",0,'3b-d Exposures'!I997)</f>
        <v/>
      </c>
      <c r="I815" s="3">
        <f>IF('3b-d Exposures'!K997="",0,'3b-d Exposures'!K997)</f>
        <v/>
      </c>
      <c r="J815" s="3">
        <f>IF('3b-d Exposures'!M997="",0,'3b-d Exposures'!M997)</f>
        <v/>
      </c>
      <c r="K815" s="3">
        <f>IF('3b-d Exposures'!O997="",0,'3b-d Exposures'!O997)</f>
        <v/>
      </c>
      <c r="L815" s="3">
        <f>IF('3b-d Exposures'!Q997="",0,'3b-d Exposures'!Q997)</f>
        <v/>
      </c>
      <c r="M815" s="3">
        <f>IF('3b-d Exposures'!S997="",0,'3b-d Exposures'!S997)</f>
        <v/>
      </c>
      <c r="N815" s="3">
        <f>IF('3b-d Exposures'!Z997="",0,'3b-d Exposures'!Z997)</f>
        <v/>
      </c>
      <c r="O815" s="3">
        <f>$D815</f>
        <v/>
      </c>
      <c r="P815" s="3">
        <f>E815*$D815</f>
        <v/>
      </c>
      <c r="Q815" s="3">
        <f>F815*$D815</f>
        <v/>
      </c>
      <c r="R815" s="3">
        <f>G815*$D815</f>
        <v/>
      </c>
      <c r="S815" s="3">
        <f>H815*$D815</f>
        <v/>
      </c>
      <c r="T815" s="3">
        <f>I815*$D815</f>
        <v/>
      </c>
      <c r="U815" s="3">
        <f>J815*$D815</f>
        <v/>
      </c>
      <c r="V815" s="3">
        <f>K815*$D815</f>
        <v/>
      </c>
      <c r="W815" s="3">
        <f>L815*$D815</f>
        <v/>
      </c>
      <c r="X815" s="3">
        <f>M815*$D815</f>
        <v/>
      </c>
      <c r="Y815" s="3">
        <f>N815*$D815</f>
        <v/>
      </c>
      <c r="Z815" s="3">
        <f>C815*$D815</f>
        <v/>
      </c>
      <c r="AA815" s="9">
        <f>$L978+$K978*E815+$J978*F815+$I978*G815+$H978*H815+$G978*I815+$F978*J815+$E978*K815+$D978*L815+$C978*M815+$B978*N815</f>
        <v/>
      </c>
      <c r="AB815" s="9">
        <f>C815-AA815</f>
        <v/>
      </c>
      <c r="AC815" s="4">
        <f>AB815^2</f>
        <v/>
      </c>
    </row>
    <row r="816">
      <c r="A816" t="inlineStr">
        <is>
          <t>BBG000RJ2J04</t>
        </is>
      </c>
      <c r="B816" t="inlineStr">
        <is>
          <t>ssnc</t>
        </is>
      </c>
      <c r="C816" s="9" t="n">
        <v>-0.001426844829817253</v>
      </c>
      <c r="D816" s="3">
        <f>EXP(0.25*'3b-d Exposures'!G998)</f>
        <v/>
      </c>
      <c r="E816" s="3">
        <f>IF('3b-d Exposures'!C998="",0,'3b-d Exposures'!C998)</f>
        <v/>
      </c>
      <c r="F816" s="3">
        <f>IF('3b-d Exposures'!E998="",0,'3b-d Exposures'!E998)</f>
        <v/>
      </c>
      <c r="G816" s="3">
        <f>IF('3b-d Exposures'!G998="",0,'3b-d Exposures'!G998)</f>
        <v/>
      </c>
      <c r="H816" s="3">
        <f>IF('3b-d Exposures'!I998="",0,'3b-d Exposures'!I998)</f>
        <v/>
      </c>
      <c r="I816" s="3">
        <f>IF('3b-d Exposures'!K998="",0,'3b-d Exposures'!K998)</f>
        <v/>
      </c>
      <c r="J816" s="3">
        <f>IF('3b-d Exposures'!M998="",0,'3b-d Exposures'!M998)</f>
        <v/>
      </c>
      <c r="K816" s="3">
        <f>IF('3b-d Exposures'!O998="",0,'3b-d Exposures'!O998)</f>
        <v/>
      </c>
      <c r="L816" s="3">
        <f>IF('3b-d Exposures'!Q998="",0,'3b-d Exposures'!Q998)</f>
        <v/>
      </c>
      <c r="M816" s="3">
        <f>IF('3b-d Exposures'!S998="",0,'3b-d Exposures'!S998)</f>
        <v/>
      </c>
      <c r="N816" s="3">
        <f>IF('3b-d Exposures'!Z998="",0,'3b-d Exposures'!Z998)</f>
        <v/>
      </c>
      <c r="O816" s="3">
        <f>$D816</f>
        <v/>
      </c>
      <c r="P816" s="3">
        <f>E816*$D816</f>
        <v/>
      </c>
      <c r="Q816" s="3">
        <f>F816*$D816</f>
        <v/>
      </c>
      <c r="R816" s="3">
        <f>G816*$D816</f>
        <v/>
      </c>
      <c r="S816" s="3">
        <f>H816*$D816</f>
        <v/>
      </c>
      <c r="T816" s="3">
        <f>I816*$D816</f>
        <v/>
      </c>
      <c r="U816" s="3">
        <f>J816*$D816</f>
        <v/>
      </c>
      <c r="V816" s="3">
        <f>K816*$D816</f>
        <v/>
      </c>
      <c r="W816" s="3">
        <f>L816*$D816</f>
        <v/>
      </c>
      <c r="X816" s="3">
        <f>M816*$D816</f>
        <v/>
      </c>
      <c r="Y816" s="3">
        <f>N816*$D816</f>
        <v/>
      </c>
      <c r="Z816" s="3">
        <f>C816*$D816</f>
        <v/>
      </c>
      <c r="AA816" s="9">
        <f>$L978+$K978*E816+$J978*F816+$I978*G816+$H978*H816+$G978*I816+$F978*J816+$E978*K816+$D978*L816+$C978*M816+$B978*N816</f>
        <v/>
      </c>
      <c r="AB816" s="9">
        <f>C816-AA816</f>
        <v/>
      </c>
      <c r="AC816" s="4">
        <f>AB816^2</f>
        <v/>
      </c>
    </row>
    <row r="817">
      <c r="A817" t="inlineStr">
        <is>
          <t>BBG002ZCK2V9</t>
        </is>
      </c>
      <c r="B817" t="inlineStr">
        <is>
          <t>sstk</t>
        </is>
      </c>
      <c r="C817" s="9" t="n">
        <v>0.04324492233846944</v>
      </c>
      <c r="D817" s="3">
        <f>EXP(0.25*'3b-d Exposures'!G999)</f>
        <v/>
      </c>
      <c r="E817" s="3">
        <f>IF('3b-d Exposures'!C999="",0,'3b-d Exposures'!C999)</f>
        <v/>
      </c>
      <c r="F817" s="3">
        <f>IF('3b-d Exposures'!E999="",0,'3b-d Exposures'!E999)</f>
        <v/>
      </c>
      <c r="G817" s="3">
        <f>IF('3b-d Exposures'!G999="",0,'3b-d Exposures'!G999)</f>
        <v/>
      </c>
      <c r="H817" s="3">
        <f>IF('3b-d Exposures'!I999="",0,'3b-d Exposures'!I999)</f>
        <v/>
      </c>
      <c r="I817" s="3">
        <f>IF('3b-d Exposures'!K999="",0,'3b-d Exposures'!K999)</f>
        <v/>
      </c>
      <c r="J817" s="3">
        <f>IF('3b-d Exposures'!M999="",0,'3b-d Exposures'!M999)</f>
        <v/>
      </c>
      <c r="K817" s="3">
        <f>IF('3b-d Exposures'!O999="",0,'3b-d Exposures'!O999)</f>
        <v/>
      </c>
      <c r="L817" s="3">
        <f>IF('3b-d Exposures'!Q999="",0,'3b-d Exposures'!Q999)</f>
        <v/>
      </c>
      <c r="M817" s="3">
        <f>IF('3b-d Exposures'!S999="",0,'3b-d Exposures'!S999)</f>
        <v/>
      </c>
      <c r="N817" s="3">
        <f>IF('3b-d Exposures'!Z999="",0,'3b-d Exposures'!Z999)</f>
        <v/>
      </c>
      <c r="O817" s="3">
        <f>$D817</f>
        <v/>
      </c>
      <c r="P817" s="3">
        <f>E817*$D817</f>
        <v/>
      </c>
      <c r="Q817" s="3">
        <f>F817*$D817</f>
        <v/>
      </c>
      <c r="R817" s="3">
        <f>G817*$D817</f>
        <v/>
      </c>
      <c r="S817" s="3">
        <f>H817*$D817</f>
        <v/>
      </c>
      <c r="T817" s="3">
        <f>I817*$D817</f>
        <v/>
      </c>
      <c r="U817" s="3">
        <f>J817*$D817</f>
        <v/>
      </c>
      <c r="V817" s="3">
        <f>K817*$D817</f>
        <v/>
      </c>
      <c r="W817" s="3">
        <f>L817*$D817</f>
        <v/>
      </c>
      <c r="X817" s="3">
        <f>M817*$D817</f>
        <v/>
      </c>
      <c r="Y817" s="3">
        <f>N817*$D817</f>
        <v/>
      </c>
      <c r="Z817" s="3">
        <f>C817*$D817</f>
        <v/>
      </c>
      <c r="AA817" s="9">
        <f>$L978+$K978*E817+$J978*F817+$I978*G817+$H978*H817+$G978*I817+$F978*J817+$E978*K817+$D978*L817+$C978*M817+$B978*N817</f>
        <v/>
      </c>
      <c r="AB817" s="9">
        <f>C817-AA817</f>
        <v/>
      </c>
      <c r="AC817" s="4">
        <f>AB817^2</f>
        <v/>
      </c>
    </row>
    <row r="818">
      <c r="A818" t="inlineStr">
        <is>
          <t>ste</t>
        </is>
      </c>
      <c r="B818" t="inlineStr">
        <is>
          <t>ste</t>
        </is>
      </c>
      <c r="C818" s="9" t="n">
        <v>-0.0009129662376800018</v>
      </c>
      <c r="D818" s="3">
        <f>EXP(0.25*'3b-d Exposures'!G1000)</f>
        <v/>
      </c>
      <c r="E818" s="3">
        <f>IF('3b-d Exposures'!C1000="",0,'3b-d Exposures'!C1000)</f>
        <v/>
      </c>
      <c r="F818" s="3">
        <f>IF('3b-d Exposures'!E1000="",0,'3b-d Exposures'!E1000)</f>
        <v/>
      </c>
      <c r="G818" s="3">
        <f>IF('3b-d Exposures'!G1000="",0,'3b-d Exposures'!G1000)</f>
        <v/>
      </c>
      <c r="H818" s="3">
        <f>IF('3b-d Exposures'!I1000="",0,'3b-d Exposures'!I1000)</f>
        <v/>
      </c>
      <c r="I818" s="3">
        <f>IF('3b-d Exposures'!K1000="",0,'3b-d Exposures'!K1000)</f>
        <v/>
      </c>
      <c r="J818" s="3">
        <f>IF('3b-d Exposures'!M1000="",0,'3b-d Exposures'!M1000)</f>
        <v/>
      </c>
      <c r="K818" s="3">
        <f>IF('3b-d Exposures'!O1000="",0,'3b-d Exposures'!O1000)</f>
        <v/>
      </c>
      <c r="L818" s="3">
        <f>IF('3b-d Exposures'!Q1000="",0,'3b-d Exposures'!Q1000)</f>
        <v/>
      </c>
      <c r="M818" s="3">
        <f>IF('3b-d Exposures'!S1000="",0,'3b-d Exposures'!S1000)</f>
        <v/>
      </c>
      <c r="N818" s="3">
        <f>IF('3b-d Exposures'!Z1000="",0,'3b-d Exposures'!Z1000)</f>
        <v/>
      </c>
      <c r="O818" s="3">
        <f>$D818</f>
        <v/>
      </c>
      <c r="P818" s="3">
        <f>E818*$D818</f>
        <v/>
      </c>
      <c r="Q818" s="3">
        <f>F818*$D818</f>
        <v/>
      </c>
      <c r="R818" s="3">
        <f>G818*$D818</f>
        <v/>
      </c>
      <c r="S818" s="3">
        <f>H818*$D818</f>
        <v/>
      </c>
      <c r="T818" s="3">
        <f>I818*$D818</f>
        <v/>
      </c>
      <c r="U818" s="3">
        <f>J818*$D818</f>
        <v/>
      </c>
      <c r="V818" s="3">
        <f>K818*$D818</f>
        <v/>
      </c>
      <c r="W818" s="3">
        <f>L818*$D818</f>
        <v/>
      </c>
      <c r="X818" s="3">
        <f>M818*$D818</f>
        <v/>
      </c>
      <c r="Y818" s="3">
        <f>N818*$D818</f>
        <v/>
      </c>
      <c r="Z818" s="3">
        <f>C818*$D818</f>
        <v/>
      </c>
      <c r="AA818" s="9">
        <f>$L978+$K978*E818+$J978*F818+$I978*G818+$H978*H818+$G978*I818+$F978*J818+$E978*K818+$D978*L818+$C978*M818+$B978*N818</f>
        <v/>
      </c>
      <c r="AB818" s="9">
        <f>C818-AA818</f>
        <v/>
      </c>
      <c r="AC818" s="4">
        <f>AB818^2</f>
        <v/>
      </c>
    </row>
    <row r="819">
      <c r="A819" t="inlineStr">
        <is>
          <t>BBG000HGYNZ9</t>
        </is>
      </c>
      <c r="B819" t="inlineStr">
        <is>
          <t>stld</t>
        </is>
      </c>
      <c r="C819" s="9" t="n">
        <v>-0.003166698005235724</v>
      </c>
      <c r="D819" s="3">
        <f>EXP(0.25*'3b-d Exposures'!G1001)</f>
        <v/>
      </c>
      <c r="E819" s="3">
        <f>IF('3b-d Exposures'!C1001="",0,'3b-d Exposures'!C1001)</f>
        <v/>
      </c>
      <c r="F819" s="3">
        <f>IF('3b-d Exposures'!E1001="",0,'3b-d Exposures'!E1001)</f>
        <v/>
      </c>
      <c r="G819" s="3">
        <f>IF('3b-d Exposures'!G1001="",0,'3b-d Exposures'!G1001)</f>
        <v/>
      </c>
      <c r="H819" s="3">
        <f>IF('3b-d Exposures'!I1001="",0,'3b-d Exposures'!I1001)</f>
        <v/>
      </c>
      <c r="I819" s="3">
        <f>IF('3b-d Exposures'!K1001="",0,'3b-d Exposures'!K1001)</f>
        <v/>
      </c>
      <c r="J819" s="3">
        <f>IF('3b-d Exposures'!M1001="",0,'3b-d Exposures'!M1001)</f>
        <v/>
      </c>
      <c r="K819" s="3">
        <f>IF('3b-d Exposures'!O1001="",0,'3b-d Exposures'!O1001)</f>
        <v/>
      </c>
      <c r="L819" s="3">
        <f>IF('3b-d Exposures'!Q1001="",0,'3b-d Exposures'!Q1001)</f>
        <v/>
      </c>
      <c r="M819" s="3">
        <f>IF('3b-d Exposures'!S1001="",0,'3b-d Exposures'!S1001)</f>
        <v/>
      </c>
      <c r="N819" s="3">
        <f>IF('3b-d Exposures'!Z1001="",0,'3b-d Exposures'!Z1001)</f>
        <v/>
      </c>
      <c r="O819" s="3">
        <f>$D819</f>
        <v/>
      </c>
      <c r="P819" s="3">
        <f>E819*$D819</f>
        <v/>
      </c>
      <c r="Q819" s="3">
        <f>F819*$D819</f>
        <v/>
      </c>
      <c r="R819" s="3">
        <f>G819*$D819</f>
        <v/>
      </c>
      <c r="S819" s="3">
        <f>H819*$D819</f>
        <v/>
      </c>
      <c r="T819" s="3">
        <f>I819*$D819</f>
        <v/>
      </c>
      <c r="U819" s="3">
        <f>J819*$D819</f>
        <v/>
      </c>
      <c r="V819" s="3">
        <f>K819*$D819</f>
        <v/>
      </c>
      <c r="W819" s="3">
        <f>L819*$D819</f>
        <v/>
      </c>
      <c r="X819" s="3">
        <f>M819*$D819</f>
        <v/>
      </c>
      <c r="Y819" s="3">
        <f>N819*$D819</f>
        <v/>
      </c>
      <c r="Z819" s="3">
        <f>C819*$D819</f>
        <v/>
      </c>
      <c r="AA819" s="9">
        <f>$L978+$K978*E819+$J978*F819+$I978*G819+$H978*H819+$G978*I819+$F978*J819+$E978*K819+$D978*L819+$C978*M819+$B978*N819</f>
        <v/>
      </c>
      <c r="AB819" s="9">
        <f>C819-AA819</f>
        <v/>
      </c>
      <c r="AC819" s="4">
        <f>AB819^2</f>
        <v/>
      </c>
    </row>
    <row r="820">
      <c r="A820" t="inlineStr">
        <is>
          <t>BBG000BD4GX2</t>
        </is>
      </c>
      <c r="B820" t="inlineStr">
        <is>
          <t>stm</t>
        </is>
      </c>
      <c r="C820" s="9" t="n">
        <v>0.02431381105210684</v>
      </c>
      <c r="D820" s="3">
        <f>EXP(0.25*'3b-d Exposures'!G1002)</f>
        <v/>
      </c>
      <c r="E820" s="3">
        <f>IF('3b-d Exposures'!C1002="",0,'3b-d Exposures'!C1002)</f>
        <v/>
      </c>
      <c r="F820" s="3">
        <f>IF('3b-d Exposures'!E1002="",0,'3b-d Exposures'!E1002)</f>
        <v/>
      </c>
      <c r="G820" s="3">
        <f>IF('3b-d Exposures'!G1002="",0,'3b-d Exposures'!G1002)</f>
        <v/>
      </c>
      <c r="H820" s="3">
        <f>IF('3b-d Exposures'!I1002="",0,'3b-d Exposures'!I1002)</f>
        <v/>
      </c>
      <c r="I820" s="3">
        <f>IF('3b-d Exposures'!K1002="",0,'3b-d Exposures'!K1002)</f>
        <v/>
      </c>
      <c r="J820" s="3">
        <f>IF('3b-d Exposures'!M1002="",0,'3b-d Exposures'!M1002)</f>
        <v/>
      </c>
      <c r="K820" s="3">
        <f>IF('3b-d Exposures'!O1002="",0,'3b-d Exposures'!O1002)</f>
        <v/>
      </c>
      <c r="L820" s="3">
        <f>IF('3b-d Exposures'!Q1002="",0,'3b-d Exposures'!Q1002)</f>
        <v/>
      </c>
      <c r="M820" s="3">
        <f>IF('3b-d Exposures'!S1002="",0,'3b-d Exposures'!S1002)</f>
        <v/>
      </c>
      <c r="N820" s="3">
        <f>IF('3b-d Exposures'!Z1002="",0,'3b-d Exposures'!Z1002)</f>
        <v/>
      </c>
      <c r="O820" s="3">
        <f>$D820</f>
        <v/>
      </c>
      <c r="P820" s="3">
        <f>E820*$D820</f>
        <v/>
      </c>
      <c r="Q820" s="3">
        <f>F820*$D820</f>
        <v/>
      </c>
      <c r="R820" s="3">
        <f>G820*$D820</f>
        <v/>
      </c>
      <c r="S820" s="3">
        <f>H820*$D820</f>
        <v/>
      </c>
      <c r="T820" s="3">
        <f>I820*$D820</f>
        <v/>
      </c>
      <c r="U820" s="3">
        <f>J820*$D820</f>
        <v/>
      </c>
      <c r="V820" s="3">
        <f>K820*$D820</f>
        <v/>
      </c>
      <c r="W820" s="3">
        <f>L820*$D820</f>
        <v/>
      </c>
      <c r="X820" s="3">
        <f>M820*$D820</f>
        <v/>
      </c>
      <c r="Y820" s="3">
        <f>N820*$D820</f>
        <v/>
      </c>
      <c r="Z820" s="3">
        <f>C820*$D820</f>
        <v/>
      </c>
      <c r="AA820" s="9">
        <f>$L978+$K978*E820+$J978*F820+$I978*G820+$H978*H820+$G978*I820+$F978*J820+$E978*K820+$D978*L820+$C978*M820+$B978*N820</f>
        <v/>
      </c>
      <c r="AB820" s="9">
        <f>C820-AA820</f>
        <v/>
      </c>
      <c r="AC820" s="4">
        <f>AB820^2</f>
        <v/>
      </c>
    </row>
    <row r="821">
      <c r="A821" t="inlineStr">
        <is>
          <t>BBG000BKFBD7</t>
        </is>
      </c>
      <c r="B821" t="inlineStr">
        <is>
          <t>stt</t>
        </is>
      </c>
      <c r="C821" s="9" t="n">
        <v>-0.004872717926506898</v>
      </c>
      <c r="D821" s="3">
        <f>EXP(0.25*'3b-d Exposures'!G1003)</f>
        <v/>
      </c>
      <c r="E821" s="3">
        <f>IF('3b-d Exposures'!C1003="",0,'3b-d Exposures'!C1003)</f>
        <v/>
      </c>
      <c r="F821" s="3">
        <f>IF('3b-d Exposures'!E1003="",0,'3b-d Exposures'!E1003)</f>
        <v/>
      </c>
      <c r="G821" s="3">
        <f>IF('3b-d Exposures'!G1003="",0,'3b-d Exposures'!G1003)</f>
        <v/>
      </c>
      <c r="H821" s="3">
        <f>IF('3b-d Exposures'!I1003="",0,'3b-d Exposures'!I1003)</f>
        <v/>
      </c>
      <c r="I821" s="3">
        <f>IF('3b-d Exposures'!K1003="",0,'3b-d Exposures'!K1003)</f>
        <v/>
      </c>
      <c r="J821" s="3">
        <f>IF('3b-d Exposures'!M1003="",0,'3b-d Exposures'!M1003)</f>
        <v/>
      </c>
      <c r="K821" s="3">
        <f>IF('3b-d Exposures'!O1003="",0,'3b-d Exposures'!O1003)</f>
        <v/>
      </c>
      <c r="L821" s="3">
        <f>IF('3b-d Exposures'!Q1003="",0,'3b-d Exposures'!Q1003)</f>
        <v/>
      </c>
      <c r="M821" s="3">
        <f>IF('3b-d Exposures'!S1003="",0,'3b-d Exposures'!S1003)</f>
        <v/>
      </c>
      <c r="N821" s="3">
        <f>IF('3b-d Exposures'!Z1003="",0,'3b-d Exposures'!Z1003)</f>
        <v/>
      </c>
      <c r="O821" s="3">
        <f>$D821</f>
        <v/>
      </c>
      <c r="P821" s="3">
        <f>E821*$D821</f>
        <v/>
      </c>
      <c r="Q821" s="3">
        <f>F821*$D821</f>
        <v/>
      </c>
      <c r="R821" s="3">
        <f>G821*$D821</f>
        <v/>
      </c>
      <c r="S821" s="3">
        <f>H821*$D821</f>
        <v/>
      </c>
      <c r="T821" s="3">
        <f>I821*$D821</f>
        <v/>
      </c>
      <c r="U821" s="3">
        <f>J821*$D821</f>
        <v/>
      </c>
      <c r="V821" s="3">
        <f>K821*$D821</f>
        <v/>
      </c>
      <c r="W821" s="3">
        <f>L821*$D821</f>
        <v/>
      </c>
      <c r="X821" s="3">
        <f>M821*$D821</f>
        <v/>
      </c>
      <c r="Y821" s="3">
        <f>N821*$D821</f>
        <v/>
      </c>
      <c r="Z821" s="3">
        <f>C821*$D821</f>
        <v/>
      </c>
      <c r="AA821" s="9">
        <f>$L978+$K978*E821+$J978*F821+$I978*G821+$H978*H821+$G978*I821+$F978*J821+$E978*K821+$D978*L821+$C978*M821+$B978*N821</f>
        <v/>
      </c>
      <c r="AB821" s="9">
        <f>C821-AA821</f>
        <v/>
      </c>
      <c r="AC821" s="4">
        <f>AB821^2</f>
        <v/>
      </c>
    </row>
    <row r="822">
      <c r="A822" t="inlineStr">
        <is>
          <t>BBG000M1J270</t>
        </is>
      </c>
      <c r="B822" t="inlineStr">
        <is>
          <t>stwd</t>
        </is>
      </c>
      <c r="C822" s="9" t="n">
        <v>-0.003927329040113503</v>
      </c>
      <c r="D822" s="3">
        <f>EXP(0.25*'3b-d Exposures'!G1005)</f>
        <v/>
      </c>
      <c r="E822" s="3">
        <f>IF('3b-d Exposures'!C1005="",0,'3b-d Exposures'!C1005)</f>
        <v/>
      </c>
      <c r="F822" s="3">
        <f>IF('3b-d Exposures'!E1005="",0,'3b-d Exposures'!E1005)</f>
        <v/>
      </c>
      <c r="G822" s="3">
        <f>IF('3b-d Exposures'!G1005="",0,'3b-d Exposures'!G1005)</f>
        <v/>
      </c>
      <c r="H822" s="3">
        <f>IF('3b-d Exposures'!I1005="",0,'3b-d Exposures'!I1005)</f>
        <v/>
      </c>
      <c r="I822" s="3">
        <f>IF('3b-d Exposures'!K1005="",0,'3b-d Exposures'!K1005)</f>
        <v/>
      </c>
      <c r="J822" s="3">
        <f>IF('3b-d Exposures'!M1005="",0,'3b-d Exposures'!M1005)</f>
        <v/>
      </c>
      <c r="K822" s="3">
        <f>IF('3b-d Exposures'!O1005="",0,'3b-d Exposures'!O1005)</f>
        <v/>
      </c>
      <c r="L822" s="3">
        <f>IF('3b-d Exposures'!Q1005="",0,'3b-d Exposures'!Q1005)</f>
        <v/>
      </c>
      <c r="M822" s="3">
        <f>IF('3b-d Exposures'!S1005="",0,'3b-d Exposures'!S1005)</f>
        <v/>
      </c>
      <c r="N822" s="3">
        <f>IF('3b-d Exposures'!Z1005="",0,'3b-d Exposures'!Z1005)</f>
        <v/>
      </c>
      <c r="O822" s="3">
        <f>$D822</f>
        <v/>
      </c>
      <c r="P822" s="3">
        <f>E822*$D822</f>
        <v/>
      </c>
      <c r="Q822" s="3">
        <f>F822*$D822</f>
        <v/>
      </c>
      <c r="R822" s="3">
        <f>G822*$D822</f>
        <v/>
      </c>
      <c r="S822" s="3">
        <f>H822*$D822</f>
        <v/>
      </c>
      <c r="T822" s="3">
        <f>I822*$D822</f>
        <v/>
      </c>
      <c r="U822" s="3">
        <f>J822*$D822</f>
        <v/>
      </c>
      <c r="V822" s="3">
        <f>K822*$D822</f>
        <v/>
      </c>
      <c r="W822" s="3">
        <f>L822*$D822</f>
        <v/>
      </c>
      <c r="X822" s="3">
        <f>M822*$D822</f>
        <v/>
      </c>
      <c r="Y822" s="3">
        <f>N822*$D822</f>
        <v/>
      </c>
      <c r="Z822" s="3">
        <f>C822*$D822</f>
        <v/>
      </c>
      <c r="AA822" s="9">
        <f>$L978+$K978*E822+$J978*F822+$I978*G822+$H978*H822+$G978*I822+$F978*J822+$E978*K822+$D978*L822+$C978*M822+$B978*N822</f>
        <v/>
      </c>
      <c r="AB822" s="9">
        <f>C822-AA822</f>
        <v/>
      </c>
      <c r="AC822" s="4">
        <f>AB822^2</f>
        <v/>
      </c>
    </row>
    <row r="823">
      <c r="A823" t="inlineStr">
        <is>
          <t>stx</t>
        </is>
      </c>
      <c r="B823" t="inlineStr">
        <is>
          <t>stx</t>
        </is>
      </c>
      <c r="C823" s="9" t="n">
        <v>0.01805988130075131</v>
      </c>
      <c r="D823" s="3">
        <f>EXP(0.25*'3b-d Exposures'!G1006)</f>
        <v/>
      </c>
      <c r="E823" s="3">
        <f>IF('3b-d Exposures'!C1006="",0,'3b-d Exposures'!C1006)</f>
        <v/>
      </c>
      <c r="F823" s="3">
        <f>IF('3b-d Exposures'!E1006="",0,'3b-d Exposures'!E1006)</f>
        <v/>
      </c>
      <c r="G823" s="3">
        <f>IF('3b-d Exposures'!G1006="",0,'3b-d Exposures'!G1006)</f>
        <v/>
      </c>
      <c r="H823" s="3">
        <f>IF('3b-d Exposures'!I1006="",0,'3b-d Exposures'!I1006)</f>
        <v/>
      </c>
      <c r="I823" s="3">
        <f>IF('3b-d Exposures'!K1006="",0,'3b-d Exposures'!K1006)</f>
        <v/>
      </c>
      <c r="J823" s="3">
        <f>IF('3b-d Exposures'!M1006="",0,'3b-d Exposures'!M1006)</f>
        <v/>
      </c>
      <c r="K823" s="3">
        <f>IF('3b-d Exposures'!O1006="",0,'3b-d Exposures'!O1006)</f>
        <v/>
      </c>
      <c r="L823" s="3">
        <f>IF('3b-d Exposures'!Q1006="",0,'3b-d Exposures'!Q1006)</f>
        <v/>
      </c>
      <c r="M823" s="3">
        <f>IF('3b-d Exposures'!S1006="",0,'3b-d Exposures'!S1006)</f>
        <v/>
      </c>
      <c r="N823" s="3">
        <f>IF('3b-d Exposures'!Z1006="",0,'3b-d Exposures'!Z1006)</f>
        <v/>
      </c>
      <c r="O823" s="3">
        <f>$D823</f>
        <v/>
      </c>
      <c r="P823" s="3">
        <f>E823*$D823</f>
        <v/>
      </c>
      <c r="Q823" s="3">
        <f>F823*$D823</f>
        <v/>
      </c>
      <c r="R823" s="3">
        <f>G823*$D823</f>
        <v/>
      </c>
      <c r="S823" s="3">
        <f>H823*$D823</f>
        <v/>
      </c>
      <c r="T823" s="3">
        <f>I823*$D823</f>
        <v/>
      </c>
      <c r="U823" s="3">
        <f>J823*$D823</f>
        <v/>
      </c>
      <c r="V823" s="3">
        <f>K823*$D823</f>
        <v/>
      </c>
      <c r="W823" s="3">
        <f>L823*$D823</f>
        <v/>
      </c>
      <c r="X823" s="3">
        <f>M823*$D823</f>
        <v/>
      </c>
      <c r="Y823" s="3">
        <f>N823*$D823</f>
        <v/>
      </c>
      <c r="Z823" s="3">
        <f>C823*$D823</f>
        <v/>
      </c>
      <c r="AA823" s="9">
        <f>$L978+$K978*E823+$J978*F823+$I978*G823+$H978*H823+$G978*I823+$F978*J823+$E978*K823+$D978*L823+$C978*M823+$B978*N823</f>
        <v/>
      </c>
      <c r="AB823" s="9">
        <f>C823-AA823</f>
        <v/>
      </c>
      <c r="AC823" s="4">
        <f>AB823^2</f>
        <v/>
      </c>
    </row>
    <row r="824">
      <c r="A824" t="inlineStr">
        <is>
          <t>BBG000J1QLT0</t>
        </is>
      </c>
      <c r="B824" t="inlineStr">
        <is>
          <t>stz</t>
        </is>
      </c>
      <c r="C824" s="9" t="n">
        <v>-0.01323937091851857</v>
      </c>
      <c r="D824" s="3">
        <f>EXP(0.25*'3b-d Exposures'!G1007)</f>
        <v/>
      </c>
      <c r="E824" s="3">
        <f>IF('3b-d Exposures'!C1007="",0,'3b-d Exposures'!C1007)</f>
        <v/>
      </c>
      <c r="F824" s="3">
        <f>IF('3b-d Exposures'!E1007="",0,'3b-d Exposures'!E1007)</f>
        <v/>
      </c>
      <c r="G824" s="3">
        <f>IF('3b-d Exposures'!G1007="",0,'3b-d Exposures'!G1007)</f>
        <v/>
      </c>
      <c r="H824" s="3">
        <f>IF('3b-d Exposures'!I1007="",0,'3b-d Exposures'!I1007)</f>
        <v/>
      </c>
      <c r="I824" s="3">
        <f>IF('3b-d Exposures'!K1007="",0,'3b-d Exposures'!K1007)</f>
        <v/>
      </c>
      <c r="J824" s="3">
        <f>IF('3b-d Exposures'!M1007="",0,'3b-d Exposures'!M1007)</f>
        <v/>
      </c>
      <c r="K824" s="3">
        <f>IF('3b-d Exposures'!O1007="",0,'3b-d Exposures'!O1007)</f>
        <v/>
      </c>
      <c r="L824" s="3">
        <f>IF('3b-d Exposures'!Q1007="",0,'3b-d Exposures'!Q1007)</f>
        <v/>
      </c>
      <c r="M824" s="3">
        <f>IF('3b-d Exposures'!S1007="",0,'3b-d Exposures'!S1007)</f>
        <v/>
      </c>
      <c r="N824" s="3">
        <f>IF('3b-d Exposures'!Z1007="",0,'3b-d Exposures'!Z1007)</f>
        <v/>
      </c>
      <c r="O824" s="3">
        <f>$D824</f>
        <v/>
      </c>
      <c r="P824" s="3">
        <f>E824*$D824</f>
        <v/>
      </c>
      <c r="Q824" s="3">
        <f>F824*$D824</f>
        <v/>
      </c>
      <c r="R824" s="3">
        <f>G824*$D824</f>
        <v/>
      </c>
      <c r="S824" s="3">
        <f>H824*$D824</f>
        <v/>
      </c>
      <c r="T824" s="3">
        <f>I824*$D824</f>
        <v/>
      </c>
      <c r="U824" s="3">
        <f>J824*$D824</f>
        <v/>
      </c>
      <c r="V824" s="3">
        <f>K824*$D824</f>
        <v/>
      </c>
      <c r="W824" s="3">
        <f>L824*$D824</f>
        <v/>
      </c>
      <c r="X824" s="3">
        <f>M824*$D824</f>
        <v/>
      </c>
      <c r="Y824" s="3">
        <f>N824*$D824</f>
        <v/>
      </c>
      <c r="Z824" s="3">
        <f>C824*$D824</f>
        <v/>
      </c>
      <c r="AA824" s="9">
        <f>$L978+$K978*E824+$J978*F824+$I978*G824+$H978*H824+$G978*I824+$F978*J824+$E978*K824+$D978*L824+$C978*M824+$B978*N824</f>
        <v/>
      </c>
      <c r="AB824" s="9">
        <f>C824-AA824</f>
        <v/>
      </c>
      <c r="AC824" s="4">
        <f>AB824^2</f>
        <v/>
      </c>
    </row>
    <row r="825">
      <c r="A825" t="inlineStr">
        <is>
          <t>BBG000BP0HX7</t>
        </is>
      </c>
      <c r="B825" t="inlineStr">
        <is>
          <t>supn</t>
        </is>
      </c>
      <c r="C825" s="9" t="n">
        <v>0.02023521150238161</v>
      </c>
      <c r="D825" s="3">
        <f>EXP(0.25*'3b-d Exposures'!G1010)</f>
        <v/>
      </c>
      <c r="E825" s="3">
        <f>IF('3b-d Exposures'!C1010="",0,'3b-d Exposures'!C1010)</f>
        <v/>
      </c>
      <c r="F825" s="3">
        <f>IF('3b-d Exposures'!E1010="",0,'3b-d Exposures'!E1010)</f>
        <v/>
      </c>
      <c r="G825" s="3">
        <f>IF('3b-d Exposures'!G1010="",0,'3b-d Exposures'!G1010)</f>
        <v/>
      </c>
      <c r="H825" s="3">
        <f>IF('3b-d Exposures'!I1010="",0,'3b-d Exposures'!I1010)</f>
        <v/>
      </c>
      <c r="I825" s="3">
        <f>IF('3b-d Exposures'!K1010="",0,'3b-d Exposures'!K1010)</f>
        <v/>
      </c>
      <c r="J825" s="3">
        <f>IF('3b-d Exposures'!M1010="",0,'3b-d Exposures'!M1010)</f>
        <v/>
      </c>
      <c r="K825" s="3">
        <f>IF('3b-d Exposures'!O1010="",0,'3b-d Exposures'!O1010)</f>
        <v/>
      </c>
      <c r="L825" s="3">
        <f>IF('3b-d Exposures'!Q1010="",0,'3b-d Exposures'!Q1010)</f>
        <v/>
      </c>
      <c r="M825" s="3">
        <f>IF('3b-d Exposures'!S1010="",0,'3b-d Exposures'!S1010)</f>
        <v/>
      </c>
      <c r="N825" s="3">
        <f>IF('3b-d Exposures'!Z1010="",0,'3b-d Exposures'!Z1010)</f>
        <v/>
      </c>
      <c r="O825" s="3">
        <f>$D825</f>
        <v/>
      </c>
      <c r="P825" s="3">
        <f>E825*$D825</f>
        <v/>
      </c>
      <c r="Q825" s="3">
        <f>F825*$D825</f>
        <v/>
      </c>
      <c r="R825" s="3">
        <f>G825*$D825</f>
        <v/>
      </c>
      <c r="S825" s="3">
        <f>H825*$D825</f>
        <v/>
      </c>
      <c r="T825" s="3">
        <f>I825*$D825</f>
        <v/>
      </c>
      <c r="U825" s="3">
        <f>J825*$D825</f>
        <v/>
      </c>
      <c r="V825" s="3">
        <f>K825*$D825</f>
        <v/>
      </c>
      <c r="W825" s="3">
        <f>L825*$D825</f>
        <v/>
      </c>
      <c r="X825" s="3">
        <f>M825*$D825</f>
        <v/>
      </c>
      <c r="Y825" s="3">
        <f>N825*$D825</f>
        <v/>
      </c>
      <c r="Z825" s="3">
        <f>C825*$D825</f>
        <v/>
      </c>
      <c r="AA825" s="9">
        <f>$L978+$K978*E825+$J978*F825+$I978*G825+$H978*H825+$G978*I825+$F978*J825+$E978*K825+$D978*L825+$C978*M825+$B978*N825</f>
        <v/>
      </c>
      <c r="AB825" s="9">
        <f>C825-AA825</f>
        <v/>
      </c>
      <c r="AC825" s="4">
        <f>AB825^2</f>
        <v/>
      </c>
    </row>
    <row r="826">
      <c r="A826" t="inlineStr">
        <is>
          <t>BBG01MF5HF91</t>
        </is>
      </c>
      <c r="B826" t="inlineStr">
        <is>
          <t>svco</t>
        </is>
      </c>
      <c r="C826" s="9" t="n">
        <v>0.03393936157226562</v>
      </c>
      <c r="D826" s="3">
        <f>EXP(0.25*'3b-d Exposures'!G1012)</f>
        <v/>
      </c>
      <c r="E826" s="3">
        <f>IF('3b-d Exposures'!C1012="",0,'3b-d Exposures'!C1012)</f>
        <v/>
      </c>
      <c r="F826" s="3">
        <f>IF('3b-d Exposures'!E1012="",0,'3b-d Exposures'!E1012)</f>
        <v/>
      </c>
      <c r="G826" s="3">
        <f>IF('3b-d Exposures'!G1012="",0,'3b-d Exposures'!G1012)</f>
        <v/>
      </c>
      <c r="H826" s="3">
        <f>IF('3b-d Exposures'!I1012="",0,'3b-d Exposures'!I1012)</f>
        <v/>
      </c>
      <c r="I826" s="3">
        <f>IF('3b-d Exposures'!K1012="",0,'3b-d Exposures'!K1012)</f>
        <v/>
      </c>
      <c r="J826" s="3">
        <f>IF('3b-d Exposures'!M1012="",0,'3b-d Exposures'!M1012)</f>
        <v/>
      </c>
      <c r="K826" s="3">
        <f>IF('3b-d Exposures'!O1012="",0,'3b-d Exposures'!O1012)</f>
        <v/>
      </c>
      <c r="L826" s="3">
        <f>IF('3b-d Exposures'!Q1012="",0,'3b-d Exposures'!Q1012)</f>
        <v/>
      </c>
      <c r="M826" s="3">
        <f>IF('3b-d Exposures'!S1012="",0,'3b-d Exposures'!S1012)</f>
        <v/>
      </c>
      <c r="N826" s="3">
        <f>IF('3b-d Exposures'!Z1012="",0,'3b-d Exposures'!Z1012)</f>
        <v/>
      </c>
      <c r="O826" s="3">
        <f>$D826</f>
        <v/>
      </c>
      <c r="P826" s="3">
        <f>E826*$D826</f>
        <v/>
      </c>
      <c r="Q826" s="3">
        <f>F826*$D826</f>
        <v/>
      </c>
      <c r="R826" s="3">
        <f>G826*$D826</f>
        <v/>
      </c>
      <c r="S826" s="3">
        <f>H826*$D826</f>
        <v/>
      </c>
      <c r="T826" s="3">
        <f>I826*$D826</f>
        <v/>
      </c>
      <c r="U826" s="3">
        <f>J826*$D826</f>
        <v/>
      </c>
      <c r="V826" s="3">
        <f>K826*$D826</f>
        <v/>
      </c>
      <c r="W826" s="3">
        <f>L826*$D826</f>
        <v/>
      </c>
      <c r="X826" s="3">
        <f>M826*$D826</f>
        <v/>
      </c>
      <c r="Y826" s="3">
        <f>N826*$D826</f>
        <v/>
      </c>
      <c r="Z826" s="3">
        <f>C826*$D826</f>
        <v/>
      </c>
      <c r="AA826" s="9">
        <f>$L978+$K978*E826+$J978*F826+$I978*G826+$H978*H826+$G978*I826+$F978*J826+$E978*K826+$D978*L826+$C978*M826+$B978*N826</f>
        <v/>
      </c>
      <c r="AB826" s="9">
        <f>C826-AA826</f>
        <v/>
      </c>
      <c r="AC826" s="4">
        <f>AB826^2</f>
        <v/>
      </c>
    </row>
    <row r="827">
      <c r="A827" t="inlineStr">
        <is>
          <t>BBG01F5T0KZ3</t>
        </is>
      </c>
      <c r="B827" t="inlineStr">
        <is>
          <t>svv</t>
        </is>
      </c>
      <c r="C827" s="9" t="n">
        <v>0.02032080990711527</v>
      </c>
      <c r="D827" s="3">
        <f>EXP(0.25*'3b-d Exposures'!G1013)</f>
        <v/>
      </c>
      <c r="E827" s="3">
        <f>IF('3b-d Exposures'!C1013="",0,'3b-d Exposures'!C1013)</f>
        <v/>
      </c>
      <c r="F827" s="3">
        <f>IF('3b-d Exposures'!E1013="",0,'3b-d Exposures'!E1013)</f>
        <v/>
      </c>
      <c r="G827" s="3">
        <f>IF('3b-d Exposures'!G1013="",0,'3b-d Exposures'!G1013)</f>
        <v/>
      </c>
      <c r="H827" s="3">
        <f>IF('3b-d Exposures'!I1013="",0,'3b-d Exposures'!I1013)</f>
        <v/>
      </c>
      <c r="I827" s="3">
        <f>IF('3b-d Exposures'!K1013="",0,'3b-d Exposures'!K1013)</f>
        <v/>
      </c>
      <c r="J827" s="3">
        <f>IF('3b-d Exposures'!M1013="",0,'3b-d Exposures'!M1013)</f>
        <v/>
      </c>
      <c r="K827" s="3">
        <f>IF('3b-d Exposures'!O1013="",0,'3b-d Exposures'!O1013)</f>
        <v/>
      </c>
      <c r="L827" s="3">
        <f>IF('3b-d Exposures'!Q1013="",0,'3b-d Exposures'!Q1013)</f>
        <v/>
      </c>
      <c r="M827" s="3">
        <f>IF('3b-d Exposures'!S1013="",0,'3b-d Exposures'!S1013)</f>
        <v/>
      </c>
      <c r="N827" s="3">
        <f>IF('3b-d Exposures'!Z1013="",0,'3b-d Exposures'!Z1013)</f>
        <v/>
      </c>
      <c r="O827" s="3">
        <f>$D827</f>
        <v/>
      </c>
      <c r="P827" s="3">
        <f>E827*$D827</f>
        <v/>
      </c>
      <c r="Q827" s="3">
        <f>F827*$D827</f>
        <v/>
      </c>
      <c r="R827" s="3">
        <f>G827*$D827</f>
        <v/>
      </c>
      <c r="S827" s="3">
        <f>H827*$D827</f>
        <v/>
      </c>
      <c r="T827" s="3">
        <f>I827*$D827</f>
        <v/>
      </c>
      <c r="U827" s="3">
        <f>J827*$D827</f>
        <v/>
      </c>
      <c r="V827" s="3">
        <f>K827*$D827</f>
        <v/>
      </c>
      <c r="W827" s="3">
        <f>L827*$D827</f>
        <v/>
      </c>
      <c r="X827" s="3">
        <f>M827*$D827</f>
        <v/>
      </c>
      <c r="Y827" s="3">
        <f>N827*$D827</f>
        <v/>
      </c>
      <c r="Z827" s="3">
        <f>C827*$D827</f>
        <v/>
      </c>
      <c r="AA827" s="9">
        <f>$L978+$K978*E827+$J978*F827+$I978*G827+$H978*H827+$G978*I827+$F978*J827+$E978*K827+$D978*L827+$C978*M827+$B978*N827</f>
        <v/>
      </c>
      <c r="AB827" s="9">
        <f>C827-AA827</f>
        <v/>
      </c>
      <c r="AC827" s="4">
        <f>AB827^2</f>
        <v/>
      </c>
    </row>
    <row r="828">
      <c r="A828" t="inlineStr">
        <is>
          <t>sw</t>
        </is>
      </c>
      <c r="B828" t="inlineStr">
        <is>
          <t>sw</t>
        </is>
      </c>
      <c r="C828" s="9" t="n">
        <v>0.001635727789832453</v>
      </c>
      <c r="D828" s="3">
        <f>EXP(0.25*'3b-d Exposures'!G1014)</f>
        <v/>
      </c>
      <c r="E828" s="3">
        <f>IF('3b-d Exposures'!C1014="",0,'3b-d Exposures'!C1014)</f>
        <v/>
      </c>
      <c r="F828" s="3">
        <f>IF('3b-d Exposures'!E1014="",0,'3b-d Exposures'!E1014)</f>
        <v/>
      </c>
      <c r="G828" s="3">
        <f>IF('3b-d Exposures'!G1014="",0,'3b-d Exposures'!G1014)</f>
        <v/>
      </c>
      <c r="H828" s="3">
        <f>IF('3b-d Exposures'!I1014="",0,'3b-d Exposures'!I1014)</f>
        <v/>
      </c>
      <c r="I828" s="3">
        <f>IF('3b-d Exposures'!K1014="",0,'3b-d Exposures'!K1014)</f>
        <v/>
      </c>
      <c r="J828" s="3">
        <f>IF('3b-d Exposures'!M1014="",0,'3b-d Exposures'!M1014)</f>
        <v/>
      </c>
      <c r="K828" s="3">
        <f>IF('3b-d Exposures'!O1014="",0,'3b-d Exposures'!O1014)</f>
        <v/>
      </c>
      <c r="L828" s="3">
        <f>IF('3b-d Exposures'!Q1014="",0,'3b-d Exposures'!Q1014)</f>
        <v/>
      </c>
      <c r="M828" s="3">
        <f>IF('3b-d Exposures'!S1014="",0,'3b-d Exposures'!S1014)</f>
        <v/>
      </c>
      <c r="N828" s="3">
        <f>IF('3b-d Exposures'!Z1014="",0,'3b-d Exposures'!Z1014)</f>
        <v/>
      </c>
      <c r="O828" s="3">
        <f>$D828</f>
        <v/>
      </c>
      <c r="P828" s="3">
        <f>E828*$D828</f>
        <v/>
      </c>
      <c r="Q828" s="3">
        <f>F828*$D828</f>
        <v/>
      </c>
      <c r="R828" s="3">
        <f>G828*$D828</f>
        <v/>
      </c>
      <c r="S828" s="3">
        <f>H828*$D828</f>
        <v/>
      </c>
      <c r="T828" s="3">
        <f>I828*$D828</f>
        <v/>
      </c>
      <c r="U828" s="3">
        <f>J828*$D828</f>
        <v/>
      </c>
      <c r="V828" s="3">
        <f>K828*$D828</f>
        <v/>
      </c>
      <c r="W828" s="3">
        <f>L828*$D828</f>
        <v/>
      </c>
      <c r="X828" s="3">
        <f>M828*$D828</f>
        <v/>
      </c>
      <c r="Y828" s="3">
        <f>N828*$D828</f>
        <v/>
      </c>
      <c r="Z828" s="3">
        <f>C828*$D828</f>
        <v/>
      </c>
      <c r="AA828" s="9">
        <f>$L978+$K978*E828+$J978*F828+$I978*G828+$H978*H828+$G978*I828+$F978*J828+$E978*K828+$D978*L828+$C978*M828+$B978*N828</f>
        <v/>
      </c>
      <c r="AB828" s="9">
        <f>C828-AA828</f>
        <v/>
      </c>
      <c r="AC828" s="4">
        <f>AB828^2</f>
        <v/>
      </c>
    </row>
    <row r="829">
      <c r="A829" t="inlineStr">
        <is>
          <t>BBG000BTQR96</t>
        </is>
      </c>
      <c r="B829" t="inlineStr">
        <is>
          <t>swk</t>
        </is>
      </c>
      <c r="C829" s="9" t="n">
        <v>-0.004248236713096154</v>
      </c>
      <c r="D829" s="3">
        <f>EXP(0.25*'3b-d Exposures'!G1015)</f>
        <v/>
      </c>
      <c r="E829" s="3">
        <f>IF('3b-d Exposures'!C1015="",0,'3b-d Exposures'!C1015)</f>
        <v/>
      </c>
      <c r="F829" s="3">
        <f>IF('3b-d Exposures'!E1015="",0,'3b-d Exposures'!E1015)</f>
        <v/>
      </c>
      <c r="G829" s="3">
        <f>IF('3b-d Exposures'!G1015="",0,'3b-d Exposures'!G1015)</f>
        <v/>
      </c>
      <c r="H829" s="3">
        <f>IF('3b-d Exposures'!I1015="",0,'3b-d Exposures'!I1015)</f>
        <v/>
      </c>
      <c r="I829" s="3">
        <f>IF('3b-d Exposures'!K1015="",0,'3b-d Exposures'!K1015)</f>
        <v/>
      </c>
      <c r="J829" s="3">
        <f>IF('3b-d Exposures'!M1015="",0,'3b-d Exposures'!M1015)</f>
        <v/>
      </c>
      <c r="K829" s="3">
        <f>IF('3b-d Exposures'!O1015="",0,'3b-d Exposures'!O1015)</f>
        <v/>
      </c>
      <c r="L829" s="3">
        <f>IF('3b-d Exposures'!Q1015="",0,'3b-d Exposures'!Q1015)</f>
        <v/>
      </c>
      <c r="M829" s="3">
        <f>IF('3b-d Exposures'!S1015="",0,'3b-d Exposures'!S1015)</f>
        <v/>
      </c>
      <c r="N829" s="3">
        <f>IF('3b-d Exposures'!Z1015="",0,'3b-d Exposures'!Z1015)</f>
        <v/>
      </c>
      <c r="O829" s="3">
        <f>$D829</f>
        <v/>
      </c>
      <c r="P829" s="3">
        <f>E829*$D829</f>
        <v/>
      </c>
      <c r="Q829" s="3">
        <f>F829*$D829</f>
        <v/>
      </c>
      <c r="R829" s="3">
        <f>G829*$D829</f>
        <v/>
      </c>
      <c r="S829" s="3">
        <f>H829*$D829</f>
        <v/>
      </c>
      <c r="T829" s="3">
        <f>I829*$D829</f>
        <v/>
      </c>
      <c r="U829" s="3">
        <f>J829*$D829</f>
        <v/>
      </c>
      <c r="V829" s="3">
        <f>K829*$D829</f>
        <v/>
      </c>
      <c r="W829" s="3">
        <f>L829*$D829</f>
        <v/>
      </c>
      <c r="X829" s="3">
        <f>M829*$D829</f>
        <v/>
      </c>
      <c r="Y829" s="3">
        <f>N829*$D829</f>
        <v/>
      </c>
      <c r="Z829" s="3">
        <f>C829*$D829</f>
        <v/>
      </c>
      <c r="AA829" s="9">
        <f>$L978+$K978*E829+$J978*F829+$I978*G829+$H978*H829+$G978*I829+$F978*J829+$E978*K829+$D978*L829+$C978*M829+$B978*N829</f>
        <v/>
      </c>
      <c r="AB829" s="9">
        <f>C829-AA829</f>
        <v/>
      </c>
      <c r="AC829" s="4">
        <f>AB829^2</f>
        <v/>
      </c>
    </row>
    <row r="830">
      <c r="A830" t="inlineStr">
        <is>
          <t>BBG000KLB4Q1</t>
        </is>
      </c>
      <c r="B830" t="inlineStr">
        <is>
          <t>swks</t>
        </is>
      </c>
      <c r="C830" s="9" t="n">
        <v>0.01027511286167826</v>
      </c>
      <c r="D830" s="3">
        <f>EXP(0.25*'3b-d Exposures'!G1016)</f>
        <v/>
      </c>
      <c r="E830" s="3">
        <f>IF('3b-d Exposures'!C1016="",0,'3b-d Exposures'!C1016)</f>
        <v/>
      </c>
      <c r="F830" s="3">
        <f>IF('3b-d Exposures'!E1016="",0,'3b-d Exposures'!E1016)</f>
        <v/>
      </c>
      <c r="G830" s="3">
        <f>IF('3b-d Exposures'!G1016="",0,'3b-d Exposures'!G1016)</f>
        <v/>
      </c>
      <c r="H830" s="3">
        <f>IF('3b-d Exposures'!I1016="",0,'3b-d Exposures'!I1016)</f>
        <v/>
      </c>
      <c r="I830" s="3">
        <f>IF('3b-d Exposures'!K1016="",0,'3b-d Exposures'!K1016)</f>
        <v/>
      </c>
      <c r="J830" s="3">
        <f>IF('3b-d Exposures'!M1016="",0,'3b-d Exposures'!M1016)</f>
        <v/>
      </c>
      <c r="K830" s="3">
        <f>IF('3b-d Exposures'!O1016="",0,'3b-d Exposures'!O1016)</f>
        <v/>
      </c>
      <c r="L830" s="3">
        <f>IF('3b-d Exposures'!Q1016="",0,'3b-d Exposures'!Q1016)</f>
        <v/>
      </c>
      <c r="M830" s="3">
        <f>IF('3b-d Exposures'!S1016="",0,'3b-d Exposures'!S1016)</f>
        <v/>
      </c>
      <c r="N830" s="3">
        <f>IF('3b-d Exposures'!Z1016="",0,'3b-d Exposures'!Z1016)</f>
        <v/>
      </c>
      <c r="O830" s="3">
        <f>$D830</f>
        <v/>
      </c>
      <c r="P830" s="3">
        <f>E830*$D830</f>
        <v/>
      </c>
      <c r="Q830" s="3">
        <f>F830*$D830</f>
        <v/>
      </c>
      <c r="R830" s="3">
        <f>G830*$D830</f>
        <v/>
      </c>
      <c r="S830" s="3">
        <f>H830*$D830</f>
        <v/>
      </c>
      <c r="T830" s="3">
        <f>I830*$D830</f>
        <v/>
      </c>
      <c r="U830" s="3">
        <f>J830*$D830</f>
        <v/>
      </c>
      <c r="V830" s="3">
        <f>K830*$D830</f>
        <v/>
      </c>
      <c r="W830" s="3">
        <f>L830*$D830</f>
        <v/>
      </c>
      <c r="X830" s="3">
        <f>M830*$D830</f>
        <v/>
      </c>
      <c r="Y830" s="3">
        <f>N830*$D830</f>
        <v/>
      </c>
      <c r="Z830" s="3">
        <f>C830*$D830</f>
        <v/>
      </c>
      <c r="AA830" s="9">
        <f>$L978+$K978*E830+$J978*F830+$I978*G830+$H978*H830+$G978*I830+$F978*J830+$E978*K830+$D978*L830+$C978*M830+$B978*N830</f>
        <v/>
      </c>
      <c r="AB830" s="9">
        <f>C830-AA830</f>
        <v/>
      </c>
      <c r="AC830" s="4">
        <f>AB830^2</f>
        <v/>
      </c>
    </row>
    <row r="831">
      <c r="A831" t="inlineStr">
        <is>
          <t>BBG00658F3P3</t>
        </is>
      </c>
      <c r="B831" t="inlineStr">
        <is>
          <t>syf</t>
        </is>
      </c>
      <c r="C831" s="9" t="n">
        <v>-0.006368385501581031</v>
      </c>
      <c r="D831" s="3">
        <f>EXP(0.25*'3b-d Exposures'!G1017)</f>
        <v/>
      </c>
      <c r="E831" s="3">
        <f>IF('3b-d Exposures'!C1017="",0,'3b-d Exposures'!C1017)</f>
        <v/>
      </c>
      <c r="F831" s="3">
        <f>IF('3b-d Exposures'!E1017="",0,'3b-d Exposures'!E1017)</f>
        <v/>
      </c>
      <c r="G831" s="3">
        <f>IF('3b-d Exposures'!G1017="",0,'3b-d Exposures'!G1017)</f>
        <v/>
      </c>
      <c r="H831" s="3">
        <f>IF('3b-d Exposures'!I1017="",0,'3b-d Exposures'!I1017)</f>
        <v/>
      </c>
      <c r="I831" s="3">
        <f>IF('3b-d Exposures'!K1017="",0,'3b-d Exposures'!K1017)</f>
        <v/>
      </c>
      <c r="J831" s="3">
        <f>IF('3b-d Exposures'!M1017="",0,'3b-d Exposures'!M1017)</f>
        <v/>
      </c>
      <c r="K831" s="3">
        <f>IF('3b-d Exposures'!O1017="",0,'3b-d Exposures'!O1017)</f>
        <v/>
      </c>
      <c r="L831" s="3">
        <f>IF('3b-d Exposures'!Q1017="",0,'3b-d Exposures'!Q1017)</f>
        <v/>
      </c>
      <c r="M831" s="3">
        <f>IF('3b-d Exposures'!S1017="",0,'3b-d Exposures'!S1017)</f>
        <v/>
      </c>
      <c r="N831" s="3">
        <f>IF('3b-d Exposures'!Z1017="",0,'3b-d Exposures'!Z1017)</f>
        <v/>
      </c>
      <c r="O831" s="3">
        <f>$D831</f>
        <v/>
      </c>
      <c r="P831" s="3">
        <f>E831*$D831</f>
        <v/>
      </c>
      <c r="Q831" s="3">
        <f>F831*$D831</f>
        <v/>
      </c>
      <c r="R831" s="3">
        <f>G831*$D831</f>
        <v/>
      </c>
      <c r="S831" s="3">
        <f>H831*$D831</f>
        <v/>
      </c>
      <c r="T831" s="3">
        <f>I831*$D831</f>
        <v/>
      </c>
      <c r="U831" s="3">
        <f>J831*$D831</f>
        <v/>
      </c>
      <c r="V831" s="3">
        <f>K831*$D831</f>
        <v/>
      </c>
      <c r="W831" s="3">
        <f>L831*$D831</f>
        <v/>
      </c>
      <c r="X831" s="3">
        <f>M831*$D831</f>
        <v/>
      </c>
      <c r="Y831" s="3">
        <f>N831*$D831</f>
        <v/>
      </c>
      <c r="Z831" s="3">
        <f>C831*$D831</f>
        <v/>
      </c>
      <c r="AA831" s="9">
        <f>$L978+$K978*E831+$J978*F831+$I978*G831+$H978*H831+$G978*I831+$F978*J831+$E978*K831+$D978*L831+$C978*M831+$B978*N831</f>
        <v/>
      </c>
      <c r="AB831" s="9">
        <f>C831-AA831</f>
        <v/>
      </c>
      <c r="AC831" s="4">
        <f>AB831^2</f>
        <v/>
      </c>
    </row>
    <row r="832">
      <c r="A832" t="inlineStr">
        <is>
          <t>BBG000DN7P92</t>
        </is>
      </c>
      <c r="B832" t="inlineStr">
        <is>
          <t>syk</t>
        </is>
      </c>
      <c r="C832" s="9" t="n">
        <v>-0.006426058373977028</v>
      </c>
      <c r="D832" s="3">
        <f>EXP(0.25*'3b-d Exposures'!G1018)</f>
        <v/>
      </c>
      <c r="E832" s="3">
        <f>IF('3b-d Exposures'!C1018="",0,'3b-d Exposures'!C1018)</f>
        <v/>
      </c>
      <c r="F832" s="3">
        <f>IF('3b-d Exposures'!E1018="",0,'3b-d Exposures'!E1018)</f>
        <v/>
      </c>
      <c r="G832" s="3">
        <f>IF('3b-d Exposures'!G1018="",0,'3b-d Exposures'!G1018)</f>
        <v/>
      </c>
      <c r="H832" s="3">
        <f>IF('3b-d Exposures'!I1018="",0,'3b-d Exposures'!I1018)</f>
        <v/>
      </c>
      <c r="I832" s="3">
        <f>IF('3b-d Exposures'!K1018="",0,'3b-d Exposures'!K1018)</f>
        <v/>
      </c>
      <c r="J832" s="3">
        <f>IF('3b-d Exposures'!M1018="",0,'3b-d Exposures'!M1018)</f>
        <v/>
      </c>
      <c r="K832" s="3">
        <f>IF('3b-d Exposures'!O1018="",0,'3b-d Exposures'!O1018)</f>
        <v/>
      </c>
      <c r="L832" s="3">
        <f>IF('3b-d Exposures'!Q1018="",0,'3b-d Exposures'!Q1018)</f>
        <v/>
      </c>
      <c r="M832" s="3">
        <f>IF('3b-d Exposures'!S1018="",0,'3b-d Exposures'!S1018)</f>
        <v/>
      </c>
      <c r="N832" s="3">
        <f>IF('3b-d Exposures'!Z1018="",0,'3b-d Exposures'!Z1018)</f>
        <v/>
      </c>
      <c r="O832" s="3">
        <f>$D832</f>
        <v/>
      </c>
      <c r="P832" s="3">
        <f>E832*$D832</f>
        <v/>
      </c>
      <c r="Q832" s="3">
        <f>F832*$D832</f>
        <v/>
      </c>
      <c r="R832" s="3">
        <f>G832*$D832</f>
        <v/>
      </c>
      <c r="S832" s="3">
        <f>H832*$D832</f>
        <v/>
      </c>
      <c r="T832" s="3">
        <f>I832*$D832</f>
        <v/>
      </c>
      <c r="U832" s="3">
        <f>J832*$D832</f>
        <v/>
      </c>
      <c r="V832" s="3">
        <f>K832*$D832</f>
        <v/>
      </c>
      <c r="W832" s="3">
        <f>L832*$D832</f>
        <v/>
      </c>
      <c r="X832" s="3">
        <f>M832*$D832</f>
        <v/>
      </c>
      <c r="Y832" s="3">
        <f>N832*$D832</f>
        <v/>
      </c>
      <c r="Z832" s="3">
        <f>C832*$D832</f>
        <v/>
      </c>
      <c r="AA832" s="9">
        <f>$L978+$K978*E832+$J978*F832+$I978*G832+$H978*H832+$G978*I832+$F978*J832+$E978*K832+$D978*L832+$C978*M832+$B978*N832</f>
        <v/>
      </c>
      <c r="AB832" s="9">
        <f>C832-AA832</f>
        <v/>
      </c>
      <c r="AC832" s="4">
        <f>AB832^2</f>
        <v/>
      </c>
    </row>
    <row r="833">
      <c r="A833" t="inlineStr">
        <is>
          <t>BBG000BQV1S2</t>
        </is>
      </c>
      <c r="B833" t="inlineStr">
        <is>
          <t>syna</t>
        </is>
      </c>
      <c r="C833" s="9" t="n">
        <v>0.01271191799123295</v>
      </c>
      <c r="D833" s="3">
        <f>EXP(0.25*'3b-d Exposures'!G1019)</f>
        <v/>
      </c>
      <c r="E833" s="3">
        <f>IF('3b-d Exposures'!C1019="",0,'3b-d Exposures'!C1019)</f>
        <v/>
      </c>
      <c r="F833" s="3">
        <f>IF('3b-d Exposures'!E1019="",0,'3b-d Exposures'!E1019)</f>
        <v/>
      </c>
      <c r="G833" s="3">
        <f>IF('3b-d Exposures'!G1019="",0,'3b-d Exposures'!G1019)</f>
        <v/>
      </c>
      <c r="H833" s="3">
        <f>IF('3b-d Exposures'!I1019="",0,'3b-d Exposures'!I1019)</f>
        <v/>
      </c>
      <c r="I833" s="3">
        <f>IF('3b-d Exposures'!K1019="",0,'3b-d Exposures'!K1019)</f>
        <v/>
      </c>
      <c r="J833" s="3">
        <f>IF('3b-d Exposures'!M1019="",0,'3b-d Exposures'!M1019)</f>
        <v/>
      </c>
      <c r="K833" s="3">
        <f>IF('3b-d Exposures'!O1019="",0,'3b-d Exposures'!O1019)</f>
        <v/>
      </c>
      <c r="L833" s="3">
        <f>IF('3b-d Exposures'!Q1019="",0,'3b-d Exposures'!Q1019)</f>
        <v/>
      </c>
      <c r="M833" s="3">
        <f>IF('3b-d Exposures'!S1019="",0,'3b-d Exposures'!S1019)</f>
        <v/>
      </c>
      <c r="N833" s="3">
        <f>IF('3b-d Exposures'!Z1019="",0,'3b-d Exposures'!Z1019)</f>
        <v/>
      </c>
      <c r="O833" s="3">
        <f>$D833</f>
        <v/>
      </c>
      <c r="P833" s="3">
        <f>E833*$D833</f>
        <v/>
      </c>
      <c r="Q833" s="3">
        <f>F833*$D833</f>
        <v/>
      </c>
      <c r="R833" s="3">
        <f>G833*$D833</f>
        <v/>
      </c>
      <c r="S833" s="3">
        <f>H833*$D833</f>
        <v/>
      </c>
      <c r="T833" s="3">
        <f>I833*$D833</f>
        <v/>
      </c>
      <c r="U833" s="3">
        <f>J833*$D833</f>
        <v/>
      </c>
      <c r="V833" s="3">
        <f>K833*$D833</f>
        <v/>
      </c>
      <c r="W833" s="3">
        <f>L833*$D833</f>
        <v/>
      </c>
      <c r="X833" s="3">
        <f>M833*$D833</f>
        <v/>
      </c>
      <c r="Y833" s="3">
        <f>N833*$D833</f>
        <v/>
      </c>
      <c r="Z833" s="3">
        <f>C833*$D833</f>
        <v/>
      </c>
      <c r="AA833" s="9">
        <f>$L978+$K978*E833+$J978*F833+$I978*G833+$H978*H833+$G978*I833+$F978*J833+$E978*K833+$D978*L833+$C978*M833+$B978*N833</f>
        <v/>
      </c>
      <c r="AB833" s="9">
        <f>C833-AA833</f>
        <v/>
      </c>
      <c r="AC833" s="4">
        <f>AB833^2</f>
        <v/>
      </c>
    </row>
    <row r="834">
      <c r="A834" t="inlineStr">
        <is>
          <t>BBG0067L94B2</t>
        </is>
      </c>
      <c r="B834" t="inlineStr">
        <is>
          <t>syre</t>
        </is>
      </c>
      <c r="C834" s="9" t="n">
        <v>-0.02743583110350889</v>
      </c>
      <c r="D834" s="3">
        <f>EXP(0.25*'3b-d Exposures'!G1020)</f>
        <v/>
      </c>
      <c r="E834" s="3">
        <f>IF('3b-d Exposures'!C1020="",0,'3b-d Exposures'!C1020)</f>
        <v/>
      </c>
      <c r="F834" s="3">
        <f>IF('3b-d Exposures'!E1020="",0,'3b-d Exposures'!E1020)</f>
        <v/>
      </c>
      <c r="G834" s="3">
        <f>IF('3b-d Exposures'!G1020="",0,'3b-d Exposures'!G1020)</f>
        <v/>
      </c>
      <c r="H834" s="3">
        <f>IF('3b-d Exposures'!I1020="",0,'3b-d Exposures'!I1020)</f>
        <v/>
      </c>
      <c r="I834" s="3">
        <f>IF('3b-d Exposures'!K1020="",0,'3b-d Exposures'!K1020)</f>
        <v/>
      </c>
      <c r="J834" s="3">
        <f>IF('3b-d Exposures'!M1020="",0,'3b-d Exposures'!M1020)</f>
        <v/>
      </c>
      <c r="K834" s="3">
        <f>IF('3b-d Exposures'!O1020="",0,'3b-d Exposures'!O1020)</f>
        <v/>
      </c>
      <c r="L834" s="3">
        <f>IF('3b-d Exposures'!Q1020="",0,'3b-d Exposures'!Q1020)</f>
        <v/>
      </c>
      <c r="M834" s="3">
        <f>IF('3b-d Exposures'!S1020="",0,'3b-d Exposures'!S1020)</f>
        <v/>
      </c>
      <c r="N834" s="3">
        <f>IF('3b-d Exposures'!Z1020="",0,'3b-d Exposures'!Z1020)</f>
        <v/>
      </c>
      <c r="O834" s="3">
        <f>$D834</f>
        <v/>
      </c>
      <c r="P834" s="3">
        <f>E834*$D834</f>
        <v/>
      </c>
      <c r="Q834" s="3">
        <f>F834*$D834</f>
        <v/>
      </c>
      <c r="R834" s="3">
        <f>G834*$D834</f>
        <v/>
      </c>
      <c r="S834" s="3">
        <f>H834*$D834</f>
        <v/>
      </c>
      <c r="T834" s="3">
        <f>I834*$D834</f>
        <v/>
      </c>
      <c r="U834" s="3">
        <f>J834*$D834</f>
        <v/>
      </c>
      <c r="V834" s="3">
        <f>K834*$D834</f>
        <v/>
      </c>
      <c r="W834" s="3">
        <f>L834*$D834</f>
        <v/>
      </c>
      <c r="X834" s="3">
        <f>M834*$D834</f>
        <v/>
      </c>
      <c r="Y834" s="3">
        <f>N834*$D834</f>
        <v/>
      </c>
      <c r="Z834" s="3">
        <f>C834*$D834</f>
        <v/>
      </c>
      <c r="AA834" s="9">
        <f>$L978+$K978*E834+$J978*F834+$I978*G834+$H978*H834+$G978*I834+$F978*J834+$E978*K834+$D978*L834+$C978*M834+$B978*N834</f>
        <v/>
      </c>
      <c r="AB834" s="9">
        <f>C834-AA834</f>
        <v/>
      </c>
      <c r="AC834" s="4">
        <f>AB834^2</f>
        <v/>
      </c>
    </row>
    <row r="835">
      <c r="A835" t="inlineStr">
        <is>
          <t>syy</t>
        </is>
      </c>
      <c r="B835" t="inlineStr">
        <is>
          <t>syy</t>
        </is>
      </c>
      <c r="C835" s="9" t="n">
        <v>-0.01089379667684831</v>
      </c>
      <c r="D835" s="3">
        <f>EXP(0.25*'3b-d Exposures'!G1021)</f>
        <v/>
      </c>
      <c r="E835" s="3">
        <f>IF('3b-d Exposures'!C1021="",0,'3b-d Exposures'!C1021)</f>
        <v/>
      </c>
      <c r="F835" s="3">
        <f>IF('3b-d Exposures'!E1021="",0,'3b-d Exposures'!E1021)</f>
        <v/>
      </c>
      <c r="G835" s="3">
        <f>IF('3b-d Exposures'!G1021="",0,'3b-d Exposures'!G1021)</f>
        <v/>
      </c>
      <c r="H835" s="3">
        <f>IF('3b-d Exposures'!I1021="",0,'3b-d Exposures'!I1021)</f>
        <v/>
      </c>
      <c r="I835" s="3">
        <f>IF('3b-d Exposures'!K1021="",0,'3b-d Exposures'!K1021)</f>
        <v/>
      </c>
      <c r="J835" s="3">
        <f>IF('3b-d Exposures'!M1021="",0,'3b-d Exposures'!M1021)</f>
        <v/>
      </c>
      <c r="K835" s="3">
        <f>IF('3b-d Exposures'!O1021="",0,'3b-d Exposures'!O1021)</f>
        <v/>
      </c>
      <c r="L835" s="3">
        <f>IF('3b-d Exposures'!Q1021="",0,'3b-d Exposures'!Q1021)</f>
        <v/>
      </c>
      <c r="M835" s="3">
        <f>IF('3b-d Exposures'!S1021="",0,'3b-d Exposures'!S1021)</f>
        <v/>
      </c>
      <c r="N835" s="3">
        <f>IF('3b-d Exposures'!Z1021="",0,'3b-d Exposures'!Z1021)</f>
        <v/>
      </c>
      <c r="O835" s="3">
        <f>$D835</f>
        <v/>
      </c>
      <c r="P835" s="3">
        <f>E835*$D835</f>
        <v/>
      </c>
      <c r="Q835" s="3">
        <f>F835*$D835</f>
        <v/>
      </c>
      <c r="R835" s="3">
        <f>G835*$D835</f>
        <v/>
      </c>
      <c r="S835" s="3">
        <f>H835*$D835</f>
        <v/>
      </c>
      <c r="T835" s="3">
        <f>I835*$D835</f>
        <v/>
      </c>
      <c r="U835" s="3">
        <f>J835*$D835</f>
        <v/>
      </c>
      <c r="V835" s="3">
        <f>K835*$D835</f>
        <v/>
      </c>
      <c r="W835" s="3">
        <f>L835*$D835</f>
        <v/>
      </c>
      <c r="X835" s="3">
        <f>M835*$D835</f>
        <v/>
      </c>
      <c r="Y835" s="3">
        <f>N835*$D835</f>
        <v/>
      </c>
      <c r="Z835" s="3">
        <f>C835*$D835</f>
        <v/>
      </c>
      <c r="AA835" s="9">
        <f>$L978+$K978*E835+$J978*F835+$I978*G835+$H978*H835+$G978*I835+$F978*J835+$E978*K835+$D978*L835+$C978*M835+$B978*N835</f>
        <v/>
      </c>
      <c r="AB835" s="9">
        <f>C835-AA835</f>
        <v/>
      </c>
      <c r="AC835" s="4">
        <f>AB835^2</f>
        <v/>
      </c>
    </row>
    <row r="836">
      <c r="A836" t="inlineStr">
        <is>
          <t>BBG00V317301</t>
        </is>
      </c>
      <c r="B836" t="inlineStr">
        <is>
          <t>talk</t>
        </is>
      </c>
      <c r="C836" s="9" t="n">
        <v>0.01461986877218613</v>
      </c>
      <c r="D836" s="3">
        <f>EXP(0.25*'3b-d Exposures'!G1023)</f>
        <v/>
      </c>
      <c r="E836" s="3">
        <f>IF('3b-d Exposures'!C1023="",0,'3b-d Exposures'!C1023)</f>
        <v/>
      </c>
      <c r="F836" s="3">
        <f>IF('3b-d Exposures'!E1023="",0,'3b-d Exposures'!E1023)</f>
        <v/>
      </c>
      <c r="G836" s="3">
        <f>IF('3b-d Exposures'!G1023="",0,'3b-d Exposures'!G1023)</f>
        <v/>
      </c>
      <c r="H836" s="3">
        <f>IF('3b-d Exposures'!I1023="",0,'3b-d Exposures'!I1023)</f>
        <v/>
      </c>
      <c r="I836" s="3">
        <f>IF('3b-d Exposures'!K1023="",0,'3b-d Exposures'!K1023)</f>
        <v/>
      </c>
      <c r="J836" s="3">
        <f>IF('3b-d Exposures'!M1023="",0,'3b-d Exposures'!M1023)</f>
        <v/>
      </c>
      <c r="K836" s="3">
        <f>IF('3b-d Exposures'!O1023="",0,'3b-d Exposures'!O1023)</f>
        <v/>
      </c>
      <c r="L836" s="3">
        <f>IF('3b-d Exposures'!Q1023="",0,'3b-d Exposures'!Q1023)</f>
        <v/>
      </c>
      <c r="M836" s="3">
        <f>IF('3b-d Exposures'!S1023="",0,'3b-d Exposures'!S1023)</f>
        <v/>
      </c>
      <c r="N836" s="3">
        <f>IF('3b-d Exposures'!Z1023="",0,'3b-d Exposures'!Z1023)</f>
        <v/>
      </c>
      <c r="O836" s="3">
        <f>$D836</f>
        <v/>
      </c>
      <c r="P836" s="3">
        <f>E836*$D836</f>
        <v/>
      </c>
      <c r="Q836" s="3">
        <f>F836*$D836</f>
        <v/>
      </c>
      <c r="R836" s="3">
        <f>G836*$D836</f>
        <v/>
      </c>
      <c r="S836" s="3">
        <f>H836*$D836</f>
        <v/>
      </c>
      <c r="T836" s="3">
        <f>I836*$D836</f>
        <v/>
      </c>
      <c r="U836" s="3">
        <f>J836*$D836</f>
        <v/>
      </c>
      <c r="V836" s="3">
        <f>K836*$D836</f>
        <v/>
      </c>
      <c r="W836" s="3">
        <f>L836*$D836</f>
        <v/>
      </c>
      <c r="X836" s="3">
        <f>M836*$D836</f>
        <v/>
      </c>
      <c r="Y836" s="3">
        <f>N836*$D836</f>
        <v/>
      </c>
      <c r="Z836" s="3">
        <f>C836*$D836</f>
        <v/>
      </c>
      <c r="AA836" s="9">
        <f>$L978+$K978*E836+$J978*F836+$I978*G836+$H978*H836+$G978*I836+$F978*J836+$E978*K836+$D978*L836+$C978*M836+$B978*N836</f>
        <v/>
      </c>
      <c r="AB836" s="9">
        <f>C836-AA836</f>
        <v/>
      </c>
      <c r="AC836" s="4">
        <f>AB836^2</f>
        <v/>
      </c>
    </row>
    <row r="837">
      <c r="A837" t="inlineStr">
        <is>
          <t>BBG000CWKYS8</t>
        </is>
      </c>
      <c r="B837" t="inlineStr">
        <is>
          <t>tcom</t>
        </is>
      </c>
      <c r="C837" s="9" t="n">
        <v>0.009280760343334693</v>
      </c>
      <c r="D837" s="3">
        <f>EXP(0.25*'3b-d Exposures'!G1025)</f>
        <v/>
      </c>
      <c r="E837" s="3">
        <f>IF('3b-d Exposures'!C1025="",0,'3b-d Exposures'!C1025)</f>
        <v/>
      </c>
      <c r="F837" s="3">
        <f>IF('3b-d Exposures'!E1025="",0,'3b-d Exposures'!E1025)</f>
        <v/>
      </c>
      <c r="G837" s="3">
        <f>IF('3b-d Exposures'!G1025="",0,'3b-d Exposures'!G1025)</f>
        <v/>
      </c>
      <c r="H837" s="3">
        <f>IF('3b-d Exposures'!I1025="",0,'3b-d Exposures'!I1025)</f>
        <v/>
      </c>
      <c r="I837" s="3">
        <f>IF('3b-d Exposures'!K1025="",0,'3b-d Exposures'!K1025)</f>
        <v/>
      </c>
      <c r="J837" s="3">
        <f>IF('3b-d Exposures'!M1025="",0,'3b-d Exposures'!M1025)</f>
        <v/>
      </c>
      <c r="K837" s="3">
        <f>IF('3b-d Exposures'!O1025="",0,'3b-d Exposures'!O1025)</f>
        <v/>
      </c>
      <c r="L837" s="3">
        <f>IF('3b-d Exposures'!Q1025="",0,'3b-d Exposures'!Q1025)</f>
        <v/>
      </c>
      <c r="M837" s="3">
        <f>IF('3b-d Exposures'!S1025="",0,'3b-d Exposures'!S1025)</f>
        <v/>
      </c>
      <c r="N837" s="3">
        <f>IF('3b-d Exposures'!Z1025="",0,'3b-d Exposures'!Z1025)</f>
        <v/>
      </c>
      <c r="O837" s="3">
        <f>$D837</f>
        <v/>
      </c>
      <c r="P837" s="3">
        <f>E837*$D837</f>
        <v/>
      </c>
      <c r="Q837" s="3">
        <f>F837*$D837</f>
        <v/>
      </c>
      <c r="R837" s="3">
        <f>G837*$D837</f>
        <v/>
      </c>
      <c r="S837" s="3">
        <f>H837*$D837</f>
        <v/>
      </c>
      <c r="T837" s="3">
        <f>I837*$D837</f>
        <v/>
      </c>
      <c r="U837" s="3">
        <f>J837*$D837</f>
        <v/>
      </c>
      <c r="V837" s="3">
        <f>K837*$D837</f>
        <v/>
      </c>
      <c r="W837" s="3">
        <f>L837*$D837</f>
        <v/>
      </c>
      <c r="X837" s="3">
        <f>M837*$D837</f>
        <v/>
      </c>
      <c r="Y837" s="3">
        <f>N837*$D837</f>
        <v/>
      </c>
      <c r="Z837" s="3">
        <f>C837*$D837</f>
        <v/>
      </c>
      <c r="AA837" s="9">
        <f>$L978+$K978*E837+$J978*F837+$I978*G837+$H978*H837+$G978*I837+$F978*J837+$E978*K837+$D978*L837+$C978*M837+$B978*N837</f>
        <v/>
      </c>
      <c r="AB837" s="9">
        <f>C837-AA837</f>
        <v/>
      </c>
      <c r="AC837" s="4">
        <f>AB837^2</f>
        <v/>
      </c>
    </row>
    <row r="838">
      <c r="A838" t="inlineStr">
        <is>
          <t>BBG000R0L5J4</t>
        </is>
      </c>
      <c r="B838" t="inlineStr">
        <is>
          <t>tdc</t>
        </is>
      </c>
      <c r="C838" s="9" t="n">
        <v>0.01650486197986867</v>
      </c>
      <c r="D838" s="3">
        <f>EXP(0.25*'3b-d Exposures'!G1026)</f>
        <v/>
      </c>
      <c r="E838" s="3">
        <f>IF('3b-d Exposures'!C1026="",0,'3b-d Exposures'!C1026)</f>
        <v/>
      </c>
      <c r="F838" s="3">
        <f>IF('3b-d Exposures'!E1026="",0,'3b-d Exposures'!E1026)</f>
        <v/>
      </c>
      <c r="G838" s="3">
        <f>IF('3b-d Exposures'!G1026="",0,'3b-d Exposures'!G1026)</f>
        <v/>
      </c>
      <c r="H838" s="3">
        <f>IF('3b-d Exposures'!I1026="",0,'3b-d Exposures'!I1026)</f>
        <v/>
      </c>
      <c r="I838" s="3">
        <f>IF('3b-d Exposures'!K1026="",0,'3b-d Exposures'!K1026)</f>
        <v/>
      </c>
      <c r="J838" s="3">
        <f>IF('3b-d Exposures'!M1026="",0,'3b-d Exposures'!M1026)</f>
        <v/>
      </c>
      <c r="K838" s="3">
        <f>IF('3b-d Exposures'!O1026="",0,'3b-d Exposures'!O1026)</f>
        <v/>
      </c>
      <c r="L838" s="3">
        <f>IF('3b-d Exposures'!Q1026="",0,'3b-d Exposures'!Q1026)</f>
        <v/>
      </c>
      <c r="M838" s="3">
        <f>IF('3b-d Exposures'!S1026="",0,'3b-d Exposures'!S1026)</f>
        <v/>
      </c>
      <c r="N838" s="3">
        <f>IF('3b-d Exposures'!Z1026="",0,'3b-d Exposures'!Z1026)</f>
        <v/>
      </c>
      <c r="O838" s="3">
        <f>$D838</f>
        <v/>
      </c>
      <c r="P838" s="3">
        <f>E838*$D838</f>
        <v/>
      </c>
      <c r="Q838" s="3">
        <f>F838*$D838</f>
        <v/>
      </c>
      <c r="R838" s="3">
        <f>G838*$D838</f>
        <v/>
      </c>
      <c r="S838" s="3">
        <f>H838*$D838</f>
        <v/>
      </c>
      <c r="T838" s="3">
        <f>I838*$D838</f>
        <v/>
      </c>
      <c r="U838" s="3">
        <f>J838*$D838</f>
        <v/>
      </c>
      <c r="V838" s="3">
        <f>K838*$D838</f>
        <v/>
      </c>
      <c r="W838" s="3">
        <f>L838*$D838</f>
        <v/>
      </c>
      <c r="X838" s="3">
        <f>M838*$D838</f>
        <v/>
      </c>
      <c r="Y838" s="3">
        <f>N838*$D838</f>
        <v/>
      </c>
      <c r="Z838" s="3">
        <f>C838*$D838</f>
        <v/>
      </c>
      <c r="AA838" s="9">
        <f>$L978+$K978*E838+$J978*F838+$I978*G838+$H978*H838+$G978*I838+$F978*J838+$E978*K838+$D978*L838+$C978*M838+$B978*N838</f>
        <v/>
      </c>
      <c r="AB838" s="9">
        <f>C838-AA838</f>
        <v/>
      </c>
      <c r="AC838" s="4">
        <f>AB838^2</f>
        <v/>
      </c>
    </row>
    <row r="839">
      <c r="A839" t="inlineStr">
        <is>
          <t>BBG000L8CBX4</t>
        </is>
      </c>
      <c r="B839" t="inlineStr">
        <is>
          <t>tdg</t>
        </is>
      </c>
      <c r="C839" s="9" t="n">
        <v>0.00598576502673076</v>
      </c>
      <c r="D839" s="3">
        <f>EXP(0.25*'3b-d Exposures'!G1027)</f>
        <v/>
      </c>
      <c r="E839" s="3">
        <f>IF('3b-d Exposures'!C1027="",0,'3b-d Exposures'!C1027)</f>
        <v/>
      </c>
      <c r="F839" s="3">
        <f>IF('3b-d Exposures'!E1027="",0,'3b-d Exposures'!E1027)</f>
        <v/>
      </c>
      <c r="G839" s="3">
        <f>IF('3b-d Exposures'!G1027="",0,'3b-d Exposures'!G1027)</f>
        <v/>
      </c>
      <c r="H839" s="3">
        <f>IF('3b-d Exposures'!I1027="",0,'3b-d Exposures'!I1027)</f>
        <v/>
      </c>
      <c r="I839" s="3">
        <f>IF('3b-d Exposures'!K1027="",0,'3b-d Exposures'!K1027)</f>
        <v/>
      </c>
      <c r="J839" s="3">
        <f>IF('3b-d Exposures'!M1027="",0,'3b-d Exposures'!M1027)</f>
        <v/>
      </c>
      <c r="K839" s="3">
        <f>IF('3b-d Exposures'!O1027="",0,'3b-d Exposures'!O1027)</f>
        <v/>
      </c>
      <c r="L839" s="3">
        <f>IF('3b-d Exposures'!Q1027="",0,'3b-d Exposures'!Q1027)</f>
        <v/>
      </c>
      <c r="M839" s="3">
        <f>IF('3b-d Exposures'!S1027="",0,'3b-d Exposures'!S1027)</f>
        <v/>
      </c>
      <c r="N839" s="3">
        <f>IF('3b-d Exposures'!Z1027="",0,'3b-d Exposures'!Z1027)</f>
        <v/>
      </c>
      <c r="O839" s="3">
        <f>$D839</f>
        <v/>
      </c>
      <c r="P839" s="3">
        <f>E839*$D839</f>
        <v/>
      </c>
      <c r="Q839" s="3">
        <f>F839*$D839</f>
        <v/>
      </c>
      <c r="R839" s="3">
        <f>G839*$D839</f>
        <v/>
      </c>
      <c r="S839" s="3">
        <f>H839*$D839</f>
        <v/>
      </c>
      <c r="T839" s="3">
        <f>I839*$D839</f>
        <v/>
      </c>
      <c r="U839" s="3">
        <f>J839*$D839</f>
        <v/>
      </c>
      <c r="V839" s="3">
        <f>K839*$D839</f>
        <v/>
      </c>
      <c r="W839" s="3">
        <f>L839*$D839</f>
        <v/>
      </c>
      <c r="X839" s="3">
        <f>M839*$D839</f>
        <v/>
      </c>
      <c r="Y839" s="3">
        <f>N839*$D839</f>
        <v/>
      </c>
      <c r="Z839" s="3">
        <f>C839*$D839</f>
        <v/>
      </c>
      <c r="AA839" s="9">
        <f>$L978+$K978*E839+$J978*F839+$I978*G839+$H978*H839+$G978*I839+$F978*J839+$E978*K839+$D978*L839+$C978*M839+$B978*N839</f>
        <v/>
      </c>
      <c r="AB839" s="9">
        <f>C839-AA839</f>
        <v/>
      </c>
      <c r="AC839" s="4">
        <f>AB839^2</f>
        <v/>
      </c>
    </row>
    <row r="840">
      <c r="A840" t="inlineStr">
        <is>
          <t>BBG000BMT9T6</t>
        </is>
      </c>
      <c r="B840" t="inlineStr">
        <is>
          <t>tdy</t>
        </is>
      </c>
      <c r="C840" s="9" t="n">
        <v>-0.01063348217093263</v>
      </c>
      <c r="D840" s="3">
        <f>EXP(0.25*'3b-d Exposures'!G1028)</f>
        <v/>
      </c>
      <c r="E840" s="3">
        <f>IF('3b-d Exposures'!C1028="",0,'3b-d Exposures'!C1028)</f>
        <v/>
      </c>
      <c r="F840" s="3">
        <f>IF('3b-d Exposures'!E1028="",0,'3b-d Exposures'!E1028)</f>
        <v/>
      </c>
      <c r="G840" s="3">
        <f>IF('3b-d Exposures'!G1028="",0,'3b-d Exposures'!G1028)</f>
        <v/>
      </c>
      <c r="H840" s="3">
        <f>IF('3b-d Exposures'!I1028="",0,'3b-d Exposures'!I1028)</f>
        <v/>
      </c>
      <c r="I840" s="3">
        <f>IF('3b-d Exposures'!K1028="",0,'3b-d Exposures'!K1028)</f>
        <v/>
      </c>
      <c r="J840" s="3">
        <f>IF('3b-d Exposures'!M1028="",0,'3b-d Exposures'!M1028)</f>
        <v/>
      </c>
      <c r="K840" s="3">
        <f>IF('3b-d Exposures'!O1028="",0,'3b-d Exposures'!O1028)</f>
        <v/>
      </c>
      <c r="L840" s="3">
        <f>IF('3b-d Exposures'!Q1028="",0,'3b-d Exposures'!Q1028)</f>
        <v/>
      </c>
      <c r="M840" s="3">
        <f>IF('3b-d Exposures'!S1028="",0,'3b-d Exposures'!S1028)</f>
        <v/>
      </c>
      <c r="N840" s="3">
        <f>IF('3b-d Exposures'!Z1028="",0,'3b-d Exposures'!Z1028)</f>
        <v/>
      </c>
      <c r="O840" s="3">
        <f>$D840</f>
        <v/>
      </c>
      <c r="P840" s="3">
        <f>E840*$D840</f>
        <v/>
      </c>
      <c r="Q840" s="3">
        <f>F840*$D840</f>
        <v/>
      </c>
      <c r="R840" s="3">
        <f>G840*$D840</f>
        <v/>
      </c>
      <c r="S840" s="3">
        <f>H840*$D840</f>
        <v/>
      </c>
      <c r="T840" s="3">
        <f>I840*$D840</f>
        <v/>
      </c>
      <c r="U840" s="3">
        <f>J840*$D840</f>
        <v/>
      </c>
      <c r="V840" s="3">
        <f>K840*$D840</f>
        <v/>
      </c>
      <c r="W840" s="3">
        <f>L840*$D840</f>
        <v/>
      </c>
      <c r="X840" s="3">
        <f>M840*$D840</f>
        <v/>
      </c>
      <c r="Y840" s="3">
        <f>N840*$D840</f>
        <v/>
      </c>
      <c r="Z840" s="3">
        <f>C840*$D840</f>
        <v/>
      </c>
      <c r="AA840" s="9">
        <f>$L978+$K978*E840+$J978*F840+$I978*G840+$H978*H840+$G978*I840+$F978*J840+$E978*K840+$D978*L840+$C978*M840+$B978*N840</f>
        <v/>
      </c>
      <c r="AB840" s="9">
        <f>C840-AA840</f>
        <v/>
      </c>
      <c r="AC840" s="4">
        <f>AB840^2</f>
        <v/>
      </c>
    </row>
    <row r="841">
      <c r="A841" t="inlineStr">
        <is>
          <t>BBG01KR6BS70</t>
        </is>
      </c>
      <c r="B841" t="inlineStr">
        <is>
          <t>te</t>
        </is>
      </c>
      <c r="C841" s="9" t="n">
        <v>-0.01449274026921032</v>
      </c>
      <c r="D841" s="3">
        <f>EXP(0.25*'3b-d Exposures'!G1029)</f>
        <v/>
      </c>
      <c r="E841" s="3">
        <f>IF('3b-d Exposures'!C1029="",0,'3b-d Exposures'!C1029)</f>
        <v/>
      </c>
      <c r="F841" s="3">
        <f>IF('3b-d Exposures'!E1029="",0,'3b-d Exposures'!E1029)</f>
        <v/>
      </c>
      <c r="G841" s="3">
        <f>IF('3b-d Exposures'!G1029="",0,'3b-d Exposures'!G1029)</f>
        <v/>
      </c>
      <c r="H841" s="3">
        <f>IF('3b-d Exposures'!I1029="",0,'3b-d Exposures'!I1029)</f>
        <v/>
      </c>
      <c r="I841" s="3">
        <f>IF('3b-d Exposures'!K1029="",0,'3b-d Exposures'!K1029)</f>
        <v/>
      </c>
      <c r="J841" s="3">
        <f>IF('3b-d Exposures'!M1029="",0,'3b-d Exposures'!M1029)</f>
        <v/>
      </c>
      <c r="K841" s="3">
        <f>IF('3b-d Exposures'!O1029="",0,'3b-d Exposures'!O1029)</f>
        <v/>
      </c>
      <c r="L841" s="3">
        <f>IF('3b-d Exposures'!Q1029="",0,'3b-d Exposures'!Q1029)</f>
        <v/>
      </c>
      <c r="M841" s="3">
        <f>IF('3b-d Exposures'!S1029="",0,'3b-d Exposures'!S1029)</f>
        <v/>
      </c>
      <c r="N841" s="3">
        <f>IF('3b-d Exposures'!Z1029="",0,'3b-d Exposures'!Z1029)</f>
        <v/>
      </c>
      <c r="O841" s="3">
        <f>$D841</f>
        <v/>
      </c>
      <c r="P841" s="3">
        <f>E841*$D841</f>
        <v/>
      </c>
      <c r="Q841" s="3">
        <f>F841*$D841</f>
        <v/>
      </c>
      <c r="R841" s="3">
        <f>G841*$D841</f>
        <v/>
      </c>
      <c r="S841" s="3">
        <f>H841*$D841</f>
        <v/>
      </c>
      <c r="T841" s="3">
        <f>I841*$D841</f>
        <v/>
      </c>
      <c r="U841" s="3">
        <f>J841*$D841</f>
        <v/>
      </c>
      <c r="V841" s="3">
        <f>K841*$D841</f>
        <v/>
      </c>
      <c r="W841" s="3">
        <f>L841*$D841</f>
        <v/>
      </c>
      <c r="X841" s="3">
        <f>M841*$D841</f>
        <v/>
      </c>
      <c r="Y841" s="3">
        <f>N841*$D841</f>
        <v/>
      </c>
      <c r="Z841" s="3">
        <f>C841*$D841</f>
        <v/>
      </c>
      <c r="AA841" s="9">
        <f>$L978+$K978*E841+$J978*F841+$I978*G841+$H978*H841+$G978*I841+$F978*J841+$E978*K841+$D978*L841+$C978*M841+$B978*N841</f>
        <v/>
      </c>
      <c r="AB841" s="9">
        <f>C841-AA841</f>
        <v/>
      </c>
      <c r="AC841" s="4">
        <f>AB841^2</f>
        <v/>
      </c>
    </row>
    <row r="842">
      <c r="A842" t="inlineStr">
        <is>
          <t>BBG000C15114</t>
        </is>
      </c>
      <c r="B842" t="inlineStr">
        <is>
          <t>tech</t>
        </is>
      </c>
      <c r="C842" s="9" t="n">
        <v>0.008757844272918591</v>
      </c>
      <c r="D842" s="3">
        <f>EXP(0.25*'3b-d Exposures'!G1031)</f>
        <v/>
      </c>
      <c r="E842" s="3">
        <f>IF('3b-d Exposures'!C1031="",0,'3b-d Exposures'!C1031)</f>
        <v/>
      </c>
      <c r="F842" s="3">
        <f>IF('3b-d Exposures'!E1031="",0,'3b-d Exposures'!E1031)</f>
        <v/>
      </c>
      <c r="G842" s="3">
        <f>IF('3b-d Exposures'!G1031="",0,'3b-d Exposures'!G1031)</f>
        <v/>
      </c>
      <c r="H842" s="3">
        <f>IF('3b-d Exposures'!I1031="",0,'3b-d Exposures'!I1031)</f>
        <v/>
      </c>
      <c r="I842" s="3">
        <f>IF('3b-d Exposures'!K1031="",0,'3b-d Exposures'!K1031)</f>
        <v/>
      </c>
      <c r="J842" s="3">
        <f>IF('3b-d Exposures'!M1031="",0,'3b-d Exposures'!M1031)</f>
        <v/>
      </c>
      <c r="K842" s="3">
        <f>IF('3b-d Exposures'!O1031="",0,'3b-d Exposures'!O1031)</f>
        <v/>
      </c>
      <c r="L842" s="3">
        <f>IF('3b-d Exposures'!Q1031="",0,'3b-d Exposures'!Q1031)</f>
        <v/>
      </c>
      <c r="M842" s="3">
        <f>IF('3b-d Exposures'!S1031="",0,'3b-d Exposures'!S1031)</f>
        <v/>
      </c>
      <c r="N842" s="3">
        <f>IF('3b-d Exposures'!Z1031="",0,'3b-d Exposures'!Z1031)</f>
        <v/>
      </c>
      <c r="O842" s="3">
        <f>$D842</f>
        <v/>
      </c>
      <c r="P842" s="3">
        <f>E842*$D842</f>
        <v/>
      </c>
      <c r="Q842" s="3">
        <f>F842*$D842</f>
        <v/>
      </c>
      <c r="R842" s="3">
        <f>G842*$D842</f>
        <v/>
      </c>
      <c r="S842" s="3">
        <f>H842*$D842</f>
        <v/>
      </c>
      <c r="T842" s="3">
        <f>I842*$D842</f>
        <v/>
      </c>
      <c r="U842" s="3">
        <f>J842*$D842</f>
        <v/>
      </c>
      <c r="V842" s="3">
        <f>K842*$D842</f>
        <v/>
      </c>
      <c r="W842" s="3">
        <f>L842*$D842</f>
        <v/>
      </c>
      <c r="X842" s="3">
        <f>M842*$D842</f>
        <v/>
      </c>
      <c r="Y842" s="3">
        <f>N842*$D842</f>
        <v/>
      </c>
      <c r="Z842" s="3">
        <f>C842*$D842</f>
        <v/>
      </c>
      <c r="AA842" s="9">
        <f>$L978+$K978*E842+$J978*F842+$I978*G842+$H978*H842+$G978*I842+$F978*J842+$E978*K842+$D978*L842+$C978*M842+$B978*N842</f>
        <v/>
      </c>
      <c r="AB842" s="9">
        <f>C842-AA842</f>
        <v/>
      </c>
      <c r="AC842" s="4">
        <f>AB842^2</f>
        <v/>
      </c>
    </row>
    <row r="843">
      <c r="A843" t="inlineStr">
        <is>
          <t>tel</t>
        </is>
      </c>
      <c r="B843" t="inlineStr">
        <is>
          <t>tel</t>
        </is>
      </c>
      <c r="C843" s="9" t="n">
        <v>0.02124134796892152</v>
      </c>
      <c r="D843" s="3">
        <f>EXP(0.25*'3b-d Exposures'!G1033)</f>
        <v/>
      </c>
      <c r="E843" s="3">
        <f>IF('3b-d Exposures'!C1033="",0,'3b-d Exposures'!C1033)</f>
        <v/>
      </c>
      <c r="F843" s="3">
        <f>IF('3b-d Exposures'!E1033="",0,'3b-d Exposures'!E1033)</f>
        <v/>
      </c>
      <c r="G843" s="3">
        <f>IF('3b-d Exposures'!G1033="",0,'3b-d Exposures'!G1033)</f>
        <v/>
      </c>
      <c r="H843" s="3">
        <f>IF('3b-d Exposures'!I1033="",0,'3b-d Exposures'!I1033)</f>
        <v/>
      </c>
      <c r="I843" s="3">
        <f>IF('3b-d Exposures'!K1033="",0,'3b-d Exposures'!K1033)</f>
        <v/>
      </c>
      <c r="J843" s="3">
        <f>IF('3b-d Exposures'!M1033="",0,'3b-d Exposures'!M1033)</f>
        <v/>
      </c>
      <c r="K843" s="3">
        <f>IF('3b-d Exposures'!O1033="",0,'3b-d Exposures'!O1033)</f>
        <v/>
      </c>
      <c r="L843" s="3">
        <f>IF('3b-d Exposures'!Q1033="",0,'3b-d Exposures'!Q1033)</f>
        <v/>
      </c>
      <c r="M843" s="3">
        <f>IF('3b-d Exposures'!S1033="",0,'3b-d Exposures'!S1033)</f>
        <v/>
      </c>
      <c r="N843" s="3">
        <f>IF('3b-d Exposures'!Z1033="",0,'3b-d Exposures'!Z1033)</f>
        <v/>
      </c>
      <c r="O843" s="3">
        <f>$D843</f>
        <v/>
      </c>
      <c r="P843" s="3">
        <f>E843*$D843</f>
        <v/>
      </c>
      <c r="Q843" s="3">
        <f>F843*$D843</f>
        <v/>
      </c>
      <c r="R843" s="3">
        <f>G843*$D843</f>
        <v/>
      </c>
      <c r="S843" s="3">
        <f>H843*$D843</f>
        <v/>
      </c>
      <c r="T843" s="3">
        <f>I843*$D843</f>
        <v/>
      </c>
      <c r="U843" s="3">
        <f>J843*$D843</f>
        <v/>
      </c>
      <c r="V843" s="3">
        <f>K843*$D843</f>
        <v/>
      </c>
      <c r="W843" s="3">
        <f>L843*$D843</f>
        <v/>
      </c>
      <c r="X843" s="3">
        <f>M843*$D843</f>
        <v/>
      </c>
      <c r="Y843" s="3">
        <f>N843*$D843</f>
        <v/>
      </c>
      <c r="Z843" s="3">
        <f>C843*$D843</f>
        <v/>
      </c>
      <c r="AA843" s="9">
        <f>$L978+$K978*E843+$J978*F843+$I978*G843+$H978*H843+$G978*I843+$F978*J843+$E978*K843+$D978*L843+$C978*M843+$B978*N843</f>
        <v/>
      </c>
      <c r="AB843" s="9">
        <f>C843-AA843</f>
        <v/>
      </c>
      <c r="AC843" s="4">
        <f>AB843^2</f>
        <v/>
      </c>
    </row>
    <row r="844">
      <c r="A844" t="inlineStr">
        <is>
          <t>BBG000BV4DR6</t>
        </is>
      </c>
      <c r="B844" t="inlineStr">
        <is>
          <t>ter</t>
        </is>
      </c>
      <c r="C844" s="9" t="n">
        <v>0.02909087182473158</v>
      </c>
      <c r="D844" s="3">
        <f>EXP(0.25*'3b-d Exposures'!G1035)</f>
        <v/>
      </c>
      <c r="E844" s="3">
        <f>IF('3b-d Exposures'!C1035="",0,'3b-d Exposures'!C1035)</f>
        <v/>
      </c>
      <c r="F844" s="3">
        <f>IF('3b-d Exposures'!E1035="",0,'3b-d Exposures'!E1035)</f>
        <v/>
      </c>
      <c r="G844" s="3">
        <f>IF('3b-d Exposures'!G1035="",0,'3b-d Exposures'!G1035)</f>
        <v/>
      </c>
      <c r="H844" s="3">
        <f>IF('3b-d Exposures'!I1035="",0,'3b-d Exposures'!I1035)</f>
        <v/>
      </c>
      <c r="I844" s="3">
        <f>IF('3b-d Exposures'!K1035="",0,'3b-d Exposures'!K1035)</f>
        <v/>
      </c>
      <c r="J844" s="3">
        <f>IF('3b-d Exposures'!M1035="",0,'3b-d Exposures'!M1035)</f>
        <v/>
      </c>
      <c r="K844" s="3">
        <f>IF('3b-d Exposures'!O1035="",0,'3b-d Exposures'!O1035)</f>
        <v/>
      </c>
      <c r="L844" s="3">
        <f>IF('3b-d Exposures'!Q1035="",0,'3b-d Exposures'!Q1035)</f>
        <v/>
      </c>
      <c r="M844" s="3">
        <f>IF('3b-d Exposures'!S1035="",0,'3b-d Exposures'!S1035)</f>
        <v/>
      </c>
      <c r="N844" s="3">
        <f>IF('3b-d Exposures'!Z1035="",0,'3b-d Exposures'!Z1035)</f>
        <v/>
      </c>
      <c r="O844" s="3">
        <f>$D844</f>
        <v/>
      </c>
      <c r="P844" s="3">
        <f>E844*$D844</f>
        <v/>
      </c>
      <c r="Q844" s="3">
        <f>F844*$D844</f>
        <v/>
      </c>
      <c r="R844" s="3">
        <f>G844*$D844</f>
        <v/>
      </c>
      <c r="S844" s="3">
        <f>H844*$D844</f>
        <v/>
      </c>
      <c r="T844" s="3">
        <f>I844*$D844</f>
        <v/>
      </c>
      <c r="U844" s="3">
        <f>J844*$D844</f>
        <v/>
      </c>
      <c r="V844" s="3">
        <f>K844*$D844</f>
        <v/>
      </c>
      <c r="W844" s="3">
        <f>L844*$D844</f>
        <v/>
      </c>
      <c r="X844" s="3">
        <f>M844*$D844</f>
        <v/>
      </c>
      <c r="Y844" s="3">
        <f>N844*$D844</f>
        <v/>
      </c>
      <c r="Z844" s="3">
        <f>C844*$D844</f>
        <v/>
      </c>
      <c r="AA844" s="9">
        <f>$L978+$K978*E844+$J978*F844+$I978*G844+$H978*H844+$G978*I844+$F978*J844+$E978*K844+$D978*L844+$C978*M844+$B978*N844</f>
        <v/>
      </c>
      <c r="AB844" s="9">
        <f>C844-AA844</f>
        <v/>
      </c>
      <c r="AC844" s="4">
        <f>AB844^2</f>
        <v/>
      </c>
    </row>
    <row r="845">
      <c r="A845" t="inlineStr">
        <is>
          <t>BBG000C0CD58</t>
        </is>
      </c>
      <c r="B845" t="inlineStr">
        <is>
          <t>teva</t>
        </is>
      </c>
      <c r="C845" s="9" t="n">
        <v>-0.007747381573035117</v>
      </c>
      <c r="D845" s="3">
        <f>EXP(0.25*'3b-d Exposures'!G1036)</f>
        <v/>
      </c>
      <c r="E845" s="3">
        <f>IF('3b-d Exposures'!C1036="",0,'3b-d Exposures'!C1036)</f>
        <v/>
      </c>
      <c r="F845" s="3">
        <f>IF('3b-d Exposures'!E1036="",0,'3b-d Exposures'!E1036)</f>
        <v/>
      </c>
      <c r="G845" s="3">
        <f>IF('3b-d Exposures'!G1036="",0,'3b-d Exposures'!G1036)</f>
        <v/>
      </c>
      <c r="H845" s="3">
        <f>IF('3b-d Exposures'!I1036="",0,'3b-d Exposures'!I1036)</f>
        <v/>
      </c>
      <c r="I845" s="3">
        <f>IF('3b-d Exposures'!K1036="",0,'3b-d Exposures'!K1036)</f>
        <v/>
      </c>
      <c r="J845" s="3">
        <f>IF('3b-d Exposures'!M1036="",0,'3b-d Exposures'!M1036)</f>
        <v/>
      </c>
      <c r="K845" s="3">
        <f>IF('3b-d Exposures'!O1036="",0,'3b-d Exposures'!O1036)</f>
        <v/>
      </c>
      <c r="L845" s="3">
        <f>IF('3b-d Exposures'!Q1036="",0,'3b-d Exposures'!Q1036)</f>
        <v/>
      </c>
      <c r="M845" s="3">
        <f>IF('3b-d Exposures'!S1036="",0,'3b-d Exposures'!S1036)</f>
        <v/>
      </c>
      <c r="N845" s="3">
        <f>IF('3b-d Exposures'!Z1036="",0,'3b-d Exposures'!Z1036)</f>
        <v/>
      </c>
      <c r="O845" s="3">
        <f>$D845</f>
        <v/>
      </c>
      <c r="P845" s="3">
        <f>E845*$D845</f>
        <v/>
      </c>
      <c r="Q845" s="3">
        <f>F845*$D845</f>
        <v/>
      </c>
      <c r="R845" s="3">
        <f>G845*$D845</f>
        <v/>
      </c>
      <c r="S845" s="3">
        <f>H845*$D845</f>
        <v/>
      </c>
      <c r="T845" s="3">
        <f>I845*$D845</f>
        <v/>
      </c>
      <c r="U845" s="3">
        <f>J845*$D845</f>
        <v/>
      </c>
      <c r="V845" s="3">
        <f>K845*$D845</f>
        <v/>
      </c>
      <c r="W845" s="3">
        <f>L845*$D845</f>
        <v/>
      </c>
      <c r="X845" s="3">
        <f>M845*$D845</f>
        <v/>
      </c>
      <c r="Y845" s="3">
        <f>N845*$D845</f>
        <v/>
      </c>
      <c r="Z845" s="3">
        <f>C845*$D845</f>
        <v/>
      </c>
      <c r="AA845" s="9">
        <f>$L978+$K978*E845+$J978*F845+$I978*G845+$H978*H845+$G978*I845+$F978*J845+$E978*K845+$D978*L845+$C978*M845+$B978*N845</f>
        <v/>
      </c>
      <c r="AB845" s="9">
        <f>C845-AA845</f>
        <v/>
      </c>
      <c r="AC845" s="4">
        <f>AB845^2</f>
        <v/>
      </c>
    </row>
    <row r="846">
      <c r="A846" t="inlineStr">
        <is>
          <t>BBG000BYYLS8</t>
        </is>
      </c>
      <c r="B846" t="inlineStr">
        <is>
          <t>tfc</t>
        </is>
      </c>
      <c r="C846" s="9" t="n">
        <v>-0.01468114575379931</v>
      </c>
      <c r="D846" s="3">
        <f>EXP(0.25*'3b-d Exposures'!G1037)</f>
        <v/>
      </c>
      <c r="E846" s="3">
        <f>IF('3b-d Exposures'!C1037="",0,'3b-d Exposures'!C1037)</f>
        <v/>
      </c>
      <c r="F846" s="3">
        <f>IF('3b-d Exposures'!E1037="",0,'3b-d Exposures'!E1037)</f>
        <v/>
      </c>
      <c r="G846" s="3">
        <f>IF('3b-d Exposures'!G1037="",0,'3b-d Exposures'!G1037)</f>
        <v/>
      </c>
      <c r="H846" s="3">
        <f>IF('3b-d Exposures'!I1037="",0,'3b-d Exposures'!I1037)</f>
        <v/>
      </c>
      <c r="I846" s="3">
        <f>IF('3b-d Exposures'!K1037="",0,'3b-d Exposures'!K1037)</f>
        <v/>
      </c>
      <c r="J846" s="3">
        <f>IF('3b-d Exposures'!M1037="",0,'3b-d Exposures'!M1037)</f>
        <v/>
      </c>
      <c r="K846" s="3">
        <f>IF('3b-d Exposures'!O1037="",0,'3b-d Exposures'!O1037)</f>
        <v/>
      </c>
      <c r="L846" s="3">
        <f>IF('3b-d Exposures'!Q1037="",0,'3b-d Exposures'!Q1037)</f>
        <v/>
      </c>
      <c r="M846" s="3">
        <f>IF('3b-d Exposures'!S1037="",0,'3b-d Exposures'!S1037)</f>
        <v/>
      </c>
      <c r="N846" s="3">
        <f>IF('3b-d Exposures'!Z1037="",0,'3b-d Exposures'!Z1037)</f>
        <v/>
      </c>
      <c r="O846" s="3">
        <f>$D846</f>
        <v/>
      </c>
      <c r="P846" s="3">
        <f>E846*$D846</f>
        <v/>
      </c>
      <c r="Q846" s="3">
        <f>F846*$D846</f>
        <v/>
      </c>
      <c r="R846" s="3">
        <f>G846*$D846</f>
        <v/>
      </c>
      <c r="S846" s="3">
        <f>H846*$D846</f>
        <v/>
      </c>
      <c r="T846" s="3">
        <f>I846*$D846</f>
        <v/>
      </c>
      <c r="U846" s="3">
        <f>J846*$D846</f>
        <v/>
      </c>
      <c r="V846" s="3">
        <f>K846*$D846</f>
        <v/>
      </c>
      <c r="W846" s="3">
        <f>L846*$D846</f>
        <v/>
      </c>
      <c r="X846" s="3">
        <f>M846*$D846</f>
        <v/>
      </c>
      <c r="Y846" s="3">
        <f>N846*$D846</f>
        <v/>
      </c>
      <c r="Z846" s="3">
        <f>C846*$D846</f>
        <v/>
      </c>
      <c r="AA846" s="9">
        <f>$L978+$K978*E846+$J978*F846+$I978*G846+$H978*H846+$G978*I846+$F978*J846+$E978*K846+$D978*L846+$C978*M846+$B978*N846</f>
        <v/>
      </c>
      <c r="AB846" s="9">
        <f>C846-AA846</f>
        <v/>
      </c>
      <c r="AC846" s="4">
        <f>AB846^2</f>
        <v/>
      </c>
    </row>
    <row r="847">
      <c r="A847" t="inlineStr">
        <is>
          <t>BBG000BV59Y6</t>
        </is>
      </c>
      <c r="B847" t="inlineStr">
        <is>
          <t>tfx</t>
        </is>
      </c>
      <c r="C847" s="9" t="n">
        <v>0.007570620214566226</v>
      </c>
      <c r="D847" s="3">
        <f>EXP(0.25*'3b-d Exposures'!G1038)</f>
        <v/>
      </c>
      <c r="E847" s="3">
        <f>IF('3b-d Exposures'!C1038="",0,'3b-d Exposures'!C1038)</f>
        <v/>
      </c>
      <c r="F847" s="3">
        <f>IF('3b-d Exposures'!E1038="",0,'3b-d Exposures'!E1038)</f>
        <v/>
      </c>
      <c r="G847" s="3">
        <f>IF('3b-d Exposures'!G1038="",0,'3b-d Exposures'!G1038)</f>
        <v/>
      </c>
      <c r="H847" s="3">
        <f>IF('3b-d Exposures'!I1038="",0,'3b-d Exposures'!I1038)</f>
        <v/>
      </c>
      <c r="I847" s="3">
        <f>IF('3b-d Exposures'!K1038="",0,'3b-d Exposures'!K1038)</f>
        <v/>
      </c>
      <c r="J847" s="3">
        <f>IF('3b-d Exposures'!M1038="",0,'3b-d Exposures'!M1038)</f>
        <v/>
      </c>
      <c r="K847" s="3">
        <f>IF('3b-d Exposures'!O1038="",0,'3b-d Exposures'!O1038)</f>
        <v/>
      </c>
      <c r="L847" s="3">
        <f>IF('3b-d Exposures'!Q1038="",0,'3b-d Exposures'!Q1038)</f>
        <v/>
      </c>
      <c r="M847" s="3">
        <f>IF('3b-d Exposures'!S1038="",0,'3b-d Exposures'!S1038)</f>
        <v/>
      </c>
      <c r="N847" s="3">
        <f>IF('3b-d Exposures'!Z1038="",0,'3b-d Exposures'!Z1038)</f>
        <v/>
      </c>
      <c r="O847" s="3">
        <f>$D847</f>
        <v/>
      </c>
      <c r="P847" s="3">
        <f>E847*$D847</f>
        <v/>
      </c>
      <c r="Q847" s="3">
        <f>F847*$D847</f>
        <v/>
      </c>
      <c r="R847" s="3">
        <f>G847*$D847</f>
        <v/>
      </c>
      <c r="S847" s="3">
        <f>H847*$D847</f>
        <v/>
      </c>
      <c r="T847" s="3">
        <f>I847*$D847</f>
        <v/>
      </c>
      <c r="U847" s="3">
        <f>J847*$D847</f>
        <v/>
      </c>
      <c r="V847" s="3">
        <f>K847*$D847</f>
        <v/>
      </c>
      <c r="W847" s="3">
        <f>L847*$D847</f>
        <v/>
      </c>
      <c r="X847" s="3">
        <f>M847*$D847</f>
        <v/>
      </c>
      <c r="Y847" s="3">
        <f>N847*$D847</f>
        <v/>
      </c>
      <c r="Z847" s="3">
        <f>C847*$D847</f>
        <v/>
      </c>
      <c r="AA847" s="9">
        <f>$L978+$K978*E847+$J978*F847+$I978*G847+$H978*H847+$G978*I847+$F978*J847+$E978*K847+$D978*L847+$C978*M847+$B978*N847</f>
        <v/>
      </c>
      <c r="AB847" s="9">
        <f>C847-AA847</f>
        <v/>
      </c>
      <c r="AC847" s="4">
        <f>AB847^2</f>
        <v/>
      </c>
    </row>
    <row r="848">
      <c r="A848" t="inlineStr">
        <is>
          <t>BBG000H8TVT2</t>
        </is>
      </c>
      <c r="B848" t="inlineStr">
        <is>
          <t>tgt</t>
        </is>
      </c>
      <c r="C848" s="9" t="n">
        <v>-0.01201730424031733</v>
      </c>
      <c r="D848" s="3">
        <f>EXP(0.25*'3b-d Exposures'!G1039)</f>
        <v/>
      </c>
      <c r="E848" s="3">
        <f>IF('3b-d Exposures'!C1039="",0,'3b-d Exposures'!C1039)</f>
        <v/>
      </c>
      <c r="F848" s="3">
        <f>IF('3b-d Exposures'!E1039="",0,'3b-d Exposures'!E1039)</f>
        <v/>
      </c>
      <c r="G848" s="3">
        <f>IF('3b-d Exposures'!G1039="",0,'3b-d Exposures'!G1039)</f>
        <v/>
      </c>
      <c r="H848" s="3">
        <f>IF('3b-d Exposures'!I1039="",0,'3b-d Exposures'!I1039)</f>
        <v/>
      </c>
      <c r="I848" s="3">
        <f>IF('3b-d Exposures'!K1039="",0,'3b-d Exposures'!K1039)</f>
        <v/>
      </c>
      <c r="J848" s="3">
        <f>IF('3b-d Exposures'!M1039="",0,'3b-d Exposures'!M1039)</f>
        <v/>
      </c>
      <c r="K848" s="3">
        <f>IF('3b-d Exposures'!O1039="",0,'3b-d Exposures'!O1039)</f>
        <v/>
      </c>
      <c r="L848" s="3">
        <f>IF('3b-d Exposures'!Q1039="",0,'3b-d Exposures'!Q1039)</f>
        <v/>
      </c>
      <c r="M848" s="3">
        <f>IF('3b-d Exposures'!S1039="",0,'3b-d Exposures'!S1039)</f>
        <v/>
      </c>
      <c r="N848" s="3">
        <f>IF('3b-d Exposures'!Z1039="",0,'3b-d Exposures'!Z1039)</f>
        <v/>
      </c>
      <c r="O848" s="3">
        <f>$D848</f>
        <v/>
      </c>
      <c r="P848" s="3">
        <f>E848*$D848</f>
        <v/>
      </c>
      <c r="Q848" s="3">
        <f>F848*$D848</f>
        <v/>
      </c>
      <c r="R848" s="3">
        <f>G848*$D848</f>
        <v/>
      </c>
      <c r="S848" s="3">
        <f>H848*$D848</f>
        <v/>
      </c>
      <c r="T848" s="3">
        <f>I848*$D848</f>
        <v/>
      </c>
      <c r="U848" s="3">
        <f>J848*$D848</f>
        <v/>
      </c>
      <c r="V848" s="3">
        <f>K848*$D848</f>
        <v/>
      </c>
      <c r="W848" s="3">
        <f>L848*$D848</f>
        <v/>
      </c>
      <c r="X848" s="3">
        <f>M848*$D848</f>
        <v/>
      </c>
      <c r="Y848" s="3">
        <f>N848*$D848</f>
        <v/>
      </c>
      <c r="Z848" s="3">
        <f>C848*$D848</f>
        <v/>
      </c>
      <c r="AA848" s="9">
        <f>$L978+$K978*E848+$J978*F848+$I978*G848+$H978*H848+$G978*I848+$F978*J848+$E978*K848+$D978*L848+$C978*M848+$B978*N848</f>
        <v/>
      </c>
      <c r="AB848" s="9">
        <f>C848-AA848</f>
        <v/>
      </c>
      <c r="AC848" s="4">
        <f>AB848^2</f>
        <v/>
      </c>
    </row>
    <row r="849">
      <c r="A849" t="inlineStr">
        <is>
          <t>BBG000CPHYL4</t>
        </is>
      </c>
      <c r="B849" t="inlineStr">
        <is>
          <t>thc</t>
        </is>
      </c>
      <c r="C849" s="9" t="n">
        <v>-0.004555606460965977</v>
      </c>
      <c r="D849" s="3">
        <f>EXP(0.25*'3b-d Exposures'!G1040)</f>
        <v/>
      </c>
      <c r="E849" s="3">
        <f>IF('3b-d Exposures'!C1040="",0,'3b-d Exposures'!C1040)</f>
        <v/>
      </c>
      <c r="F849" s="3">
        <f>IF('3b-d Exposures'!E1040="",0,'3b-d Exposures'!E1040)</f>
        <v/>
      </c>
      <c r="G849" s="3">
        <f>IF('3b-d Exposures'!G1040="",0,'3b-d Exposures'!G1040)</f>
        <v/>
      </c>
      <c r="H849" s="3">
        <f>IF('3b-d Exposures'!I1040="",0,'3b-d Exposures'!I1040)</f>
        <v/>
      </c>
      <c r="I849" s="3">
        <f>IF('3b-d Exposures'!K1040="",0,'3b-d Exposures'!K1040)</f>
        <v/>
      </c>
      <c r="J849" s="3">
        <f>IF('3b-d Exposures'!M1040="",0,'3b-d Exposures'!M1040)</f>
        <v/>
      </c>
      <c r="K849" s="3">
        <f>IF('3b-d Exposures'!O1040="",0,'3b-d Exposures'!O1040)</f>
        <v/>
      </c>
      <c r="L849" s="3">
        <f>IF('3b-d Exposures'!Q1040="",0,'3b-d Exposures'!Q1040)</f>
        <v/>
      </c>
      <c r="M849" s="3">
        <f>IF('3b-d Exposures'!S1040="",0,'3b-d Exposures'!S1040)</f>
        <v/>
      </c>
      <c r="N849" s="3">
        <f>IF('3b-d Exposures'!Z1040="",0,'3b-d Exposures'!Z1040)</f>
        <v/>
      </c>
      <c r="O849" s="3">
        <f>$D849</f>
        <v/>
      </c>
      <c r="P849" s="3">
        <f>E849*$D849</f>
        <v/>
      </c>
      <c r="Q849" s="3">
        <f>F849*$D849</f>
        <v/>
      </c>
      <c r="R849" s="3">
        <f>G849*$D849</f>
        <v/>
      </c>
      <c r="S849" s="3">
        <f>H849*$D849</f>
        <v/>
      </c>
      <c r="T849" s="3">
        <f>I849*$D849</f>
        <v/>
      </c>
      <c r="U849" s="3">
        <f>J849*$D849</f>
        <v/>
      </c>
      <c r="V849" s="3">
        <f>K849*$D849</f>
        <v/>
      </c>
      <c r="W849" s="3">
        <f>L849*$D849</f>
        <v/>
      </c>
      <c r="X849" s="3">
        <f>M849*$D849</f>
        <v/>
      </c>
      <c r="Y849" s="3">
        <f>N849*$D849</f>
        <v/>
      </c>
      <c r="Z849" s="3">
        <f>C849*$D849</f>
        <v/>
      </c>
      <c r="AA849" s="9">
        <f>$L978+$K978*E849+$J978*F849+$I978*G849+$H978*H849+$G978*I849+$F978*J849+$E978*K849+$D978*L849+$C978*M849+$B978*N849</f>
        <v/>
      </c>
      <c r="AB849" s="9">
        <f>C849-AA849</f>
        <v/>
      </c>
      <c r="AC849" s="4">
        <f>AB849^2</f>
        <v/>
      </c>
    </row>
    <row r="850">
      <c r="A850" t="inlineStr">
        <is>
          <t>BBG000BQLM34</t>
        </is>
      </c>
      <c r="B850" t="inlineStr">
        <is>
          <t>thrm</t>
        </is>
      </c>
      <c r="C850" s="9" t="n">
        <v>0.01377676608257405</v>
      </c>
      <c r="D850" s="3">
        <f>EXP(0.25*'3b-d Exposures'!G1041)</f>
        <v/>
      </c>
      <c r="E850" s="3">
        <f>IF('3b-d Exposures'!C1041="",0,'3b-d Exposures'!C1041)</f>
        <v/>
      </c>
      <c r="F850" s="3">
        <f>IF('3b-d Exposures'!E1041="",0,'3b-d Exposures'!E1041)</f>
        <v/>
      </c>
      <c r="G850" s="3">
        <f>IF('3b-d Exposures'!G1041="",0,'3b-d Exposures'!G1041)</f>
        <v/>
      </c>
      <c r="H850" s="3">
        <f>IF('3b-d Exposures'!I1041="",0,'3b-d Exposures'!I1041)</f>
        <v/>
      </c>
      <c r="I850" s="3">
        <f>IF('3b-d Exposures'!K1041="",0,'3b-d Exposures'!K1041)</f>
        <v/>
      </c>
      <c r="J850" s="3">
        <f>IF('3b-d Exposures'!M1041="",0,'3b-d Exposures'!M1041)</f>
        <v/>
      </c>
      <c r="K850" s="3">
        <f>IF('3b-d Exposures'!O1041="",0,'3b-d Exposures'!O1041)</f>
        <v/>
      </c>
      <c r="L850" s="3">
        <f>IF('3b-d Exposures'!Q1041="",0,'3b-d Exposures'!Q1041)</f>
        <v/>
      </c>
      <c r="M850" s="3">
        <f>IF('3b-d Exposures'!S1041="",0,'3b-d Exposures'!S1041)</f>
        <v/>
      </c>
      <c r="N850" s="3">
        <f>IF('3b-d Exposures'!Z1041="",0,'3b-d Exposures'!Z1041)</f>
        <v/>
      </c>
      <c r="O850" s="3">
        <f>$D850</f>
        <v/>
      </c>
      <c r="P850" s="3">
        <f>E850*$D850</f>
        <v/>
      </c>
      <c r="Q850" s="3">
        <f>F850*$D850</f>
        <v/>
      </c>
      <c r="R850" s="3">
        <f>G850*$D850</f>
        <v/>
      </c>
      <c r="S850" s="3">
        <f>H850*$D850</f>
        <v/>
      </c>
      <c r="T850" s="3">
        <f>I850*$D850</f>
        <v/>
      </c>
      <c r="U850" s="3">
        <f>J850*$D850</f>
        <v/>
      </c>
      <c r="V850" s="3">
        <f>K850*$D850</f>
        <v/>
      </c>
      <c r="W850" s="3">
        <f>L850*$D850</f>
        <v/>
      </c>
      <c r="X850" s="3">
        <f>M850*$D850</f>
        <v/>
      </c>
      <c r="Y850" s="3">
        <f>N850*$D850</f>
        <v/>
      </c>
      <c r="Z850" s="3">
        <f>C850*$D850</f>
        <v/>
      </c>
      <c r="AA850" s="9">
        <f>$L978+$K978*E850+$J978*F850+$I978*G850+$H978*H850+$G978*I850+$F978*J850+$E978*K850+$D978*L850+$C978*M850+$B978*N850</f>
        <v/>
      </c>
      <c r="AB850" s="9">
        <f>C850-AA850</f>
        <v/>
      </c>
      <c r="AC850" s="4">
        <f>AB850^2</f>
        <v/>
      </c>
    </row>
    <row r="851">
      <c r="A851" t="inlineStr">
        <is>
          <t>BBG00FWL3J63</t>
        </is>
      </c>
      <c r="B851" t="inlineStr">
        <is>
          <t>thry</t>
        </is>
      </c>
      <c r="C851" s="9" t="n">
        <v>0.01706703305765589</v>
      </c>
      <c r="D851" s="3">
        <f>EXP(0.25*'3b-d Exposures'!G1042)</f>
        <v/>
      </c>
      <c r="E851" s="3">
        <f>IF('3b-d Exposures'!C1042="",0,'3b-d Exposures'!C1042)</f>
        <v/>
      </c>
      <c r="F851" s="3">
        <f>IF('3b-d Exposures'!E1042="",0,'3b-d Exposures'!E1042)</f>
        <v/>
      </c>
      <c r="G851" s="3">
        <f>IF('3b-d Exposures'!G1042="",0,'3b-d Exposures'!G1042)</f>
        <v/>
      </c>
      <c r="H851" s="3">
        <f>IF('3b-d Exposures'!I1042="",0,'3b-d Exposures'!I1042)</f>
        <v/>
      </c>
      <c r="I851" s="3">
        <f>IF('3b-d Exposures'!K1042="",0,'3b-d Exposures'!K1042)</f>
        <v/>
      </c>
      <c r="J851" s="3">
        <f>IF('3b-d Exposures'!M1042="",0,'3b-d Exposures'!M1042)</f>
        <v/>
      </c>
      <c r="K851" s="3">
        <f>IF('3b-d Exposures'!O1042="",0,'3b-d Exposures'!O1042)</f>
        <v/>
      </c>
      <c r="L851" s="3">
        <f>IF('3b-d Exposures'!Q1042="",0,'3b-d Exposures'!Q1042)</f>
        <v/>
      </c>
      <c r="M851" s="3">
        <f>IF('3b-d Exposures'!S1042="",0,'3b-d Exposures'!S1042)</f>
        <v/>
      </c>
      <c r="N851" s="3">
        <f>IF('3b-d Exposures'!Z1042="",0,'3b-d Exposures'!Z1042)</f>
        <v/>
      </c>
      <c r="O851" s="3">
        <f>$D851</f>
        <v/>
      </c>
      <c r="P851" s="3">
        <f>E851*$D851</f>
        <v/>
      </c>
      <c r="Q851" s="3">
        <f>F851*$D851</f>
        <v/>
      </c>
      <c r="R851" s="3">
        <f>G851*$D851</f>
        <v/>
      </c>
      <c r="S851" s="3">
        <f>H851*$D851</f>
        <v/>
      </c>
      <c r="T851" s="3">
        <f>I851*$D851</f>
        <v/>
      </c>
      <c r="U851" s="3">
        <f>J851*$D851</f>
        <v/>
      </c>
      <c r="V851" s="3">
        <f>K851*$D851</f>
        <v/>
      </c>
      <c r="W851" s="3">
        <f>L851*$D851</f>
        <v/>
      </c>
      <c r="X851" s="3">
        <f>M851*$D851</f>
        <v/>
      </c>
      <c r="Y851" s="3">
        <f>N851*$D851</f>
        <v/>
      </c>
      <c r="Z851" s="3">
        <f>C851*$D851</f>
        <v/>
      </c>
      <c r="AA851" s="9">
        <f>$L978+$K978*E851+$J978*F851+$I978*G851+$H978*H851+$G978*I851+$F978*J851+$E978*K851+$D978*L851+$C978*M851+$B978*N851</f>
        <v/>
      </c>
      <c r="AB851" s="9">
        <f>C851-AA851</f>
        <v/>
      </c>
      <c r="AC851" s="4">
        <f>AB851^2</f>
        <v/>
      </c>
    </row>
    <row r="852">
      <c r="A852" t="inlineStr">
        <is>
          <t>BBG000BV8DN6</t>
        </is>
      </c>
      <c r="B852" t="inlineStr">
        <is>
          <t>tjx</t>
        </is>
      </c>
      <c r="C852" s="9" t="n">
        <v>0.003978205347932695</v>
      </c>
      <c r="D852" s="3">
        <f>EXP(0.25*'3b-d Exposures'!G1043)</f>
        <v/>
      </c>
      <c r="E852" s="3">
        <f>IF('3b-d Exposures'!C1043="",0,'3b-d Exposures'!C1043)</f>
        <v/>
      </c>
      <c r="F852" s="3">
        <f>IF('3b-d Exposures'!E1043="",0,'3b-d Exposures'!E1043)</f>
        <v/>
      </c>
      <c r="G852" s="3">
        <f>IF('3b-d Exposures'!G1043="",0,'3b-d Exposures'!G1043)</f>
        <v/>
      </c>
      <c r="H852" s="3">
        <f>IF('3b-d Exposures'!I1043="",0,'3b-d Exposures'!I1043)</f>
        <v/>
      </c>
      <c r="I852" s="3">
        <f>IF('3b-d Exposures'!K1043="",0,'3b-d Exposures'!K1043)</f>
        <v/>
      </c>
      <c r="J852" s="3">
        <f>IF('3b-d Exposures'!M1043="",0,'3b-d Exposures'!M1043)</f>
        <v/>
      </c>
      <c r="K852" s="3">
        <f>IF('3b-d Exposures'!O1043="",0,'3b-d Exposures'!O1043)</f>
        <v/>
      </c>
      <c r="L852" s="3">
        <f>IF('3b-d Exposures'!Q1043="",0,'3b-d Exposures'!Q1043)</f>
        <v/>
      </c>
      <c r="M852" s="3">
        <f>IF('3b-d Exposures'!S1043="",0,'3b-d Exposures'!S1043)</f>
        <v/>
      </c>
      <c r="N852" s="3">
        <f>IF('3b-d Exposures'!Z1043="",0,'3b-d Exposures'!Z1043)</f>
        <v/>
      </c>
      <c r="O852" s="3">
        <f>$D852</f>
        <v/>
      </c>
      <c r="P852" s="3">
        <f>E852*$D852</f>
        <v/>
      </c>
      <c r="Q852" s="3">
        <f>F852*$D852</f>
        <v/>
      </c>
      <c r="R852" s="3">
        <f>G852*$D852</f>
        <v/>
      </c>
      <c r="S852" s="3">
        <f>H852*$D852</f>
        <v/>
      </c>
      <c r="T852" s="3">
        <f>I852*$D852</f>
        <v/>
      </c>
      <c r="U852" s="3">
        <f>J852*$D852</f>
        <v/>
      </c>
      <c r="V852" s="3">
        <f>K852*$D852</f>
        <v/>
      </c>
      <c r="W852" s="3">
        <f>L852*$D852</f>
        <v/>
      </c>
      <c r="X852" s="3">
        <f>M852*$D852</f>
        <v/>
      </c>
      <c r="Y852" s="3">
        <f>N852*$D852</f>
        <v/>
      </c>
      <c r="Z852" s="3">
        <f>C852*$D852</f>
        <v/>
      </c>
      <c r="AA852" s="9">
        <f>$L978+$K978*E852+$J978*F852+$I978*G852+$H978*H852+$G978*I852+$F978*J852+$E978*K852+$D978*L852+$C978*M852+$B978*N852</f>
        <v/>
      </c>
      <c r="AB852" s="9">
        <f>C852-AA852</f>
        <v/>
      </c>
      <c r="AC852" s="4">
        <f>AB852^2</f>
        <v/>
      </c>
    </row>
    <row r="853">
      <c r="A853" t="inlineStr">
        <is>
          <t>BBG000BPH299</t>
        </is>
      </c>
      <c r="B853" t="inlineStr">
        <is>
          <t>tm</t>
        </is>
      </c>
      <c r="C853" s="9" t="n">
        <v>0.03035810422405349</v>
      </c>
      <c r="D853" s="3">
        <f>EXP(0.25*'3b-d Exposures'!G1045)</f>
        <v/>
      </c>
      <c r="E853" s="3">
        <f>IF('3b-d Exposures'!C1045="",0,'3b-d Exposures'!C1045)</f>
        <v/>
      </c>
      <c r="F853" s="3">
        <f>IF('3b-d Exposures'!E1045="",0,'3b-d Exposures'!E1045)</f>
        <v/>
      </c>
      <c r="G853" s="3">
        <f>IF('3b-d Exposures'!G1045="",0,'3b-d Exposures'!G1045)</f>
        <v/>
      </c>
      <c r="H853" s="3">
        <f>IF('3b-d Exposures'!I1045="",0,'3b-d Exposures'!I1045)</f>
        <v/>
      </c>
      <c r="I853" s="3">
        <f>IF('3b-d Exposures'!K1045="",0,'3b-d Exposures'!K1045)</f>
        <v/>
      </c>
      <c r="J853" s="3">
        <f>IF('3b-d Exposures'!M1045="",0,'3b-d Exposures'!M1045)</f>
        <v/>
      </c>
      <c r="K853" s="3">
        <f>IF('3b-d Exposures'!O1045="",0,'3b-d Exposures'!O1045)</f>
        <v/>
      </c>
      <c r="L853" s="3">
        <f>IF('3b-d Exposures'!Q1045="",0,'3b-d Exposures'!Q1045)</f>
        <v/>
      </c>
      <c r="M853" s="3">
        <f>IF('3b-d Exposures'!S1045="",0,'3b-d Exposures'!S1045)</f>
        <v/>
      </c>
      <c r="N853" s="3">
        <f>IF('3b-d Exposures'!Z1045="",0,'3b-d Exposures'!Z1045)</f>
        <v/>
      </c>
      <c r="O853" s="3">
        <f>$D853</f>
        <v/>
      </c>
      <c r="P853" s="3">
        <f>E853*$D853</f>
        <v/>
      </c>
      <c r="Q853" s="3">
        <f>F853*$D853</f>
        <v/>
      </c>
      <c r="R853" s="3">
        <f>G853*$D853</f>
        <v/>
      </c>
      <c r="S853" s="3">
        <f>H853*$D853</f>
        <v/>
      </c>
      <c r="T853" s="3">
        <f>I853*$D853</f>
        <v/>
      </c>
      <c r="U853" s="3">
        <f>J853*$D853</f>
        <v/>
      </c>
      <c r="V853" s="3">
        <f>K853*$D853</f>
        <v/>
      </c>
      <c r="W853" s="3">
        <f>L853*$D853</f>
        <v/>
      </c>
      <c r="X853" s="3">
        <f>M853*$D853</f>
        <v/>
      </c>
      <c r="Y853" s="3">
        <f>N853*$D853</f>
        <v/>
      </c>
      <c r="Z853" s="3">
        <f>C853*$D853</f>
        <v/>
      </c>
      <c r="AA853" s="9">
        <f>$L978+$K978*E853+$J978*F853+$I978*G853+$H978*H853+$G978*I853+$F978*J853+$E978*K853+$D978*L853+$C978*M853+$B978*N853</f>
        <v/>
      </c>
      <c r="AB853" s="9">
        <f>C853-AA853</f>
        <v/>
      </c>
      <c r="AC853" s="4">
        <f>AB853^2</f>
        <v/>
      </c>
    </row>
    <row r="854">
      <c r="A854" t="inlineStr">
        <is>
          <t>BBG003PGJHP5</t>
        </is>
      </c>
      <c r="B854" t="inlineStr">
        <is>
          <t>tmhc</t>
        </is>
      </c>
      <c r="C854" s="9" t="n">
        <v>-0.009340766424137947</v>
      </c>
      <c r="D854" s="3">
        <f>EXP(0.25*'3b-d Exposures'!G1047)</f>
        <v/>
      </c>
      <c r="E854" s="3">
        <f>IF('3b-d Exposures'!C1047="",0,'3b-d Exposures'!C1047)</f>
        <v/>
      </c>
      <c r="F854" s="3">
        <f>IF('3b-d Exposures'!E1047="",0,'3b-d Exposures'!E1047)</f>
        <v/>
      </c>
      <c r="G854" s="3">
        <f>IF('3b-d Exposures'!G1047="",0,'3b-d Exposures'!G1047)</f>
        <v/>
      </c>
      <c r="H854" s="3">
        <f>IF('3b-d Exposures'!I1047="",0,'3b-d Exposures'!I1047)</f>
        <v/>
      </c>
      <c r="I854" s="3">
        <f>IF('3b-d Exposures'!K1047="",0,'3b-d Exposures'!K1047)</f>
        <v/>
      </c>
      <c r="J854" s="3">
        <f>IF('3b-d Exposures'!M1047="",0,'3b-d Exposures'!M1047)</f>
        <v/>
      </c>
      <c r="K854" s="3">
        <f>IF('3b-d Exposures'!O1047="",0,'3b-d Exposures'!O1047)</f>
        <v/>
      </c>
      <c r="L854" s="3">
        <f>IF('3b-d Exposures'!Q1047="",0,'3b-d Exposures'!Q1047)</f>
        <v/>
      </c>
      <c r="M854" s="3">
        <f>IF('3b-d Exposures'!S1047="",0,'3b-d Exposures'!S1047)</f>
        <v/>
      </c>
      <c r="N854" s="3">
        <f>IF('3b-d Exposures'!Z1047="",0,'3b-d Exposures'!Z1047)</f>
        <v/>
      </c>
      <c r="O854" s="3">
        <f>$D854</f>
        <v/>
      </c>
      <c r="P854" s="3">
        <f>E854*$D854</f>
        <v/>
      </c>
      <c r="Q854" s="3">
        <f>F854*$D854</f>
        <v/>
      </c>
      <c r="R854" s="3">
        <f>G854*$D854</f>
        <v/>
      </c>
      <c r="S854" s="3">
        <f>H854*$D854</f>
        <v/>
      </c>
      <c r="T854" s="3">
        <f>I854*$D854</f>
        <v/>
      </c>
      <c r="U854" s="3">
        <f>J854*$D854</f>
        <v/>
      </c>
      <c r="V854" s="3">
        <f>K854*$D854</f>
        <v/>
      </c>
      <c r="W854" s="3">
        <f>L854*$D854</f>
        <v/>
      </c>
      <c r="X854" s="3">
        <f>M854*$D854</f>
        <v/>
      </c>
      <c r="Y854" s="3">
        <f>N854*$D854</f>
        <v/>
      </c>
      <c r="Z854" s="3">
        <f>C854*$D854</f>
        <v/>
      </c>
      <c r="AA854" s="9">
        <f>$L978+$K978*E854+$J978*F854+$I978*G854+$H978*H854+$G978*I854+$F978*J854+$E978*K854+$D978*L854+$C978*M854+$B978*N854</f>
        <v/>
      </c>
      <c r="AB854" s="9">
        <f>C854-AA854</f>
        <v/>
      </c>
      <c r="AC854" s="4">
        <f>AB854^2</f>
        <v/>
      </c>
    </row>
    <row r="855">
      <c r="A855" t="inlineStr">
        <is>
          <t>BBG000BVDLH9</t>
        </is>
      </c>
      <c r="B855" t="inlineStr">
        <is>
          <t>tmo</t>
        </is>
      </c>
      <c r="C855" s="9" t="n">
        <v>0.0006042945617663609</v>
      </c>
      <c r="D855" s="3">
        <f>EXP(0.25*'3b-d Exposures'!G1048)</f>
        <v/>
      </c>
      <c r="E855" s="3">
        <f>IF('3b-d Exposures'!C1048="",0,'3b-d Exposures'!C1048)</f>
        <v/>
      </c>
      <c r="F855" s="3">
        <f>IF('3b-d Exposures'!E1048="",0,'3b-d Exposures'!E1048)</f>
        <v/>
      </c>
      <c r="G855" s="3">
        <f>IF('3b-d Exposures'!G1048="",0,'3b-d Exposures'!G1048)</f>
        <v/>
      </c>
      <c r="H855" s="3">
        <f>IF('3b-d Exposures'!I1048="",0,'3b-d Exposures'!I1048)</f>
        <v/>
      </c>
      <c r="I855" s="3">
        <f>IF('3b-d Exposures'!K1048="",0,'3b-d Exposures'!K1048)</f>
        <v/>
      </c>
      <c r="J855" s="3">
        <f>IF('3b-d Exposures'!M1048="",0,'3b-d Exposures'!M1048)</f>
        <v/>
      </c>
      <c r="K855" s="3">
        <f>IF('3b-d Exposures'!O1048="",0,'3b-d Exposures'!O1048)</f>
        <v/>
      </c>
      <c r="L855" s="3">
        <f>IF('3b-d Exposures'!Q1048="",0,'3b-d Exposures'!Q1048)</f>
        <v/>
      </c>
      <c r="M855" s="3">
        <f>IF('3b-d Exposures'!S1048="",0,'3b-d Exposures'!S1048)</f>
        <v/>
      </c>
      <c r="N855" s="3">
        <f>IF('3b-d Exposures'!Z1048="",0,'3b-d Exposures'!Z1048)</f>
        <v/>
      </c>
      <c r="O855" s="3">
        <f>$D855</f>
        <v/>
      </c>
      <c r="P855" s="3">
        <f>E855*$D855</f>
        <v/>
      </c>
      <c r="Q855" s="3">
        <f>F855*$D855</f>
        <v/>
      </c>
      <c r="R855" s="3">
        <f>G855*$D855</f>
        <v/>
      </c>
      <c r="S855" s="3">
        <f>H855*$D855</f>
        <v/>
      </c>
      <c r="T855" s="3">
        <f>I855*$D855</f>
        <v/>
      </c>
      <c r="U855" s="3">
        <f>J855*$D855</f>
        <v/>
      </c>
      <c r="V855" s="3">
        <f>K855*$D855</f>
        <v/>
      </c>
      <c r="W855" s="3">
        <f>L855*$D855</f>
        <v/>
      </c>
      <c r="X855" s="3">
        <f>M855*$D855</f>
        <v/>
      </c>
      <c r="Y855" s="3">
        <f>N855*$D855</f>
        <v/>
      </c>
      <c r="Z855" s="3">
        <f>C855*$D855</f>
        <v/>
      </c>
      <c r="AA855" s="9">
        <f>$L978+$K978*E855+$J978*F855+$I978*G855+$H978*H855+$G978*I855+$F978*J855+$E978*K855+$D978*L855+$C978*M855+$B978*N855</f>
        <v/>
      </c>
      <c r="AB855" s="9">
        <f>C855-AA855</f>
        <v/>
      </c>
      <c r="AC855" s="4">
        <f>AB855^2</f>
        <v/>
      </c>
    </row>
    <row r="856">
      <c r="A856" t="inlineStr">
        <is>
          <t>BBG000NDV1D4</t>
        </is>
      </c>
      <c r="B856" t="inlineStr">
        <is>
          <t>tmus</t>
        </is>
      </c>
      <c r="C856" s="9" t="n">
        <v>-0.00858504332685206</v>
      </c>
      <c r="D856" s="3">
        <f>EXP(0.25*'3b-d Exposures'!G1049)</f>
        <v/>
      </c>
      <c r="E856" s="3">
        <f>IF('3b-d Exposures'!C1049="",0,'3b-d Exposures'!C1049)</f>
        <v/>
      </c>
      <c r="F856" s="3">
        <f>IF('3b-d Exposures'!E1049="",0,'3b-d Exposures'!E1049)</f>
        <v/>
      </c>
      <c r="G856" s="3">
        <f>IF('3b-d Exposures'!G1049="",0,'3b-d Exposures'!G1049)</f>
        <v/>
      </c>
      <c r="H856" s="3">
        <f>IF('3b-d Exposures'!I1049="",0,'3b-d Exposures'!I1049)</f>
        <v/>
      </c>
      <c r="I856" s="3">
        <f>IF('3b-d Exposures'!K1049="",0,'3b-d Exposures'!K1049)</f>
        <v/>
      </c>
      <c r="J856" s="3">
        <f>IF('3b-d Exposures'!M1049="",0,'3b-d Exposures'!M1049)</f>
        <v/>
      </c>
      <c r="K856" s="3">
        <f>IF('3b-d Exposures'!O1049="",0,'3b-d Exposures'!O1049)</f>
        <v/>
      </c>
      <c r="L856" s="3">
        <f>IF('3b-d Exposures'!Q1049="",0,'3b-d Exposures'!Q1049)</f>
        <v/>
      </c>
      <c r="M856" s="3">
        <f>IF('3b-d Exposures'!S1049="",0,'3b-d Exposures'!S1049)</f>
        <v/>
      </c>
      <c r="N856" s="3">
        <f>IF('3b-d Exposures'!Z1049="",0,'3b-d Exposures'!Z1049)</f>
        <v/>
      </c>
      <c r="O856" s="3">
        <f>$D856</f>
        <v/>
      </c>
      <c r="P856" s="3">
        <f>E856*$D856</f>
        <v/>
      </c>
      <c r="Q856" s="3">
        <f>F856*$D856</f>
        <v/>
      </c>
      <c r="R856" s="3">
        <f>G856*$D856</f>
        <v/>
      </c>
      <c r="S856" s="3">
        <f>H856*$D856</f>
        <v/>
      </c>
      <c r="T856" s="3">
        <f>I856*$D856</f>
        <v/>
      </c>
      <c r="U856" s="3">
        <f>J856*$D856</f>
        <v/>
      </c>
      <c r="V856" s="3">
        <f>K856*$D856</f>
        <v/>
      </c>
      <c r="W856" s="3">
        <f>L856*$D856</f>
        <v/>
      </c>
      <c r="X856" s="3">
        <f>M856*$D856</f>
        <v/>
      </c>
      <c r="Y856" s="3">
        <f>N856*$D856</f>
        <v/>
      </c>
      <c r="Z856" s="3">
        <f>C856*$D856</f>
        <v/>
      </c>
      <c r="AA856" s="9">
        <f>$L978+$K978*E856+$J978*F856+$I978*G856+$H978*H856+$G978*I856+$F978*J856+$E978*K856+$D978*L856+$C978*M856+$B978*N856</f>
        <v/>
      </c>
      <c r="AB856" s="9">
        <f>C856-AA856</f>
        <v/>
      </c>
      <c r="AC856" s="4">
        <f>AB856^2</f>
        <v/>
      </c>
    </row>
    <row r="857">
      <c r="A857" t="inlineStr">
        <is>
          <t>BBG000JCZJS2</t>
        </is>
      </c>
      <c r="B857" t="inlineStr">
        <is>
          <t>tnc</t>
        </is>
      </c>
      <c r="C857" s="9" t="n">
        <v>0.003734419804307221</v>
      </c>
      <c r="D857" s="3">
        <f>EXP(0.25*'3b-d Exposures'!G1050)</f>
        <v/>
      </c>
      <c r="E857" s="3">
        <f>IF('3b-d Exposures'!C1050="",0,'3b-d Exposures'!C1050)</f>
        <v/>
      </c>
      <c r="F857" s="3">
        <f>IF('3b-d Exposures'!E1050="",0,'3b-d Exposures'!E1050)</f>
        <v/>
      </c>
      <c r="G857" s="3">
        <f>IF('3b-d Exposures'!G1050="",0,'3b-d Exposures'!G1050)</f>
        <v/>
      </c>
      <c r="H857" s="3">
        <f>IF('3b-d Exposures'!I1050="",0,'3b-d Exposures'!I1050)</f>
        <v/>
      </c>
      <c r="I857" s="3">
        <f>IF('3b-d Exposures'!K1050="",0,'3b-d Exposures'!K1050)</f>
        <v/>
      </c>
      <c r="J857" s="3">
        <f>IF('3b-d Exposures'!M1050="",0,'3b-d Exposures'!M1050)</f>
        <v/>
      </c>
      <c r="K857" s="3">
        <f>IF('3b-d Exposures'!O1050="",0,'3b-d Exposures'!O1050)</f>
        <v/>
      </c>
      <c r="L857" s="3">
        <f>IF('3b-d Exposures'!Q1050="",0,'3b-d Exposures'!Q1050)</f>
        <v/>
      </c>
      <c r="M857" s="3">
        <f>IF('3b-d Exposures'!S1050="",0,'3b-d Exposures'!S1050)</f>
        <v/>
      </c>
      <c r="N857" s="3">
        <f>IF('3b-d Exposures'!Z1050="",0,'3b-d Exposures'!Z1050)</f>
        <v/>
      </c>
      <c r="O857" s="3">
        <f>$D857</f>
        <v/>
      </c>
      <c r="P857" s="3">
        <f>E857*$D857</f>
        <v/>
      </c>
      <c r="Q857" s="3">
        <f>F857*$D857</f>
        <v/>
      </c>
      <c r="R857" s="3">
        <f>G857*$D857</f>
        <v/>
      </c>
      <c r="S857" s="3">
        <f>H857*$D857</f>
        <v/>
      </c>
      <c r="T857" s="3">
        <f>I857*$D857</f>
        <v/>
      </c>
      <c r="U857" s="3">
        <f>J857*$D857</f>
        <v/>
      </c>
      <c r="V857" s="3">
        <f>K857*$D857</f>
        <v/>
      </c>
      <c r="W857" s="3">
        <f>L857*$D857</f>
        <v/>
      </c>
      <c r="X857" s="3">
        <f>M857*$D857</f>
        <v/>
      </c>
      <c r="Y857" s="3">
        <f>N857*$D857</f>
        <v/>
      </c>
      <c r="Z857" s="3">
        <f>C857*$D857</f>
        <v/>
      </c>
      <c r="AA857" s="9">
        <f>$L978+$K978*E857+$J978*F857+$I978*G857+$H978*H857+$G978*I857+$F978*J857+$E978*K857+$D978*L857+$C978*M857+$B978*N857</f>
        <v/>
      </c>
      <c r="AB857" s="9">
        <f>C857-AA857</f>
        <v/>
      </c>
      <c r="AC857" s="4">
        <f>AB857^2</f>
        <v/>
      </c>
    </row>
    <row r="858">
      <c r="A858" t="inlineStr">
        <is>
          <t>BBG000BVHBM1</t>
        </is>
      </c>
      <c r="B858" t="inlineStr">
        <is>
          <t>tol</t>
        </is>
      </c>
      <c r="C858" s="9" t="n">
        <v>-0.007628296630128095</v>
      </c>
      <c r="D858" s="3">
        <f>EXP(0.25*'3b-d Exposures'!G1051)</f>
        <v/>
      </c>
      <c r="E858" s="3">
        <f>IF('3b-d Exposures'!C1051="",0,'3b-d Exposures'!C1051)</f>
        <v/>
      </c>
      <c r="F858" s="3">
        <f>IF('3b-d Exposures'!E1051="",0,'3b-d Exposures'!E1051)</f>
        <v/>
      </c>
      <c r="G858" s="3">
        <f>IF('3b-d Exposures'!G1051="",0,'3b-d Exposures'!G1051)</f>
        <v/>
      </c>
      <c r="H858" s="3">
        <f>IF('3b-d Exposures'!I1051="",0,'3b-d Exposures'!I1051)</f>
        <v/>
      </c>
      <c r="I858" s="3">
        <f>IF('3b-d Exposures'!K1051="",0,'3b-d Exposures'!K1051)</f>
        <v/>
      </c>
      <c r="J858" s="3">
        <f>IF('3b-d Exposures'!M1051="",0,'3b-d Exposures'!M1051)</f>
        <v/>
      </c>
      <c r="K858" s="3">
        <f>IF('3b-d Exposures'!O1051="",0,'3b-d Exposures'!O1051)</f>
        <v/>
      </c>
      <c r="L858" s="3">
        <f>IF('3b-d Exposures'!Q1051="",0,'3b-d Exposures'!Q1051)</f>
        <v/>
      </c>
      <c r="M858" s="3">
        <f>IF('3b-d Exposures'!S1051="",0,'3b-d Exposures'!S1051)</f>
        <v/>
      </c>
      <c r="N858" s="3">
        <f>IF('3b-d Exposures'!Z1051="",0,'3b-d Exposures'!Z1051)</f>
        <v/>
      </c>
      <c r="O858" s="3">
        <f>$D858</f>
        <v/>
      </c>
      <c r="P858" s="3">
        <f>E858*$D858</f>
        <v/>
      </c>
      <c r="Q858" s="3">
        <f>F858*$D858</f>
        <v/>
      </c>
      <c r="R858" s="3">
        <f>G858*$D858</f>
        <v/>
      </c>
      <c r="S858" s="3">
        <f>H858*$D858</f>
        <v/>
      </c>
      <c r="T858" s="3">
        <f>I858*$D858</f>
        <v/>
      </c>
      <c r="U858" s="3">
        <f>J858*$D858</f>
        <v/>
      </c>
      <c r="V858" s="3">
        <f>K858*$D858</f>
        <v/>
      </c>
      <c r="W858" s="3">
        <f>L858*$D858</f>
        <v/>
      </c>
      <c r="X858" s="3">
        <f>M858*$D858</f>
        <v/>
      </c>
      <c r="Y858" s="3">
        <f>N858*$D858</f>
        <v/>
      </c>
      <c r="Z858" s="3">
        <f>C858*$D858</f>
        <v/>
      </c>
      <c r="AA858" s="9">
        <f>$L978+$K978*E858+$J978*F858+$I978*G858+$H978*H858+$G978*I858+$F978*J858+$E978*K858+$D978*L858+$C978*M858+$B978*N858</f>
        <v/>
      </c>
      <c r="AB858" s="9">
        <f>C858-AA858</f>
        <v/>
      </c>
      <c r="AC858" s="4">
        <f>AB858^2</f>
        <v/>
      </c>
    </row>
    <row r="859">
      <c r="A859" t="inlineStr">
        <is>
          <t>tpl</t>
        </is>
      </c>
      <c r="B859" t="inlineStr">
        <is>
          <t>tpl</t>
        </is>
      </c>
      <c r="C859" s="9" t="n">
        <v>-0.06139538398939703</v>
      </c>
      <c r="D859" s="3">
        <f>EXP(0.25*'3b-d Exposures'!G1054)</f>
        <v/>
      </c>
      <c r="E859" s="3">
        <f>IF('3b-d Exposures'!C1054="",0,'3b-d Exposures'!C1054)</f>
        <v/>
      </c>
      <c r="F859" s="3">
        <f>IF('3b-d Exposures'!E1054="",0,'3b-d Exposures'!E1054)</f>
        <v/>
      </c>
      <c r="G859" s="3">
        <f>IF('3b-d Exposures'!G1054="",0,'3b-d Exposures'!G1054)</f>
        <v/>
      </c>
      <c r="H859" s="3">
        <f>IF('3b-d Exposures'!I1054="",0,'3b-d Exposures'!I1054)</f>
        <v/>
      </c>
      <c r="I859" s="3">
        <f>IF('3b-d Exposures'!K1054="",0,'3b-d Exposures'!K1054)</f>
        <v/>
      </c>
      <c r="J859" s="3">
        <f>IF('3b-d Exposures'!M1054="",0,'3b-d Exposures'!M1054)</f>
        <v/>
      </c>
      <c r="K859" s="3">
        <f>IF('3b-d Exposures'!O1054="",0,'3b-d Exposures'!O1054)</f>
        <v/>
      </c>
      <c r="L859" s="3">
        <f>IF('3b-d Exposures'!Q1054="",0,'3b-d Exposures'!Q1054)</f>
        <v/>
      </c>
      <c r="M859" s="3">
        <f>IF('3b-d Exposures'!S1054="",0,'3b-d Exposures'!S1054)</f>
        <v/>
      </c>
      <c r="N859" s="3">
        <f>IF('3b-d Exposures'!Z1054="",0,'3b-d Exposures'!Z1054)</f>
        <v/>
      </c>
      <c r="O859" s="3">
        <f>$D859</f>
        <v/>
      </c>
      <c r="P859" s="3">
        <f>E859*$D859</f>
        <v/>
      </c>
      <c r="Q859" s="3">
        <f>F859*$D859</f>
        <v/>
      </c>
      <c r="R859" s="3">
        <f>G859*$D859</f>
        <v/>
      </c>
      <c r="S859" s="3">
        <f>H859*$D859</f>
        <v/>
      </c>
      <c r="T859" s="3">
        <f>I859*$D859</f>
        <v/>
      </c>
      <c r="U859" s="3">
        <f>J859*$D859</f>
        <v/>
      </c>
      <c r="V859" s="3">
        <f>K859*$D859</f>
        <v/>
      </c>
      <c r="W859" s="3">
        <f>L859*$D859</f>
        <v/>
      </c>
      <c r="X859" s="3">
        <f>M859*$D859</f>
        <v/>
      </c>
      <c r="Y859" s="3">
        <f>N859*$D859</f>
        <v/>
      </c>
      <c r="Z859" s="3">
        <f>C859*$D859</f>
        <v/>
      </c>
      <c r="AA859" s="9">
        <f>$L978+$K978*E859+$J978*F859+$I978*G859+$H978*H859+$G978*I859+$F978*J859+$E978*K859+$D978*L859+$C978*M859+$B978*N859</f>
        <v/>
      </c>
      <c r="AB859" s="9">
        <f>C859-AA859</f>
        <v/>
      </c>
      <c r="AC859" s="4">
        <f>AB859^2</f>
        <v/>
      </c>
    </row>
    <row r="860">
      <c r="A860" t="inlineStr">
        <is>
          <t>BBG000BY29C7</t>
        </is>
      </c>
      <c r="B860" t="inlineStr">
        <is>
          <t>tpr</t>
        </is>
      </c>
      <c r="C860" s="9" t="n">
        <v>0.03693018715999541</v>
      </c>
      <c r="D860" s="3">
        <f>EXP(0.25*'3b-d Exposures'!G1055)</f>
        <v/>
      </c>
      <c r="E860" s="3">
        <f>IF('3b-d Exposures'!C1055="",0,'3b-d Exposures'!C1055)</f>
        <v/>
      </c>
      <c r="F860" s="3">
        <f>IF('3b-d Exposures'!E1055="",0,'3b-d Exposures'!E1055)</f>
        <v/>
      </c>
      <c r="G860" s="3">
        <f>IF('3b-d Exposures'!G1055="",0,'3b-d Exposures'!G1055)</f>
        <v/>
      </c>
      <c r="H860" s="3">
        <f>IF('3b-d Exposures'!I1055="",0,'3b-d Exposures'!I1055)</f>
        <v/>
      </c>
      <c r="I860" s="3">
        <f>IF('3b-d Exposures'!K1055="",0,'3b-d Exposures'!K1055)</f>
        <v/>
      </c>
      <c r="J860" s="3">
        <f>IF('3b-d Exposures'!M1055="",0,'3b-d Exposures'!M1055)</f>
        <v/>
      </c>
      <c r="K860" s="3">
        <f>IF('3b-d Exposures'!O1055="",0,'3b-d Exposures'!O1055)</f>
        <v/>
      </c>
      <c r="L860" s="3">
        <f>IF('3b-d Exposures'!Q1055="",0,'3b-d Exposures'!Q1055)</f>
        <v/>
      </c>
      <c r="M860" s="3">
        <f>IF('3b-d Exposures'!S1055="",0,'3b-d Exposures'!S1055)</f>
        <v/>
      </c>
      <c r="N860" s="3">
        <f>IF('3b-d Exposures'!Z1055="",0,'3b-d Exposures'!Z1055)</f>
        <v/>
      </c>
      <c r="O860" s="3">
        <f>$D860</f>
        <v/>
      </c>
      <c r="P860" s="3">
        <f>E860*$D860</f>
        <v/>
      </c>
      <c r="Q860" s="3">
        <f>F860*$D860</f>
        <v/>
      </c>
      <c r="R860" s="3">
        <f>G860*$D860</f>
        <v/>
      </c>
      <c r="S860" s="3">
        <f>H860*$D860</f>
        <v/>
      </c>
      <c r="T860" s="3">
        <f>I860*$D860</f>
        <v/>
      </c>
      <c r="U860" s="3">
        <f>J860*$D860</f>
        <v/>
      </c>
      <c r="V860" s="3">
        <f>K860*$D860</f>
        <v/>
      </c>
      <c r="W860" s="3">
        <f>L860*$D860</f>
        <v/>
      </c>
      <c r="X860" s="3">
        <f>M860*$D860</f>
        <v/>
      </c>
      <c r="Y860" s="3">
        <f>N860*$D860</f>
        <v/>
      </c>
      <c r="Z860" s="3">
        <f>C860*$D860</f>
        <v/>
      </c>
      <c r="AA860" s="9">
        <f>$L978+$K978*E860+$J978*F860+$I978*G860+$H978*H860+$G978*I860+$F978*J860+$E978*K860+$D978*L860+$C978*M860+$B978*N860</f>
        <v/>
      </c>
      <c r="AB860" s="9">
        <f>C860-AA860</f>
        <v/>
      </c>
      <c r="AC860" s="4">
        <f>AB860^2</f>
        <v/>
      </c>
    </row>
    <row r="861">
      <c r="A861" t="inlineStr">
        <is>
          <t>BBG0015XMW40</t>
        </is>
      </c>
      <c r="B861" t="inlineStr">
        <is>
          <t>trgp</t>
        </is>
      </c>
      <c r="C861" s="9" t="n">
        <v>-0.04777295961780148</v>
      </c>
      <c r="D861" s="3">
        <f>EXP(0.25*'3b-d Exposures'!G1056)</f>
        <v/>
      </c>
      <c r="E861" s="3">
        <f>IF('3b-d Exposures'!C1056="",0,'3b-d Exposures'!C1056)</f>
        <v/>
      </c>
      <c r="F861" s="3">
        <f>IF('3b-d Exposures'!E1056="",0,'3b-d Exposures'!E1056)</f>
        <v/>
      </c>
      <c r="G861" s="3">
        <f>IF('3b-d Exposures'!G1056="",0,'3b-d Exposures'!G1056)</f>
        <v/>
      </c>
      <c r="H861" s="3">
        <f>IF('3b-d Exposures'!I1056="",0,'3b-d Exposures'!I1056)</f>
        <v/>
      </c>
      <c r="I861" s="3">
        <f>IF('3b-d Exposures'!K1056="",0,'3b-d Exposures'!K1056)</f>
        <v/>
      </c>
      <c r="J861" s="3">
        <f>IF('3b-d Exposures'!M1056="",0,'3b-d Exposures'!M1056)</f>
        <v/>
      </c>
      <c r="K861" s="3">
        <f>IF('3b-d Exposures'!O1056="",0,'3b-d Exposures'!O1056)</f>
        <v/>
      </c>
      <c r="L861" s="3">
        <f>IF('3b-d Exposures'!Q1056="",0,'3b-d Exposures'!Q1056)</f>
        <v/>
      </c>
      <c r="M861" s="3">
        <f>IF('3b-d Exposures'!S1056="",0,'3b-d Exposures'!S1056)</f>
        <v/>
      </c>
      <c r="N861" s="3">
        <f>IF('3b-d Exposures'!Z1056="",0,'3b-d Exposures'!Z1056)</f>
        <v/>
      </c>
      <c r="O861" s="3">
        <f>$D861</f>
        <v/>
      </c>
      <c r="P861" s="3">
        <f>E861*$D861</f>
        <v/>
      </c>
      <c r="Q861" s="3">
        <f>F861*$D861</f>
        <v/>
      </c>
      <c r="R861" s="3">
        <f>G861*$D861</f>
        <v/>
      </c>
      <c r="S861" s="3">
        <f>H861*$D861</f>
        <v/>
      </c>
      <c r="T861" s="3">
        <f>I861*$D861</f>
        <v/>
      </c>
      <c r="U861" s="3">
        <f>J861*$D861</f>
        <v/>
      </c>
      <c r="V861" s="3">
        <f>K861*$D861</f>
        <v/>
      </c>
      <c r="W861" s="3">
        <f>L861*$D861</f>
        <v/>
      </c>
      <c r="X861" s="3">
        <f>M861*$D861</f>
        <v/>
      </c>
      <c r="Y861" s="3">
        <f>N861*$D861</f>
        <v/>
      </c>
      <c r="Z861" s="3">
        <f>C861*$D861</f>
        <v/>
      </c>
      <c r="AA861" s="9">
        <f>$L978+$K978*E861+$J978*F861+$I978*G861+$H978*H861+$G978*I861+$F978*J861+$E978*K861+$D978*L861+$C978*M861+$B978*N861</f>
        <v/>
      </c>
      <c r="AB861" s="9">
        <f>C861-AA861</f>
        <v/>
      </c>
      <c r="AC861" s="4">
        <f>AB861^2</f>
        <v/>
      </c>
    </row>
    <row r="862">
      <c r="A862" t="inlineStr">
        <is>
          <t>BBG00T6WFZ96</t>
        </is>
      </c>
      <c r="B862" t="inlineStr">
        <is>
          <t>trin</t>
        </is>
      </c>
      <c r="C862" s="9" t="n">
        <v>-0.01567843443850947</v>
      </c>
      <c r="D862" s="3">
        <f>EXP(0.25*'3b-d Exposures'!G1057)</f>
        <v/>
      </c>
      <c r="E862" s="3">
        <f>IF('3b-d Exposures'!C1057="",0,'3b-d Exposures'!C1057)</f>
        <v/>
      </c>
      <c r="F862" s="3">
        <f>IF('3b-d Exposures'!E1057="",0,'3b-d Exposures'!E1057)</f>
        <v/>
      </c>
      <c r="G862" s="3">
        <f>IF('3b-d Exposures'!G1057="",0,'3b-d Exposures'!G1057)</f>
        <v/>
      </c>
      <c r="H862" s="3">
        <f>IF('3b-d Exposures'!I1057="",0,'3b-d Exposures'!I1057)</f>
        <v/>
      </c>
      <c r="I862" s="3">
        <f>IF('3b-d Exposures'!K1057="",0,'3b-d Exposures'!K1057)</f>
        <v/>
      </c>
      <c r="J862" s="3">
        <f>IF('3b-d Exposures'!M1057="",0,'3b-d Exposures'!M1057)</f>
        <v/>
      </c>
      <c r="K862" s="3">
        <f>IF('3b-d Exposures'!O1057="",0,'3b-d Exposures'!O1057)</f>
        <v/>
      </c>
      <c r="L862" s="3">
        <f>IF('3b-d Exposures'!Q1057="",0,'3b-d Exposures'!Q1057)</f>
        <v/>
      </c>
      <c r="M862" s="3">
        <f>IF('3b-d Exposures'!S1057="",0,'3b-d Exposures'!S1057)</f>
        <v/>
      </c>
      <c r="N862" s="3">
        <f>IF('3b-d Exposures'!Z1057="",0,'3b-d Exposures'!Z1057)</f>
        <v/>
      </c>
      <c r="O862" s="3">
        <f>$D862</f>
        <v/>
      </c>
      <c r="P862" s="3">
        <f>E862*$D862</f>
        <v/>
      </c>
      <c r="Q862" s="3">
        <f>F862*$D862</f>
        <v/>
      </c>
      <c r="R862" s="3">
        <f>G862*$D862</f>
        <v/>
      </c>
      <c r="S862" s="3">
        <f>H862*$D862</f>
        <v/>
      </c>
      <c r="T862" s="3">
        <f>I862*$D862</f>
        <v/>
      </c>
      <c r="U862" s="3">
        <f>J862*$D862</f>
        <v/>
      </c>
      <c r="V862" s="3">
        <f>K862*$D862</f>
        <v/>
      </c>
      <c r="W862" s="3">
        <f>L862*$D862</f>
        <v/>
      </c>
      <c r="X862" s="3">
        <f>M862*$D862</f>
        <v/>
      </c>
      <c r="Y862" s="3">
        <f>N862*$D862</f>
        <v/>
      </c>
      <c r="Z862" s="3">
        <f>C862*$D862</f>
        <v/>
      </c>
      <c r="AA862" s="9">
        <f>$L978+$K978*E862+$J978*F862+$I978*G862+$H978*H862+$G978*I862+$F978*J862+$E978*K862+$D978*L862+$C978*M862+$B978*N862</f>
        <v/>
      </c>
      <c r="AB862" s="9">
        <f>C862-AA862</f>
        <v/>
      </c>
      <c r="AC862" s="4">
        <f>AB862^2</f>
        <v/>
      </c>
    </row>
    <row r="863">
      <c r="A863" t="inlineStr">
        <is>
          <t>trmb</t>
        </is>
      </c>
      <c r="B863" t="inlineStr">
        <is>
          <t>trmb</t>
        </is>
      </c>
      <c r="C863" s="9" t="n">
        <v>0.00150747716200339</v>
      </c>
      <c r="D863" s="3">
        <f>EXP(0.25*'3b-d Exposures'!G1059)</f>
        <v/>
      </c>
      <c r="E863" s="3">
        <f>IF('3b-d Exposures'!C1059="",0,'3b-d Exposures'!C1059)</f>
        <v/>
      </c>
      <c r="F863" s="3">
        <f>IF('3b-d Exposures'!E1059="",0,'3b-d Exposures'!E1059)</f>
        <v/>
      </c>
      <c r="G863" s="3">
        <f>IF('3b-d Exposures'!G1059="",0,'3b-d Exposures'!G1059)</f>
        <v/>
      </c>
      <c r="H863" s="3">
        <f>IF('3b-d Exposures'!I1059="",0,'3b-d Exposures'!I1059)</f>
        <v/>
      </c>
      <c r="I863" s="3">
        <f>IF('3b-d Exposures'!K1059="",0,'3b-d Exposures'!K1059)</f>
        <v/>
      </c>
      <c r="J863" s="3">
        <f>IF('3b-d Exposures'!M1059="",0,'3b-d Exposures'!M1059)</f>
        <v/>
      </c>
      <c r="K863" s="3">
        <f>IF('3b-d Exposures'!O1059="",0,'3b-d Exposures'!O1059)</f>
        <v/>
      </c>
      <c r="L863" s="3">
        <f>IF('3b-d Exposures'!Q1059="",0,'3b-d Exposures'!Q1059)</f>
        <v/>
      </c>
      <c r="M863" s="3">
        <f>IF('3b-d Exposures'!S1059="",0,'3b-d Exposures'!S1059)</f>
        <v/>
      </c>
      <c r="N863" s="3">
        <f>IF('3b-d Exposures'!Z1059="",0,'3b-d Exposures'!Z1059)</f>
        <v/>
      </c>
      <c r="O863" s="3">
        <f>$D863</f>
        <v/>
      </c>
      <c r="P863" s="3">
        <f>E863*$D863</f>
        <v/>
      </c>
      <c r="Q863" s="3">
        <f>F863*$D863</f>
        <v/>
      </c>
      <c r="R863" s="3">
        <f>G863*$D863</f>
        <v/>
      </c>
      <c r="S863" s="3">
        <f>H863*$D863</f>
        <v/>
      </c>
      <c r="T863" s="3">
        <f>I863*$D863</f>
        <v/>
      </c>
      <c r="U863" s="3">
        <f>J863*$D863</f>
        <v/>
      </c>
      <c r="V863" s="3">
        <f>K863*$D863</f>
        <v/>
      </c>
      <c r="W863" s="3">
        <f>L863*$D863</f>
        <v/>
      </c>
      <c r="X863" s="3">
        <f>M863*$D863</f>
        <v/>
      </c>
      <c r="Y863" s="3">
        <f>N863*$D863</f>
        <v/>
      </c>
      <c r="Z863" s="3">
        <f>C863*$D863</f>
        <v/>
      </c>
      <c r="AA863" s="9">
        <f>$L978+$K978*E863+$J978*F863+$I978*G863+$H978*H863+$G978*I863+$F978*J863+$E978*K863+$D978*L863+$C978*M863+$B978*N863</f>
        <v/>
      </c>
      <c r="AB863" s="9">
        <f>C863-AA863</f>
        <v/>
      </c>
      <c r="AC863" s="4">
        <f>AB863^2</f>
        <v/>
      </c>
    </row>
    <row r="864">
      <c r="A864" t="inlineStr">
        <is>
          <t>BBG000BVL2G3</t>
        </is>
      </c>
      <c r="B864" t="inlineStr">
        <is>
          <t>trn</t>
        </is>
      </c>
      <c r="C864" s="9" t="n">
        <v>-0.0007957973633427873</v>
      </c>
      <c r="D864" s="3">
        <f>EXP(0.25*'3b-d Exposures'!G1060)</f>
        <v/>
      </c>
      <c r="E864" s="3">
        <f>IF('3b-d Exposures'!C1060="",0,'3b-d Exposures'!C1060)</f>
        <v/>
      </c>
      <c r="F864" s="3">
        <f>IF('3b-d Exposures'!E1060="",0,'3b-d Exposures'!E1060)</f>
        <v/>
      </c>
      <c r="G864" s="3">
        <f>IF('3b-d Exposures'!G1060="",0,'3b-d Exposures'!G1060)</f>
        <v/>
      </c>
      <c r="H864" s="3">
        <f>IF('3b-d Exposures'!I1060="",0,'3b-d Exposures'!I1060)</f>
        <v/>
      </c>
      <c r="I864" s="3">
        <f>IF('3b-d Exposures'!K1060="",0,'3b-d Exposures'!K1060)</f>
        <v/>
      </c>
      <c r="J864" s="3">
        <f>IF('3b-d Exposures'!M1060="",0,'3b-d Exposures'!M1060)</f>
        <v/>
      </c>
      <c r="K864" s="3">
        <f>IF('3b-d Exposures'!O1060="",0,'3b-d Exposures'!O1060)</f>
        <v/>
      </c>
      <c r="L864" s="3">
        <f>IF('3b-d Exposures'!Q1060="",0,'3b-d Exposures'!Q1060)</f>
        <v/>
      </c>
      <c r="M864" s="3">
        <f>IF('3b-d Exposures'!S1060="",0,'3b-d Exposures'!S1060)</f>
        <v/>
      </c>
      <c r="N864" s="3">
        <f>IF('3b-d Exposures'!Z1060="",0,'3b-d Exposures'!Z1060)</f>
        <v/>
      </c>
      <c r="O864" s="3">
        <f>$D864</f>
        <v/>
      </c>
      <c r="P864" s="3">
        <f>E864*$D864</f>
        <v/>
      </c>
      <c r="Q864" s="3">
        <f>F864*$D864</f>
        <v/>
      </c>
      <c r="R864" s="3">
        <f>G864*$D864</f>
        <v/>
      </c>
      <c r="S864" s="3">
        <f>H864*$D864</f>
        <v/>
      </c>
      <c r="T864" s="3">
        <f>I864*$D864</f>
        <v/>
      </c>
      <c r="U864" s="3">
        <f>J864*$D864</f>
        <v/>
      </c>
      <c r="V864" s="3">
        <f>K864*$D864</f>
        <v/>
      </c>
      <c r="W864" s="3">
        <f>L864*$D864</f>
        <v/>
      </c>
      <c r="X864" s="3">
        <f>M864*$D864</f>
        <v/>
      </c>
      <c r="Y864" s="3">
        <f>N864*$D864</f>
        <v/>
      </c>
      <c r="Z864" s="3">
        <f>C864*$D864</f>
        <v/>
      </c>
      <c r="AA864" s="9">
        <f>$L978+$K978*E864+$J978*F864+$I978*G864+$H978*H864+$G978*I864+$F978*J864+$E978*K864+$D978*L864+$C978*M864+$B978*N864</f>
        <v/>
      </c>
      <c r="AB864" s="9">
        <f>C864-AA864</f>
        <v/>
      </c>
      <c r="AC864" s="4">
        <f>AB864^2</f>
        <v/>
      </c>
    </row>
    <row r="865">
      <c r="A865" t="inlineStr">
        <is>
          <t>BBG000BVMPN3</t>
        </is>
      </c>
      <c r="B865" t="inlineStr">
        <is>
          <t>trow</t>
        </is>
      </c>
      <c r="C865" s="9" t="n">
        <v>-0.001614838825122811</v>
      </c>
      <c r="D865" s="3">
        <f>EXP(0.25*'3b-d Exposures'!G1061)</f>
        <v/>
      </c>
      <c r="E865" s="3">
        <f>IF('3b-d Exposures'!C1061="",0,'3b-d Exposures'!C1061)</f>
        <v/>
      </c>
      <c r="F865" s="3">
        <f>IF('3b-d Exposures'!E1061="",0,'3b-d Exposures'!E1061)</f>
        <v/>
      </c>
      <c r="G865" s="3">
        <f>IF('3b-d Exposures'!G1061="",0,'3b-d Exposures'!G1061)</f>
        <v/>
      </c>
      <c r="H865" s="3">
        <f>IF('3b-d Exposures'!I1061="",0,'3b-d Exposures'!I1061)</f>
        <v/>
      </c>
      <c r="I865" s="3">
        <f>IF('3b-d Exposures'!K1061="",0,'3b-d Exposures'!K1061)</f>
        <v/>
      </c>
      <c r="J865" s="3">
        <f>IF('3b-d Exposures'!M1061="",0,'3b-d Exposures'!M1061)</f>
        <v/>
      </c>
      <c r="K865" s="3">
        <f>IF('3b-d Exposures'!O1061="",0,'3b-d Exposures'!O1061)</f>
        <v/>
      </c>
      <c r="L865" s="3">
        <f>IF('3b-d Exposures'!Q1061="",0,'3b-d Exposures'!Q1061)</f>
        <v/>
      </c>
      <c r="M865" s="3">
        <f>IF('3b-d Exposures'!S1061="",0,'3b-d Exposures'!S1061)</f>
        <v/>
      </c>
      <c r="N865" s="3">
        <f>IF('3b-d Exposures'!Z1061="",0,'3b-d Exposures'!Z1061)</f>
        <v/>
      </c>
      <c r="O865" s="3">
        <f>$D865</f>
        <v/>
      </c>
      <c r="P865" s="3">
        <f>E865*$D865</f>
        <v/>
      </c>
      <c r="Q865" s="3">
        <f>F865*$D865</f>
        <v/>
      </c>
      <c r="R865" s="3">
        <f>G865*$D865</f>
        <v/>
      </c>
      <c r="S865" s="3">
        <f>H865*$D865</f>
        <v/>
      </c>
      <c r="T865" s="3">
        <f>I865*$D865</f>
        <v/>
      </c>
      <c r="U865" s="3">
        <f>J865*$D865</f>
        <v/>
      </c>
      <c r="V865" s="3">
        <f>K865*$D865</f>
        <v/>
      </c>
      <c r="W865" s="3">
        <f>L865*$D865</f>
        <v/>
      </c>
      <c r="X865" s="3">
        <f>M865*$D865</f>
        <v/>
      </c>
      <c r="Y865" s="3">
        <f>N865*$D865</f>
        <v/>
      </c>
      <c r="Z865" s="3">
        <f>C865*$D865</f>
        <v/>
      </c>
      <c r="AA865" s="9">
        <f>$L978+$K978*E865+$J978*F865+$I978*G865+$H978*H865+$G978*I865+$F978*J865+$E978*K865+$D978*L865+$C978*M865+$B978*N865</f>
        <v/>
      </c>
      <c r="AB865" s="9">
        <f>C865-AA865</f>
        <v/>
      </c>
      <c r="AC865" s="4">
        <f>AB865^2</f>
        <v/>
      </c>
    </row>
    <row r="866">
      <c r="A866" t="inlineStr">
        <is>
          <t>BBG000BVN235</t>
        </is>
      </c>
      <c r="B866" t="inlineStr">
        <is>
          <t>trp</t>
        </is>
      </c>
      <c r="C866" s="9" t="n">
        <v>-0.007153153024981984</v>
      </c>
      <c r="D866" s="3">
        <f>EXP(0.25*'3b-d Exposures'!G1062)</f>
        <v/>
      </c>
      <c r="E866" s="3">
        <f>IF('3b-d Exposures'!C1062="",0,'3b-d Exposures'!C1062)</f>
        <v/>
      </c>
      <c r="F866" s="3">
        <f>IF('3b-d Exposures'!E1062="",0,'3b-d Exposures'!E1062)</f>
        <v/>
      </c>
      <c r="G866" s="3">
        <f>IF('3b-d Exposures'!G1062="",0,'3b-d Exposures'!G1062)</f>
        <v/>
      </c>
      <c r="H866" s="3">
        <f>IF('3b-d Exposures'!I1062="",0,'3b-d Exposures'!I1062)</f>
        <v/>
      </c>
      <c r="I866" s="3">
        <f>IF('3b-d Exposures'!K1062="",0,'3b-d Exposures'!K1062)</f>
        <v/>
      </c>
      <c r="J866" s="3">
        <f>IF('3b-d Exposures'!M1062="",0,'3b-d Exposures'!M1062)</f>
        <v/>
      </c>
      <c r="K866" s="3">
        <f>IF('3b-d Exposures'!O1062="",0,'3b-d Exposures'!O1062)</f>
        <v/>
      </c>
      <c r="L866" s="3">
        <f>IF('3b-d Exposures'!Q1062="",0,'3b-d Exposures'!Q1062)</f>
        <v/>
      </c>
      <c r="M866" s="3">
        <f>IF('3b-d Exposures'!S1062="",0,'3b-d Exposures'!S1062)</f>
        <v/>
      </c>
      <c r="N866" s="3">
        <f>IF('3b-d Exposures'!Z1062="",0,'3b-d Exposures'!Z1062)</f>
        <v/>
      </c>
      <c r="O866" s="3">
        <f>$D866</f>
        <v/>
      </c>
      <c r="P866" s="3">
        <f>E866*$D866</f>
        <v/>
      </c>
      <c r="Q866" s="3">
        <f>F866*$D866</f>
        <v/>
      </c>
      <c r="R866" s="3">
        <f>G866*$D866</f>
        <v/>
      </c>
      <c r="S866" s="3">
        <f>H866*$D866</f>
        <v/>
      </c>
      <c r="T866" s="3">
        <f>I866*$D866</f>
        <v/>
      </c>
      <c r="U866" s="3">
        <f>J866*$D866</f>
        <v/>
      </c>
      <c r="V866" s="3">
        <f>K866*$D866</f>
        <v/>
      </c>
      <c r="W866" s="3">
        <f>L866*$D866</f>
        <v/>
      </c>
      <c r="X866" s="3">
        <f>M866*$D866</f>
        <v/>
      </c>
      <c r="Y866" s="3">
        <f>N866*$D866</f>
        <v/>
      </c>
      <c r="Z866" s="3">
        <f>C866*$D866</f>
        <v/>
      </c>
      <c r="AA866" s="9">
        <f>$L978+$K978*E866+$J978*F866+$I978*G866+$H978*H866+$G978*I866+$F978*J866+$E978*K866+$D978*L866+$C978*M866+$B978*N866</f>
        <v/>
      </c>
      <c r="AB866" s="9">
        <f>C866-AA866</f>
        <v/>
      </c>
      <c r="AC866" s="4">
        <f>AB866^2</f>
        <v/>
      </c>
    </row>
    <row r="867">
      <c r="A867" t="inlineStr">
        <is>
          <t>BBG002Q7J5Z1</t>
        </is>
      </c>
      <c r="B867" t="inlineStr">
        <is>
          <t>tru</t>
        </is>
      </c>
      <c r="C867" s="9" t="n">
        <v>-0.02413780368849872</v>
      </c>
      <c r="D867" s="3">
        <f>EXP(0.25*'3b-d Exposures'!G1063)</f>
        <v/>
      </c>
      <c r="E867" s="3">
        <f>IF('3b-d Exposures'!C1063="",0,'3b-d Exposures'!C1063)</f>
        <v/>
      </c>
      <c r="F867" s="3">
        <f>IF('3b-d Exposures'!E1063="",0,'3b-d Exposures'!E1063)</f>
        <v/>
      </c>
      <c r="G867" s="3">
        <f>IF('3b-d Exposures'!G1063="",0,'3b-d Exposures'!G1063)</f>
        <v/>
      </c>
      <c r="H867" s="3">
        <f>IF('3b-d Exposures'!I1063="",0,'3b-d Exposures'!I1063)</f>
        <v/>
      </c>
      <c r="I867" s="3">
        <f>IF('3b-d Exposures'!K1063="",0,'3b-d Exposures'!K1063)</f>
        <v/>
      </c>
      <c r="J867" s="3">
        <f>IF('3b-d Exposures'!M1063="",0,'3b-d Exposures'!M1063)</f>
        <v/>
      </c>
      <c r="K867" s="3">
        <f>IF('3b-d Exposures'!O1063="",0,'3b-d Exposures'!O1063)</f>
        <v/>
      </c>
      <c r="L867" s="3">
        <f>IF('3b-d Exposures'!Q1063="",0,'3b-d Exposures'!Q1063)</f>
        <v/>
      </c>
      <c r="M867" s="3">
        <f>IF('3b-d Exposures'!S1063="",0,'3b-d Exposures'!S1063)</f>
        <v/>
      </c>
      <c r="N867" s="3">
        <f>IF('3b-d Exposures'!Z1063="",0,'3b-d Exposures'!Z1063)</f>
        <v/>
      </c>
      <c r="O867" s="3">
        <f>$D867</f>
        <v/>
      </c>
      <c r="P867" s="3">
        <f>E867*$D867</f>
        <v/>
      </c>
      <c r="Q867" s="3">
        <f>F867*$D867</f>
        <v/>
      </c>
      <c r="R867" s="3">
        <f>G867*$D867</f>
        <v/>
      </c>
      <c r="S867" s="3">
        <f>H867*$D867</f>
        <v/>
      </c>
      <c r="T867" s="3">
        <f>I867*$D867</f>
        <v/>
      </c>
      <c r="U867" s="3">
        <f>J867*$D867</f>
        <v/>
      </c>
      <c r="V867" s="3">
        <f>K867*$D867</f>
        <v/>
      </c>
      <c r="W867" s="3">
        <f>L867*$D867</f>
        <v/>
      </c>
      <c r="X867" s="3">
        <f>M867*$D867</f>
        <v/>
      </c>
      <c r="Y867" s="3">
        <f>N867*$D867</f>
        <v/>
      </c>
      <c r="Z867" s="3">
        <f>C867*$D867</f>
        <v/>
      </c>
      <c r="AA867" s="9">
        <f>$L978+$K978*E867+$J978*F867+$I978*G867+$H978*H867+$G978*I867+$F978*J867+$E978*K867+$D978*L867+$C978*M867+$B978*N867</f>
        <v/>
      </c>
      <c r="AB867" s="9">
        <f>C867-AA867</f>
        <v/>
      </c>
      <c r="AC867" s="4">
        <f>AB867^2</f>
        <v/>
      </c>
    </row>
    <row r="868">
      <c r="A868" t="inlineStr">
        <is>
          <t>BBG000BJ81C1</t>
        </is>
      </c>
      <c r="B868" t="inlineStr">
        <is>
          <t>trv</t>
        </is>
      </c>
      <c r="C868" s="9" t="n">
        <v>-0.009509841029523125</v>
      </c>
      <c r="D868" s="3">
        <f>EXP(0.25*'3b-d Exposures'!G1064)</f>
        <v/>
      </c>
      <c r="E868" s="3">
        <f>IF('3b-d Exposures'!C1064="",0,'3b-d Exposures'!C1064)</f>
        <v/>
      </c>
      <c r="F868" s="3">
        <f>IF('3b-d Exposures'!E1064="",0,'3b-d Exposures'!E1064)</f>
        <v/>
      </c>
      <c r="G868" s="3">
        <f>IF('3b-d Exposures'!G1064="",0,'3b-d Exposures'!G1064)</f>
        <v/>
      </c>
      <c r="H868" s="3">
        <f>IF('3b-d Exposures'!I1064="",0,'3b-d Exposures'!I1064)</f>
        <v/>
      </c>
      <c r="I868" s="3">
        <f>IF('3b-d Exposures'!K1064="",0,'3b-d Exposures'!K1064)</f>
        <v/>
      </c>
      <c r="J868" s="3">
        <f>IF('3b-d Exposures'!M1064="",0,'3b-d Exposures'!M1064)</f>
        <v/>
      </c>
      <c r="K868" s="3">
        <f>IF('3b-d Exposures'!O1064="",0,'3b-d Exposures'!O1064)</f>
        <v/>
      </c>
      <c r="L868" s="3">
        <f>IF('3b-d Exposures'!Q1064="",0,'3b-d Exposures'!Q1064)</f>
        <v/>
      </c>
      <c r="M868" s="3">
        <f>IF('3b-d Exposures'!S1064="",0,'3b-d Exposures'!S1064)</f>
        <v/>
      </c>
      <c r="N868" s="3">
        <f>IF('3b-d Exposures'!Z1064="",0,'3b-d Exposures'!Z1064)</f>
        <v/>
      </c>
      <c r="O868" s="3">
        <f>$D868</f>
        <v/>
      </c>
      <c r="P868" s="3">
        <f>E868*$D868</f>
        <v/>
      </c>
      <c r="Q868" s="3">
        <f>F868*$D868</f>
        <v/>
      </c>
      <c r="R868" s="3">
        <f>G868*$D868</f>
        <v/>
      </c>
      <c r="S868" s="3">
        <f>H868*$D868</f>
        <v/>
      </c>
      <c r="T868" s="3">
        <f>I868*$D868</f>
        <v/>
      </c>
      <c r="U868" s="3">
        <f>J868*$D868</f>
        <v/>
      </c>
      <c r="V868" s="3">
        <f>K868*$D868</f>
        <v/>
      </c>
      <c r="W868" s="3">
        <f>L868*$D868</f>
        <v/>
      </c>
      <c r="X868" s="3">
        <f>M868*$D868</f>
        <v/>
      </c>
      <c r="Y868" s="3">
        <f>N868*$D868</f>
        <v/>
      </c>
      <c r="Z868" s="3">
        <f>C868*$D868</f>
        <v/>
      </c>
      <c r="AA868" s="9">
        <f>$L978+$K978*E868+$J978*F868+$I978*G868+$H978*H868+$G978*I868+$F978*J868+$E978*K868+$D978*L868+$C978*M868+$B978*N868</f>
        <v/>
      </c>
      <c r="AB868" s="9">
        <f>C868-AA868</f>
        <v/>
      </c>
      <c r="AC868" s="4">
        <f>AB868^2</f>
        <v/>
      </c>
    </row>
    <row r="869">
      <c r="A869" t="inlineStr">
        <is>
          <t>BBG000BLXZN1</t>
        </is>
      </c>
      <c r="B869" t="inlineStr">
        <is>
          <t>tsco</t>
        </is>
      </c>
      <c r="C869" s="9" t="n">
        <v>0.02326656792367698</v>
      </c>
      <c r="D869" s="3">
        <f>EXP(0.25*'3b-d Exposures'!G1066)</f>
        <v/>
      </c>
      <c r="E869" s="3">
        <f>IF('3b-d Exposures'!C1066="",0,'3b-d Exposures'!C1066)</f>
        <v/>
      </c>
      <c r="F869" s="3">
        <f>IF('3b-d Exposures'!E1066="",0,'3b-d Exposures'!E1066)</f>
        <v/>
      </c>
      <c r="G869" s="3">
        <f>IF('3b-d Exposures'!G1066="",0,'3b-d Exposures'!G1066)</f>
        <v/>
      </c>
      <c r="H869" s="3">
        <f>IF('3b-d Exposures'!I1066="",0,'3b-d Exposures'!I1066)</f>
        <v/>
      </c>
      <c r="I869" s="3">
        <f>IF('3b-d Exposures'!K1066="",0,'3b-d Exposures'!K1066)</f>
        <v/>
      </c>
      <c r="J869" s="3">
        <f>IF('3b-d Exposures'!M1066="",0,'3b-d Exposures'!M1066)</f>
        <v/>
      </c>
      <c r="K869" s="3">
        <f>IF('3b-d Exposures'!O1066="",0,'3b-d Exposures'!O1066)</f>
        <v/>
      </c>
      <c r="L869" s="3">
        <f>IF('3b-d Exposures'!Q1066="",0,'3b-d Exposures'!Q1066)</f>
        <v/>
      </c>
      <c r="M869" s="3">
        <f>IF('3b-d Exposures'!S1066="",0,'3b-d Exposures'!S1066)</f>
        <v/>
      </c>
      <c r="N869" s="3">
        <f>IF('3b-d Exposures'!Z1066="",0,'3b-d Exposures'!Z1066)</f>
        <v/>
      </c>
      <c r="O869" s="3">
        <f>$D869</f>
        <v/>
      </c>
      <c r="P869" s="3">
        <f>E869*$D869</f>
        <v/>
      </c>
      <c r="Q869" s="3">
        <f>F869*$D869</f>
        <v/>
      </c>
      <c r="R869" s="3">
        <f>G869*$D869</f>
        <v/>
      </c>
      <c r="S869" s="3">
        <f>H869*$D869</f>
        <v/>
      </c>
      <c r="T869" s="3">
        <f>I869*$D869</f>
        <v/>
      </c>
      <c r="U869" s="3">
        <f>J869*$D869</f>
        <v/>
      </c>
      <c r="V869" s="3">
        <f>K869*$D869</f>
        <v/>
      </c>
      <c r="W869" s="3">
        <f>L869*$D869</f>
        <v/>
      </c>
      <c r="X869" s="3">
        <f>M869*$D869</f>
        <v/>
      </c>
      <c r="Y869" s="3">
        <f>N869*$D869</f>
        <v/>
      </c>
      <c r="Z869" s="3">
        <f>C869*$D869</f>
        <v/>
      </c>
      <c r="AA869" s="9">
        <f>$L978+$K978*E869+$J978*F869+$I978*G869+$H978*H869+$G978*I869+$F978*J869+$E978*K869+$D978*L869+$C978*M869+$B978*N869</f>
        <v/>
      </c>
      <c r="AB869" s="9">
        <f>C869-AA869</f>
        <v/>
      </c>
      <c r="AC869" s="4">
        <f>AB869^2</f>
        <v/>
      </c>
    </row>
    <row r="870">
      <c r="A870" t="inlineStr">
        <is>
          <t>BBG000N9MNX3</t>
        </is>
      </c>
      <c r="B870" t="inlineStr">
        <is>
          <t>tsla</t>
        </is>
      </c>
      <c r="C870" s="9" t="n">
        <v>0.03456365902539504</v>
      </c>
      <c r="D870" s="3">
        <f>EXP(0.25*'3b-d Exposures'!G1067)</f>
        <v/>
      </c>
      <c r="E870" s="3">
        <f>IF('3b-d Exposures'!C1067="",0,'3b-d Exposures'!C1067)</f>
        <v/>
      </c>
      <c r="F870" s="3">
        <f>IF('3b-d Exposures'!E1067="",0,'3b-d Exposures'!E1067)</f>
        <v/>
      </c>
      <c r="G870" s="3">
        <f>IF('3b-d Exposures'!G1067="",0,'3b-d Exposures'!G1067)</f>
        <v/>
      </c>
      <c r="H870" s="3">
        <f>IF('3b-d Exposures'!I1067="",0,'3b-d Exposures'!I1067)</f>
        <v/>
      </c>
      <c r="I870" s="3">
        <f>IF('3b-d Exposures'!K1067="",0,'3b-d Exposures'!K1067)</f>
        <v/>
      </c>
      <c r="J870" s="3">
        <f>IF('3b-d Exposures'!M1067="",0,'3b-d Exposures'!M1067)</f>
        <v/>
      </c>
      <c r="K870" s="3">
        <f>IF('3b-d Exposures'!O1067="",0,'3b-d Exposures'!O1067)</f>
        <v/>
      </c>
      <c r="L870" s="3">
        <f>IF('3b-d Exposures'!Q1067="",0,'3b-d Exposures'!Q1067)</f>
        <v/>
      </c>
      <c r="M870" s="3">
        <f>IF('3b-d Exposures'!S1067="",0,'3b-d Exposures'!S1067)</f>
        <v/>
      </c>
      <c r="N870" s="3">
        <f>IF('3b-d Exposures'!Z1067="",0,'3b-d Exposures'!Z1067)</f>
        <v/>
      </c>
      <c r="O870" s="3">
        <f>$D870</f>
        <v/>
      </c>
      <c r="P870" s="3">
        <f>E870*$D870</f>
        <v/>
      </c>
      <c r="Q870" s="3">
        <f>F870*$D870</f>
        <v/>
      </c>
      <c r="R870" s="3">
        <f>G870*$D870</f>
        <v/>
      </c>
      <c r="S870" s="3">
        <f>H870*$D870</f>
        <v/>
      </c>
      <c r="T870" s="3">
        <f>I870*$D870</f>
        <v/>
      </c>
      <c r="U870" s="3">
        <f>J870*$D870</f>
        <v/>
      </c>
      <c r="V870" s="3">
        <f>K870*$D870</f>
        <v/>
      </c>
      <c r="W870" s="3">
        <f>L870*$D870</f>
        <v/>
      </c>
      <c r="X870" s="3">
        <f>M870*$D870</f>
        <v/>
      </c>
      <c r="Y870" s="3">
        <f>N870*$D870</f>
        <v/>
      </c>
      <c r="Z870" s="3">
        <f>C870*$D870</f>
        <v/>
      </c>
      <c r="AA870" s="9">
        <f>$L978+$K978*E870+$J978*F870+$I978*G870+$H978*H870+$G978*I870+$F978*J870+$E978*K870+$D978*L870+$C978*M870+$B978*N870</f>
        <v/>
      </c>
      <c r="AB870" s="9">
        <f>C870-AA870</f>
        <v/>
      </c>
      <c r="AC870" s="4">
        <f>AB870^2</f>
        <v/>
      </c>
    </row>
    <row r="871">
      <c r="A871" t="inlineStr">
        <is>
          <t>BBG001DFW799</t>
        </is>
      </c>
      <c r="B871" t="inlineStr">
        <is>
          <t>tslx</t>
        </is>
      </c>
      <c r="C871" s="9" t="n">
        <v>-0.001396494744877019</v>
      </c>
      <c r="D871" s="3">
        <f>EXP(0.25*'3b-d Exposures'!G1068)</f>
        <v/>
      </c>
      <c r="E871" s="3">
        <f>IF('3b-d Exposures'!C1068="",0,'3b-d Exposures'!C1068)</f>
        <v/>
      </c>
      <c r="F871" s="3">
        <f>IF('3b-d Exposures'!E1068="",0,'3b-d Exposures'!E1068)</f>
        <v/>
      </c>
      <c r="G871" s="3">
        <f>IF('3b-d Exposures'!G1068="",0,'3b-d Exposures'!G1068)</f>
        <v/>
      </c>
      <c r="H871" s="3">
        <f>IF('3b-d Exposures'!I1068="",0,'3b-d Exposures'!I1068)</f>
        <v/>
      </c>
      <c r="I871" s="3">
        <f>IF('3b-d Exposures'!K1068="",0,'3b-d Exposures'!K1068)</f>
        <v/>
      </c>
      <c r="J871" s="3">
        <f>IF('3b-d Exposures'!M1068="",0,'3b-d Exposures'!M1068)</f>
        <v/>
      </c>
      <c r="K871" s="3">
        <f>IF('3b-d Exposures'!O1068="",0,'3b-d Exposures'!O1068)</f>
        <v/>
      </c>
      <c r="L871" s="3">
        <f>IF('3b-d Exposures'!Q1068="",0,'3b-d Exposures'!Q1068)</f>
        <v/>
      </c>
      <c r="M871" s="3">
        <f>IF('3b-d Exposures'!S1068="",0,'3b-d Exposures'!S1068)</f>
        <v/>
      </c>
      <c r="N871" s="3">
        <f>IF('3b-d Exposures'!Z1068="",0,'3b-d Exposures'!Z1068)</f>
        <v/>
      </c>
      <c r="O871" s="3">
        <f>$D871</f>
        <v/>
      </c>
      <c r="P871" s="3">
        <f>E871*$D871</f>
        <v/>
      </c>
      <c r="Q871" s="3">
        <f>F871*$D871</f>
        <v/>
      </c>
      <c r="R871" s="3">
        <f>G871*$D871</f>
        <v/>
      </c>
      <c r="S871" s="3">
        <f>H871*$D871</f>
        <v/>
      </c>
      <c r="T871" s="3">
        <f>I871*$D871</f>
        <v/>
      </c>
      <c r="U871" s="3">
        <f>J871*$D871</f>
        <v/>
      </c>
      <c r="V871" s="3">
        <f>K871*$D871</f>
        <v/>
      </c>
      <c r="W871" s="3">
        <f>L871*$D871</f>
        <v/>
      </c>
      <c r="X871" s="3">
        <f>M871*$D871</f>
        <v/>
      </c>
      <c r="Y871" s="3">
        <f>N871*$D871</f>
        <v/>
      </c>
      <c r="Z871" s="3">
        <f>C871*$D871</f>
        <v/>
      </c>
      <c r="AA871" s="9">
        <f>$L978+$K978*E871+$J978*F871+$I978*G871+$H978*H871+$G978*I871+$F978*J871+$E978*K871+$D978*L871+$C978*M871+$B978*N871</f>
        <v/>
      </c>
      <c r="AB871" s="9">
        <f>C871-AA871</f>
        <v/>
      </c>
      <c r="AC871" s="4">
        <f>AB871^2</f>
        <v/>
      </c>
    </row>
    <row r="872">
      <c r="A872" t="inlineStr">
        <is>
          <t>tt</t>
        </is>
      </c>
      <c r="B872" t="inlineStr">
        <is>
          <t>tt</t>
        </is>
      </c>
      <c r="C872" s="9" t="n">
        <v>-0.003435640731755063</v>
      </c>
      <c r="D872" s="3">
        <f>EXP(0.25*'3b-d Exposures'!G1071)</f>
        <v/>
      </c>
      <c r="E872" s="3">
        <f>IF('3b-d Exposures'!C1071="",0,'3b-d Exposures'!C1071)</f>
        <v/>
      </c>
      <c r="F872" s="3">
        <f>IF('3b-d Exposures'!E1071="",0,'3b-d Exposures'!E1071)</f>
        <v/>
      </c>
      <c r="G872" s="3">
        <f>IF('3b-d Exposures'!G1071="",0,'3b-d Exposures'!G1071)</f>
        <v/>
      </c>
      <c r="H872" s="3">
        <f>IF('3b-d Exposures'!I1071="",0,'3b-d Exposures'!I1071)</f>
        <v/>
      </c>
      <c r="I872" s="3">
        <f>IF('3b-d Exposures'!K1071="",0,'3b-d Exposures'!K1071)</f>
        <v/>
      </c>
      <c r="J872" s="3">
        <f>IF('3b-d Exposures'!M1071="",0,'3b-d Exposures'!M1071)</f>
        <v/>
      </c>
      <c r="K872" s="3">
        <f>IF('3b-d Exposures'!O1071="",0,'3b-d Exposures'!O1071)</f>
        <v/>
      </c>
      <c r="L872" s="3">
        <f>IF('3b-d Exposures'!Q1071="",0,'3b-d Exposures'!Q1071)</f>
        <v/>
      </c>
      <c r="M872" s="3">
        <f>IF('3b-d Exposures'!S1071="",0,'3b-d Exposures'!S1071)</f>
        <v/>
      </c>
      <c r="N872" s="3">
        <f>IF('3b-d Exposures'!Z1071="",0,'3b-d Exposures'!Z1071)</f>
        <v/>
      </c>
      <c r="O872" s="3">
        <f>$D872</f>
        <v/>
      </c>
      <c r="P872" s="3">
        <f>E872*$D872</f>
        <v/>
      </c>
      <c r="Q872" s="3">
        <f>F872*$D872</f>
        <v/>
      </c>
      <c r="R872" s="3">
        <f>G872*$D872</f>
        <v/>
      </c>
      <c r="S872" s="3">
        <f>H872*$D872</f>
        <v/>
      </c>
      <c r="T872" s="3">
        <f>I872*$D872</f>
        <v/>
      </c>
      <c r="U872" s="3">
        <f>J872*$D872</f>
        <v/>
      </c>
      <c r="V872" s="3">
        <f>K872*$D872</f>
        <v/>
      </c>
      <c r="W872" s="3">
        <f>L872*$D872</f>
        <v/>
      </c>
      <c r="X872" s="3">
        <f>M872*$D872</f>
        <v/>
      </c>
      <c r="Y872" s="3">
        <f>N872*$D872</f>
        <v/>
      </c>
      <c r="Z872" s="3">
        <f>C872*$D872</f>
        <v/>
      </c>
      <c r="AA872" s="9">
        <f>$L978+$K978*E872+$J978*F872+$I978*G872+$H978*H872+$G978*I872+$F978*J872+$E978*K872+$D978*L872+$C978*M872+$B978*N872</f>
        <v/>
      </c>
      <c r="AB872" s="9">
        <f>C872-AA872</f>
        <v/>
      </c>
      <c r="AC872" s="4">
        <f>AB872^2</f>
        <v/>
      </c>
    </row>
    <row r="873">
      <c r="A873" t="inlineStr">
        <is>
          <t>BBG000BS1YV5</t>
        </is>
      </c>
      <c r="B873" t="inlineStr">
        <is>
          <t>ttwo</t>
        </is>
      </c>
      <c r="C873" s="9" t="n">
        <v>-0.002282662296552163</v>
      </c>
      <c r="D873" s="3">
        <f>EXP(0.25*'3b-d Exposures'!G1074)</f>
        <v/>
      </c>
      <c r="E873" s="3">
        <f>IF('3b-d Exposures'!C1074="",0,'3b-d Exposures'!C1074)</f>
        <v/>
      </c>
      <c r="F873" s="3">
        <f>IF('3b-d Exposures'!E1074="",0,'3b-d Exposures'!E1074)</f>
        <v/>
      </c>
      <c r="G873" s="3">
        <f>IF('3b-d Exposures'!G1074="",0,'3b-d Exposures'!G1074)</f>
        <v/>
      </c>
      <c r="H873" s="3">
        <f>IF('3b-d Exposures'!I1074="",0,'3b-d Exposures'!I1074)</f>
        <v/>
      </c>
      <c r="I873" s="3">
        <f>IF('3b-d Exposures'!K1074="",0,'3b-d Exposures'!K1074)</f>
        <v/>
      </c>
      <c r="J873" s="3">
        <f>IF('3b-d Exposures'!M1074="",0,'3b-d Exposures'!M1074)</f>
        <v/>
      </c>
      <c r="K873" s="3">
        <f>IF('3b-d Exposures'!O1074="",0,'3b-d Exposures'!O1074)</f>
        <v/>
      </c>
      <c r="L873" s="3">
        <f>IF('3b-d Exposures'!Q1074="",0,'3b-d Exposures'!Q1074)</f>
        <v/>
      </c>
      <c r="M873" s="3">
        <f>IF('3b-d Exposures'!S1074="",0,'3b-d Exposures'!S1074)</f>
        <v/>
      </c>
      <c r="N873" s="3">
        <f>IF('3b-d Exposures'!Z1074="",0,'3b-d Exposures'!Z1074)</f>
        <v/>
      </c>
      <c r="O873" s="3">
        <f>$D873</f>
        <v/>
      </c>
      <c r="P873" s="3">
        <f>E873*$D873</f>
        <v/>
      </c>
      <c r="Q873" s="3">
        <f>F873*$D873</f>
        <v/>
      </c>
      <c r="R873" s="3">
        <f>G873*$D873</f>
        <v/>
      </c>
      <c r="S873" s="3">
        <f>H873*$D873</f>
        <v/>
      </c>
      <c r="T873" s="3">
        <f>I873*$D873</f>
        <v/>
      </c>
      <c r="U873" s="3">
        <f>J873*$D873</f>
        <v/>
      </c>
      <c r="V873" s="3">
        <f>K873*$D873</f>
        <v/>
      </c>
      <c r="W873" s="3">
        <f>L873*$D873</f>
        <v/>
      </c>
      <c r="X873" s="3">
        <f>M873*$D873</f>
        <v/>
      </c>
      <c r="Y873" s="3">
        <f>N873*$D873</f>
        <v/>
      </c>
      <c r="Z873" s="3">
        <f>C873*$D873</f>
        <v/>
      </c>
      <c r="AA873" s="9">
        <f>$L978+$K978*E873+$J978*F873+$I978*G873+$H978*H873+$G978*I873+$F978*J873+$E978*K873+$D978*L873+$C978*M873+$B978*N873</f>
        <v/>
      </c>
      <c r="AB873" s="9">
        <f>C873-AA873</f>
        <v/>
      </c>
      <c r="AC873" s="4">
        <f>AB873^2</f>
        <v/>
      </c>
    </row>
    <row r="874">
      <c r="A874" t="inlineStr">
        <is>
          <t>BBG0029ZX840</t>
        </is>
      </c>
      <c r="B874" t="inlineStr">
        <is>
          <t>twlo</t>
        </is>
      </c>
      <c r="C874" s="9" t="n">
        <v>0.0053567778236987</v>
      </c>
      <c r="D874" s="3">
        <f>EXP(0.25*'3b-d Exposures'!G1076)</f>
        <v/>
      </c>
      <c r="E874" s="3">
        <f>IF('3b-d Exposures'!C1076="",0,'3b-d Exposures'!C1076)</f>
        <v/>
      </c>
      <c r="F874" s="3">
        <f>IF('3b-d Exposures'!E1076="",0,'3b-d Exposures'!E1076)</f>
        <v/>
      </c>
      <c r="G874" s="3">
        <f>IF('3b-d Exposures'!G1076="",0,'3b-d Exposures'!G1076)</f>
        <v/>
      </c>
      <c r="H874" s="3">
        <f>IF('3b-d Exposures'!I1076="",0,'3b-d Exposures'!I1076)</f>
        <v/>
      </c>
      <c r="I874" s="3">
        <f>IF('3b-d Exposures'!K1076="",0,'3b-d Exposures'!K1076)</f>
        <v/>
      </c>
      <c r="J874" s="3">
        <f>IF('3b-d Exposures'!M1076="",0,'3b-d Exposures'!M1076)</f>
        <v/>
      </c>
      <c r="K874" s="3">
        <f>IF('3b-d Exposures'!O1076="",0,'3b-d Exposures'!O1076)</f>
        <v/>
      </c>
      <c r="L874" s="3">
        <f>IF('3b-d Exposures'!Q1076="",0,'3b-d Exposures'!Q1076)</f>
        <v/>
      </c>
      <c r="M874" s="3">
        <f>IF('3b-d Exposures'!S1076="",0,'3b-d Exposures'!S1076)</f>
        <v/>
      </c>
      <c r="N874" s="3">
        <f>IF('3b-d Exposures'!Z1076="",0,'3b-d Exposures'!Z1076)</f>
        <v/>
      </c>
      <c r="O874" s="3">
        <f>$D874</f>
        <v/>
      </c>
      <c r="P874" s="3">
        <f>E874*$D874</f>
        <v/>
      </c>
      <c r="Q874" s="3">
        <f>F874*$D874</f>
        <v/>
      </c>
      <c r="R874" s="3">
        <f>G874*$D874</f>
        <v/>
      </c>
      <c r="S874" s="3">
        <f>H874*$D874</f>
        <v/>
      </c>
      <c r="T874" s="3">
        <f>I874*$D874</f>
        <v/>
      </c>
      <c r="U874" s="3">
        <f>J874*$D874</f>
        <v/>
      </c>
      <c r="V874" s="3">
        <f>K874*$D874</f>
        <v/>
      </c>
      <c r="W874" s="3">
        <f>L874*$D874</f>
        <v/>
      </c>
      <c r="X874" s="3">
        <f>M874*$D874</f>
        <v/>
      </c>
      <c r="Y874" s="3">
        <f>N874*$D874</f>
        <v/>
      </c>
      <c r="Z874" s="3">
        <f>C874*$D874</f>
        <v/>
      </c>
      <c r="AA874" s="9">
        <f>$L978+$K978*E874+$J978*F874+$I978*G874+$H978*H874+$G978*I874+$F978*J874+$E978*K874+$D978*L874+$C978*M874+$B978*N874</f>
        <v/>
      </c>
      <c r="AB874" s="9">
        <f>C874-AA874</f>
        <v/>
      </c>
      <c r="AC874" s="4">
        <f>AB874^2</f>
        <v/>
      </c>
    </row>
    <row r="875">
      <c r="A875" t="inlineStr">
        <is>
          <t>BBG000MG3Y65</t>
        </is>
      </c>
      <c r="B875" t="inlineStr">
        <is>
          <t>two</t>
        </is>
      </c>
      <c r="C875" s="9" t="n">
        <v>0.01021274870374511</v>
      </c>
      <c r="D875" s="3">
        <f>EXP(0.25*'3b-d Exposures'!G1077)</f>
        <v/>
      </c>
      <c r="E875" s="3">
        <f>IF('3b-d Exposures'!C1077="",0,'3b-d Exposures'!C1077)</f>
        <v/>
      </c>
      <c r="F875" s="3">
        <f>IF('3b-d Exposures'!E1077="",0,'3b-d Exposures'!E1077)</f>
        <v/>
      </c>
      <c r="G875" s="3">
        <f>IF('3b-d Exposures'!G1077="",0,'3b-d Exposures'!G1077)</f>
        <v/>
      </c>
      <c r="H875" s="3">
        <f>IF('3b-d Exposures'!I1077="",0,'3b-d Exposures'!I1077)</f>
        <v/>
      </c>
      <c r="I875" s="3">
        <f>IF('3b-d Exposures'!K1077="",0,'3b-d Exposures'!K1077)</f>
        <v/>
      </c>
      <c r="J875" s="3">
        <f>IF('3b-d Exposures'!M1077="",0,'3b-d Exposures'!M1077)</f>
        <v/>
      </c>
      <c r="K875" s="3">
        <f>IF('3b-d Exposures'!O1077="",0,'3b-d Exposures'!O1077)</f>
        <v/>
      </c>
      <c r="L875" s="3">
        <f>IF('3b-d Exposures'!Q1077="",0,'3b-d Exposures'!Q1077)</f>
        <v/>
      </c>
      <c r="M875" s="3">
        <f>IF('3b-d Exposures'!S1077="",0,'3b-d Exposures'!S1077)</f>
        <v/>
      </c>
      <c r="N875" s="3">
        <f>IF('3b-d Exposures'!Z1077="",0,'3b-d Exposures'!Z1077)</f>
        <v/>
      </c>
      <c r="O875" s="3">
        <f>$D875</f>
        <v/>
      </c>
      <c r="P875" s="3">
        <f>E875*$D875</f>
        <v/>
      </c>
      <c r="Q875" s="3">
        <f>F875*$D875</f>
        <v/>
      </c>
      <c r="R875" s="3">
        <f>G875*$D875</f>
        <v/>
      </c>
      <c r="S875" s="3">
        <f>H875*$D875</f>
        <v/>
      </c>
      <c r="T875" s="3">
        <f>I875*$D875</f>
        <v/>
      </c>
      <c r="U875" s="3">
        <f>J875*$D875</f>
        <v/>
      </c>
      <c r="V875" s="3">
        <f>K875*$D875</f>
        <v/>
      </c>
      <c r="W875" s="3">
        <f>L875*$D875</f>
        <v/>
      </c>
      <c r="X875" s="3">
        <f>M875*$D875</f>
        <v/>
      </c>
      <c r="Y875" s="3">
        <f>N875*$D875</f>
        <v/>
      </c>
      <c r="Z875" s="3">
        <f>C875*$D875</f>
        <v/>
      </c>
      <c r="AA875" s="9">
        <f>$L978+$K978*E875+$J978*F875+$I978*G875+$H978*H875+$G978*I875+$F978*J875+$E978*K875+$D978*L875+$C978*M875+$B978*N875</f>
        <v/>
      </c>
      <c r="AB875" s="9">
        <f>C875-AA875</f>
        <v/>
      </c>
      <c r="AC875" s="4">
        <f>AB875^2</f>
        <v/>
      </c>
    </row>
    <row r="876">
      <c r="A876" t="inlineStr">
        <is>
          <t>BBG000BVV7G1</t>
        </is>
      </c>
      <c r="B876" t="inlineStr">
        <is>
          <t>txn</t>
        </is>
      </c>
      <c r="C876" s="9" t="n">
        <v>0.003730743952742976</v>
      </c>
      <c r="D876" s="3">
        <f>EXP(0.25*'3b-d Exposures'!G1078)</f>
        <v/>
      </c>
      <c r="E876" s="3">
        <f>IF('3b-d Exposures'!C1078="",0,'3b-d Exposures'!C1078)</f>
        <v/>
      </c>
      <c r="F876" s="3">
        <f>IF('3b-d Exposures'!E1078="",0,'3b-d Exposures'!E1078)</f>
        <v/>
      </c>
      <c r="G876" s="3">
        <f>IF('3b-d Exposures'!G1078="",0,'3b-d Exposures'!G1078)</f>
        <v/>
      </c>
      <c r="H876" s="3">
        <f>IF('3b-d Exposures'!I1078="",0,'3b-d Exposures'!I1078)</f>
        <v/>
      </c>
      <c r="I876" s="3">
        <f>IF('3b-d Exposures'!K1078="",0,'3b-d Exposures'!K1078)</f>
        <v/>
      </c>
      <c r="J876" s="3">
        <f>IF('3b-d Exposures'!M1078="",0,'3b-d Exposures'!M1078)</f>
        <v/>
      </c>
      <c r="K876" s="3">
        <f>IF('3b-d Exposures'!O1078="",0,'3b-d Exposures'!O1078)</f>
        <v/>
      </c>
      <c r="L876" s="3">
        <f>IF('3b-d Exposures'!Q1078="",0,'3b-d Exposures'!Q1078)</f>
        <v/>
      </c>
      <c r="M876" s="3">
        <f>IF('3b-d Exposures'!S1078="",0,'3b-d Exposures'!S1078)</f>
        <v/>
      </c>
      <c r="N876" s="3">
        <f>IF('3b-d Exposures'!Z1078="",0,'3b-d Exposures'!Z1078)</f>
        <v/>
      </c>
      <c r="O876" s="3">
        <f>$D876</f>
        <v/>
      </c>
      <c r="P876" s="3">
        <f>E876*$D876</f>
        <v/>
      </c>
      <c r="Q876" s="3">
        <f>F876*$D876</f>
        <v/>
      </c>
      <c r="R876" s="3">
        <f>G876*$D876</f>
        <v/>
      </c>
      <c r="S876" s="3">
        <f>H876*$D876</f>
        <v/>
      </c>
      <c r="T876" s="3">
        <f>I876*$D876</f>
        <v/>
      </c>
      <c r="U876" s="3">
        <f>J876*$D876</f>
        <v/>
      </c>
      <c r="V876" s="3">
        <f>K876*$D876</f>
        <v/>
      </c>
      <c r="W876" s="3">
        <f>L876*$D876</f>
        <v/>
      </c>
      <c r="X876" s="3">
        <f>M876*$D876</f>
        <v/>
      </c>
      <c r="Y876" s="3">
        <f>N876*$D876</f>
        <v/>
      </c>
      <c r="Z876" s="3">
        <f>C876*$D876</f>
        <v/>
      </c>
      <c r="AA876" s="9">
        <f>$L978+$K978*E876+$J978*F876+$I978*G876+$H978*H876+$G978*I876+$F978*J876+$E978*K876+$D978*L876+$C978*M876+$B978*N876</f>
        <v/>
      </c>
      <c r="AB876" s="9">
        <f>C876-AA876</f>
        <v/>
      </c>
      <c r="AC876" s="4">
        <f>AB876^2</f>
        <v/>
      </c>
    </row>
    <row r="877">
      <c r="A877" t="inlineStr">
        <is>
          <t>BBG000PSJMV7</t>
        </is>
      </c>
      <c r="B877" t="inlineStr">
        <is>
          <t>txrh</t>
        </is>
      </c>
      <c r="C877" s="9" t="n">
        <v>-0.03444248873002809</v>
      </c>
      <c r="D877" s="3">
        <f>EXP(0.25*'3b-d Exposures'!G1079)</f>
        <v/>
      </c>
      <c r="E877" s="3">
        <f>IF('3b-d Exposures'!C1079="",0,'3b-d Exposures'!C1079)</f>
        <v/>
      </c>
      <c r="F877" s="3">
        <f>IF('3b-d Exposures'!E1079="",0,'3b-d Exposures'!E1079)</f>
        <v/>
      </c>
      <c r="G877" s="3">
        <f>IF('3b-d Exposures'!G1079="",0,'3b-d Exposures'!G1079)</f>
        <v/>
      </c>
      <c r="H877" s="3">
        <f>IF('3b-d Exposures'!I1079="",0,'3b-d Exposures'!I1079)</f>
        <v/>
      </c>
      <c r="I877" s="3">
        <f>IF('3b-d Exposures'!K1079="",0,'3b-d Exposures'!K1079)</f>
        <v/>
      </c>
      <c r="J877" s="3">
        <f>IF('3b-d Exposures'!M1079="",0,'3b-d Exposures'!M1079)</f>
        <v/>
      </c>
      <c r="K877" s="3">
        <f>IF('3b-d Exposures'!O1079="",0,'3b-d Exposures'!O1079)</f>
        <v/>
      </c>
      <c r="L877" s="3">
        <f>IF('3b-d Exposures'!Q1079="",0,'3b-d Exposures'!Q1079)</f>
        <v/>
      </c>
      <c r="M877" s="3">
        <f>IF('3b-d Exposures'!S1079="",0,'3b-d Exposures'!S1079)</f>
        <v/>
      </c>
      <c r="N877" s="3">
        <f>IF('3b-d Exposures'!Z1079="",0,'3b-d Exposures'!Z1079)</f>
        <v/>
      </c>
      <c r="O877" s="3">
        <f>$D877</f>
        <v/>
      </c>
      <c r="P877" s="3">
        <f>E877*$D877</f>
        <v/>
      </c>
      <c r="Q877" s="3">
        <f>F877*$D877</f>
        <v/>
      </c>
      <c r="R877" s="3">
        <f>G877*$D877</f>
        <v/>
      </c>
      <c r="S877" s="3">
        <f>H877*$D877</f>
        <v/>
      </c>
      <c r="T877" s="3">
        <f>I877*$D877</f>
        <v/>
      </c>
      <c r="U877" s="3">
        <f>J877*$D877</f>
        <v/>
      </c>
      <c r="V877" s="3">
        <f>K877*$D877</f>
        <v/>
      </c>
      <c r="W877" s="3">
        <f>L877*$D877</f>
        <v/>
      </c>
      <c r="X877" s="3">
        <f>M877*$D877</f>
        <v/>
      </c>
      <c r="Y877" s="3">
        <f>N877*$D877</f>
        <v/>
      </c>
      <c r="Z877" s="3">
        <f>C877*$D877</f>
        <v/>
      </c>
      <c r="AA877" s="9">
        <f>$L978+$K978*E877+$J978*F877+$I978*G877+$H978*H877+$G978*I877+$F978*J877+$E978*K877+$D978*L877+$C978*M877+$B978*N877</f>
        <v/>
      </c>
      <c r="AB877" s="9">
        <f>C877-AA877</f>
        <v/>
      </c>
      <c r="AC877" s="4">
        <f>AB877^2</f>
        <v/>
      </c>
    </row>
    <row r="878">
      <c r="A878" t="inlineStr">
        <is>
          <t>BBG000BVVQQ8</t>
        </is>
      </c>
      <c r="B878" t="inlineStr">
        <is>
          <t>txt</t>
        </is>
      </c>
      <c r="C878" s="9" t="n">
        <v>-0.001985313942437283</v>
      </c>
      <c r="D878" s="3">
        <f>EXP(0.25*'3b-d Exposures'!G1080)</f>
        <v/>
      </c>
      <c r="E878" s="3">
        <f>IF('3b-d Exposures'!C1080="",0,'3b-d Exposures'!C1080)</f>
        <v/>
      </c>
      <c r="F878" s="3">
        <f>IF('3b-d Exposures'!E1080="",0,'3b-d Exposures'!E1080)</f>
        <v/>
      </c>
      <c r="G878" s="3">
        <f>IF('3b-d Exposures'!G1080="",0,'3b-d Exposures'!G1080)</f>
        <v/>
      </c>
      <c r="H878" s="3">
        <f>IF('3b-d Exposures'!I1080="",0,'3b-d Exposures'!I1080)</f>
        <v/>
      </c>
      <c r="I878" s="3">
        <f>IF('3b-d Exposures'!K1080="",0,'3b-d Exposures'!K1080)</f>
        <v/>
      </c>
      <c r="J878" s="3">
        <f>IF('3b-d Exposures'!M1080="",0,'3b-d Exposures'!M1080)</f>
        <v/>
      </c>
      <c r="K878" s="3">
        <f>IF('3b-d Exposures'!O1080="",0,'3b-d Exposures'!O1080)</f>
        <v/>
      </c>
      <c r="L878" s="3">
        <f>IF('3b-d Exposures'!Q1080="",0,'3b-d Exposures'!Q1080)</f>
        <v/>
      </c>
      <c r="M878" s="3">
        <f>IF('3b-d Exposures'!S1080="",0,'3b-d Exposures'!S1080)</f>
        <v/>
      </c>
      <c r="N878" s="3">
        <f>IF('3b-d Exposures'!Z1080="",0,'3b-d Exposures'!Z1080)</f>
        <v/>
      </c>
      <c r="O878" s="3">
        <f>$D878</f>
        <v/>
      </c>
      <c r="P878" s="3">
        <f>E878*$D878</f>
        <v/>
      </c>
      <c r="Q878" s="3">
        <f>F878*$D878</f>
        <v/>
      </c>
      <c r="R878" s="3">
        <f>G878*$D878</f>
        <v/>
      </c>
      <c r="S878" s="3">
        <f>H878*$D878</f>
        <v/>
      </c>
      <c r="T878" s="3">
        <f>I878*$D878</f>
        <v/>
      </c>
      <c r="U878" s="3">
        <f>J878*$D878</f>
        <v/>
      </c>
      <c r="V878" s="3">
        <f>K878*$D878</f>
        <v/>
      </c>
      <c r="W878" s="3">
        <f>L878*$D878</f>
        <v/>
      </c>
      <c r="X878" s="3">
        <f>M878*$D878</f>
        <v/>
      </c>
      <c r="Y878" s="3">
        <f>N878*$D878</f>
        <v/>
      </c>
      <c r="Z878" s="3">
        <f>C878*$D878</f>
        <v/>
      </c>
      <c r="AA878" s="9">
        <f>$L978+$K978*E878+$J978*F878+$I978*G878+$H978*H878+$G978*I878+$F978*J878+$E978*K878+$D978*L878+$C978*M878+$B978*N878</f>
        <v/>
      </c>
      <c r="AB878" s="9">
        <f>C878-AA878</f>
        <v/>
      </c>
      <c r="AC878" s="4">
        <f>AB878^2</f>
        <v/>
      </c>
    </row>
    <row r="879">
      <c r="A879" t="inlineStr">
        <is>
          <t>BBG000BVWZF9</t>
        </is>
      </c>
      <c r="B879" t="inlineStr">
        <is>
          <t>tyl</t>
        </is>
      </c>
      <c r="C879" s="9" t="n">
        <v>-0.005705875864750465</v>
      </c>
      <c r="D879" s="3">
        <f>EXP(0.25*'3b-d Exposures'!G1081)</f>
        <v/>
      </c>
      <c r="E879" s="3">
        <f>IF('3b-d Exposures'!C1081="",0,'3b-d Exposures'!C1081)</f>
        <v/>
      </c>
      <c r="F879" s="3">
        <f>IF('3b-d Exposures'!E1081="",0,'3b-d Exposures'!E1081)</f>
        <v/>
      </c>
      <c r="G879" s="3">
        <f>IF('3b-d Exposures'!G1081="",0,'3b-d Exposures'!G1081)</f>
        <v/>
      </c>
      <c r="H879" s="3">
        <f>IF('3b-d Exposures'!I1081="",0,'3b-d Exposures'!I1081)</f>
        <v/>
      </c>
      <c r="I879" s="3">
        <f>IF('3b-d Exposures'!K1081="",0,'3b-d Exposures'!K1081)</f>
        <v/>
      </c>
      <c r="J879" s="3">
        <f>IF('3b-d Exposures'!M1081="",0,'3b-d Exposures'!M1081)</f>
        <v/>
      </c>
      <c r="K879" s="3">
        <f>IF('3b-d Exposures'!O1081="",0,'3b-d Exposures'!O1081)</f>
        <v/>
      </c>
      <c r="L879" s="3">
        <f>IF('3b-d Exposures'!Q1081="",0,'3b-d Exposures'!Q1081)</f>
        <v/>
      </c>
      <c r="M879" s="3">
        <f>IF('3b-d Exposures'!S1081="",0,'3b-d Exposures'!S1081)</f>
        <v/>
      </c>
      <c r="N879" s="3">
        <f>IF('3b-d Exposures'!Z1081="",0,'3b-d Exposures'!Z1081)</f>
        <v/>
      </c>
      <c r="O879" s="3">
        <f>$D879</f>
        <v/>
      </c>
      <c r="P879" s="3">
        <f>E879*$D879</f>
        <v/>
      </c>
      <c r="Q879" s="3">
        <f>F879*$D879</f>
        <v/>
      </c>
      <c r="R879" s="3">
        <f>G879*$D879</f>
        <v/>
      </c>
      <c r="S879" s="3">
        <f>H879*$D879</f>
        <v/>
      </c>
      <c r="T879" s="3">
        <f>I879*$D879</f>
        <v/>
      </c>
      <c r="U879" s="3">
        <f>J879*$D879</f>
        <v/>
      </c>
      <c r="V879" s="3">
        <f>K879*$D879</f>
        <v/>
      </c>
      <c r="W879" s="3">
        <f>L879*$D879</f>
        <v/>
      </c>
      <c r="X879" s="3">
        <f>M879*$D879</f>
        <v/>
      </c>
      <c r="Y879" s="3">
        <f>N879*$D879</f>
        <v/>
      </c>
      <c r="Z879" s="3">
        <f>C879*$D879</f>
        <v/>
      </c>
      <c r="AA879" s="9">
        <f>$L978+$K978*E879+$J978*F879+$I978*G879+$H978*H879+$G978*I879+$F978*J879+$E978*K879+$D978*L879+$C978*M879+$B978*N879</f>
        <v/>
      </c>
      <c r="AB879" s="9">
        <f>C879-AA879</f>
        <v/>
      </c>
      <c r="AC879" s="4">
        <f>AB879^2</f>
        <v/>
      </c>
    </row>
    <row r="880">
      <c r="A880" t="inlineStr">
        <is>
          <t>BBG0056JW5G6</t>
        </is>
      </c>
      <c r="B880" t="inlineStr">
        <is>
          <t>u</t>
        </is>
      </c>
      <c r="C880" s="9" t="n">
        <v>0.005806693741365221</v>
      </c>
      <c r="D880" s="3">
        <f>EXP(0.25*'3b-d Exposures'!G1082)</f>
        <v/>
      </c>
      <c r="E880" s="3">
        <f>IF('3b-d Exposures'!C1082="",0,'3b-d Exposures'!C1082)</f>
        <v/>
      </c>
      <c r="F880" s="3">
        <f>IF('3b-d Exposures'!E1082="",0,'3b-d Exposures'!E1082)</f>
        <v/>
      </c>
      <c r="G880" s="3">
        <f>IF('3b-d Exposures'!G1082="",0,'3b-d Exposures'!G1082)</f>
        <v/>
      </c>
      <c r="H880" s="3">
        <f>IF('3b-d Exposures'!I1082="",0,'3b-d Exposures'!I1082)</f>
        <v/>
      </c>
      <c r="I880" s="3">
        <f>IF('3b-d Exposures'!K1082="",0,'3b-d Exposures'!K1082)</f>
        <v/>
      </c>
      <c r="J880" s="3">
        <f>IF('3b-d Exposures'!M1082="",0,'3b-d Exposures'!M1082)</f>
        <v/>
      </c>
      <c r="K880" s="3">
        <f>IF('3b-d Exposures'!O1082="",0,'3b-d Exposures'!O1082)</f>
        <v/>
      </c>
      <c r="L880" s="3">
        <f>IF('3b-d Exposures'!Q1082="",0,'3b-d Exposures'!Q1082)</f>
        <v/>
      </c>
      <c r="M880" s="3">
        <f>IF('3b-d Exposures'!S1082="",0,'3b-d Exposures'!S1082)</f>
        <v/>
      </c>
      <c r="N880" s="3">
        <f>IF('3b-d Exposures'!Z1082="",0,'3b-d Exposures'!Z1082)</f>
        <v/>
      </c>
      <c r="O880" s="3">
        <f>$D880</f>
        <v/>
      </c>
      <c r="P880" s="3">
        <f>E880*$D880</f>
        <v/>
      </c>
      <c r="Q880" s="3">
        <f>F880*$D880</f>
        <v/>
      </c>
      <c r="R880" s="3">
        <f>G880*$D880</f>
        <v/>
      </c>
      <c r="S880" s="3">
        <f>H880*$D880</f>
        <v/>
      </c>
      <c r="T880" s="3">
        <f>I880*$D880</f>
        <v/>
      </c>
      <c r="U880" s="3">
        <f>J880*$D880</f>
        <v/>
      </c>
      <c r="V880" s="3">
        <f>K880*$D880</f>
        <v/>
      </c>
      <c r="W880" s="3">
        <f>L880*$D880</f>
        <v/>
      </c>
      <c r="X880" s="3">
        <f>M880*$D880</f>
        <v/>
      </c>
      <c r="Y880" s="3">
        <f>N880*$D880</f>
        <v/>
      </c>
      <c r="Z880" s="3">
        <f>C880*$D880</f>
        <v/>
      </c>
      <c r="AA880" s="9">
        <f>$L978+$K978*E880+$J978*F880+$I978*G880+$H978*H880+$G978*I880+$F978*J880+$E978*K880+$D978*L880+$C978*M880+$B978*N880</f>
        <v/>
      </c>
      <c r="AB880" s="9">
        <f>C880-AA880</f>
        <v/>
      </c>
      <c r="AC880" s="4">
        <f>AB880^2</f>
        <v/>
      </c>
    </row>
    <row r="881">
      <c r="A881" t="inlineStr">
        <is>
          <t>BBG000BXM6V2</t>
        </is>
      </c>
      <c r="B881" t="inlineStr">
        <is>
          <t>uaa</t>
        </is>
      </c>
      <c r="C881" s="9" t="n">
        <v>0.04634395545800785</v>
      </c>
      <c r="D881" s="3">
        <f>EXP(0.25*'3b-d Exposures'!G1083)</f>
        <v/>
      </c>
      <c r="E881" s="3">
        <f>IF('3b-d Exposures'!C1083="",0,'3b-d Exposures'!C1083)</f>
        <v/>
      </c>
      <c r="F881" s="3">
        <f>IF('3b-d Exposures'!E1083="",0,'3b-d Exposures'!E1083)</f>
        <v/>
      </c>
      <c r="G881" s="3">
        <f>IF('3b-d Exposures'!G1083="",0,'3b-d Exposures'!G1083)</f>
        <v/>
      </c>
      <c r="H881" s="3">
        <f>IF('3b-d Exposures'!I1083="",0,'3b-d Exposures'!I1083)</f>
        <v/>
      </c>
      <c r="I881" s="3">
        <f>IF('3b-d Exposures'!K1083="",0,'3b-d Exposures'!K1083)</f>
        <v/>
      </c>
      <c r="J881" s="3">
        <f>IF('3b-d Exposures'!M1083="",0,'3b-d Exposures'!M1083)</f>
        <v/>
      </c>
      <c r="K881" s="3">
        <f>IF('3b-d Exposures'!O1083="",0,'3b-d Exposures'!O1083)</f>
        <v/>
      </c>
      <c r="L881" s="3">
        <f>IF('3b-d Exposures'!Q1083="",0,'3b-d Exposures'!Q1083)</f>
        <v/>
      </c>
      <c r="M881" s="3">
        <f>IF('3b-d Exposures'!S1083="",0,'3b-d Exposures'!S1083)</f>
        <v/>
      </c>
      <c r="N881" s="3">
        <f>IF('3b-d Exposures'!Z1083="",0,'3b-d Exposures'!Z1083)</f>
        <v/>
      </c>
      <c r="O881" s="3">
        <f>$D881</f>
        <v/>
      </c>
      <c r="P881" s="3">
        <f>E881*$D881</f>
        <v/>
      </c>
      <c r="Q881" s="3">
        <f>F881*$D881</f>
        <v/>
      </c>
      <c r="R881" s="3">
        <f>G881*$D881</f>
        <v/>
      </c>
      <c r="S881" s="3">
        <f>H881*$D881</f>
        <v/>
      </c>
      <c r="T881" s="3">
        <f>I881*$D881</f>
        <v/>
      </c>
      <c r="U881" s="3">
        <f>J881*$D881</f>
        <v/>
      </c>
      <c r="V881" s="3">
        <f>K881*$D881</f>
        <v/>
      </c>
      <c r="W881" s="3">
        <f>L881*$D881</f>
        <v/>
      </c>
      <c r="X881" s="3">
        <f>M881*$D881</f>
        <v/>
      </c>
      <c r="Y881" s="3">
        <f>N881*$D881</f>
        <v/>
      </c>
      <c r="Z881" s="3">
        <f>C881*$D881</f>
        <v/>
      </c>
      <c r="AA881" s="9">
        <f>$L978+$K978*E881+$J978*F881+$I978*G881+$H978*H881+$G978*I881+$F978*J881+$E978*K881+$D978*L881+$C978*M881+$B978*N881</f>
        <v/>
      </c>
      <c r="AB881" s="9">
        <f>C881-AA881</f>
        <v/>
      </c>
      <c r="AC881" s="4">
        <f>AB881^2</f>
        <v/>
      </c>
    </row>
    <row r="882">
      <c r="A882" t="inlineStr">
        <is>
          <t>BBG000M65M61</t>
        </is>
      </c>
      <c r="B882" t="inlineStr">
        <is>
          <t>ual</t>
        </is>
      </c>
      <c r="C882" s="9" t="n">
        <v>0.006299706690245266</v>
      </c>
      <c r="D882" s="3">
        <f>EXP(0.25*'3b-d Exposures'!G1084)</f>
        <v/>
      </c>
      <c r="E882" s="3">
        <f>IF('3b-d Exposures'!C1084="",0,'3b-d Exposures'!C1084)</f>
        <v/>
      </c>
      <c r="F882" s="3">
        <f>IF('3b-d Exposures'!E1084="",0,'3b-d Exposures'!E1084)</f>
        <v/>
      </c>
      <c r="G882" s="3">
        <f>IF('3b-d Exposures'!G1084="",0,'3b-d Exposures'!G1084)</f>
        <v/>
      </c>
      <c r="H882" s="3">
        <f>IF('3b-d Exposures'!I1084="",0,'3b-d Exposures'!I1084)</f>
        <v/>
      </c>
      <c r="I882" s="3">
        <f>IF('3b-d Exposures'!K1084="",0,'3b-d Exposures'!K1084)</f>
        <v/>
      </c>
      <c r="J882" s="3">
        <f>IF('3b-d Exposures'!M1084="",0,'3b-d Exposures'!M1084)</f>
        <v/>
      </c>
      <c r="K882" s="3">
        <f>IF('3b-d Exposures'!O1084="",0,'3b-d Exposures'!O1084)</f>
        <v/>
      </c>
      <c r="L882" s="3">
        <f>IF('3b-d Exposures'!Q1084="",0,'3b-d Exposures'!Q1084)</f>
        <v/>
      </c>
      <c r="M882" s="3">
        <f>IF('3b-d Exposures'!S1084="",0,'3b-d Exposures'!S1084)</f>
        <v/>
      </c>
      <c r="N882" s="3">
        <f>IF('3b-d Exposures'!Z1084="",0,'3b-d Exposures'!Z1084)</f>
        <v/>
      </c>
      <c r="O882" s="3">
        <f>$D882</f>
        <v/>
      </c>
      <c r="P882" s="3">
        <f>E882*$D882</f>
        <v/>
      </c>
      <c r="Q882" s="3">
        <f>F882*$D882</f>
        <v/>
      </c>
      <c r="R882" s="3">
        <f>G882*$D882</f>
        <v/>
      </c>
      <c r="S882" s="3">
        <f>H882*$D882</f>
        <v/>
      </c>
      <c r="T882" s="3">
        <f>I882*$D882</f>
        <v/>
      </c>
      <c r="U882" s="3">
        <f>J882*$D882</f>
        <v/>
      </c>
      <c r="V882" s="3">
        <f>K882*$D882</f>
        <v/>
      </c>
      <c r="W882" s="3">
        <f>L882*$D882</f>
        <v/>
      </c>
      <c r="X882" s="3">
        <f>M882*$D882</f>
        <v/>
      </c>
      <c r="Y882" s="3">
        <f>N882*$D882</f>
        <v/>
      </c>
      <c r="Z882" s="3">
        <f>C882*$D882</f>
        <v/>
      </c>
      <c r="AA882" s="9">
        <f>$L978+$K978*E882+$J978*F882+$I978*G882+$H978*H882+$G978*I882+$F978*J882+$E978*K882+$D978*L882+$C978*M882+$B978*N882</f>
        <v/>
      </c>
      <c r="AB882" s="9">
        <f>C882-AA882</f>
        <v/>
      </c>
      <c r="AC882" s="4">
        <f>AB882^2</f>
        <v/>
      </c>
    </row>
    <row r="883">
      <c r="A883" t="inlineStr">
        <is>
          <t>BBG002B04MT8</t>
        </is>
      </c>
      <c r="B883" t="inlineStr">
        <is>
          <t>uber</t>
        </is>
      </c>
      <c r="C883" s="9" t="n">
        <v>0.01542524492042507</v>
      </c>
      <c r="D883" s="3">
        <f>EXP(0.25*'3b-d Exposures'!G1085)</f>
        <v/>
      </c>
      <c r="E883" s="3">
        <f>IF('3b-d Exposures'!C1085="",0,'3b-d Exposures'!C1085)</f>
        <v/>
      </c>
      <c r="F883" s="3">
        <f>IF('3b-d Exposures'!E1085="",0,'3b-d Exposures'!E1085)</f>
        <v/>
      </c>
      <c r="G883" s="3">
        <f>IF('3b-d Exposures'!G1085="",0,'3b-d Exposures'!G1085)</f>
        <v/>
      </c>
      <c r="H883" s="3">
        <f>IF('3b-d Exposures'!I1085="",0,'3b-d Exposures'!I1085)</f>
        <v/>
      </c>
      <c r="I883" s="3">
        <f>IF('3b-d Exposures'!K1085="",0,'3b-d Exposures'!K1085)</f>
        <v/>
      </c>
      <c r="J883" s="3">
        <f>IF('3b-d Exposures'!M1085="",0,'3b-d Exposures'!M1085)</f>
        <v/>
      </c>
      <c r="K883" s="3">
        <f>IF('3b-d Exposures'!O1085="",0,'3b-d Exposures'!O1085)</f>
        <v/>
      </c>
      <c r="L883" s="3">
        <f>IF('3b-d Exposures'!Q1085="",0,'3b-d Exposures'!Q1085)</f>
        <v/>
      </c>
      <c r="M883" s="3">
        <f>IF('3b-d Exposures'!S1085="",0,'3b-d Exposures'!S1085)</f>
        <v/>
      </c>
      <c r="N883" s="3">
        <f>IF('3b-d Exposures'!Z1085="",0,'3b-d Exposures'!Z1085)</f>
        <v/>
      </c>
      <c r="O883" s="3">
        <f>$D883</f>
        <v/>
      </c>
      <c r="P883" s="3">
        <f>E883*$D883</f>
        <v/>
      </c>
      <c r="Q883" s="3">
        <f>F883*$D883</f>
        <v/>
      </c>
      <c r="R883" s="3">
        <f>G883*$D883</f>
        <v/>
      </c>
      <c r="S883" s="3">
        <f>H883*$D883</f>
        <v/>
      </c>
      <c r="T883" s="3">
        <f>I883*$D883</f>
        <v/>
      </c>
      <c r="U883" s="3">
        <f>J883*$D883</f>
        <v/>
      </c>
      <c r="V883" s="3">
        <f>K883*$D883</f>
        <v/>
      </c>
      <c r="W883" s="3">
        <f>L883*$D883</f>
        <v/>
      </c>
      <c r="X883" s="3">
        <f>M883*$D883</f>
        <v/>
      </c>
      <c r="Y883" s="3">
        <f>N883*$D883</f>
        <v/>
      </c>
      <c r="Z883" s="3">
        <f>C883*$D883</f>
        <v/>
      </c>
      <c r="AA883" s="9">
        <f>$L978+$K978*E883+$J978*F883+$I978*G883+$H978*H883+$G978*I883+$F978*J883+$E978*K883+$D978*L883+$C978*M883+$B978*N883</f>
        <v/>
      </c>
      <c r="AB883" s="9">
        <f>C883-AA883</f>
        <v/>
      </c>
      <c r="AC883" s="4">
        <f>AB883^2</f>
        <v/>
      </c>
    </row>
    <row r="884">
      <c r="A884" t="inlineStr">
        <is>
          <t>BBG000BL7GB5</t>
        </is>
      </c>
      <c r="B884" t="inlineStr">
        <is>
          <t>ucb</t>
        </is>
      </c>
      <c r="C884" s="9" t="n">
        <v>-0.001183157291539172</v>
      </c>
      <c r="D884" s="3">
        <f>EXP(0.25*'3b-d Exposures'!G1086)</f>
        <v/>
      </c>
      <c r="E884" s="3">
        <f>IF('3b-d Exposures'!C1086="",0,'3b-d Exposures'!C1086)</f>
        <v/>
      </c>
      <c r="F884" s="3">
        <f>IF('3b-d Exposures'!E1086="",0,'3b-d Exposures'!E1086)</f>
        <v/>
      </c>
      <c r="G884" s="3">
        <f>IF('3b-d Exposures'!G1086="",0,'3b-d Exposures'!G1086)</f>
        <v/>
      </c>
      <c r="H884" s="3">
        <f>IF('3b-d Exposures'!I1086="",0,'3b-d Exposures'!I1086)</f>
        <v/>
      </c>
      <c r="I884" s="3">
        <f>IF('3b-d Exposures'!K1086="",0,'3b-d Exposures'!K1086)</f>
        <v/>
      </c>
      <c r="J884" s="3">
        <f>IF('3b-d Exposures'!M1086="",0,'3b-d Exposures'!M1086)</f>
        <v/>
      </c>
      <c r="K884" s="3">
        <f>IF('3b-d Exposures'!O1086="",0,'3b-d Exposures'!O1086)</f>
        <v/>
      </c>
      <c r="L884" s="3">
        <f>IF('3b-d Exposures'!Q1086="",0,'3b-d Exposures'!Q1086)</f>
        <v/>
      </c>
      <c r="M884" s="3">
        <f>IF('3b-d Exposures'!S1086="",0,'3b-d Exposures'!S1086)</f>
        <v/>
      </c>
      <c r="N884" s="3">
        <f>IF('3b-d Exposures'!Z1086="",0,'3b-d Exposures'!Z1086)</f>
        <v/>
      </c>
      <c r="O884" s="3">
        <f>$D884</f>
        <v/>
      </c>
      <c r="P884" s="3">
        <f>E884*$D884</f>
        <v/>
      </c>
      <c r="Q884" s="3">
        <f>F884*$D884</f>
        <v/>
      </c>
      <c r="R884" s="3">
        <f>G884*$D884</f>
        <v/>
      </c>
      <c r="S884" s="3">
        <f>H884*$D884</f>
        <v/>
      </c>
      <c r="T884" s="3">
        <f>I884*$D884</f>
        <v/>
      </c>
      <c r="U884" s="3">
        <f>J884*$D884</f>
        <v/>
      </c>
      <c r="V884" s="3">
        <f>K884*$D884</f>
        <v/>
      </c>
      <c r="W884" s="3">
        <f>L884*$D884</f>
        <v/>
      </c>
      <c r="X884" s="3">
        <f>M884*$D884</f>
        <v/>
      </c>
      <c r="Y884" s="3">
        <f>N884*$D884</f>
        <v/>
      </c>
      <c r="Z884" s="3">
        <f>C884*$D884</f>
        <v/>
      </c>
      <c r="AA884" s="9">
        <f>$L978+$K978*E884+$J978*F884+$I978*G884+$H978*H884+$G978*I884+$F978*J884+$E978*K884+$D978*L884+$C978*M884+$B978*N884</f>
        <v/>
      </c>
      <c r="AB884" s="9">
        <f>C884-AA884</f>
        <v/>
      </c>
      <c r="AC884" s="4">
        <f>AB884^2</f>
        <v/>
      </c>
    </row>
    <row r="885">
      <c r="A885" t="inlineStr">
        <is>
          <t>BBG000HSLV70</t>
        </is>
      </c>
      <c r="B885" t="inlineStr">
        <is>
          <t>uctt</t>
        </is>
      </c>
      <c r="C885" s="9" t="n">
        <v>0.0562060845760961</v>
      </c>
      <c r="D885" s="3">
        <f>EXP(0.25*'3b-d Exposures'!G1087)</f>
        <v/>
      </c>
      <c r="E885" s="3">
        <f>IF('3b-d Exposures'!C1087="",0,'3b-d Exposures'!C1087)</f>
        <v/>
      </c>
      <c r="F885" s="3">
        <f>IF('3b-d Exposures'!E1087="",0,'3b-d Exposures'!E1087)</f>
        <v/>
      </c>
      <c r="G885" s="3">
        <f>IF('3b-d Exposures'!G1087="",0,'3b-d Exposures'!G1087)</f>
        <v/>
      </c>
      <c r="H885" s="3">
        <f>IF('3b-d Exposures'!I1087="",0,'3b-d Exposures'!I1087)</f>
        <v/>
      </c>
      <c r="I885" s="3">
        <f>IF('3b-d Exposures'!K1087="",0,'3b-d Exposures'!K1087)</f>
        <v/>
      </c>
      <c r="J885" s="3">
        <f>IF('3b-d Exposures'!M1087="",0,'3b-d Exposures'!M1087)</f>
        <v/>
      </c>
      <c r="K885" s="3">
        <f>IF('3b-d Exposures'!O1087="",0,'3b-d Exposures'!O1087)</f>
        <v/>
      </c>
      <c r="L885" s="3">
        <f>IF('3b-d Exposures'!Q1087="",0,'3b-d Exposures'!Q1087)</f>
        <v/>
      </c>
      <c r="M885" s="3">
        <f>IF('3b-d Exposures'!S1087="",0,'3b-d Exposures'!S1087)</f>
        <v/>
      </c>
      <c r="N885" s="3">
        <f>IF('3b-d Exposures'!Z1087="",0,'3b-d Exposures'!Z1087)</f>
        <v/>
      </c>
      <c r="O885" s="3">
        <f>$D885</f>
        <v/>
      </c>
      <c r="P885" s="3">
        <f>E885*$D885</f>
        <v/>
      </c>
      <c r="Q885" s="3">
        <f>F885*$D885</f>
        <v/>
      </c>
      <c r="R885" s="3">
        <f>G885*$D885</f>
        <v/>
      </c>
      <c r="S885" s="3">
        <f>H885*$D885</f>
        <v/>
      </c>
      <c r="T885" s="3">
        <f>I885*$D885</f>
        <v/>
      </c>
      <c r="U885" s="3">
        <f>J885*$D885</f>
        <v/>
      </c>
      <c r="V885" s="3">
        <f>K885*$D885</f>
        <v/>
      </c>
      <c r="W885" s="3">
        <f>L885*$D885</f>
        <v/>
      </c>
      <c r="X885" s="3">
        <f>M885*$D885</f>
        <v/>
      </c>
      <c r="Y885" s="3">
        <f>N885*$D885</f>
        <v/>
      </c>
      <c r="Z885" s="3">
        <f>C885*$D885</f>
        <v/>
      </c>
      <c r="AA885" s="9">
        <f>$L978+$K978*E885+$J978*F885+$I978*G885+$H978*H885+$G978*I885+$F978*J885+$E978*K885+$D978*L885+$C978*M885+$B978*N885</f>
        <v/>
      </c>
      <c r="AB885" s="9">
        <f>C885-AA885</f>
        <v/>
      </c>
      <c r="AC885" s="4">
        <f>AB885^2</f>
        <v/>
      </c>
    </row>
    <row r="886">
      <c r="A886" t="inlineStr">
        <is>
          <t>BBG000C41023</t>
        </is>
      </c>
      <c r="B886" t="inlineStr">
        <is>
          <t>udr</t>
        </is>
      </c>
      <c r="C886" s="9" t="n">
        <v>-0.01221105894832231</v>
      </c>
      <c r="D886" s="3">
        <f>EXP(0.25*'3b-d Exposures'!G1088)</f>
        <v/>
      </c>
      <c r="E886" s="3">
        <f>IF('3b-d Exposures'!C1088="",0,'3b-d Exposures'!C1088)</f>
        <v/>
      </c>
      <c r="F886" s="3">
        <f>IF('3b-d Exposures'!E1088="",0,'3b-d Exposures'!E1088)</f>
        <v/>
      </c>
      <c r="G886" s="3">
        <f>IF('3b-d Exposures'!G1088="",0,'3b-d Exposures'!G1088)</f>
        <v/>
      </c>
      <c r="H886" s="3">
        <f>IF('3b-d Exposures'!I1088="",0,'3b-d Exposures'!I1088)</f>
        <v/>
      </c>
      <c r="I886" s="3">
        <f>IF('3b-d Exposures'!K1088="",0,'3b-d Exposures'!K1088)</f>
        <v/>
      </c>
      <c r="J886" s="3">
        <f>IF('3b-d Exposures'!M1088="",0,'3b-d Exposures'!M1088)</f>
        <v/>
      </c>
      <c r="K886" s="3">
        <f>IF('3b-d Exposures'!O1088="",0,'3b-d Exposures'!O1088)</f>
        <v/>
      </c>
      <c r="L886" s="3">
        <f>IF('3b-d Exposures'!Q1088="",0,'3b-d Exposures'!Q1088)</f>
        <v/>
      </c>
      <c r="M886" s="3">
        <f>IF('3b-d Exposures'!S1088="",0,'3b-d Exposures'!S1088)</f>
        <v/>
      </c>
      <c r="N886" s="3">
        <f>IF('3b-d Exposures'!Z1088="",0,'3b-d Exposures'!Z1088)</f>
        <v/>
      </c>
      <c r="O886" s="3">
        <f>$D886</f>
        <v/>
      </c>
      <c r="P886" s="3">
        <f>E886*$D886</f>
        <v/>
      </c>
      <c r="Q886" s="3">
        <f>F886*$D886</f>
        <v/>
      </c>
      <c r="R886" s="3">
        <f>G886*$D886</f>
        <v/>
      </c>
      <c r="S886" s="3">
        <f>H886*$D886</f>
        <v/>
      </c>
      <c r="T886" s="3">
        <f>I886*$D886</f>
        <v/>
      </c>
      <c r="U886" s="3">
        <f>J886*$D886</f>
        <v/>
      </c>
      <c r="V886" s="3">
        <f>K886*$D886</f>
        <v/>
      </c>
      <c r="W886" s="3">
        <f>L886*$D886</f>
        <v/>
      </c>
      <c r="X886" s="3">
        <f>M886*$D886</f>
        <v/>
      </c>
      <c r="Y886" s="3">
        <f>N886*$D886</f>
        <v/>
      </c>
      <c r="Z886" s="3">
        <f>C886*$D886</f>
        <v/>
      </c>
      <c r="AA886" s="9">
        <f>$L978+$K978*E886+$J978*F886+$I978*G886+$H978*H886+$G978*I886+$F978*J886+$E978*K886+$D978*L886+$C978*M886+$B978*N886</f>
        <v/>
      </c>
      <c r="AB886" s="9">
        <f>C886-AA886</f>
        <v/>
      </c>
      <c r="AC886" s="4">
        <f>AB886^2</f>
        <v/>
      </c>
    </row>
    <row r="887">
      <c r="A887" t="inlineStr">
        <is>
          <t>BBG000LCK3Q2</t>
        </is>
      </c>
      <c r="B887" t="inlineStr">
        <is>
          <t>uec</t>
        </is>
      </c>
      <c r="C887" s="9" t="n">
        <v>-0.02527076143717677</v>
      </c>
      <c r="D887" s="3">
        <f>EXP(0.25*'3b-d Exposures'!G1089)</f>
        <v/>
      </c>
      <c r="E887" s="3">
        <f>IF('3b-d Exposures'!C1089="",0,'3b-d Exposures'!C1089)</f>
        <v/>
      </c>
      <c r="F887" s="3">
        <f>IF('3b-d Exposures'!E1089="",0,'3b-d Exposures'!E1089)</f>
        <v/>
      </c>
      <c r="G887" s="3">
        <f>IF('3b-d Exposures'!G1089="",0,'3b-d Exposures'!G1089)</f>
        <v/>
      </c>
      <c r="H887" s="3">
        <f>IF('3b-d Exposures'!I1089="",0,'3b-d Exposures'!I1089)</f>
        <v/>
      </c>
      <c r="I887" s="3">
        <f>IF('3b-d Exposures'!K1089="",0,'3b-d Exposures'!K1089)</f>
        <v/>
      </c>
      <c r="J887" s="3">
        <f>IF('3b-d Exposures'!M1089="",0,'3b-d Exposures'!M1089)</f>
        <v/>
      </c>
      <c r="K887" s="3">
        <f>IF('3b-d Exposures'!O1089="",0,'3b-d Exposures'!O1089)</f>
        <v/>
      </c>
      <c r="L887" s="3">
        <f>IF('3b-d Exposures'!Q1089="",0,'3b-d Exposures'!Q1089)</f>
        <v/>
      </c>
      <c r="M887" s="3">
        <f>IF('3b-d Exposures'!S1089="",0,'3b-d Exposures'!S1089)</f>
        <v/>
      </c>
      <c r="N887" s="3">
        <f>IF('3b-d Exposures'!Z1089="",0,'3b-d Exposures'!Z1089)</f>
        <v/>
      </c>
      <c r="O887" s="3">
        <f>$D887</f>
        <v/>
      </c>
      <c r="P887" s="3">
        <f>E887*$D887</f>
        <v/>
      </c>
      <c r="Q887" s="3">
        <f>F887*$D887</f>
        <v/>
      </c>
      <c r="R887" s="3">
        <f>G887*$D887</f>
        <v/>
      </c>
      <c r="S887" s="3">
        <f>H887*$D887</f>
        <v/>
      </c>
      <c r="T887" s="3">
        <f>I887*$D887</f>
        <v/>
      </c>
      <c r="U887" s="3">
        <f>J887*$D887</f>
        <v/>
      </c>
      <c r="V887" s="3">
        <f>K887*$D887</f>
        <v/>
      </c>
      <c r="W887" s="3">
        <f>L887*$D887</f>
        <v/>
      </c>
      <c r="X887" s="3">
        <f>M887*$D887</f>
        <v/>
      </c>
      <c r="Y887" s="3">
        <f>N887*$D887</f>
        <v/>
      </c>
      <c r="Z887" s="3">
        <f>C887*$D887</f>
        <v/>
      </c>
      <c r="AA887" s="9">
        <f>$L978+$K978*E887+$J978*F887+$I978*G887+$H978*H887+$G978*I887+$F978*J887+$E978*K887+$D978*L887+$C978*M887+$B978*N887</f>
        <v/>
      </c>
      <c r="AB887" s="9">
        <f>C887-AA887</f>
        <v/>
      </c>
      <c r="AC887" s="4">
        <f>AB887^2</f>
        <v/>
      </c>
    </row>
    <row r="888">
      <c r="A888" t="inlineStr">
        <is>
          <t>BBG000BVYN55</t>
        </is>
      </c>
      <c r="B888" t="inlineStr">
        <is>
          <t>ugi</t>
        </is>
      </c>
      <c r="C888" s="9" t="n">
        <v>-0.05268349382478477</v>
      </c>
      <c r="D888" s="3">
        <f>EXP(0.25*'3b-d Exposures'!G1090)</f>
        <v/>
      </c>
      <c r="E888" s="3">
        <f>IF('3b-d Exposures'!C1090="",0,'3b-d Exposures'!C1090)</f>
        <v/>
      </c>
      <c r="F888" s="3">
        <f>IF('3b-d Exposures'!E1090="",0,'3b-d Exposures'!E1090)</f>
        <v/>
      </c>
      <c r="G888" s="3">
        <f>IF('3b-d Exposures'!G1090="",0,'3b-d Exposures'!G1090)</f>
        <v/>
      </c>
      <c r="H888" s="3">
        <f>IF('3b-d Exposures'!I1090="",0,'3b-d Exposures'!I1090)</f>
        <v/>
      </c>
      <c r="I888" s="3">
        <f>IF('3b-d Exposures'!K1090="",0,'3b-d Exposures'!K1090)</f>
        <v/>
      </c>
      <c r="J888" s="3">
        <f>IF('3b-d Exposures'!M1090="",0,'3b-d Exposures'!M1090)</f>
        <v/>
      </c>
      <c r="K888" s="3">
        <f>IF('3b-d Exposures'!O1090="",0,'3b-d Exposures'!O1090)</f>
        <v/>
      </c>
      <c r="L888" s="3">
        <f>IF('3b-d Exposures'!Q1090="",0,'3b-d Exposures'!Q1090)</f>
        <v/>
      </c>
      <c r="M888" s="3">
        <f>IF('3b-d Exposures'!S1090="",0,'3b-d Exposures'!S1090)</f>
        <v/>
      </c>
      <c r="N888" s="3">
        <f>IF('3b-d Exposures'!Z1090="",0,'3b-d Exposures'!Z1090)</f>
        <v/>
      </c>
      <c r="O888" s="3">
        <f>$D888</f>
        <v/>
      </c>
      <c r="P888" s="3">
        <f>E888*$D888</f>
        <v/>
      </c>
      <c r="Q888" s="3">
        <f>F888*$D888</f>
        <v/>
      </c>
      <c r="R888" s="3">
        <f>G888*$D888</f>
        <v/>
      </c>
      <c r="S888" s="3">
        <f>H888*$D888</f>
        <v/>
      </c>
      <c r="T888" s="3">
        <f>I888*$D888</f>
        <v/>
      </c>
      <c r="U888" s="3">
        <f>J888*$D888</f>
        <v/>
      </c>
      <c r="V888" s="3">
        <f>K888*$D888</f>
        <v/>
      </c>
      <c r="W888" s="3">
        <f>L888*$D888</f>
        <v/>
      </c>
      <c r="X888" s="3">
        <f>M888*$D888</f>
        <v/>
      </c>
      <c r="Y888" s="3">
        <f>N888*$D888</f>
        <v/>
      </c>
      <c r="Z888" s="3">
        <f>C888*$D888</f>
        <v/>
      </c>
      <c r="AA888" s="9">
        <f>$L978+$K978*E888+$J978*F888+$I978*G888+$H978*H888+$G978*I888+$F978*J888+$E978*K888+$D978*L888+$C978*M888+$B978*N888</f>
        <v/>
      </c>
      <c r="AB888" s="9">
        <f>C888-AA888</f>
        <v/>
      </c>
      <c r="AC888" s="4">
        <f>AB888^2</f>
        <v/>
      </c>
    </row>
    <row r="889">
      <c r="A889" t="inlineStr">
        <is>
          <t>BBG000BCFXT0</t>
        </is>
      </c>
      <c r="B889" t="inlineStr">
        <is>
          <t>uhal</t>
        </is>
      </c>
      <c r="C889" s="9" t="n">
        <v>0.009480659209069264</v>
      </c>
      <c r="D889" s="3">
        <f>EXP(0.25*'3b-d Exposures'!G1091)</f>
        <v/>
      </c>
      <c r="E889" s="3">
        <f>IF('3b-d Exposures'!C1091="",0,'3b-d Exposures'!C1091)</f>
        <v/>
      </c>
      <c r="F889" s="3">
        <f>IF('3b-d Exposures'!E1091="",0,'3b-d Exposures'!E1091)</f>
        <v/>
      </c>
      <c r="G889" s="3">
        <f>IF('3b-d Exposures'!G1091="",0,'3b-d Exposures'!G1091)</f>
        <v/>
      </c>
      <c r="H889" s="3">
        <f>IF('3b-d Exposures'!I1091="",0,'3b-d Exposures'!I1091)</f>
        <v/>
      </c>
      <c r="I889" s="3">
        <f>IF('3b-d Exposures'!K1091="",0,'3b-d Exposures'!K1091)</f>
        <v/>
      </c>
      <c r="J889" s="3">
        <f>IF('3b-d Exposures'!M1091="",0,'3b-d Exposures'!M1091)</f>
        <v/>
      </c>
      <c r="K889" s="3">
        <f>IF('3b-d Exposures'!O1091="",0,'3b-d Exposures'!O1091)</f>
        <v/>
      </c>
      <c r="L889" s="3">
        <f>IF('3b-d Exposures'!Q1091="",0,'3b-d Exposures'!Q1091)</f>
        <v/>
      </c>
      <c r="M889" s="3">
        <f>IF('3b-d Exposures'!S1091="",0,'3b-d Exposures'!S1091)</f>
        <v/>
      </c>
      <c r="N889" s="3">
        <f>IF('3b-d Exposures'!Z1091="",0,'3b-d Exposures'!Z1091)</f>
        <v/>
      </c>
      <c r="O889" s="3">
        <f>$D889</f>
        <v/>
      </c>
      <c r="P889" s="3">
        <f>E889*$D889</f>
        <v/>
      </c>
      <c r="Q889" s="3">
        <f>F889*$D889</f>
        <v/>
      </c>
      <c r="R889" s="3">
        <f>G889*$D889</f>
        <v/>
      </c>
      <c r="S889" s="3">
        <f>H889*$D889</f>
        <v/>
      </c>
      <c r="T889" s="3">
        <f>I889*$D889</f>
        <v/>
      </c>
      <c r="U889" s="3">
        <f>J889*$D889</f>
        <v/>
      </c>
      <c r="V889" s="3">
        <f>K889*$D889</f>
        <v/>
      </c>
      <c r="W889" s="3">
        <f>L889*$D889</f>
        <v/>
      </c>
      <c r="X889" s="3">
        <f>M889*$D889</f>
        <v/>
      </c>
      <c r="Y889" s="3">
        <f>N889*$D889</f>
        <v/>
      </c>
      <c r="Z889" s="3">
        <f>C889*$D889</f>
        <v/>
      </c>
      <c r="AA889" s="9">
        <f>$L978+$K978*E889+$J978*F889+$I978*G889+$H978*H889+$G978*I889+$F978*J889+$E978*K889+$D978*L889+$C978*M889+$B978*N889</f>
        <v/>
      </c>
      <c r="AB889" s="9">
        <f>C889-AA889</f>
        <v/>
      </c>
      <c r="AC889" s="4">
        <f>AB889^2</f>
        <v/>
      </c>
    </row>
    <row r="890">
      <c r="A890" t="inlineStr">
        <is>
          <t>BBG007N72M93</t>
        </is>
      </c>
      <c r="B890" t="inlineStr">
        <is>
          <t>uls</t>
        </is>
      </c>
      <c r="C890" s="9" t="n">
        <v>-0.01693650940858171</v>
      </c>
      <c r="D890" s="3">
        <f>EXP(0.25*'3b-d Exposures'!G1093)</f>
        <v/>
      </c>
      <c r="E890" s="3">
        <f>IF('3b-d Exposures'!C1093="",0,'3b-d Exposures'!C1093)</f>
        <v/>
      </c>
      <c r="F890" s="3">
        <f>IF('3b-d Exposures'!E1093="",0,'3b-d Exposures'!E1093)</f>
        <v/>
      </c>
      <c r="G890" s="3">
        <f>IF('3b-d Exposures'!G1093="",0,'3b-d Exposures'!G1093)</f>
        <v/>
      </c>
      <c r="H890" s="3">
        <f>IF('3b-d Exposures'!I1093="",0,'3b-d Exposures'!I1093)</f>
        <v/>
      </c>
      <c r="I890" s="3">
        <f>IF('3b-d Exposures'!K1093="",0,'3b-d Exposures'!K1093)</f>
        <v/>
      </c>
      <c r="J890" s="3">
        <f>IF('3b-d Exposures'!M1093="",0,'3b-d Exposures'!M1093)</f>
        <v/>
      </c>
      <c r="K890" s="3">
        <f>IF('3b-d Exposures'!O1093="",0,'3b-d Exposures'!O1093)</f>
        <v/>
      </c>
      <c r="L890" s="3">
        <f>IF('3b-d Exposures'!Q1093="",0,'3b-d Exposures'!Q1093)</f>
        <v/>
      </c>
      <c r="M890" s="3">
        <f>IF('3b-d Exposures'!S1093="",0,'3b-d Exposures'!S1093)</f>
        <v/>
      </c>
      <c r="N890" s="3">
        <f>IF('3b-d Exposures'!Z1093="",0,'3b-d Exposures'!Z1093)</f>
        <v/>
      </c>
      <c r="O890" s="3">
        <f>$D890</f>
        <v/>
      </c>
      <c r="P890" s="3">
        <f>E890*$D890</f>
        <v/>
      </c>
      <c r="Q890" s="3">
        <f>F890*$D890</f>
        <v/>
      </c>
      <c r="R890" s="3">
        <f>G890*$D890</f>
        <v/>
      </c>
      <c r="S890" s="3">
        <f>H890*$D890</f>
        <v/>
      </c>
      <c r="T890" s="3">
        <f>I890*$D890</f>
        <v/>
      </c>
      <c r="U890" s="3">
        <f>J890*$D890</f>
        <v/>
      </c>
      <c r="V890" s="3">
        <f>K890*$D890</f>
        <v/>
      </c>
      <c r="W890" s="3">
        <f>L890*$D890</f>
        <v/>
      </c>
      <c r="X890" s="3">
        <f>M890*$D890</f>
        <v/>
      </c>
      <c r="Y890" s="3">
        <f>N890*$D890</f>
        <v/>
      </c>
      <c r="Z890" s="3">
        <f>C890*$D890</f>
        <v/>
      </c>
      <c r="AA890" s="9">
        <f>$L978+$K978*E890+$J978*F890+$I978*G890+$H978*H890+$G978*I890+$F978*J890+$E978*K890+$D978*L890+$C978*M890+$B978*N890</f>
        <v/>
      </c>
      <c r="AB890" s="9">
        <f>C890-AA890</f>
        <v/>
      </c>
      <c r="AC890" s="4">
        <f>AB890^2</f>
        <v/>
      </c>
    </row>
    <row r="891">
      <c r="A891" t="inlineStr">
        <is>
          <t>BBG00FWQ4VD6</t>
        </is>
      </c>
      <c r="B891" t="inlineStr">
        <is>
          <t>ulta</t>
        </is>
      </c>
      <c r="C891" s="9" t="n">
        <v>0.01919093376018788</v>
      </c>
      <c r="D891" s="3">
        <f>EXP(0.25*'3b-d Exposures'!G1094)</f>
        <v/>
      </c>
      <c r="E891" s="3">
        <f>IF('3b-d Exposures'!C1094="",0,'3b-d Exposures'!C1094)</f>
        <v/>
      </c>
      <c r="F891" s="3">
        <f>IF('3b-d Exposures'!E1094="",0,'3b-d Exposures'!E1094)</f>
        <v/>
      </c>
      <c r="G891" s="3">
        <f>IF('3b-d Exposures'!G1094="",0,'3b-d Exposures'!G1094)</f>
        <v/>
      </c>
      <c r="H891" s="3">
        <f>IF('3b-d Exposures'!I1094="",0,'3b-d Exposures'!I1094)</f>
        <v/>
      </c>
      <c r="I891" s="3">
        <f>IF('3b-d Exposures'!K1094="",0,'3b-d Exposures'!K1094)</f>
        <v/>
      </c>
      <c r="J891" s="3">
        <f>IF('3b-d Exposures'!M1094="",0,'3b-d Exposures'!M1094)</f>
        <v/>
      </c>
      <c r="K891" s="3">
        <f>IF('3b-d Exposures'!O1094="",0,'3b-d Exposures'!O1094)</f>
        <v/>
      </c>
      <c r="L891" s="3">
        <f>IF('3b-d Exposures'!Q1094="",0,'3b-d Exposures'!Q1094)</f>
        <v/>
      </c>
      <c r="M891" s="3">
        <f>IF('3b-d Exposures'!S1094="",0,'3b-d Exposures'!S1094)</f>
        <v/>
      </c>
      <c r="N891" s="3">
        <f>IF('3b-d Exposures'!Z1094="",0,'3b-d Exposures'!Z1094)</f>
        <v/>
      </c>
      <c r="O891" s="3">
        <f>$D891</f>
        <v/>
      </c>
      <c r="P891" s="3">
        <f>E891*$D891</f>
        <v/>
      </c>
      <c r="Q891" s="3">
        <f>F891*$D891</f>
        <v/>
      </c>
      <c r="R891" s="3">
        <f>G891*$D891</f>
        <v/>
      </c>
      <c r="S891" s="3">
        <f>H891*$D891</f>
        <v/>
      </c>
      <c r="T891" s="3">
        <f>I891*$D891</f>
        <v/>
      </c>
      <c r="U891" s="3">
        <f>J891*$D891</f>
        <v/>
      </c>
      <c r="V891" s="3">
        <f>K891*$D891</f>
        <v/>
      </c>
      <c r="W891" s="3">
        <f>L891*$D891</f>
        <v/>
      </c>
      <c r="X891" s="3">
        <f>M891*$D891</f>
        <v/>
      </c>
      <c r="Y891" s="3">
        <f>N891*$D891</f>
        <v/>
      </c>
      <c r="Z891" s="3">
        <f>C891*$D891</f>
        <v/>
      </c>
      <c r="AA891" s="9">
        <f>$L978+$K978*E891+$J978*F891+$I978*G891+$H978*H891+$G978*I891+$F978*J891+$E978*K891+$D978*L891+$C978*M891+$B978*N891</f>
        <v/>
      </c>
      <c r="AB891" s="9">
        <f>C891-AA891</f>
        <v/>
      </c>
      <c r="AC891" s="4">
        <f>AB891^2</f>
        <v/>
      </c>
    </row>
    <row r="892">
      <c r="A892" t="inlineStr">
        <is>
          <t>BBG000CH5208</t>
        </is>
      </c>
      <c r="B892" t="inlineStr">
        <is>
          <t>unh</t>
        </is>
      </c>
      <c r="C892" s="9" t="n">
        <v>-0.002753229836611193</v>
      </c>
      <c r="D892" s="3">
        <f>EXP(0.25*'3b-d Exposures'!G1095)</f>
        <v/>
      </c>
      <c r="E892" s="3">
        <f>IF('3b-d Exposures'!C1095="",0,'3b-d Exposures'!C1095)</f>
        <v/>
      </c>
      <c r="F892" s="3">
        <f>IF('3b-d Exposures'!E1095="",0,'3b-d Exposures'!E1095)</f>
        <v/>
      </c>
      <c r="G892" s="3">
        <f>IF('3b-d Exposures'!G1095="",0,'3b-d Exposures'!G1095)</f>
        <v/>
      </c>
      <c r="H892" s="3">
        <f>IF('3b-d Exposures'!I1095="",0,'3b-d Exposures'!I1095)</f>
        <v/>
      </c>
      <c r="I892" s="3">
        <f>IF('3b-d Exposures'!K1095="",0,'3b-d Exposures'!K1095)</f>
        <v/>
      </c>
      <c r="J892" s="3">
        <f>IF('3b-d Exposures'!M1095="",0,'3b-d Exposures'!M1095)</f>
        <v/>
      </c>
      <c r="K892" s="3">
        <f>IF('3b-d Exposures'!O1095="",0,'3b-d Exposures'!O1095)</f>
        <v/>
      </c>
      <c r="L892" s="3">
        <f>IF('3b-d Exposures'!Q1095="",0,'3b-d Exposures'!Q1095)</f>
        <v/>
      </c>
      <c r="M892" s="3">
        <f>IF('3b-d Exposures'!S1095="",0,'3b-d Exposures'!S1095)</f>
        <v/>
      </c>
      <c r="N892" s="3">
        <f>IF('3b-d Exposures'!Z1095="",0,'3b-d Exposures'!Z1095)</f>
        <v/>
      </c>
      <c r="O892" s="3">
        <f>$D892</f>
        <v/>
      </c>
      <c r="P892" s="3">
        <f>E892*$D892</f>
        <v/>
      </c>
      <c r="Q892" s="3">
        <f>F892*$D892</f>
        <v/>
      </c>
      <c r="R892" s="3">
        <f>G892*$D892</f>
        <v/>
      </c>
      <c r="S892" s="3">
        <f>H892*$D892</f>
        <v/>
      </c>
      <c r="T892" s="3">
        <f>I892*$D892</f>
        <v/>
      </c>
      <c r="U892" s="3">
        <f>J892*$D892</f>
        <v/>
      </c>
      <c r="V892" s="3">
        <f>K892*$D892</f>
        <v/>
      </c>
      <c r="W892" s="3">
        <f>L892*$D892</f>
        <v/>
      </c>
      <c r="X892" s="3">
        <f>M892*$D892</f>
        <v/>
      </c>
      <c r="Y892" s="3">
        <f>N892*$D892</f>
        <v/>
      </c>
      <c r="Z892" s="3">
        <f>C892*$D892</f>
        <v/>
      </c>
      <c r="AA892" s="9">
        <f>$L978+$K978*E892+$J978*F892+$I978*G892+$H978*H892+$G978*I892+$F978*J892+$E978*K892+$D978*L892+$C978*M892+$B978*N892</f>
        <v/>
      </c>
      <c r="AB892" s="9">
        <f>C892-AA892</f>
        <v/>
      </c>
      <c r="AC892" s="4">
        <f>AB892^2</f>
        <v/>
      </c>
    </row>
    <row r="893">
      <c r="A893" t="inlineStr">
        <is>
          <t>BBG000BW2QX0</t>
        </is>
      </c>
      <c r="B893" t="inlineStr">
        <is>
          <t>unm</t>
        </is>
      </c>
      <c r="C893" s="9" t="n">
        <v>-0.007151910435497122</v>
      </c>
      <c r="D893" s="3">
        <f>EXP(0.25*'3b-d Exposures'!G1096)</f>
        <v/>
      </c>
      <c r="E893" s="3">
        <f>IF('3b-d Exposures'!C1096="",0,'3b-d Exposures'!C1096)</f>
        <v/>
      </c>
      <c r="F893" s="3">
        <f>IF('3b-d Exposures'!E1096="",0,'3b-d Exposures'!E1096)</f>
        <v/>
      </c>
      <c r="G893" s="3">
        <f>IF('3b-d Exposures'!G1096="",0,'3b-d Exposures'!G1096)</f>
        <v/>
      </c>
      <c r="H893" s="3">
        <f>IF('3b-d Exposures'!I1096="",0,'3b-d Exposures'!I1096)</f>
        <v/>
      </c>
      <c r="I893" s="3">
        <f>IF('3b-d Exposures'!K1096="",0,'3b-d Exposures'!K1096)</f>
        <v/>
      </c>
      <c r="J893" s="3">
        <f>IF('3b-d Exposures'!M1096="",0,'3b-d Exposures'!M1096)</f>
        <v/>
      </c>
      <c r="K893" s="3">
        <f>IF('3b-d Exposures'!O1096="",0,'3b-d Exposures'!O1096)</f>
        <v/>
      </c>
      <c r="L893" s="3">
        <f>IF('3b-d Exposures'!Q1096="",0,'3b-d Exposures'!Q1096)</f>
        <v/>
      </c>
      <c r="M893" s="3">
        <f>IF('3b-d Exposures'!S1096="",0,'3b-d Exposures'!S1096)</f>
        <v/>
      </c>
      <c r="N893" s="3">
        <f>IF('3b-d Exposures'!Z1096="",0,'3b-d Exposures'!Z1096)</f>
        <v/>
      </c>
      <c r="O893" s="3">
        <f>$D893</f>
        <v/>
      </c>
      <c r="P893" s="3">
        <f>E893*$D893</f>
        <v/>
      </c>
      <c r="Q893" s="3">
        <f>F893*$D893</f>
        <v/>
      </c>
      <c r="R893" s="3">
        <f>G893*$D893</f>
        <v/>
      </c>
      <c r="S893" s="3">
        <f>H893*$D893</f>
        <v/>
      </c>
      <c r="T893" s="3">
        <f>I893*$D893</f>
        <v/>
      </c>
      <c r="U893" s="3">
        <f>J893*$D893</f>
        <v/>
      </c>
      <c r="V893" s="3">
        <f>K893*$D893</f>
        <v/>
      </c>
      <c r="W893" s="3">
        <f>L893*$D893</f>
        <v/>
      </c>
      <c r="X893" s="3">
        <f>M893*$D893</f>
        <v/>
      </c>
      <c r="Y893" s="3">
        <f>N893*$D893</f>
        <v/>
      </c>
      <c r="Z893" s="3">
        <f>C893*$D893</f>
        <v/>
      </c>
      <c r="AA893" s="9">
        <f>$L978+$K978*E893+$J978*F893+$I978*G893+$H978*H893+$G978*I893+$F978*J893+$E978*K893+$D978*L893+$C978*M893+$B978*N893</f>
        <v/>
      </c>
      <c r="AB893" s="9">
        <f>C893-AA893</f>
        <v/>
      </c>
      <c r="AC893" s="4">
        <f>AB893^2</f>
        <v/>
      </c>
    </row>
    <row r="894">
      <c r="A894" t="inlineStr">
        <is>
          <t>BBG000BW3299</t>
        </is>
      </c>
      <c r="B894" t="inlineStr">
        <is>
          <t>unp</t>
        </is>
      </c>
      <c r="C894" s="9" t="n">
        <v>-0.01585859372465037</v>
      </c>
      <c r="D894" s="3">
        <f>EXP(0.25*'3b-d Exposures'!G1097)</f>
        <v/>
      </c>
      <c r="E894" s="3">
        <f>IF('3b-d Exposures'!C1097="",0,'3b-d Exposures'!C1097)</f>
        <v/>
      </c>
      <c r="F894" s="3">
        <f>IF('3b-d Exposures'!E1097="",0,'3b-d Exposures'!E1097)</f>
        <v/>
      </c>
      <c r="G894" s="3">
        <f>IF('3b-d Exposures'!G1097="",0,'3b-d Exposures'!G1097)</f>
        <v/>
      </c>
      <c r="H894" s="3">
        <f>IF('3b-d Exposures'!I1097="",0,'3b-d Exposures'!I1097)</f>
        <v/>
      </c>
      <c r="I894" s="3">
        <f>IF('3b-d Exposures'!K1097="",0,'3b-d Exposures'!K1097)</f>
        <v/>
      </c>
      <c r="J894" s="3">
        <f>IF('3b-d Exposures'!M1097="",0,'3b-d Exposures'!M1097)</f>
        <v/>
      </c>
      <c r="K894" s="3">
        <f>IF('3b-d Exposures'!O1097="",0,'3b-d Exposures'!O1097)</f>
        <v/>
      </c>
      <c r="L894" s="3">
        <f>IF('3b-d Exposures'!Q1097="",0,'3b-d Exposures'!Q1097)</f>
        <v/>
      </c>
      <c r="M894" s="3">
        <f>IF('3b-d Exposures'!S1097="",0,'3b-d Exposures'!S1097)</f>
        <v/>
      </c>
      <c r="N894" s="3">
        <f>IF('3b-d Exposures'!Z1097="",0,'3b-d Exposures'!Z1097)</f>
        <v/>
      </c>
      <c r="O894" s="3">
        <f>$D894</f>
        <v/>
      </c>
      <c r="P894" s="3">
        <f>E894*$D894</f>
        <v/>
      </c>
      <c r="Q894" s="3">
        <f>F894*$D894</f>
        <v/>
      </c>
      <c r="R894" s="3">
        <f>G894*$D894</f>
        <v/>
      </c>
      <c r="S894" s="3">
        <f>H894*$D894</f>
        <v/>
      </c>
      <c r="T894" s="3">
        <f>I894*$D894</f>
        <v/>
      </c>
      <c r="U894" s="3">
        <f>J894*$D894</f>
        <v/>
      </c>
      <c r="V894" s="3">
        <f>K894*$D894</f>
        <v/>
      </c>
      <c r="W894" s="3">
        <f>L894*$D894</f>
        <v/>
      </c>
      <c r="X894" s="3">
        <f>M894*$D894</f>
        <v/>
      </c>
      <c r="Y894" s="3">
        <f>N894*$D894</f>
        <v/>
      </c>
      <c r="Z894" s="3">
        <f>C894*$D894</f>
        <v/>
      </c>
      <c r="AA894" s="9">
        <f>$L978+$K978*E894+$J978*F894+$I978*G894+$H978*H894+$G978*I894+$F978*J894+$E978*K894+$D978*L894+$C978*M894+$B978*N894</f>
        <v/>
      </c>
      <c r="AB894" s="9">
        <f>C894-AA894</f>
        <v/>
      </c>
      <c r="AC894" s="4">
        <f>AB894^2</f>
        <v/>
      </c>
    </row>
    <row r="895">
      <c r="A895" t="inlineStr">
        <is>
          <t>BBG000L9CV04</t>
        </is>
      </c>
      <c r="B895" t="inlineStr">
        <is>
          <t>ups</t>
        </is>
      </c>
      <c r="C895" s="9" t="n">
        <v>-0.01252574028323661</v>
      </c>
      <c r="D895" s="3">
        <f>EXP(0.25*'3b-d Exposures'!G1099)</f>
        <v/>
      </c>
      <c r="E895" s="3">
        <f>IF('3b-d Exposures'!C1099="",0,'3b-d Exposures'!C1099)</f>
        <v/>
      </c>
      <c r="F895" s="3">
        <f>IF('3b-d Exposures'!E1099="",0,'3b-d Exposures'!E1099)</f>
        <v/>
      </c>
      <c r="G895" s="3">
        <f>IF('3b-d Exposures'!G1099="",0,'3b-d Exposures'!G1099)</f>
        <v/>
      </c>
      <c r="H895" s="3">
        <f>IF('3b-d Exposures'!I1099="",0,'3b-d Exposures'!I1099)</f>
        <v/>
      </c>
      <c r="I895" s="3">
        <f>IF('3b-d Exposures'!K1099="",0,'3b-d Exposures'!K1099)</f>
        <v/>
      </c>
      <c r="J895" s="3">
        <f>IF('3b-d Exposures'!M1099="",0,'3b-d Exposures'!M1099)</f>
        <v/>
      </c>
      <c r="K895" s="3">
        <f>IF('3b-d Exposures'!O1099="",0,'3b-d Exposures'!O1099)</f>
        <v/>
      </c>
      <c r="L895" s="3">
        <f>IF('3b-d Exposures'!Q1099="",0,'3b-d Exposures'!Q1099)</f>
        <v/>
      </c>
      <c r="M895" s="3">
        <f>IF('3b-d Exposures'!S1099="",0,'3b-d Exposures'!S1099)</f>
        <v/>
      </c>
      <c r="N895" s="3">
        <f>IF('3b-d Exposures'!Z1099="",0,'3b-d Exposures'!Z1099)</f>
        <v/>
      </c>
      <c r="O895" s="3">
        <f>$D895</f>
        <v/>
      </c>
      <c r="P895" s="3">
        <f>E895*$D895</f>
        <v/>
      </c>
      <c r="Q895" s="3">
        <f>F895*$D895</f>
        <v/>
      </c>
      <c r="R895" s="3">
        <f>G895*$D895</f>
        <v/>
      </c>
      <c r="S895" s="3">
        <f>H895*$D895</f>
        <v/>
      </c>
      <c r="T895" s="3">
        <f>I895*$D895</f>
        <v/>
      </c>
      <c r="U895" s="3">
        <f>J895*$D895</f>
        <v/>
      </c>
      <c r="V895" s="3">
        <f>K895*$D895</f>
        <v/>
      </c>
      <c r="W895" s="3">
        <f>L895*$D895</f>
        <v/>
      </c>
      <c r="X895" s="3">
        <f>M895*$D895</f>
        <v/>
      </c>
      <c r="Y895" s="3">
        <f>N895*$D895</f>
        <v/>
      </c>
      <c r="Z895" s="3">
        <f>C895*$D895</f>
        <v/>
      </c>
      <c r="AA895" s="9">
        <f>$L978+$K978*E895+$J978*F895+$I978*G895+$H978*H895+$G978*I895+$F978*J895+$E978*K895+$D978*L895+$C978*M895+$B978*N895</f>
        <v/>
      </c>
      <c r="AB895" s="9">
        <f>C895-AA895</f>
        <v/>
      </c>
      <c r="AC895" s="4">
        <f>AB895^2</f>
        <v/>
      </c>
    </row>
    <row r="896">
      <c r="A896" t="inlineStr">
        <is>
          <t>BBG00PKCBY53</t>
        </is>
      </c>
      <c r="B896" t="inlineStr">
        <is>
          <t>upst</t>
        </is>
      </c>
      <c r="C896" s="9" t="n">
        <v>-0.1446884299202017</v>
      </c>
      <c r="D896" s="3">
        <f>EXP(0.25*'3b-d Exposures'!G1100)</f>
        <v/>
      </c>
      <c r="E896" s="3">
        <f>IF('3b-d Exposures'!C1100="",0,'3b-d Exposures'!C1100)</f>
        <v/>
      </c>
      <c r="F896" s="3">
        <f>IF('3b-d Exposures'!E1100="",0,'3b-d Exposures'!E1100)</f>
        <v/>
      </c>
      <c r="G896" s="3">
        <f>IF('3b-d Exposures'!G1100="",0,'3b-d Exposures'!G1100)</f>
        <v/>
      </c>
      <c r="H896" s="3">
        <f>IF('3b-d Exposures'!I1100="",0,'3b-d Exposures'!I1100)</f>
        <v/>
      </c>
      <c r="I896" s="3">
        <f>IF('3b-d Exposures'!K1100="",0,'3b-d Exposures'!K1100)</f>
        <v/>
      </c>
      <c r="J896" s="3">
        <f>IF('3b-d Exposures'!M1100="",0,'3b-d Exposures'!M1100)</f>
        <v/>
      </c>
      <c r="K896" s="3">
        <f>IF('3b-d Exposures'!O1100="",0,'3b-d Exposures'!O1100)</f>
        <v/>
      </c>
      <c r="L896" s="3">
        <f>IF('3b-d Exposures'!Q1100="",0,'3b-d Exposures'!Q1100)</f>
        <v/>
      </c>
      <c r="M896" s="3">
        <f>IF('3b-d Exposures'!S1100="",0,'3b-d Exposures'!S1100)</f>
        <v/>
      </c>
      <c r="N896" s="3">
        <f>IF('3b-d Exposures'!Z1100="",0,'3b-d Exposures'!Z1100)</f>
        <v/>
      </c>
      <c r="O896" s="3">
        <f>$D896</f>
        <v/>
      </c>
      <c r="P896" s="3">
        <f>E896*$D896</f>
        <v/>
      </c>
      <c r="Q896" s="3">
        <f>F896*$D896</f>
        <v/>
      </c>
      <c r="R896" s="3">
        <f>G896*$D896</f>
        <v/>
      </c>
      <c r="S896" s="3">
        <f>H896*$D896</f>
        <v/>
      </c>
      <c r="T896" s="3">
        <f>I896*$D896</f>
        <v/>
      </c>
      <c r="U896" s="3">
        <f>J896*$D896</f>
        <v/>
      </c>
      <c r="V896" s="3">
        <f>K896*$D896</f>
        <v/>
      </c>
      <c r="W896" s="3">
        <f>L896*$D896</f>
        <v/>
      </c>
      <c r="X896" s="3">
        <f>M896*$D896</f>
        <v/>
      </c>
      <c r="Y896" s="3">
        <f>N896*$D896</f>
        <v/>
      </c>
      <c r="Z896" s="3">
        <f>C896*$D896</f>
        <v/>
      </c>
      <c r="AA896" s="9">
        <f>$L978+$K978*E896+$J978*F896+$I978*G896+$H978*H896+$G978*I896+$F978*J896+$E978*K896+$D978*L896+$C978*M896+$B978*N896</f>
        <v/>
      </c>
      <c r="AB896" s="9">
        <f>C896-AA896</f>
        <v/>
      </c>
      <c r="AC896" s="4">
        <f>AB896^2</f>
        <v/>
      </c>
    </row>
    <row r="897">
      <c r="A897" t="inlineStr">
        <is>
          <t>BBG000BL79J3</t>
        </is>
      </c>
      <c r="B897" t="inlineStr">
        <is>
          <t>urbn</t>
        </is>
      </c>
      <c r="C897" s="9" t="n">
        <v>0.04760926978489666</v>
      </c>
      <c r="D897" s="3">
        <f>EXP(0.25*'3b-d Exposures'!G1101)</f>
        <v/>
      </c>
      <c r="E897" s="3">
        <f>IF('3b-d Exposures'!C1101="",0,'3b-d Exposures'!C1101)</f>
        <v/>
      </c>
      <c r="F897" s="3">
        <f>IF('3b-d Exposures'!E1101="",0,'3b-d Exposures'!E1101)</f>
        <v/>
      </c>
      <c r="G897" s="3">
        <f>IF('3b-d Exposures'!G1101="",0,'3b-d Exposures'!G1101)</f>
        <v/>
      </c>
      <c r="H897" s="3">
        <f>IF('3b-d Exposures'!I1101="",0,'3b-d Exposures'!I1101)</f>
        <v/>
      </c>
      <c r="I897" s="3">
        <f>IF('3b-d Exposures'!K1101="",0,'3b-d Exposures'!K1101)</f>
        <v/>
      </c>
      <c r="J897" s="3">
        <f>IF('3b-d Exposures'!M1101="",0,'3b-d Exposures'!M1101)</f>
        <v/>
      </c>
      <c r="K897" s="3">
        <f>IF('3b-d Exposures'!O1101="",0,'3b-d Exposures'!O1101)</f>
        <v/>
      </c>
      <c r="L897" s="3">
        <f>IF('3b-d Exposures'!Q1101="",0,'3b-d Exposures'!Q1101)</f>
        <v/>
      </c>
      <c r="M897" s="3">
        <f>IF('3b-d Exposures'!S1101="",0,'3b-d Exposures'!S1101)</f>
        <v/>
      </c>
      <c r="N897" s="3">
        <f>IF('3b-d Exposures'!Z1101="",0,'3b-d Exposures'!Z1101)</f>
        <v/>
      </c>
      <c r="O897" s="3">
        <f>$D897</f>
        <v/>
      </c>
      <c r="P897" s="3">
        <f>E897*$D897</f>
        <v/>
      </c>
      <c r="Q897" s="3">
        <f>F897*$D897</f>
        <v/>
      </c>
      <c r="R897" s="3">
        <f>G897*$D897</f>
        <v/>
      </c>
      <c r="S897" s="3">
        <f>H897*$D897</f>
        <v/>
      </c>
      <c r="T897" s="3">
        <f>I897*$D897</f>
        <v/>
      </c>
      <c r="U897" s="3">
        <f>J897*$D897</f>
        <v/>
      </c>
      <c r="V897" s="3">
        <f>K897*$D897</f>
        <v/>
      </c>
      <c r="W897" s="3">
        <f>L897*$D897</f>
        <v/>
      </c>
      <c r="X897" s="3">
        <f>M897*$D897</f>
        <v/>
      </c>
      <c r="Y897" s="3">
        <f>N897*$D897</f>
        <v/>
      </c>
      <c r="Z897" s="3">
        <f>C897*$D897</f>
        <v/>
      </c>
      <c r="AA897" s="9">
        <f>$L978+$K978*E897+$J978*F897+$I978*G897+$H978*H897+$G978*I897+$F978*J897+$E978*K897+$D978*L897+$C978*M897+$B978*N897</f>
        <v/>
      </c>
      <c r="AB897" s="9">
        <f>C897-AA897</f>
        <v/>
      </c>
      <c r="AC897" s="4">
        <f>AB897^2</f>
        <v/>
      </c>
    </row>
    <row r="898">
      <c r="A898" t="inlineStr">
        <is>
          <t>BBG000BXMFC3</t>
        </is>
      </c>
      <c r="B898" t="inlineStr">
        <is>
          <t>uri</t>
        </is>
      </c>
      <c r="C898" s="9" t="n">
        <v>-0.01033478625534634</v>
      </c>
      <c r="D898" s="3">
        <f>EXP(0.25*'3b-d Exposures'!G1102)</f>
        <v/>
      </c>
      <c r="E898" s="3">
        <f>IF('3b-d Exposures'!C1102="",0,'3b-d Exposures'!C1102)</f>
        <v/>
      </c>
      <c r="F898" s="3">
        <f>IF('3b-d Exposures'!E1102="",0,'3b-d Exposures'!E1102)</f>
        <v/>
      </c>
      <c r="G898" s="3">
        <f>IF('3b-d Exposures'!G1102="",0,'3b-d Exposures'!G1102)</f>
        <v/>
      </c>
      <c r="H898" s="3">
        <f>IF('3b-d Exposures'!I1102="",0,'3b-d Exposures'!I1102)</f>
        <v/>
      </c>
      <c r="I898" s="3">
        <f>IF('3b-d Exposures'!K1102="",0,'3b-d Exposures'!K1102)</f>
        <v/>
      </c>
      <c r="J898" s="3">
        <f>IF('3b-d Exposures'!M1102="",0,'3b-d Exposures'!M1102)</f>
        <v/>
      </c>
      <c r="K898" s="3">
        <f>IF('3b-d Exposures'!O1102="",0,'3b-d Exposures'!O1102)</f>
        <v/>
      </c>
      <c r="L898" s="3">
        <f>IF('3b-d Exposures'!Q1102="",0,'3b-d Exposures'!Q1102)</f>
        <v/>
      </c>
      <c r="M898" s="3">
        <f>IF('3b-d Exposures'!S1102="",0,'3b-d Exposures'!S1102)</f>
        <v/>
      </c>
      <c r="N898" s="3">
        <f>IF('3b-d Exposures'!Z1102="",0,'3b-d Exposures'!Z1102)</f>
        <v/>
      </c>
      <c r="O898" s="3">
        <f>$D898</f>
        <v/>
      </c>
      <c r="P898" s="3">
        <f>E898*$D898</f>
        <v/>
      </c>
      <c r="Q898" s="3">
        <f>F898*$D898</f>
        <v/>
      </c>
      <c r="R898" s="3">
        <f>G898*$D898</f>
        <v/>
      </c>
      <c r="S898" s="3">
        <f>H898*$D898</f>
        <v/>
      </c>
      <c r="T898" s="3">
        <f>I898*$D898</f>
        <v/>
      </c>
      <c r="U898" s="3">
        <f>J898*$D898</f>
        <v/>
      </c>
      <c r="V898" s="3">
        <f>K898*$D898</f>
        <v/>
      </c>
      <c r="W898" s="3">
        <f>L898*$D898</f>
        <v/>
      </c>
      <c r="X898" s="3">
        <f>M898*$D898</f>
        <v/>
      </c>
      <c r="Y898" s="3">
        <f>N898*$D898</f>
        <v/>
      </c>
      <c r="Z898" s="3">
        <f>C898*$D898</f>
        <v/>
      </c>
      <c r="AA898" s="9">
        <f>$L978+$K978*E898+$J978*F898+$I978*G898+$H978*H898+$G978*I898+$F978*J898+$E978*K898+$D978*L898+$C978*M898+$B978*N898</f>
        <v/>
      </c>
      <c r="AB898" s="9">
        <f>C898-AA898</f>
        <v/>
      </c>
      <c r="AC898" s="4">
        <f>AB898^2</f>
        <v/>
      </c>
    </row>
    <row r="899">
      <c r="A899" t="inlineStr">
        <is>
          <t>BBG000FFDM15</t>
        </is>
      </c>
      <c r="B899" t="inlineStr">
        <is>
          <t>usb</t>
        </is>
      </c>
      <c r="C899" s="9" t="n">
        <v>-0.009757954563143434</v>
      </c>
      <c r="D899" s="3">
        <f>EXP(0.25*'3b-d Exposures'!G1104)</f>
        <v/>
      </c>
      <c r="E899" s="3">
        <f>IF('3b-d Exposures'!C1104="",0,'3b-d Exposures'!C1104)</f>
        <v/>
      </c>
      <c r="F899" s="3">
        <f>IF('3b-d Exposures'!E1104="",0,'3b-d Exposures'!E1104)</f>
        <v/>
      </c>
      <c r="G899" s="3">
        <f>IF('3b-d Exposures'!G1104="",0,'3b-d Exposures'!G1104)</f>
        <v/>
      </c>
      <c r="H899" s="3">
        <f>IF('3b-d Exposures'!I1104="",0,'3b-d Exposures'!I1104)</f>
        <v/>
      </c>
      <c r="I899" s="3">
        <f>IF('3b-d Exposures'!K1104="",0,'3b-d Exposures'!K1104)</f>
        <v/>
      </c>
      <c r="J899" s="3">
        <f>IF('3b-d Exposures'!M1104="",0,'3b-d Exposures'!M1104)</f>
        <v/>
      </c>
      <c r="K899" s="3">
        <f>IF('3b-d Exposures'!O1104="",0,'3b-d Exposures'!O1104)</f>
        <v/>
      </c>
      <c r="L899" s="3">
        <f>IF('3b-d Exposures'!Q1104="",0,'3b-d Exposures'!Q1104)</f>
        <v/>
      </c>
      <c r="M899" s="3">
        <f>IF('3b-d Exposures'!S1104="",0,'3b-d Exposures'!S1104)</f>
        <v/>
      </c>
      <c r="N899" s="3">
        <f>IF('3b-d Exposures'!Z1104="",0,'3b-d Exposures'!Z1104)</f>
        <v/>
      </c>
      <c r="O899" s="3">
        <f>$D899</f>
        <v/>
      </c>
      <c r="P899" s="3">
        <f>E899*$D899</f>
        <v/>
      </c>
      <c r="Q899" s="3">
        <f>F899*$D899</f>
        <v/>
      </c>
      <c r="R899" s="3">
        <f>G899*$D899</f>
        <v/>
      </c>
      <c r="S899" s="3">
        <f>H899*$D899</f>
        <v/>
      </c>
      <c r="T899" s="3">
        <f>I899*$D899</f>
        <v/>
      </c>
      <c r="U899" s="3">
        <f>J899*$D899</f>
        <v/>
      </c>
      <c r="V899" s="3">
        <f>K899*$D899</f>
        <v/>
      </c>
      <c r="W899" s="3">
        <f>L899*$D899</f>
        <v/>
      </c>
      <c r="X899" s="3">
        <f>M899*$D899</f>
        <v/>
      </c>
      <c r="Y899" s="3">
        <f>N899*$D899</f>
        <v/>
      </c>
      <c r="Z899" s="3">
        <f>C899*$D899</f>
        <v/>
      </c>
      <c r="AA899" s="9">
        <f>$L978+$K978*E899+$J978*F899+$I978*G899+$H978*H899+$G978*I899+$F978*J899+$E978*K899+$D978*L899+$C978*M899+$B978*N899</f>
        <v/>
      </c>
      <c r="AB899" s="9">
        <f>C899-AA899</f>
        <v/>
      </c>
      <c r="AC899" s="4">
        <f>AB899^2</f>
        <v/>
      </c>
    </row>
    <row r="900">
      <c r="A900" t="inlineStr">
        <is>
          <t>BBG00C6H6D40</t>
        </is>
      </c>
      <c r="B900" t="inlineStr">
        <is>
          <t>usfd</t>
        </is>
      </c>
      <c r="C900" s="9" t="n">
        <v>-0.003153126012518714</v>
      </c>
      <c r="D900" s="3">
        <f>EXP(0.25*'3b-d Exposures'!G1105)</f>
        <v/>
      </c>
      <c r="E900" s="3">
        <f>IF('3b-d Exposures'!C1105="",0,'3b-d Exposures'!C1105)</f>
        <v/>
      </c>
      <c r="F900" s="3">
        <f>IF('3b-d Exposures'!E1105="",0,'3b-d Exposures'!E1105)</f>
        <v/>
      </c>
      <c r="G900" s="3">
        <f>IF('3b-d Exposures'!G1105="",0,'3b-d Exposures'!G1105)</f>
        <v/>
      </c>
      <c r="H900" s="3">
        <f>IF('3b-d Exposures'!I1105="",0,'3b-d Exposures'!I1105)</f>
        <v/>
      </c>
      <c r="I900" s="3">
        <f>IF('3b-d Exposures'!K1105="",0,'3b-d Exposures'!K1105)</f>
        <v/>
      </c>
      <c r="J900" s="3">
        <f>IF('3b-d Exposures'!M1105="",0,'3b-d Exposures'!M1105)</f>
        <v/>
      </c>
      <c r="K900" s="3">
        <f>IF('3b-d Exposures'!O1105="",0,'3b-d Exposures'!O1105)</f>
        <v/>
      </c>
      <c r="L900" s="3">
        <f>IF('3b-d Exposures'!Q1105="",0,'3b-d Exposures'!Q1105)</f>
        <v/>
      </c>
      <c r="M900" s="3">
        <f>IF('3b-d Exposures'!S1105="",0,'3b-d Exposures'!S1105)</f>
        <v/>
      </c>
      <c r="N900" s="3">
        <f>IF('3b-d Exposures'!Z1105="",0,'3b-d Exposures'!Z1105)</f>
        <v/>
      </c>
      <c r="O900" s="3">
        <f>$D900</f>
        <v/>
      </c>
      <c r="P900" s="3">
        <f>E900*$D900</f>
        <v/>
      </c>
      <c r="Q900" s="3">
        <f>F900*$D900</f>
        <v/>
      </c>
      <c r="R900" s="3">
        <f>G900*$D900</f>
        <v/>
      </c>
      <c r="S900" s="3">
        <f>H900*$D900</f>
        <v/>
      </c>
      <c r="T900" s="3">
        <f>I900*$D900</f>
        <v/>
      </c>
      <c r="U900" s="3">
        <f>J900*$D900</f>
        <v/>
      </c>
      <c r="V900" s="3">
        <f>K900*$D900</f>
        <v/>
      </c>
      <c r="W900" s="3">
        <f>L900*$D900</f>
        <v/>
      </c>
      <c r="X900" s="3">
        <f>M900*$D900</f>
        <v/>
      </c>
      <c r="Y900" s="3">
        <f>N900*$D900</f>
        <v/>
      </c>
      <c r="Z900" s="3">
        <f>C900*$D900</f>
        <v/>
      </c>
      <c r="AA900" s="9">
        <f>$L978+$K978*E900+$J978*F900+$I978*G900+$H978*H900+$G978*I900+$F978*J900+$E978*K900+$D978*L900+$C978*M900+$B978*N900</f>
        <v/>
      </c>
      <c r="AB900" s="9">
        <f>C900-AA900</f>
        <v/>
      </c>
      <c r="AC900" s="4">
        <f>AB900^2</f>
        <v/>
      </c>
    </row>
    <row r="901">
      <c r="A901" t="inlineStr">
        <is>
          <t>BBG000BV4XJ1</t>
        </is>
      </c>
      <c r="B901" t="inlineStr">
        <is>
          <t>uthr</t>
        </is>
      </c>
      <c r="C901" s="9" t="n">
        <v>-0.0009986642741776075</v>
      </c>
      <c r="D901" s="3">
        <f>EXP(0.25*'3b-d Exposures'!G1106)</f>
        <v/>
      </c>
      <c r="E901" s="3">
        <f>IF('3b-d Exposures'!C1106="",0,'3b-d Exposures'!C1106)</f>
        <v/>
      </c>
      <c r="F901" s="3">
        <f>IF('3b-d Exposures'!E1106="",0,'3b-d Exposures'!E1106)</f>
        <v/>
      </c>
      <c r="G901" s="3">
        <f>IF('3b-d Exposures'!G1106="",0,'3b-d Exposures'!G1106)</f>
        <v/>
      </c>
      <c r="H901" s="3">
        <f>IF('3b-d Exposures'!I1106="",0,'3b-d Exposures'!I1106)</f>
        <v/>
      </c>
      <c r="I901" s="3">
        <f>IF('3b-d Exposures'!K1106="",0,'3b-d Exposures'!K1106)</f>
        <v/>
      </c>
      <c r="J901" s="3">
        <f>IF('3b-d Exposures'!M1106="",0,'3b-d Exposures'!M1106)</f>
        <v/>
      </c>
      <c r="K901" s="3">
        <f>IF('3b-d Exposures'!O1106="",0,'3b-d Exposures'!O1106)</f>
        <v/>
      </c>
      <c r="L901" s="3">
        <f>IF('3b-d Exposures'!Q1106="",0,'3b-d Exposures'!Q1106)</f>
        <v/>
      </c>
      <c r="M901" s="3">
        <f>IF('3b-d Exposures'!S1106="",0,'3b-d Exposures'!S1106)</f>
        <v/>
      </c>
      <c r="N901" s="3">
        <f>IF('3b-d Exposures'!Z1106="",0,'3b-d Exposures'!Z1106)</f>
        <v/>
      </c>
      <c r="O901" s="3">
        <f>$D901</f>
        <v/>
      </c>
      <c r="P901" s="3">
        <f>E901*$D901</f>
        <v/>
      </c>
      <c r="Q901" s="3">
        <f>F901*$D901</f>
        <v/>
      </c>
      <c r="R901" s="3">
        <f>G901*$D901</f>
        <v/>
      </c>
      <c r="S901" s="3">
        <f>H901*$D901</f>
        <v/>
      </c>
      <c r="T901" s="3">
        <f>I901*$D901</f>
        <v/>
      </c>
      <c r="U901" s="3">
        <f>J901*$D901</f>
        <v/>
      </c>
      <c r="V901" s="3">
        <f>K901*$D901</f>
        <v/>
      </c>
      <c r="W901" s="3">
        <f>L901*$D901</f>
        <v/>
      </c>
      <c r="X901" s="3">
        <f>M901*$D901</f>
        <v/>
      </c>
      <c r="Y901" s="3">
        <f>N901*$D901</f>
        <v/>
      </c>
      <c r="Z901" s="3">
        <f>C901*$D901</f>
        <v/>
      </c>
      <c r="AA901" s="9">
        <f>$L978+$K978*E901+$J978*F901+$I978*G901+$H978*H901+$G978*I901+$F978*J901+$E978*K901+$D978*L901+$C978*M901+$B978*N901</f>
        <v/>
      </c>
      <c r="AB901" s="9">
        <f>C901-AA901</f>
        <v/>
      </c>
      <c r="AC901" s="4">
        <f>AB901^2</f>
        <v/>
      </c>
    </row>
    <row r="902">
      <c r="A902" t="inlineStr">
        <is>
          <t>BBG000PSKYX7</t>
        </is>
      </c>
      <c r="B902" t="inlineStr">
        <is>
          <t>v</t>
        </is>
      </c>
      <c r="C902" s="9" t="n">
        <v>0.004982925158174334</v>
      </c>
      <c r="D902" s="3">
        <f>EXP(0.25*'3b-d Exposures'!G1107)</f>
        <v/>
      </c>
      <c r="E902" s="3">
        <f>IF('3b-d Exposures'!C1107="",0,'3b-d Exposures'!C1107)</f>
        <v/>
      </c>
      <c r="F902" s="3">
        <f>IF('3b-d Exposures'!E1107="",0,'3b-d Exposures'!E1107)</f>
        <v/>
      </c>
      <c r="G902" s="3">
        <f>IF('3b-d Exposures'!G1107="",0,'3b-d Exposures'!G1107)</f>
        <v/>
      </c>
      <c r="H902" s="3">
        <f>IF('3b-d Exposures'!I1107="",0,'3b-d Exposures'!I1107)</f>
        <v/>
      </c>
      <c r="I902" s="3">
        <f>IF('3b-d Exposures'!K1107="",0,'3b-d Exposures'!K1107)</f>
        <v/>
      </c>
      <c r="J902" s="3">
        <f>IF('3b-d Exposures'!M1107="",0,'3b-d Exposures'!M1107)</f>
        <v/>
      </c>
      <c r="K902" s="3">
        <f>IF('3b-d Exposures'!O1107="",0,'3b-d Exposures'!O1107)</f>
        <v/>
      </c>
      <c r="L902" s="3">
        <f>IF('3b-d Exposures'!Q1107="",0,'3b-d Exposures'!Q1107)</f>
        <v/>
      </c>
      <c r="M902" s="3">
        <f>IF('3b-d Exposures'!S1107="",0,'3b-d Exposures'!S1107)</f>
        <v/>
      </c>
      <c r="N902" s="3">
        <f>IF('3b-d Exposures'!Z1107="",0,'3b-d Exposures'!Z1107)</f>
        <v/>
      </c>
      <c r="O902" s="3">
        <f>$D902</f>
        <v/>
      </c>
      <c r="P902" s="3">
        <f>E902*$D902</f>
        <v/>
      </c>
      <c r="Q902" s="3">
        <f>F902*$D902</f>
        <v/>
      </c>
      <c r="R902" s="3">
        <f>G902*$D902</f>
        <v/>
      </c>
      <c r="S902" s="3">
        <f>H902*$D902</f>
        <v/>
      </c>
      <c r="T902" s="3">
        <f>I902*$D902</f>
        <v/>
      </c>
      <c r="U902" s="3">
        <f>J902*$D902</f>
        <v/>
      </c>
      <c r="V902" s="3">
        <f>K902*$D902</f>
        <v/>
      </c>
      <c r="W902" s="3">
        <f>L902*$D902</f>
        <v/>
      </c>
      <c r="X902" s="3">
        <f>M902*$D902</f>
        <v/>
      </c>
      <c r="Y902" s="3">
        <f>N902*$D902</f>
        <v/>
      </c>
      <c r="Z902" s="3">
        <f>C902*$D902</f>
        <v/>
      </c>
      <c r="AA902" s="9">
        <f>$L978+$K978*E902+$J978*F902+$I978*G902+$H978*H902+$G978*I902+$F978*J902+$E978*K902+$D978*L902+$C978*M902+$B978*N902</f>
        <v/>
      </c>
      <c r="AB902" s="9">
        <f>C902-AA902</f>
        <v/>
      </c>
      <c r="AC902" s="4">
        <f>AB902^2</f>
        <v/>
      </c>
    </row>
    <row r="903">
      <c r="A903" t="inlineStr">
        <is>
          <t>BBG001J2R5H3</t>
        </is>
      </c>
      <c r="B903" t="inlineStr">
        <is>
          <t>vac</t>
        </is>
      </c>
      <c r="C903" s="9" t="n">
        <v>-0.01632253452501953</v>
      </c>
      <c r="D903" s="3">
        <f>EXP(0.25*'3b-d Exposures'!G1108)</f>
        <v/>
      </c>
      <c r="E903" s="3">
        <f>IF('3b-d Exposures'!C1108="",0,'3b-d Exposures'!C1108)</f>
        <v/>
      </c>
      <c r="F903" s="3">
        <f>IF('3b-d Exposures'!E1108="",0,'3b-d Exposures'!E1108)</f>
        <v/>
      </c>
      <c r="G903" s="3">
        <f>IF('3b-d Exposures'!G1108="",0,'3b-d Exposures'!G1108)</f>
        <v/>
      </c>
      <c r="H903" s="3">
        <f>IF('3b-d Exposures'!I1108="",0,'3b-d Exposures'!I1108)</f>
        <v/>
      </c>
      <c r="I903" s="3">
        <f>IF('3b-d Exposures'!K1108="",0,'3b-d Exposures'!K1108)</f>
        <v/>
      </c>
      <c r="J903" s="3">
        <f>IF('3b-d Exposures'!M1108="",0,'3b-d Exposures'!M1108)</f>
        <v/>
      </c>
      <c r="K903" s="3">
        <f>IF('3b-d Exposures'!O1108="",0,'3b-d Exposures'!O1108)</f>
        <v/>
      </c>
      <c r="L903" s="3">
        <f>IF('3b-d Exposures'!Q1108="",0,'3b-d Exposures'!Q1108)</f>
        <v/>
      </c>
      <c r="M903" s="3">
        <f>IF('3b-d Exposures'!S1108="",0,'3b-d Exposures'!S1108)</f>
        <v/>
      </c>
      <c r="N903" s="3">
        <f>IF('3b-d Exposures'!Z1108="",0,'3b-d Exposures'!Z1108)</f>
        <v/>
      </c>
      <c r="O903" s="3">
        <f>$D903</f>
        <v/>
      </c>
      <c r="P903" s="3">
        <f>E903*$D903</f>
        <v/>
      </c>
      <c r="Q903" s="3">
        <f>F903*$D903</f>
        <v/>
      </c>
      <c r="R903" s="3">
        <f>G903*$D903</f>
        <v/>
      </c>
      <c r="S903" s="3">
        <f>H903*$D903</f>
        <v/>
      </c>
      <c r="T903" s="3">
        <f>I903*$D903</f>
        <v/>
      </c>
      <c r="U903" s="3">
        <f>J903*$D903</f>
        <v/>
      </c>
      <c r="V903" s="3">
        <f>K903*$D903</f>
        <v/>
      </c>
      <c r="W903" s="3">
        <f>L903*$D903</f>
        <v/>
      </c>
      <c r="X903" s="3">
        <f>M903*$D903</f>
        <v/>
      </c>
      <c r="Y903" s="3">
        <f>N903*$D903</f>
        <v/>
      </c>
      <c r="Z903" s="3">
        <f>C903*$D903</f>
        <v/>
      </c>
      <c r="AA903" s="9">
        <f>$L978+$K978*E903+$J978*F903+$I978*G903+$H978*H903+$G978*I903+$F978*J903+$E978*K903+$D978*L903+$C978*M903+$B978*N903</f>
        <v/>
      </c>
      <c r="AB903" s="9">
        <f>C903-AA903</f>
        <v/>
      </c>
      <c r="AC903" s="4">
        <f>AB903^2</f>
        <v/>
      </c>
    </row>
    <row r="904">
      <c r="A904" t="inlineStr">
        <is>
          <t>BBG0016T3GQ0</t>
        </is>
      </c>
      <c r="B904" t="inlineStr">
        <is>
          <t>vc</t>
        </is>
      </c>
      <c r="C904" s="9" t="n">
        <v>0.02131300306573425</v>
      </c>
      <c r="D904" s="3">
        <f>EXP(0.25*'3b-d Exposures'!G1109)</f>
        <v/>
      </c>
      <c r="E904" s="3">
        <f>IF('3b-d Exposures'!C1109="",0,'3b-d Exposures'!C1109)</f>
        <v/>
      </c>
      <c r="F904" s="3">
        <f>IF('3b-d Exposures'!E1109="",0,'3b-d Exposures'!E1109)</f>
        <v/>
      </c>
      <c r="G904" s="3">
        <f>IF('3b-d Exposures'!G1109="",0,'3b-d Exposures'!G1109)</f>
        <v/>
      </c>
      <c r="H904" s="3">
        <f>IF('3b-d Exposures'!I1109="",0,'3b-d Exposures'!I1109)</f>
        <v/>
      </c>
      <c r="I904" s="3">
        <f>IF('3b-d Exposures'!K1109="",0,'3b-d Exposures'!K1109)</f>
        <v/>
      </c>
      <c r="J904" s="3">
        <f>IF('3b-d Exposures'!M1109="",0,'3b-d Exposures'!M1109)</f>
        <v/>
      </c>
      <c r="K904" s="3">
        <f>IF('3b-d Exposures'!O1109="",0,'3b-d Exposures'!O1109)</f>
        <v/>
      </c>
      <c r="L904" s="3">
        <f>IF('3b-d Exposures'!Q1109="",0,'3b-d Exposures'!Q1109)</f>
        <v/>
      </c>
      <c r="M904" s="3">
        <f>IF('3b-d Exposures'!S1109="",0,'3b-d Exposures'!S1109)</f>
        <v/>
      </c>
      <c r="N904" s="3">
        <f>IF('3b-d Exposures'!Z1109="",0,'3b-d Exposures'!Z1109)</f>
        <v/>
      </c>
      <c r="O904" s="3">
        <f>$D904</f>
        <v/>
      </c>
      <c r="P904" s="3">
        <f>E904*$D904</f>
        <v/>
      </c>
      <c r="Q904" s="3">
        <f>F904*$D904</f>
        <v/>
      </c>
      <c r="R904" s="3">
        <f>G904*$D904</f>
        <v/>
      </c>
      <c r="S904" s="3">
        <f>H904*$D904</f>
        <v/>
      </c>
      <c r="T904" s="3">
        <f>I904*$D904</f>
        <v/>
      </c>
      <c r="U904" s="3">
        <f>J904*$D904</f>
        <v/>
      </c>
      <c r="V904" s="3">
        <f>K904*$D904</f>
        <v/>
      </c>
      <c r="W904" s="3">
        <f>L904*$D904</f>
        <v/>
      </c>
      <c r="X904" s="3">
        <f>M904*$D904</f>
        <v/>
      </c>
      <c r="Y904" s="3">
        <f>N904*$D904</f>
        <v/>
      </c>
      <c r="Z904" s="3">
        <f>C904*$D904</f>
        <v/>
      </c>
      <c r="AA904" s="9">
        <f>$L978+$K978*E904+$J978*F904+$I978*G904+$H978*H904+$G978*I904+$F978*J904+$E978*K904+$D978*L904+$C978*M904+$B978*N904</f>
        <v/>
      </c>
      <c r="AB904" s="9">
        <f>C904-AA904</f>
        <v/>
      </c>
      <c r="AC904" s="4">
        <f>AB904^2</f>
        <v/>
      </c>
    </row>
    <row r="905">
      <c r="A905" t="inlineStr">
        <is>
          <t>BBG001CGB489</t>
        </is>
      </c>
      <c r="B905" t="inlineStr">
        <is>
          <t>veev</t>
        </is>
      </c>
      <c r="C905" s="9" t="n">
        <v>-0.001711649678303062</v>
      </c>
      <c r="D905" s="3">
        <f>EXP(0.25*'3b-d Exposures'!G1110)</f>
        <v/>
      </c>
      <c r="E905" s="3">
        <f>IF('3b-d Exposures'!C1110="",0,'3b-d Exposures'!C1110)</f>
        <v/>
      </c>
      <c r="F905" s="3">
        <f>IF('3b-d Exposures'!E1110="",0,'3b-d Exposures'!E1110)</f>
        <v/>
      </c>
      <c r="G905" s="3">
        <f>IF('3b-d Exposures'!G1110="",0,'3b-d Exposures'!G1110)</f>
        <v/>
      </c>
      <c r="H905" s="3">
        <f>IF('3b-d Exposures'!I1110="",0,'3b-d Exposures'!I1110)</f>
        <v/>
      </c>
      <c r="I905" s="3">
        <f>IF('3b-d Exposures'!K1110="",0,'3b-d Exposures'!K1110)</f>
        <v/>
      </c>
      <c r="J905" s="3">
        <f>IF('3b-d Exposures'!M1110="",0,'3b-d Exposures'!M1110)</f>
        <v/>
      </c>
      <c r="K905" s="3">
        <f>IF('3b-d Exposures'!O1110="",0,'3b-d Exposures'!O1110)</f>
        <v/>
      </c>
      <c r="L905" s="3">
        <f>IF('3b-d Exposures'!Q1110="",0,'3b-d Exposures'!Q1110)</f>
        <v/>
      </c>
      <c r="M905" s="3">
        <f>IF('3b-d Exposures'!S1110="",0,'3b-d Exposures'!S1110)</f>
        <v/>
      </c>
      <c r="N905" s="3">
        <f>IF('3b-d Exposures'!Z1110="",0,'3b-d Exposures'!Z1110)</f>
        <v/>
      </c>
      <c r="O905" s="3">
        <f>$D905</f>
        <v/>
      </c>
      <c r="P905" s="3">
        <f>E905*$D905</f>
        <v/>
      </c>
      <c r="Q905" s="3">
        <f>F905*$D905</f>
        <v/>
      </c>
      <c r="R905" s="3">
        <f>G905*$D905</f>
        <v/>
      </c>
      <c r="S905" s="3">
        <f>H905*$D905</f>
        <v/>
      </c>
      <c r="T905" s="3">
        <f>I905*$D905</f>
        <v/>
      </c>
      <c r="U905" s="3">
        <f>J905*$D905</f>
        <v/>
      </c>
      <c r="V905" s="3">
        <f>K905*$D905</f>
        <v/>
      </c>
      <c r="W905" s="3">
        <f>L905*$D905</f>
        <v/>
      </c>
      <c r="X905" s="3">
        <f>M905*$D905</f>
        <v/>
      </c>
      <c r="Y905" s="3">
        <f>N905*$D905</f>
        <v/>
      </c>
      <c r="Z905" s="3">
        <f>C905*$D905</f>
        <v/>
      </c>
      <c r="AA905" s="9">
        <f>$L978+$K978*E905+$J978*F905+$I978*G905+$H978*H905+$G978*I905+$F978*J905+$E978*K905+$D978*L905+$C978*M905+$B978*N905</f>
        <v/>
      </c>
      <c r="AB905" s="9">
        <f>C905-AA905</f>
        <v/>
      </c>
      <c r="AC905" s="4">
        <f>AB905^2</f>
        <v/>
      </c>
    </row>
    <row r="906">
      <c r="A906" t="inlineStr">
        <is>
          <t>BBG000BWCKB6</t>
        </is>
      </c>
      <c r="B906" t="inlineStr">
        <is>
          <t>vfc</t>
        </is>
      </c>
      <c r="C906" s="9" t="n">
        <v>0.03163628349294956</v>
      </c>
      <c r="D906" s="3">
        <f>EXP(0.25*'3b-d Exposures'!G1111)</f>
        <v/>
      </c>
      <c r="E906" s="3">
        <f>IF('3b-d Exposures'!C1111="",0,'3b-d Exposures'!C1111)</f>
        <v/>
      </c>
      <c r="F906" s="3">
        <f>IF('3b-d Exposures'!E1111="",0,'3b-d Exposures'!E1111)</f>
        <v/>
      </c>
      <c r="G906" s="3">
        <f>IF('3b-d Exposures'!G1111="",0,'3b-d Exposures'!G1111)</f>
        <v/>
      </c>
      <c r="H906" s="3">
        <f>IF('3b-d Exposures'!I1111="",0,'3b-d Exposures'!I1111)</f>
        <v/>
      </c>
      <c r="I906" s="3">
        <f>IF('3b-d Exposures'!K1111="",0,'3b-d Exposures'!K1111)</f>
        <v/>
      </c>
      <c r="J906" s="3">
        <f>IF('3b-d Exposures'!M1111="",0,'3b-d Exposures'!M1111)</f>
        <v/>
      </c>
      <c r="K906" s="3">
        <f>IF('3b-d Exposures'!O1111="",0,'3b-d Exposures'!O1111)</f>
        <v/>
      </c>
      <c r="L906" s="3">
        <f>IF('3b-d Exposures'!Q1111="",0,'3b-d Exposures'!Q1111)</f>
        <v/>
      </c>
      <c r="M906" s="3">
        <f>IF('3b-d Exposures'!S1111="",0,'3b-d Exposures'!S1111)</f>
        <v/>
      </c>
      <c r="N906" s="3">
        <f>IF('3b-d Exposures'!Z1111="",0,'3b-d Exposures'!Z1111)</f>
        <v/>
      </c>
      <c r="O906" s="3">
        <f>$D906</f>
        <v/>
      </c>
      <c r="P906" s="3">
        <f>E906*$D906</f>
        <v/>
      </c>
      <c r="Q906" s="3">
        <f>F906*$D906</f>
        <v/>
      </c>
      <c r="R906" s="3">
        <f>G906*$D906</f>
        <v/>
      </c>
      <c r="S906" s="3">
        <f>H906*$D906</f>
        <v/>
      </c>
      <c r="T906" s="3">
        <f>I906*$D906</f>
        <v/>
      </c>
      <c r="U906" s="3">
        <f>J906*$D906</f>
        <v/>
      </c>
      <c r="V906" s="3">
        <f>K906*$D906</f>
        <v/>
      </c>
      <c r="W906" s="3">
        <f>L906*$D906</f>
        <v/>
      </c>
      <c r="X906" s="3">
        <f>M906*$D906</f>
        <v/>
      </c>
      <c r="Y906" s="3">
        <f>N906*$D906</f>
        <v/>
      </c>
      <c r="Z906" s="3">
        <f>C906*$D906</f>
        <v/>
      </c>
      <c r="AA906" s="9">
        <f>$L978+$K978*E906+$J978*F906+$I978*G906+$H978*H906+$G978*I906+$F978*J906+$E978*K906+$D978*L906+$C978*M906+$B978*N906</f>
        <v/>
      </c>
      <c r="AB906" s="9">
        <f>C906-AA906</f>
        <v/>
      </c>
      <c r="AC906" s="4">
        <f>AB906^2</f>
        <v/>
      </c>
    </row>
    <row r="907">
      <c r="A907" t="inlineStr">
        <is>
          <t>BBG000BP7JB0</t>
        </is>
      </c>
      <c r="B907" t="inlineStr">
        <is>
          <t>viav</t>
        </is>
      </c>
      <c r="C907" s="9" t="n">
        <v>0.04325958987205514</v>
      </c>
      <c r="D907" s="3">
        <f>EXP(0.25*'3b-d Exposures'!G1113)</f>
        <v/>
      </c>
      <c r="E907" s="3">
        <f>IF('3b-d Exposures'!C1113="",0,'3b-d Exposures'!C1113)</f>
        <v/>
      </c>
      <c r="F907" s="3">
        <f>IF('3b-d Exposures'!E1113="",0,'3b-d Exposures'!E1113)</f>
        <v/>
      </c>
      <c r="G907" s="3">
        <f>IF('3b-d Exposures'!G1113="",0,'3b-d Exposures'!G1113)</f>
        <v/>
      </c>
      <c r="H907" s="3">
        <f>IF('3b-d Exposures'!I1113="",0,'3b-d Exposures'!I1113)</f>
        <v/>
      </c>
      <c r="I907" s="3">
        <f>IF('3b-d Exposures'!K1113="",0,'3b-d Exposures'!K1113)</f>
        <v/>
      </c>
      <c r="J907" s="3">
        <f>IF('3b-d Exposures'!M1113="",0,'3b-d Exposures'!M1113)</f>
        <v/>
      </c>
      <c r="K907" s="3">
        <f>IF('3b-d Exposures'!O1113="",0,'3b-d Exposures'!O1113)</f>
        <v/>
      </c>
      <c r="L907" s="3">
        <f>IF('3b-d Exposures'!Q1113="",0,'3b-d Exposures'!Q1113)</f>
        <v/>
      </c>
      <c r="M907" s="3">
        <f>IF('3b-d Exposures'!S1113="",0,'3b-d Exposures'!S1113)</f>
        <v/>
      </c>
      <c r="N907" s="3">
        <f>IF('3b-d Exposures'!Z1113="",0,'3b-d Exposures'!Z1113)</f>
        <v/>
      </c>
      <c r="O907" s="3">
        <f>$D907</f>
        <v/>
      </c>
      <c r="P907" s="3">
        <f>E907*$D907</f>
        <v/>
      </c>
      <c r="Q907" s="3">
        <f>F907*$D907</f>
        <v/>
      </c>
      <c r="R907" s="3">
        <f>G907*$D907</f>
        <v/>
      </c>
      <c r="S907" s="3">
        <f>H907*$D907</f>
        <v/>
      </c>
      <c r="T907" s="3">
        <f>I907*$D907</f>
        <v/>
      </c>
      <c r="U907" s="3">
        <f>J907*$D907</f>
        <v/>
      </c>
      <c r="V907" s="3">
        <f>K907*$D907</f>
        <v/>
      </c>
      <c r="W907" s="3">
        <f>L907*$D907</f>
        <v/>
      </c>
      <c r="X907" s="3">
        <f>M907*$D907</f>
        <v/>
      </c>
      <c r="Y907" s="3">
        <f>N907*$D907</f>
        <v/>
      </c>
      <c r="Z907" s="3">
        <f>C907*$D907</f>
        <v/>
      </c>
      <c r="AA907" s="9">
        <f>$L978+$K978*E907+$J978*F907+$I978*G907+$H978*H907+$G978*I907+$F978*J907+$E978*K907+$D978*L907+$C978*M907+$B978*N907</f>
        <v/>
      </c>
      <c r="AB907" s="9">
        <f>C907-AA907</f>
        <v/>
      </c>
      <c r="AC907" s="4">
        <f>AB907^2</f>
        <v/>
      </c>
    </row>
    <row r="908">
      <c r="A908" t="inlineStr">
        <is>
          <t>BBG00HVVB499</t>
        </is>
      </c>
      <c r="B908" t="inlineStr">
        <is>
          <t>vici</t>
        </is>
      </c>
      <c r="C908" s="9" t="n">
        <v>-0.0122660554176296</v>
      </c>
      <c r="D908" s="3">
        <f>EXP(0.25*'3b-d Exposures'!G1114)</f>
        <v/>
      </c>
      <c r="E908" s="3">
        <f>IF('3b-d Exposures'!C1114="",0,'3b-d Exposures'!C1114)</f>
        <v/>
      </c>
      <c r="F908" s="3">
        <f>IF('3b-d Exposures'!E1114="",0,'3b-d Exposures'!E1114)</f>
        <v/>
      </c>
      <c r="G908" s="3">
        <f>IF('3b-d Exposures'!G1114="",0,'3b-d Exposures'!G1114)</f>
        <v/>
      </c>
      <c r="H908" s="3">
        <f>IF('3b-d Exposures'!I1114="",0,'3b-d Exposures'!I1114)</f>
        <v/>
      </c>
      <c r="I908" s="3">
        <f>IF('3b-d Exposures'!K1114="",0,'3b-d Exposures'!K1114)</f>
        <v/>
      </c>
      <c r="J908" s="3">
        <f>IF('3b-d Exposures'!M1114="",0,'3b-d Exposures'!M1114)</f>
        <v/>
      </c>
      <c r="K908" s="3">
        <f>IF('3b-d Exposures'!O1114="",0,'3b-d Exposures'!O1114)</f>
        <v/>
      </c>
      <c r="L908" s="3">
        <f>IF('3b-d Exposures'!Q1114="",0,'3b-d Exposures'!Q1114)</f>
        <v/>
      </c>
      <c r="M908" s="3">
        <f>IF('3b-d Exposures'!S1114="",0,'3b-d Exposures'!S1114)</f>
        <v/>
      </c>
      <c r="N908" s="3">
        <f>IF('3b-d Exposures'!Z1114="",0,'3b-d Exposures'!Z1114)</f>
        <v/>
      </c>
      <c r="O908" s="3">
        <f>$D908</f>
        <v/>
      </c>
      <c r="P908" s="3">
        <f>E908*$D908</f>
        <v/>
      </c>
      <c r="Q908" s="3">
        <f>F908*$D908</f>
        <v/>
      </c>
      <c r="R908" s="3">
        <f>G908*$D908</f>
        <v/>
      </c>
      <c r="S908" s="3">
        <f>H908*$D908</f>
        <v/>
      </c>
      <c r="T908" s="3">
        <f>I908*$D908</f>
        <v/>
      </c>
      <c r="U908" s="3">
        <f>J908*$D908</f>
        <v/>
      </c>
      <c r="V908" s="3">
        <f>K908*$D908</f>
        <v/>
      </c>
      <c r="W908" s="3">
        <f>L908*$D908</f>
        <v/>
      </c>
      <c r="X908" s="3">
        <f>M908*$D908</f>
        <v/>
      </c>
      <c r="Y908" s="3">
        <f>N908*$D908</f>
        <v/>
      </c>
      <c r="Z908" s="3">
        <f>C908*$D908</f>
        <v/>
      </c>
      <c r="AA908" s="9">
        <f>$L978+$K978*E908+$J978*F908+$I978*G908+$H978*H908+$G978*I908+$F978*J908+$E978*K908+$D978*L908+$C978*M908+$B978*N908</f>
        <v/>
      </c>
      <c r="AB908" s="9">
        <f>C908-AA908</f>
        <v/>
      </c>
      <c r="AC908" s="4">
        <f>AB908^2</f>
        <v/>
      </c>
    </row>
    <row r="909">
      <c r="A909" t="inlineStr">
        <is>
          <t>BBG004LTL7L2</t>
        </is>
      </c>
      <c r="B909" t="inlineStr">
        <is>
          <t>visn</t>
        </is>
      </c>
      <c r="C909" s="9" t="n">
        <v>0.01886797864274525</v>
      </c>
      <c r="D909" s="3">
        <f>EXP(0.25*'3b-d Exposures'!G1116)</f>
        <v/>
      </c>
      <c r="E909" s="3">
        <f>IF('3b-d Exposures'!C1116="",0,'3b-d Exposures'!C1116)</f>
        <v/>
      </c>
      <c r="F909" s="3">
        <f>IF('3b-d Exposures'!E1116="",0,'3b-d Exposures'!E1116)</f>
        <v/>
      </c>
      <c r="G909" s="3">
        <f>IF('3b-d Exposures'!G1116="",0,'3b-d Exposures'!G1116)</f>
        <v/>
      </c>
      <c r="H909" s="3">
        <f>IF('3b-d Exposures'!I1116="",0,'3b-d Exposures'!I1116)</f>
        <v/>
      </c>
      <c r="I909" s="3">
        <f>IF('3b-d Exposures'!K1116="",0,'3b-d Exposures'!K1116)</f>
        <v/>
      </c>
      <c r="J909" s="3">
        <f>IF('3b-d Exposures'!M1116="",0,'3b-d Exposures'!M1116)</f>
        <v/>
      </c>
      <c r="K909" s="3">
        <f>IF('3b-d Exposures'!O1116="",0,'3b-d Exposures'!O1116)</f>
        <v/>
      </c>
      <c r="L909" s="3">
        <f>IF('3b-d Exposures'!Q1116="",0,'3b-d Exposures'!Q1116)</f>
        <v/>
      </c>
      <c r="M909" s="3">
        <f>IF('3b-d Exposures'!S1116="",0,'3b-d Exposures'!S1116)</f>
        <v/>
      </c>
      <c r="N909" s="3">
        <f>IF('3b-d Exposures'!Z1116="",0,'3b-d Exposures'!Z1116)</f>
        <v/>
      </c>
      <c r="O909" s="3">
        <f>$D909</f>
        <v/>
      </c>
      <c r="P909" s="3">
        <f>E909*$D909</f>
        <v/>
      </c>
      <c r="Q909" s="3">
        <f>F909*$D909</f>
        <v/>
      </c>
      <c r="R909" s="3">
        <f>G909*$D909</f>
        <v/>
      </c>
      <c r="S909" s="3">
        <f>H909*$D909</f>
        <v/>
      </c>
      <c r="T909" s="3">
        <f>I909*$D909</f>
        <v/>
      </c>
      <c r="U909" s="3">
        <f>J909*$D909</f>
        <v/>
      </c>
      <c r="V909" s="3">
        <f>K909*$D909</f>
        <v/>
      </c>
      <c r="W909" s="3">
        <f>L909*$D909</f>
        <v/>
      </c>
      <c r="X909" s="3">
        <f>M909*$D909</f>
        <v/>
      </c>
      <c r="Y909" s="3">
        <f>N909*$D909</f>
        <v/>
      </c>
      <c r="Z909" s="3">
        <f>C909*$D909</f>
        <v/>
      </c>
      <c r="AA909" s="9">
        <f>$L978+$K978*E909+$J978*F909+$I978*G909+$H978*H909+$G978*I909+$F978*J909+$E978*K909+$D978*L909+$C978*M909+$B978*N909</f>
        <v/>
      </c>
      <c r="AB909" s="9">
        <f>C909-AA909</f>
        <v/>
      </c>
      <c r="AC909" s="4">
        <f>AB909^2</f>
        <v/>
      </c>
    </row>
    <row r="910">
      <c r="A910" t="inlineStr">
        <is>
          <t>BBG006LGV869</t>
        </is>
      </c>
      <c r="B910" t="inlineStr">
        <is>
          <t>vktx</t>
        </is>
      </c>
      <c r="C910" s="9" t="n">
        <v>-0.02701171783662126</v>
      </c>
      <c r="D910" s="3">
        <f>EXP(0.25*'3b-d Exposures'!G1117)</f>
        <v/>
      </c>
      <c r="E910" s="3">
        <f>IF('3b-d Exposures'!C1117="",0,'3b-d Exposures'!C1117)</f>
        <v/>
      </c>
      <c r="F910" s="3">
        <f>IF('3b-d Exposures'!E1117="",0,'3b-d Exposures'!E1117)</f>
        <v/>
      </c>
      <c r="G910" s="3">
        <f>IF('3b-d Exposures'!G1117="",0,'3b-d Exposures'!G1117)</f>
        <v/>
      </c>
      <c r="H910" s="3">
        <f>IF('3b-d Exposures'!I1117="",0,'3b-d Exposures'!I1117)</f>
        <v/>
      </c>
      <c r="I910" s="3">
        <f>IF('3b-d Exposures'!K1117="",0,'3b-d Exposures'!K1117)</f>
        <v/>
      </c>
      <c r="J910" s="3">
        <f>IF('3b-d Exposures'!M1117="",0,'3b-d Exposures'!M1117)</f>
        <v/>
      </c>
      <c r="K910" s="3">
        <f>IF('3b-d Exposures'!O1117="",0,'3b-d Exposures'!O1117)</f>
        <v/>
      </c>
      <c r="L910" s="3">
        <f>IF('3b-d Exposures'!Q1117="",0,'3b-d Exposures'!Q1117)</f>
        <v/>
      </c>
      <c r="M910" s="3">
        <f>IF('3b-d Exposures'!S1117="",0,'3b-d Exposures'!S1117)</f>
        <v/>
      </c>
      <c r="N910" s="3">
        <f>IF('3b-d Exposures'!Z1117="",0,'3b-d Exposures'!Z1117)</f>
        <v/>
      </c>
      <c r="O910" s="3">
        <f>$D910</f>
        <v/>
      </c>
      <c r="P910" s="3">
        <f>E910*$D910</f>
        <v/>
      </c>
      <c r="Q910" s="3">
        <f>F910*$D910</f>
        <v/>
      </c>
      <c r="R910" s="3">
        <f>G910*$D910</f>
        <v/>
      </c>
      <c r="S910" s="3">
        <f>H910*$D910</f>
        <v/>
      </c>
      <c r="T910" s="3">
        <f>I910*$D910</f>
        <v/>
      </c>
      <c r="U910" s="3">
        <f>J910*$D910</f>
        <v/>
      </c>
      <c r="V910" s="3">
        <f>K910*$D910</f>
        <v/>
      </c>
      <c r="W910" s="3">
        <f>L910*$D910</f>
        <v/>
      </c>
      <c r="X910" s="3">
        <f>M910*$D910</f>
        <v/>
      </c>
      <c r="Y910" s="3">
        <f>N910*$D910</f>
        <v/>
      </c>
      <c r="Z910" s="3">
        <f>C910*$D910</f>
        <v/>
      </c>
      <c r="AA910" s="9">
        <f>$L978+$K978*E910+$J978*F910+$I978*G910+$H978*H910+$G978*I910+$F978*J910+$E978*K910+$D978*L910+$C978*M910+$B978*N910</f>
        <v/>
      </c>
      <c r="AB910" s="9">
        <f>C910-AA910</f>
        <v/>
      </c>
      <c r="AC910" s="4">
        <f>AB910^2</f>
        <v/>
      </c>
    </row>
    <row r="911">
      <c r="A911" t="inlineStr">
        <is>
          <t>BBG000BBGGQ1</t>
        </is>
      </c>
      <c r="B911" t="inlineStr">
        <is>
          <t>vlo</t>
        </is>
      </c>
      <c r="C911" s="9" t="n">
        <v>0.007621609761041981</v>
      </c>
      <c r="D911" s="3">
        <f>EXP(0.25*'3b-d Exposures'!G1118)</f>
        <v/>
      </c>
      <c r="E911" s="3">
        <f>IF('3b-d Exposures'!C1118="",0,'3b-d Exposures'!C1118)</f>
        <v/>
      </c>
      <c r="F911" s="3">
        <f>IF('3b-d Exposures'!E1118="",0,'3b-d Exposures'!E1118)</f>
        <v/>
      </c>
      <c r="G911" s="3">
        <f>IF('3b-d Exposures'!G1118="",0,'3b-d Exposures'!G1118)</f>
        <v/>
      </c>
      <c r="H911" s="3">
        <f>IF('3b-d Exposures'!I1118="",0,'3b-d Exposures'!I1118)</f>
        <v/>
      </c>
      <c r="I911" s="3">
        <f>IF('3b-d Exposures'!K1118="",0,'3b-d Exposures'!K1118)</f>
        <v/>
      </c>
      <c r="J911" s="3">
        <f>IF('3b-d Exposures'!M1118="",0,'3b-d Exposures'!M1118)</f>
        <v/>
      </c>
      <c r="K911" s="3">
        <f>IF('3b-d Exposures'!O1118="",0,'3b-d Exposures'!O1118)</f>
        <v/>
      </c>
      <c r="L911" s="3">
        <f>IF('3b-d Exposures'!Q1118="",0,'3b-d Exposures'!Q1118)</f>
        <v/>
      </c>
      <c r="M911" s="3">
        <f>IF('3b-d Exposures'!S1118="",0,'3b-d Exposures'!S1118)</f>
        <v/>
      </c>
      <c r="N911" s="3">
        <f>IF('3b-d Exposures'!Z1118="",0,'3b-d Exposures'!Z1118)</f>
        <v/>
      </c>
      <c r="O911" s="3">
        <f>$D911</f>
        <v/>
      </c>
      <c r="P911" s="3">
        <f>E911*$D911</f>
        <v/>
      </c>
      <c r="Q911" s="3">
        <f>F911*$D911</f>
        <v/>
      </c>
      <c r="R911" s="3">
        <f>G911*$D911</f>
        <v/>
      </c>
      <c r="S911" s="3">
        <f>H911*$D911</f>
        <v/>
      </c>
      <c r="T911" s="3">
        <f>I911*$D911</f>
        <v/>
      </c>
      <c r="U911" s="3">
        <f>J911*$D911</f>
        <v/>
      </c>
      <c r="V911" s="3">
        <f>K911*$D911</f>
        <v/>
      </c>
      <c r="W911" s="3">
        <f>L911*$D911</f>
        <v/>
      </c>
      <c r="X911" s="3">
        <f>M911*$D911</f>
        <v/>
      </c>
      <c r="Y911" s="3">
        <f>N911*$D911</f>
        <v/>
      </c>
      <c r="Z911" s="3">
        <f>C911*$D911</f>
        <v/>
      </c>
      <c r="AA911" s="9">
        <f>$L978+$K978*E911+$J978*F911+$I978*G911+$H978*H911+$G978*I911+$F978*J911+$E978*K911+$D978*L911+$C978*M911+$B978*N911</f>
        <v/>
      </c>
      <c r="AB911" s="9">
        <f>C911-AA911</f>
        <v/>
      </c>
      <c r="AC911" s="4">
        <f>AB911^2</f>
        <v/>
      </c>
    </row>
    <row r="912">
      <c r="A912" t="inlineStr">
        <is>
          <t>vlto</t>
        </is>
      </c>
      <c r="B912" t="inlineStr">
        <is>
          <t>vlto</t>
        </is>
      </c>
      <c r="C912" s="9" t="n">
        <v>-0.01441921186538009</v>
      </c>
      <c r="D912" s="3">
        <f>EXP(0.25*'3b-d Exposures'!G1120)</f>
        <v/>
      </c>
      <c r="E912" s="3">
        <f>IF('3b-d Exposures'!C1120="",0,'3b-d Exposures'!C1120)</f>
        <v/>
      </c>
      <c r="F912" s="3">
        <f>IF('3b-d Exposures'!E1120="",0,'3b-d Exposures'!E1120)</f>
        <v/>
      </c>
      <c r="G912" s="3">
        <f>IF('3b-d Exposures'!G1120="",0,'3b-d Exposures'!G1120)</f>
        <v/>
      </c>
      <c r="H912" s="3">
        <f>IF('3b-d Exposures'!I1120="",0,'3b-d Exposures'!I1120)</f>
        <v/>
      </c>
      <c r="I912" s="3">
        <f>IF('3b-d Exposures'!K1120="",0,'3b-d Exposures'!K1120)</f>
        <v/>
      </c>
      <c r="J912" s="3">
        <f>IF('3b-d Exposures'!M1120="",0,'3b-d Exposures'!M1120)</f>
        <v/>
      </c>
      <c r="K912" s="3">
        <f>IF('3b-d Exposures'!O1120="",0,'3b-d Exposures'!O1120)</f>
        <v/>
      </c>
      <c r="L912" s="3">
        <f>IF('3b-d Exposures'!Q1120="",0,'3b-d Exposures'!Q1120)</f>
        <v/>
      </c>
      <c r="M912" s="3">
        <f>IF('3b-d Exposures'!S1120="",0,'3b-d Exposures'!S1120)</f>
        <v/>
      </c>
      <c r="N912" s="3">
        <f>IF('3b-d Exposures'!Z1120="",0,'3b-d Exposures'!Z1120)</f>
        <v/>
      </c>
      <c r="O912" s="3">
        <f>$D912</f>
        <v/>
      </c>
      <c r="P912" s="3">
        <f>E912*$D912</f>
        <v/>
      </c>
      <c r="Q912" s="3">
        <f>F912*$D912</f>
        <v/>
      </c>
      <c r="R912" s="3">
        <f>G912*$D912</f>
        <v/>
      </c>
      <c r="S912" s="3">
        <f>H912*$D912</f>
        <v/>
      </c>
      <c r="T912" s="3">
        <f>I912*$D912</f>
        <v/>
      </c>
      <c r="U912" s="3">
        <f>J912*$D912</f>
        <v/>
      </c>
      <c r="V912" s="3">
        <f>K912*$D912</f>
        <v/>
      </c>
      <c r="W912" s="3">
        <f>L912*$D912</f>
        <v/>
      </c>
      <c r="X912" s="3">
        <f>M912*$D912</f>
        <v/>
      </c>
      <c r="Y912" s="3">
        <f>N912*$D912</f>
        <v/>
      </c>
      <c r="Z912" s="3">
        <f>C912*$D912</f>
        <v/>
      </c>
      <c r="AA912" s="9">
        <f>$L978+$K978*E912+$J978*F912+$I978*G912+$H978*H912+$G978*I912+$F978*J912+$E978*K912+$D978*L912+$C978*M912+$B978*N912</f>
        <v/>
      </c>
      <c r="AB912" s="9">
        <f>C912-AA912</f>
        <v/>
      </c>
      <c r="AC912" s="4">
        <f>AB912^2</f>
        <v/>
      </c>
    </row>
    <row r="913">
      <c r="A913" t="inlineStr">
        <is>
          <t>BBG000D4YTR6</t>
        </is>
      </c>
      <c r="B913" t="inlineStr">
        <is>
          <t>vly</t>
        </is>
      </c>
      <c r="C913" s="9" t="n">
        <v>-0.008458652141870027</v>
      </c>
      <c r="D913" s="3">
        <f>EXP(0.25*'3b-d Exposures'!G1121)</f>
        <v/>
      </c>
      <c r="E913" s="3">
        <f>IF('3b-d Exposures'!C1121="",0,'3b-d Exposures'!C1121)</f>
        <v/>
      </c>
      <c r="F913" s="3">
        <f>IF('3b-d Exposures'!E1121="",0,'3b-d Exposures'!E1121)</f>
        <v/>
      </c>
      <c r="G913" s="3">
        <f>IF('3b-d Exposures'!G1121="",0,'3b-d Exposures'!G1121)</f>
        <v/>
      </c>
      <c r="H913" s="3">
        <f>IF('3b-d Exposures'!I1121="",0,'3b-d Exposures'!I1121)</f>
        <v/>
      </c>
      <c r="I913" s="3">
        <f>IF('3b-d Exposures'!K1121="",0,'3b-d Exposures'!K1121)</f>
        <v/>
      </c>
      <c r="J913" s="3">
        <f>IF('3b-d Exposures'!M1121="",0,'3b-d Exposures'!M1121)</f>
        <v/>
      </c>
      <c r="K913" s="3">
        <f>IF('3b-d Exposures'!O1121="",0,'3b-d Exposures'!O1121)</f>
        <v/>
      </c>
      <c r="L913" s="3">
        <f>IF('3b-d Exposures'!Q1121="",0,'3b-d Exposures'!Q1121)</f>
        <v/>
      </c>
      <c r="M913" s="3">
        <f>IF('3b-d Exposures'!S1121="",0,'3b-d Exposures'!S1121)</f>
        <v/>
      </c>
      <c r="N913" s="3">
        <f>IF('3b-d Exposures'!Z1121="",0,'3b-d Exposures'!Z1121)</f>
        <v/>
      </c>
      <c r="O913" s="3">
        <f>$D913</f>
        <v/>
      </c>
      <c r="P913" s="3">
        <f>E913*$D913</f>
        <v/>
      </c>
      <c r="Q913" s="3">
        <f>F913*$D913</f>
        <v/>
      </c>
      <c r="R913" s="3">
        <f>G913*$D913</f>
        <v/>
      </c>
      <c r="S913" s="3">
        <f>H913*$D913</f>
        <v/>
      </c>
      <c r="T913" s="3">
        <f>I913*$D913</f>
        <v/>
      </c>
      <c r="U913" s="3">
        <f>J913*$D913</f>
        <v/>
      </c>
      <c r="V913" s="3">
        <f>K913*$D913</f>
        <v/>
      </c>
      <c r="W913" s="3">
        <f>L913*$D913</f>
        <v/>
      </c>
      <c r="X913" s="3">
        <f>M913*$D913</f>
        <v/>
      </c>
      <c r="Y913" s="3">
        <f>N913*$D913</f>
        <v/>
      </c>
      <c r="Z913" s="3">
        <f>C913*$D913</f>
        <v/>
      </c>
      <c r="AA913" s="9">
        <f>$L978+$K978*E913+$J978*F913+$I978*G913+$H978*H913+$G978*I913+$F978*J913+$E978*K913+$D978*L913+$C978*M913+$B978*N913</f>
        <v/>
      </c>
      <c r="AB913" s="9">
        <f>C913-AA913</f>
        <v/>
      </c>
      <c r="AC913" s="4">
        <f>AB913^2</f>
        <v/>
      </c>
    </row>
    <row r="914">
      <c r="A914" t="inlineStr">
        <is>
          <t>BBG000BWGYF8</t>
        </is>
      </c>
      <c r="B914" t="inlineStr">
        <is>
          <t>vmc</t>
        </is>
      </c>
      <c r="C914" s="9" t="n">
        <v>-0.00374822012566689</v>
      </c>
      <c r="D914" s="3">
        <f>EXP(0.25*'3b-d Exposures'!G1122)</f>
        <v/>
      </c>
      <c r="E914" s="3">
        <f>IF('3b-d Exposures'!C1122="",0,'3b-d Exposures'!C1122)</f>
        <v/>
      </c>
      <c r="F914" s="3">
        <f>IF('3b-d Exposures'!E1122="",0,'3b-d Exposures'!E1122)</f>
        <v/>
      </c>
      <c r="G914" s="3">
        <f>IF('3b-d Exposures'!G1122="",0,'3b-d Exposures'!G1122)</f>
        <v/>
      </c>
      <c r="H914" s="3">
        <f>IF('3b-d Exposures'!I1122="",0,'3b-d Exposures'!I1122)</f>
        <v/>
      </c>
      <c r="I914" s="3">
        <f>IF('3b-d Exposures'!K1122="",0,'3b-d Exposures'!K1122)</f>
        <v/>
      </c>
      <c r="J914" s="3">
        <f>IF('3b-d Exposures'!M1122="",0,'3b-d Exposures'!M1122)</f>
        <v/>
      </c>
      <c r="K914" s="3">
        <f>IF('3b-d Exposures'!O1122="",0,'3b-d Exposures'!O1122)</f>
        <v/>
      </c>
      <c r="L914" s="3">
        <f>IF('3b-d Exposures'!Q1122="",0,'3b-d Exposures'!Q1122)</f>
        <v/>
      </c>
      <c r="M914" s="3">
        <f>IF('3b-d Exposures'!S1122="",0,'3b-d Exposures'!S1122)</f>
        <v/>
      </c>
      <c r="N914" s="3">
        <f>IF('3b-d Exposures'!Z1122="",0,'3b-d Exposures'!Z1122)</f>
        <v/>
      </c>
      <c r="O914" s="3">
        <f>$D914</f>
        <v/>
      </c>
      <c r="P914" s="3">
        <f>E914*$D914</f>
        <v/>
      </c>
      <c r="Q914" s="3">
        <f>F914*$D914</f>
        <v/>
      </c>
      <c r="R914" s="3">
        <f>G914*$D914</f>
        <v/>
      </c>
      <c r="S914" s="3">
        <f>H914*$D914</f>
        <v/>
      </c>
      <c r="T914" s="3">
        <f>I914*$D914</f>
        <v/>
      </c>
      <c r="U914" s="3">
        <f>J914*$D914</f>
        <v/>
      </c>
      <c r="V914" s="3">
        <f>K914*$D914</f>
        <v/>
      </c>
      <c r="W914" s="3">
        <f>L914*$D914</f>
        <v/>
      </c>
      <c r="X914" s="3">
        <f>M914*$D914</f>
        <v/>
      </c>
      <c r="Y914" s="3">
        <f>N914*$D914</f>
        <v/>
      </c>
      <c r="Z914" s="3">
        <f>C914*$D914</f>
        <v/>
      </c>
      <c r="AA914" s="9">
        <f>$L978+$K978*E914+$J978*F914+$I978*G914+$H978*H914+$G978*I914+$F978*J914+$E978*K914+$D978*L914+$C978*M914+$B978*N914</f>
        <v/>
      </c>
      <c r="AB914" s="9">
        <f>C914-AA914</f>
        <v/>
      </c>
      <c r="AC914" s="4">
        <f>AB914^2</f>
        <v/>
      </c>
    </row>
    <row r="915">
      <c r="A915" t="inlineStr">
        <is>
          <t>BBG001M32Y18</t>
        </is>
      </c>
      <c r="B915" t="inlineStr">
        <is>
          <t>vnet</t>
        </is>
      </c>
      <c r="C915" s="9" t="n">
        <v>0.09020615832713741</v>
      </c>
      <c r="D915" s="3">
        <f>EXP(0.25*'3b-d Exposures'!G1123)</f>
        <v/>
      </c>
      <c r="E915" s="3">
        <f>IF('3b-d Exposures'!C1123="",0,'3b-d Exposures'!C1123)</f>
        <v/>
      </c>
      <c r="F915" s="3">
        <f>IF('3b-d Exposures'!E1123="",0,'3b-d Exposures'!E1123)</f>
        <v/>
      </c>
      <c r="G915" s="3">
        <f>IF('3b-d Exposures'!G1123="",0,'3b-d Exposures'!G1123)</f>
        <v/>
      </c>
      <c r="H915" s="3">
        <f>IF('3b-d Exposures'!I1123="",0,'3b-d Exposures'!I1123)</f>
        <v/>
      </c>
      <c r="I915" s="3">
        <f>IF('3b-d Exposures'!K1123="",0,'3b-d Exposures'!K1123)</f>
        <v/>
      </c>
      <c r="J915" s="3">
        <f>IF('3b-d Exposures'!M1123="",0,'3b-d Exposures'!M1123)</f>
        <v/>
      </c>
      <c r="K915" s="3">
        <f>IF('3b-d Exposures'!O1123="",0,'3b-d Exposures'!O1123)</f>
        <v/>
      </c>
      <c r="L915" s="3">
        <f>IF('3b-d Exposures'!Q1123="",0,'3b-d Exposures'!Q1123)</f>
        <v/>
      </c>
      <c r="M915" s="3">
        <f>IF('3b-d Exposures'!S1123="",0,'3b-d Exposures'!S1123)</f>
        <v/>
      </c>
      <c r="N915" s="3">
        <f>IF('3b-d Exposures'!Z1123="",0,'3b-d Exposures'!Z1123)</f>
        <v/>
      </c>
      <c r="O915" s="3">
        <f>$D915</f>
        <v/>
      </c>
      <c r="P915" s="3">
        <f>E915*$D915</f>
        <v/>
      </c>
      <c r="Q915" s="3">
        <f>F915*$D915</f>
        <v/>
      </c>
      <c r="R915" s="3">
        <f>G915*$D915</f>
        <v/>
      </c>
      <c r="S915" s="3">
        <f>H915*$D915</f>
        <v/>
      </c>
      <c r="T915" s="3">
        <f>I915*$D915</f>
        <v/>
      </c>
      <c r="U915" s="3">
        <f>J915*$D915</f>
        <v/>
      </c>
      <c r="V915" s="3">
        <f>K915*$D915</f>
        <v/>
      </c>
      <c r="W915" s="3">
        <f>L915*$D915</f>
        <v/>
      </c>
      <c r="X915" s="3">
        <f>M915*$D915</f>
        <v/>
      </c>
      <c r="Y915" s="3">
        <f>N915*$D915</f>
        <v/>
      </c>
      <c r="Z915" s="3">
        <f>C915*$D915</f>
        <v/>
      </c>
      <c r="AA915" s="9">
        <f>$L978+$K978*E915+$J978*F915+$I978*G915+$H978*H915+$G978*I915+$F978*J915+$E978*K915+$D978*L915+$C978*M915+$B978*N915</f>
        <v/>
      </c>
      <c r="AB915" s="9">
        <f>C915-AA915</f>
        <v/>
      </c>
      <c r="AC915" s="4">
        <f>AB915^2</f>
        <v/>
      </c>
    </row>
    <row r="916">
      <c r="A916" t="inlineStr">
        <is>
          <t>BBG000BWHD54</t>
        </is>
      </c>
      <c r="B916" t="inlineStr">
        <is>
          <t>vno</t>
        </is>
      </c>
      <c r="C916" s="9" t="n">
        <v>-0.007433206728170605</v>
      </c>
      <c r="D916" s="3">
        <f>EXP(0.25*'3b-d Exposures'!G1124)</f>
        <v/>
      </c>
      <c r="E916" s="3">
        <f>IF('3b-d Exposures'!C1124="",0,'3b-d Exposures'!C1124)</f>
        <v/>
      </c>
      <c r="F916" s="3">
        <f>IF('3b-d Exposures'!E1124="",0,'3b-d Exposures'!E1124)</f>
        <v/>
      </c>
      <c r="G916" s="3">
        <f>IF('3b-d Exposures'!G1124="",0,'3b-d Exposures'!G1124)</f>
        <v/>
      </c>
      <c r="H916" s="3">
        <f>IF('3b-d Exposures'!I1124="",0,'3b-d Exposures'!I1124)</f>
        <v/>
      </c>
      <c r="I916" s="3">
        <f>IF('3b-d Exposures'!K1124="",0,'3b-d Exposures'!K1124)</f>
        <v/>
      </c>
      <c r="J916" s="3">
        <f>IF('3b-d Exposures'!M1124="",0,'3b-d Exposures'!M1124)</f>
        <v/>
      </c>
      <c r="K916" s="3">
        <f>IF('3b-d Exposures'!O1124="",0,'3b-d Exposures'!O1124)</f>
        <v/>
      </c>
      <c r="L916" s="3">
        <f>IF('3b-d Exposures'!Q1124="",0,'3b-d Exposures'!Q1124)</f>
        <v/>
      </c>
      <c r="M916" s="3">
        <f>IF('3b-d Exposures'!S1124="",0,'3b-d Exposures'!S1124)</f>
        <v/>
      </c>
      <c r="N916" s="3">
        <f>IF('3b-d Exposures'!Z1124="",0,'3b-d Exposures'!Z1124)</f>
        <v/>
      </c>
      <c r="O916" s="3">
        <f>$D916</f>
        <v/>
      </c>
      <c r="P916" s="3">
        <f>E916*$D916</f>
        <v/>
      </c>
      <c r="Q916" s="3">
        <f>F916*$D916</f>
        <v/>
      </c>
      <c r="R916" s="3">
        <f>G916*$D916</f>
        <v/>
      </c>
      <c r="S916" s="3">
        <f>H916*$D916</f>
        <v/>
      </c>
      <c r="T916" s="3">
        <f>I916*$D916</f>
        <v/>
      </c>
      <c r="U916" s="3">
        <f>J916*$D916</f>
        <v/>
      </c>
      <c r="V916" s="3">
        <f>K916*$D916</f>
        <v/>
      </c>
      <c r="W916" s="3">
        <f>L916*$D916</f>
        <v/>
      </c>
      <c r="X916" s="3">
        <f>M916*$D916</f>
        <v/>
      </c>
      <c r="Y916" s="3">
        <f>N916*$D916</f>
        <v/>
      </c>
      <c r="Z916" s="3">
        <f>C916*$D916</f>
        <v/>
      </c>
      <c r="AA916" s="9">
        <f>$L978+$K978*E916+$J978*F916+$I978*G916+$H978*H916+$G978*I916+$F978*J916+$E978*K916+$D978*L916+$C978*M916+$B978*N916</f>
        <v/>
      </c>
      <c r="AB916" s="9">
        <f>C916-AA916</f>
        <v/>
      </c>
      <c r="AC916" s="4">
        <f>AB916^2</f>
        <v/>
      </c>
    </row>
    <row r="917">
      <c r="A917" t="inlineStr">
        <is>
          <t>BBG000BCWKD6</t>
        </is>
      </c>
      <c r="B917" t="inlineStr">
        <is>
          <t>voya</t>
        </is>
      </c>
      <c r="C917" s="9" t="n">
        <v>-0.0006025543375746123</v>
      </c>
      <c r="D917" s="3">
        <f>EXP(0.25*'3b-d Exposures'!G1126)</f>
        <v/>
      </c>
      <c r="E917" s="3">
        <f>IF('3b-d Exposures'!C1126="",0,'3b-d Exposures'!C1126)</f>
        <v/>
      </c>
      <c r="F917" s="3">
        <f>IF('3b-d Exposures'!E1126="",0,'3b-d Exposures'!E1126)</f>
        <v/>
      </c>
      <c r="G917" s="3">
        <f>IF('3b-d Exposures'!G1126="",0,'3b-d Exposures'!G1126)</f>
        <v/>
      </c>
      <c r="H917" s="3">
        <f>IF('3b-d Exposures'!I1126="",0,'3b-d Exposures'!I1126)</f>
        <v/>
      </c>
      <c r="I917" s="3">
        <f>IF('3b-d Exposures'!K1126="",0,'3b-d Exposures'!K1126)</f>
        <v/>
      </c>
      <c r="J917" s="3">
        <f>IF('3b-d Exposures'!M1126="",0,'3b-d Exposures'!M1126)</f>
        <v/>
      </c>
      <c r="K917" s="3">
        <f>IF('3b-d Exposures'!O1126="",0,'3b-d Exposures'!O1126)</f>
        <v/>
      </c>
      <c r="L917" s="3">
        <f>IF('3b-d Exposures'!Q1126="",0,'3b-d Exposures'!Q1126)</f>
        <v/>
      </c>
      <c r="M917" s="3">
        <f>IF('3b-d Exposures'!S1126="",0,'3b-d Exposures'!S1126)</f>
        <v/>
      </c>
      <c r="N917" s="3">
        <f>IF('3b-d Exposures'!Z1126="",0,'3b-d Exposures'!Z1126)</f>
        <v/>
      </c>
      <c r="O917" s="3">
        <f>$D917</f>
        <v/>
      </c>
      <c r="P917" s="3">
        <f>E917*$D917</f>
        <v/>
      </c>
      <c r="Q917" s="3">
        <f>F917*$D917</f>
        <v/>
      </c>
      <c r="R917" s="3">
        <f>G917*$D917</f>
        <v/>
      </c>
      <c r="S917" s="3">
        <f>H917*$D917</f>
        <v/>
      </c>
      <c r="T917" s="3">
        <f>I917*$D917</f>
        <v/>
      </c>
      <c r="U917" s="3">
        <f>J917*$D917</f>
        <v/>
      </c>
      <c r="V917" s="3">
        <f>K917*$D917</f>
        <v/>
      </c>
      <c r="W917" s="3">
        <f>L917*$D917</f>
        <v/>
      </c>
      <c r="X917" s="3">
        <f>M917*$D917</f>
        <v/>
      </c>
      <c r="Y917" s="3">
        <f>N917*$D917</f>
        <v/>
      </c>
      <c r="Z917" s="3">
        <f>C917*$D917</f>
        <v/>
      </c>
      <c r="AA917" s="9">
        <f>$L978+$K978*E917+$J978*F917+$I978*G917+$H978*H917+$G978*I917+$F978*J917+$E978*K917+$D978*L917+$C978*M917+$B978*N917</f>
        <v/>
      </c>
      <c r="AB917" s="9">
        <f>C917-AA917</f>
        <v/>
      </c>
      <c r="AC917" s="4">
        <f>AB917^2</f>
        <v/>
      </c>
    </row>
    <row r="918">
      <c r="A918" t="inlineStr">
        <is>
          <t>BBG001Y04TN6</t>
        </is>
      </c>
      <c r="B918" t="inlineStr">
        <is>
          <t>vrns</t>
        </is>
      </c>
      <c r="C918" s="9" t="n">
        <v>0.00540433272040608</v>
      </c>
      <c r="D918" s="3">
        <f>EXP(0.25*'3b-d Exposures'!G1128)</f>
        <v/>
      </c>
      <c r="E918" s="3">
        <f>IF('3b-d Exposures'!C1128="",0,'3b-d Exposures'!C1128)</f>
        <v/>
      </c>
      <c r="F918" s="3">
        <f>IF('3b-d Exposures'!E1128="",0,'3b-d Exposures'!E1128)</f>
        <v/>
      </c>
      <c r="G918" s="3">
        <f>IF('3b-d Exposures'!G1128="",0,'3b-d Exposures'!G1128)</f>
        <v/>
      </c>
      <c r="H918" s="3">
        <f>IF('3b-d Exposures'!I1128="",0,'3b-d Exposures'!I1128)</f>
        <v/>
      </c>
      <c r="I918" s="3">
        <f>IF('3b-d Exposures'!K1128="",0,'3b-d Exposures'!K1128)</f>
        <v/>
      </c>
      <c r="J918" s="3">
        <f>IF('3b-d Exposures'!M1128="",0,'3b-d Exposures'!M1128)</f>
        <v/>
      </c>
      <c r="K918" s="3">
        <f>IF('3b-d Exposures'!O1128="",0,'3b-d Exposures'!O1128)</f>
        <v/>
      </c>
      <c r="L918" s="3">
        <f>IF('3b-d Exposures'!Q1128="",0,'3b-d Exposures'!Q1128)</f>
        <v/>
      </c>
      <c r="M918" s="3">
        <f>IF('3b-d Exposures'!S1128="",0,'3b-d Exposures'!S1128)</f>
        <v/>
      </c>
      <c r="N918" s="3">
        <f>IF('3b-d Exposures'!Z1128="",0,'3b-d Exposures'!Z1128)</f>
        <v/>
      </c>
      <c r="O918" s="3">
        <f>$D918</f>
        <v/>
      </c>
      <c r="P918" s="3">
        <f>E918*$D918</f>
        <v/>
      </c>
      <c r="Q918" s="3">
        <f>F918*$D918</f>
        <v/>
      </c>
      <c r="R918" s="3">
        <f>G918*$D918</f>
        <v/>
      </c>
      <c r="S918" s="3">
        <f>H918*$D918</f>
        <v/>
      </c>
      <c r="T918" s="3">
        <f>I918*$D918</f>
        <v/>
      </c>
      <c r="U918" s="3">
        <f>J918*$D918</f>
        <v/>
      </c>
      <c r="V918" s="3">
        <f>K918*$D918</f>
        <v/>
      </c>
      <c r="W918" s="3">
        <f>L918*$D918</f>
        <v/>
      </c>
      <c r="X918" s="3">
        <f>M918*$D918</f>
        <v/>
      </c>
      <c r="Y918" s="3">
        <f>N918*$D918</f>
        <v/>
      </c>
      <c r="Z918" s="3">
        <f>C918*$D918</f>
        <v/>
      </c>
      <c r="AA918" s="9">
        <f>$L978+$K978*E918+$J978*F918+$I978*G918+$H978*H918+$G978*I918+$F978*J918+$E978*K918+$D978*L918+$C978*M918+$B978*N918</f>
        <v/>
      </c>
      <c r="AB918" s="9">
        <f>C918-AA918</f>
        <v/>
      </c>
      <c r="AC918" s="4">
        <f>AB918^2</f>
        <v/>
      </c>
    </row>
    <row r="919">
      <c r="A919" t="inlineStr">
        <is>
          <t>BBG000BCZL41</t>
        </is>
      </c>
      <c r="B919" t="inlineStr">
        <is>
          <t>vrsk</t>
        </is>
      </c>
      <c r="C919" s="9" t="n">
        <v>-0.005132288359334991</v>
      </c>
      <c r="D919" s="3">
        <f>EXP(0.25*'3b-d Exposures'!G1129)</f>
        <v/>
      </c>
      <c r="E919" s="3">
        <f>IF('3b-d Exposures'!C1129="",0,'3b-d Exposures'!C1129)</f>
        <v/>
      </c>
      <c r="F919" s="3">
        <f>IF('3b-d Exposures'!E1129="",0,'3b-d Exposures'!E1129)</f>
        <v/>
      </c>
      <c r="G919" s="3">
        <f>IF('3b-d Exposures'!G1129="",0,'3b-d Exposures'!G1129)</f>
        <v/>
      </c>
      <c r="H919" s="3">
        <f>IF('3b-d Exposures'!I1129="",0,'3b-d Exposures'!I1129)</f>
        <v/>
      </c>
      <c r="I919" s="3">
        <f>IF('3b-d Exposures'!K1129="",0,'3b-d Exposures'!K1129)</f>
        <v/>
      </c>
      <c r="J919" s="3">
        <f>IF('3b-d Exposures'!M1129="",0,'3b-d Exposures'!M1129)</f>
        <v/>
      </c>
      <c r="K919" s="3">
        <f>IF('3b-d Exposures'!O1129="",0,'3b-d Exposures'!O1129)</f>
        <v/>
      </c>
      <c r="L919" s="3">
        <f>IF('3b-d Exposures'!Q1129="",0,'3b-d Exposures'!Q1129)</f>
        <v/>
      </c>
      <c r="M919" s="3">
        <f>IF('3b-d Exposures'!S1129="",0,'3b-d Exposures'!S1129)</f>
        <v/>
      </c>
      <c r="N919" s="3">
        <f>IF('3b-d Exposures'!Z1129="",0,'3b-d Exposures'!Z1129)</f>
        <v/>
      </c>
      <c r="O919" s="3">
        <f>$D919</f>
        <v/>
      </c>
      <c r="P919" s="3">
        <f>E919*$D919</f>
        <v/>
      </c>
      <c r="Q919" s="3">
        <f>F919*$D919</f>
        <v/>
      </c>
      <c r="R919" s="3">
        <f>G919*$D919</f>
        <v/>
      </c>
      <c r="S919" s="3">
        <f>H919*$D919</f>
        <v/>
      </c>
      <c r="T919" s="3">
        <f>I919*$D919</f>
        <v/>
      </c>
      <c r="U919" s="3">
        <f>J919*$D919</f>
        <v/>
      </c>
      <c r="V919" s="3">
        <f>K919*$D919</f>
        <v/>
      </c>
      <c r="W919" s="3">
        <f>L919*$D919</f>
        <v/>
      </c>
      <c r="X919" s="3">
        <f>M919*$D919</f>
        <v/>
      </c>
      <c r="Y919" s="3">
        <f>N919*$D919</f>
        <v/>
      </c>
      <c r="Z919" s="3">
        <f>C919*$D919</f>
        <v/>
      </c>
      <c r="AA919" s="9">
        <f>$L978+$K978*E919+$J978*F919+$I978*G919+$H978*H919+$G978*I919+$F978*J919+$E978*K919+$D978*L919+$C978*M919+$B978*N919</f>
        <v/>
      </c>
      <c r="AB919" s="9">
        <f>C919-AA919</f>
        <v/>
      </c>
      <c r="AC919" s="4">
        <f>AB919^2</f>
        <v/>
      </c>
    </row>
    <row r="920">
      <c r="A920" t="inlineStr">
        <is>
          <t>BBG000BGKHZ3</t>
        </is>
      </c>
      <c r="B920" t="inlineStr">
        <is>
          <t>vrsn</t>
        </is>
      </c>
      <c r="C920" s="9" t="n">
        <v>0.02836851319056377</v>
      </c>
      <c r="D920" s="3">
        <f>EXP(0.25*'3b-d Exposures'!G1130)</f>
        <v/>
      </c>
      <c r="E920" s="3">
        <f>IF('3b-d Exposures'!C1130="",0,'3b-d Exposures'!C1130)</f>
        <v/>
      </c>
      <c r="F920" s="3">
        <f>IF('3b-d Exposures'!E1130="",0,'3b-d Exposures'!E1130)</f>
        <v/>
      </c>
      <c r="G920" s="3">
        <f>IF('3b-d Exposures'!G1130="",0,'3b-d Exposures'!G1130)</f>
        <v/>
      </c>
      <c r="H920" s="3">
        <f>IF('3b-d Exposures'!I1130="",0,'3b-d Exposures'!I1130)</f>
        <v/>
      </c>
      <c r="I920" s="3">
        <f>IF('3b-d Exposures'!K1130="",0,'3b-d Exposures'!K1130)</f>
        <v/>
      </c>
      <c r="J920" s="3">
        <f>IF('3b-d Exposures'!M1130="",0,'3b-d Exposures'!M1130)</f>
        <v/>
      </c>
      <c r="K920" s="3">
        <f>IF('3b-d Exposures'!O1130="",0,'3b-d Exposures'!O1130)</f>
        <v/>
      </c>
      <c r="L920" s="3">
        <f>IF('3b-d Exposures'!Q1130="",0,'3b-d Exposures'!Q1130)</f>
        <v/>
      </c>
      <c r="M920" s="3">
        <f>IF('3b-d Exposures'!S1130="",0,'3b-d Exposures'!S1130)</f>
        <v/>
      </c>
      <c r="N920" s="3">
        <f>IF('3b-d Exposures'!Z1130="",0,'3b-d Exposures'!Z1130)</f>
        <v/>
      </c>
      <c r="O920" s="3">
        <f>$D920</f>
        <v/>
      </c>
      <c r="P920" s="3">
        <f>E920*$D920</f>
        <v/>
      </c>
      <c r="Q920" s="3">
        <f>F920*$D920</f>
        <v/>
      </c>
      <c r="R920" s="3">
        <f>G920*$D920</f>
        <v/>
      </c>
      <c r="S920" s="3">
        <f>H920*$D920</f>
        <v/>
      </c>
      <c r="T920" s="3">
        <f>I920*$D920</f>
        <v/>
      </c>
      <c r="U920" s="3">
        <f>J920*$D920</f>
        <v/>
      </c>
      <c r="V920" s="3">
        <f>K920*$D920</f>
        <v/>
      </c>
      <c r="W920" s="3">
        <f>L920*$D920</f>
        <v/>
      </c>
      <c r="X920" s="3">
        <f>M920*$D920</f>
        <v/>
      </c>
      <c r="Y920" s="3">
        <f>N920*$D920</f>
        <v/>
      </c>
      <c r="Z920" s="3">
        <f>C920*$D920</f>
        <v/>
      </c>
      <c r="AA920" s="9">
        <f>$L978+$K978*E920+$J978*F920+$I978*G920+$H978*H920+$G978*I920+$F978*J920+$E978*K920+$D978*L920+$C978*M920+$B978*N920</f>
        <v/>
      </c>
      <c r="AB920" s="9">
        <f>C920-AA920</f>
        <v/>
      </c>
      <c r="AC920" s="4">
        <f>AB920^2</f>
        <v/>
      </c>
    </row>
    <row r="921">
      <c r="A921" t="inlineStr">
        <is>
          <t>vrt</t>
        </is>
      </c>
      <c r="B921" t="inlineStr">
        <is>
          <t>vrt</t>
        </is>
      </c>
      <c r="C921" s="9" t="n">
        <v>-0.004310321582239651</v>
      </c>
      <c r="D921" s="3">
        <f>EXP(0.25*'3b-d Exposures'!G1131)</f>
        <v/>
      </c>
      <c r="E921" s="3">
        <f>IF('3b-d Exposures'!C1131="",0,'3b-d Exposures'!C1131)</f>
        <v/>
      </c>
      <c r="F921" s="3">
        <f>IF('3b-d Exposures'!E1131="",0,'3b-d Exposures'!E1131)</f>
        <v/>
      </c>
      <c r="G921" s="3">
        <f>IF('3b-d Exposures'!G1131="",0,'3b-d Exposures'!G1131)</f>
        <v/>
      </c>
      <c r="H921" s="3">
        <f>IF('3b-d Exposures'!I1131="",0,'3b-d Exposures'!I1131)</f>
        <v/>
      </c>
      <c r="I921" s="3">
        <f>IF('3b-d Exposures'!K1131="",0,'3b-d Exposures'!K1131)</f>
        <v/>
      </c>
      <c r="J921" s="3">
        <f>IF('3b-d Exposures'!M1131="",0,'3b-d Exposures'!M1131)</f>
        <v/>
      </c>
      <c r="K921" s="3">
        <f>IF('3b-d Exposures'!O1131="",0,'3b-d Exposures'!O1131)</f>
        <v/>
      </c>
      <c r="L921" s="3">
        <f>IF('3b-d Exposures'!Q1131="",0,'3b-d Exposures'!Q1131)</f>
        <v/>
      </c>
      <c r="M921" s="3">
        <f>IF('3b-d Exposures'!S1131="",0,'3b-d Exposures'!S1131)</f>
        <v/>
      </c>
      <c r="N921" s="3">
        <f>IF('3b-d Exposures'!Z1131="",0,'3b-d Exposures'!Z1131)</f>
        <v/>
      </c>
      <c r="O921" s="3">
        <f>$D921</f>
        <v/>
      </c>
      <c r="P921" s="3">
        <f>E921*$D921</f>
        <v/>
      </c>
      <c r="Q921" s="3">
        <f>F921*$D921</f>
        <v/>
      </c>
      <c r="R921" s="3">
        <f>G921*$D921</f>
        <v/>
      </c>
      <c r="S921" s="3">
        <f>H921*$D921</f>
        <v/>
      </c>
      <c r="T921" s="3">
        <f>I921*$D921</f>
        <v/>
      </c>
      <c r="U921" s="3">
        <f>J921*$D921</f>
        <v/>
      </c>
      <c r="V921" s="3">
        <f>K921*$D921</f>
        <v/>
      </c>
      <c r="W921" s="3">
        <f>L921*$D921</f>
        <v/>
      </c>
      <c r="X921" s="3">
        <f>M921*$D921</f>
        <v/>
      </c>
      <c r="Y921" s="3">
        <f>N921*$D921</f>
        <v/>
      </c>
      <c r="Z921" s="3">
        <f>C921*$D921</f>
        <v/>
      </c>
      <c r="AA921" s="9">
        <f>$L978+$K978*E921+$J978*F921+$I978*G921+$H978*H921+$G978*I921+$F978*J921+$E978*K921+$D978*L921+$C978*M921+$B978*N921</f>
        <v/>
      </c>
      <c r="AB921" s="9">
        <f>C921-AA921</f>
        <v/>
      </c>
      <c r="AC921" s="4">
        <f>AB921^2</f>
        <v/>
      </c>
    </row>
    <row r="922">
      <c r="A922" t="inlineStr">
        <is>
          <t>BBG000C1S2X2</t>
        </is>
      </c>
      <c r="B922" t="inlineStr">
        <is>
          <t>vrtx</t>
        </is>
      </c>
      <c r="C922" s="9" t="n">
        <v>-0.005126767930812681</v>
      </c>
      <c r="D922" s="3">
        <f>EXP(0.25*'3b-d Exposures'!G1132)</f>
        <v/>
      </c>
      <c r="E922" s="3">
        <f>IF('3b-d Exposures'!C1132="",0,'3b-d Exposures'!C1132)</f>
        <v/>
      </c>
      <c r="F922" s="3">
        <f>IF('3b-d Exposures'!E1132="",0,'3b-d Exposures'!E1132)</f>
        <v/>
      </c>
      <c r="G922" s="3">
        <f>IF('3b-d Exposures'!G1132="",0,'3b-d Exposures'!G1132)</f>
        <v/>
      </c>
      <c r="H922" s="3">
        <f>IF('3b-d Exposures'!I1132="",0,'3b-d Exposures'!I1132)</f>
        <v/>
      </c>
      <c r="I922" s="3">
        <f>IF('3b-d Exposures'!K1132="",0,'3b-d Exposures'!K1132)</f>
        <v/>
      </c>
      <c r="J922" s="3">
        <f>IF('3b-d Exposures'!M1132="",0,'3b-d Exposures'!M1132)</f>
        <v/>
      </c>
      <c r="K922" s="3">
        <f>IF('3b-d Exposures'!O1132="",0,'3b-d Exposures'!O1132)</f>
        <v/>
      </c>
      <c r="L922" s="3">
        <f>IF('3b-d Exposures'!Q1132="",0,'3b-d Exposures'!Q1132)</f>
        <v/>
      </c>
      <c r="M922" s="3">
        <f>IF('3b-d Exposures'!S1132="",0,'3b-d Exposures'!S1132)</f>
        <v/>
      </c>
      <c r="N922" s="3">
        <f>IF('3b-d Exposures'!Z1132="",0,'3b-d Exposures'!Z1132)</f>
        <v/>
      </c>
      <c r="O922" s="3">
        <f>$D922</f>
        <v/>
      </c>
      <c r="P922" s="3">
        <f>E922*$D922</f>
        <v/>
      </c>
      <c r="Q922" s="3">
        <f>F922*$D922</f>
        <v/>
      </c>
      <c r="R922" s="3">
        <f>G922*$D922</f>
        <v/>
      </c>
      <c r="S922" s="3">
        <f>H922*$D922</f>
        <v/>
      </c>
      <c r="T922" s="3">
        <f>I922*$D922</f>
        <v/>
      </c>
      <c r="U922" s="3">
        <f>J922*$D922</f>
        <v/>
      </c>
      <c r="V922" s="3">
        <f>K922*$D922</f>
        <v/>
      </c>
      <c r="W922" s="3">
        <f>L922*$D922</f>
        <v/>
      </c>
      <c r="X922" s="3">
        <f>M922*$D922</f>
        <v/>
      </c>
      <c r="Y922" s="3">
        <f>N922*$D922</f>
        <v/>
      </c>
      <c r="Z922" s="3">
        <f>C922*$D922</f>
        <v/>
      </c>
      <c r="AA922" s="9">
        <f>$L978+$K978*E922+$J978*F922+$I978*G922+$H978*H922+$G978*I922+$F978*J922+$E978*K922+$D978*L922+$C978*M922+$B978*N922</f>
        <v/>
      </c>
      <c r="AB922" s="9">
        <f>C922-AA922</f>
        <v/>
      </c>
      <c r="AC922" s="4">
        <f>AB922^2</f>
        <v/>
      </c>
    </row>
    <row r="923">
      <c r="A923" t="inlineStr">
        <is>
          <t>BBG000BWJYL8</t>
        </is>
      </c>
      <c r="B923" t="inlineStr">
        <is>
          <t>vsec</t>
        </is>
      </c>
      <c r="C923" s="9" t="n">
        <v>-0.003837576984625946</v>
      </c>
      <c r="D923" s="3">
        <f>EXP(0.25*'3b-d Exposures'!G1133)</f>
        <v/>
      </c>
      <c r="E923" s="3">
        <f>IF('3b-d Exposures'!C1133="",0,'3b-d Exposures'!C1133)</f>
        <v/>
      </c>
      <c r="F923" s="3">
        <f>IF('3b-d Exposures'!E1133="",0,'3b-d Exposures'!E1133)</f>
        <v/>
      </c>
      <c r="G923" s="3">
        <f>IF('3b-d Exposures'!G1133="",0,'3b-d Exposures'!G1133)</f>
        <v/>
      </c>
      <c r="H923" s="3">
        <f>IF('3b-d Exposures'!I1133="",0,'3b-d Exposures'!I1133)</f>
        <v/>
      </c>
      <c r="I923" s="3">
        <f>IF('3b-d Exposures'!K1133="",0,'3b-d Exposures'!K1133)</f>
        <v/>
      </c>
      <c r="J923" s="3">
        <f>IF('3b-d Exposures'!M1133="",0,'3b-d Exposures'!M1133)</f>
        <v/>
      </c>
      <c r="K923" s="3">
        <f>IF('3b-d Exposures'!O1133="",0,'3b-d Exposures'!O1133)</f>
        <v/>
      </c>
      <c r="L923" s="3">
        <f>IF('3b-d Exposures'!Q1133="",0,'3b-d Exposures'!Q1133)</f>
        <v/>
      </c>
      <c r="M923" s="3">
        <f>IF('3b-d Exposures'!S1133="",0,'3b-d Exposures'!S1133)</f>
        <v/>
      </c>
      <c r="N923" s="3">
        <f>IF('3b-d Exposures'!Z1133="",0,'3b-d Exposures'!Z1133)</f>
        <v/>
      </c>
      <c r="O923" s="3">
        <f>$D923</f>
        <v/>
      </c>
      <c r="P923" s="3">
        <f>E923*$D923</f>
        <v/>
      </c>
      <c r="Q923" s="3">
        <f>F923*$D923</f>
        <v/>
      </c>
      <c r="R923" s="3">
        <f>G923*$D923</f>
        <v/>
      </c>
      <c r="S923" s="3">
        <f>H923*$D923</f>
        <v/>
      </c>
      <c r="T923" s="3">
        <f>I923*$D923</f>
        <v/>
      </c>
      <c r="U923" s="3">
        <f>J923*$D923</f>
        <v/>
      </c>
      <c r="V923" s="3">
        <f>K923*$D923</f>
        <v/>
      </c>
      <c r="W923" s="3">
        <f>L923*$D923</f>
        <v/>
      </c>
      <c r="X923" s="3">
        <f>M923*$D923</f>
        <v/>
      </c>
      <c r="Y923" s="3">
        <f>N923*$D923</f>
        <v/>
      </c>
      <c r="Z923" s="3">
        <f>C923*$D923</f>
        <v/>
      </c>
      <c r="AA923" s="9">
        <f>$L978+$K978*E923+$J978*F923+$I978*G923+$H978*H923+$G978*I923+$F978*J923+$E978*K923+$D978*L923+$C978*M923+$B978*N923</f>
        <v/>
      </c>
      <c r="AB923" s="9">
        <f>C923-AA923</f>
        <v/>
      </c>
      <c r="AC923" s="4">
        <f>AB923^2</f>
        <v/>
      </c>
    </row>
    <row r="924">
      <c r="A924" t="inlineStr">
        <is>
          <t>BBG00DXDL6Q1</t>
        </is>
      </c>
      <c r="B924" t="inlineStr">
        <is>
          <t>vst</t>
        </is>
      </c>
      <c r="C924" s="9" t="n">
        <v>-0.0358483176669091</v>
      </c>
      <c r="D924" s="3">
        <f>EXP(0.25*'3b-d Exposures'!G1134)</f>
        <v/>
      </c>
      <c r="E924" s="3">
        <f>IF('3b-d Exposures'!C1134="",0,'3b-d Exposures'!C1134)</f>
        <v/>
      </c>
      <c r="F924" s="3">
        <f>IF('3b-d Exposures'!E1134="",0,'3b-d Exposures'!E1134)</f>
        <v/>
      </c>
      <c r="G924" s="3">
        <f>IF('3b-d Exposures'!G1134="",0,'3b-d Exposures'!G1134)</f>
        <v/>
      </c>
      <c r="H924" s="3">
        <f>IF('3b-d Exposures'!I1134="",0,'3b-d Exposures'!I1134)</f>
        <v/>
      </c>
      <c r="I924" s="3">
        <f>IF('3b-d Exposures'!K1134="",0,'3b-d Exposures'!K1134)</f>
        <v/>
      </c>
      <c r="J924" s="3">
        <f>IF('3b-d Exposures'!M1134="",0,'3b-d Exposures'!M1134)</f>
        <v/>
      </c>
      <c r="K924" s="3">
        <f>IF('3b-d Exposures'!O1134="",0,'3b-d Exposures'!O1134)</f>
        <v/>
      </c>
      <c r="L924" s="3">
        <f>IF('3b-d Exposures'!Q1134="",0,'3b-d Exposures'!Q1134)</f>
        <v/>
      </c>
      <c r="M924" s="3">
        <f>IF('3b-d Exposures'!S1134="",0,'3b-d Exposures'!S1134)</f>
        <v/>
      </c>
      <c r="N924" s="3">
        <f>IF('3b-d Exposures'!Z1134="",0,'3b-d Exposures'!Z1134)</f>
        <v/>
      </c>
      <c r="O924" s="3">
        <f>$D924</f>
        <v/>
      </c>
      <c r="P924" s="3">
        <f>E924*$D924</f>
        <v/>
      </c>
      <c r="Q924" s="3">
        <f>F924*$D924</f>
        <v/>
      </c>
      <c r="R924" s="3">
        <f>G924*$D924</f>
        <v/>
      </c>
      <c r="S924" s="3">
        <f>H924*$D924</f>
        <v/>
      </c>
      <c r="T924" s="3">
        <f>I924*$D924</f>
        <v/>
      </c>
      <c r="U924" s="3">
        <f>J924*$D924</f>
        <v/>
      </c>
      <c r="V924" s="3">
        <f>K924*$D924</f>
        <v/>
      </c>
      <c r="W924" s="3">
        <f>L924*$D924</f>
        <v/>
      </c>
      <c r="X924" s="3">
        <f>M924*$D924</f>
        <v/>
      </c>
      <c r="Y924" s="3">
        <f>N924*$D924</f>
        <v/>
      </c>
      <c r="Z924" s="3">
        <f>C924*$D924</f>
        <v/>
      </c>
      <c r="AA924" s="9">
        <f>$L978+$K978*E924+$J978*F924+$I978*G924+$H978*H924+$G978*I924+$F978*J924+$E978*K924+$D978*L924+$C978*M924+$B978*N924</f>
        <v/>
      </c>
      <c r="AB924" s="9">
        <f>C924-AA924</f>
        <v/>
      </c>
      <c r="AC924" s="4">
        <f>AB924^2</f>
        <v/>
      </c>
    </row>
    <row r="925">
      <c r="A925" t="inlineStr">
        <is>
          <t>BBG000FJWF20</t>
        </is>
      </c>
      <c r="B925" t="inlineStr">
        <is>
          <t>vsts</t>
        </is>
      </c>
      <c r="C925" s="9" t="n">
        <v>0.0149253108759444</v>
      </c>
      <c r="D925" s="3">
        <f>EXP(0.25*'3b-d Exposures'!G1135)</f>
        <v/>
      </c>
      <c r="E925" s="3">
        <f>IF('3b-d Exposures'!C1135="",0,'3b-d Exposures'!C1135)</f>
        <v/>
      </c>
      <c r="F925" s="3">
        <f>IF('3b-d Exposures'!E1135="",0,'3b-d Exposures'!E1135)</f>
        <v/>
      </c>
      <c r="G925" s="3">
        <f>IF('3b-d Exposures'!G1135="",0,'3b-d Exposures'!G1135)</f>
        <v/>
      </c>
      <c r="H925" s="3">
        <f>IF('3b-d Exposures'!I1135="",0,'3b-d Exposures'!I1135)</f>
        <v/>
      </c>
      <c r="I925" s="3">
        <f>IF('3b-d Exposures'!K1135="",0,'3b-d Exposures'!K1135)</f>
        <v/>
      </c>
      <c r="J925" s="3">
        <f>IF('3b-d Exposures'!M1135="",0,'3b-d Exposures'!M1135)</f>
        <v/>
      </c>
      <c r="K925" s="3">
        <f>IF('3b-d Exposures'!O1135="",0,'3b-d Exposures'!O1135)</f>
        <v/>
      </c>
      <c r="L925" s="3">
        <f>IF('3b-d Exposures'!Q1135="",0,'3b-d Exposures'!Q1135)</f>
        <v/>
      </c>
      <c r="M925" s="3">
        <f>IF('3b-d Exposures'!S1135="",0,'3b-d Exposures'!S1135)</f>
        <v/>
      </c>
      <c r="N925" s="3">
        <f>IF('3b-d Exposures'!Z1135="",0,'3b-d Exposures'!Z1135)</f>
        <v/>
      </c>
      <c r="O925" s="3">
        <f>$D925</f>
        <v/>
      </c>
      <c r="P925" s="3">
        <f>E925*$D925</f>
        <v/>
      </c>
      <c r="Q925" s="3">
        <f>F925*$D925</f>
        <v/>
      </c>
      <c r="R925" s="3">
        <f>G925*$D925</f>
        <v/>
      </c>
      <c r="S925" s="3">
        <f>H925*$D925</f>
        <v/>
      </c>
      <c r="T925" s="3">
        <f>I925*$D925</f>
        <v/>
      </c>
      <c r="U925" s="3">
        <f>J925*$D925</f>
        <v/>
      </c>
      <c r="V925" s="3">
        <f>K925*$D925</f>
        <v/>
      </c>
      <c r="W925" s="3">
        <f>L925*$D925</f>
        <v/>
      </c>
      <c r="X925" s="3">
        <f>M925*$D925</f>
        <v/>
      </c>
      <c r="Y925" s="3">
        <f>N925*$D925</f>
        <v/>
      </c>
      <c r="Z925" s="3">
        <f>C925*$D925</f>
        <v/>
      </c>
      <c r="AA925" s="9">
        <f>$L978+$K978*E925+$J978*F925+$I978*G925+$H978*H925+$G978*I925+$F978*J925+$E978*K925+$D978*L925+$C978*M925+$B978*N925</f>
        <v/>
      </c>
      <c r="AB925" s="9">
        <f>C925-AA925</f>
        <v/>
      </c>
      <c r="AC925" s="4">
        <f>AB925^2</f>
        <v/>
      </c>
    </row>
    <row r="926">
      <c r="A926" t="inlineStr">
        <is>
          <t>BBG000FRVHB9</t>
        </is>
      </c>
      <c r="B926" t="inlineStr">
        <is>
          <t>vtr</t>
        </is>
      </c>
      <c r="C926" s="9" t="n">
        <v>-0.02825042272947276</v>
      </c>
      <c r="D926" s="3">
        <f>EXP(0.25*'3b-d Exposures'!G1136)</f>
        <v/>
      </c>
      <c r="E926" s="3">
        <f>IF('3b-d Exposures'!C1136="",0,'3b-d Exposures'!C1136)</f>
        <v/>
      </c>
      <c r="F926" s="3">
        <f>IF('3b-d Exposures'!E1136="",0,'3b-d Exposures'!E1136)</f>
        <v/>
      </c>
      <c r="G926" s="3">
        <f>IF('3b-d Exposures'!G1136="",0,'3b-d Exposures'!G1136)</f>
        <v/>
      </c>
      <c r="H926" s="3">
        <f>IF('3b-d Exposures'!I1136="",0,'3b-d Exposures'!I1136)</f>
        <v/>
      </c>
      <c r="I926" s="3">
        <f>IF('3b-d Exposures'!K1136="",0,'3b-d Exposures'!K1136)</f>
        <v/>
      </c>
      <c r="J926" s="3">
        <f>IF('3b-d Exposures'!M1136="",0,'3b-d Exposures'!M1136)</f>
        <v/>
      </c>
      <c r="K926" s="3">
        <f>IF('3b-d Exposures'!O1136="",0,'3b-d Exposures'!O1136)</f>
        <v/>
      </c>
      <c r="L926" s="3">
        <f>IF('3b-d Exposures'!Q1136="",0,'3b-d Exposures'!Q1136)</f>
        <v/>
      </c>
      <c r="M926" s="3">
        <f>IF('3b-d Exposures'!S1136="",0,'3b-d Exposures'!S1136)</f>
        <v/>
      </c>
      <c r="N926" s="3">
        <f>IF('3b-d Exposures'!Z1136="",0,'3b-d Exposures'!Z1136)</f>
        <v/>
      </c>
      <c r="O926" s="3">
        <f>$D926</f>
        <v/>
      </c>
      <c r="P926" s="3">
        <f>E926*$D926</f>
        <v/>
      </c>
      <c r="Q926" s="3">
        <f>F926*$D926</f>
        <v/>
      </c>
      <c r="R926" s="3">
        <f>G926*$D926</f>
        <v/>
      </c>
      <c r="S926" s="3">
        <f>H926*$D926</f>
        <v/>
      </c>
      <c r="T926" s="3">
        <f>I926*$D926</f>
        <v/>
      </c>
      <c r="U926" s="3">
        <f>J926*$D926</f>
        <v/>
      </c>
      <c r="V926" s="3">
        <f>K926*$D926</f>
        <v/>
      </c>
      <c r="W926" s="3">
        <f>L926*$D926</f>
        <v/>
      </c>
      <c r="X926" s="3">
        <f>M926*$D926</f>
        <v/>
      </c>
      <c r="Y926" s="3">
        <f>N926*$D926</f>
        <v/>
      </c>
      <c r="Z926" s="3">
        <f>C926*$D926</f>
        <v/>
      </c>
      <c r="AA926" s="9">
        <f>$L978+$K978*E926+$J978*F926+$I978*G926+$H978*H926+$G978*I926+$F978*J926+$E978*K926+$D978*L926+$C978*M926+$B978*N926</f>
        <v/>
      </c>
      <c r="AB926" s="9">
        <f>C926-AA926</f>
        <v/>
      </c>
      <c r="AC926" s="4">
        <f>AB926^2</f>
        <v/>
      </c>
    </row>
    <row r="927">
      <c r="A927" t="inlineStr">
        <is>
          <t>BBG003DNHV56</t>
        </is>
      </c>
      <c r="B927" t="inlineStr">
        <is>
          <t>vvv</t>
        </is>
      </c>
      <c r="C927" s="9" t="n">
        <v>-0.006799306572365271</v>
      </c>
      <c r="D927" s="3">
        <f>EXP(0.25*'3b-d Exposures'!G1138)</f>
        <v/>
      </c>
      <c r="E927" s="3">
        <f>IF('3b-d Exposures'!C1138="",0,'3b-d Exposures'!C1138)</f>
        <v/>
      </c>
      <c r="F927" s="3">
        <f>IF('3b-d Exposures'!E1138="",0,'3b-d Exposures'!E1138)</f>
        <v/>
      </c>
      <c r="G927" s="3">
        <f>IF('3b-d Exposures'!G1138="",0,'3b-d Exposures'!G1138)</f>
        <v/>
      </c>
      <c r="H927" s="3">
        <f>IF('3b-d Exposures'!I1138="",0,'3b-d Exposures'!I1138)</f>
        <v/>
      </c>
      <c r="I927" s="3">
        <f>IF('3b-d Exposures'!K1138="",0,'3b-d Exposures'!K1138)</f>
        <v/>
      </c>
      <c r="J927" s="3">
        <f>IF('3b-d Exposures'!M1138="",0,'3b-d Exposures'!M1138)</f>
        <v/>
      </c>
      <c r="K927" s="3">
        <f>IF('3b-d Exposures'!O1138="",0,'3b-d Exposures'!O1138)</f>
        <v/>
      </c>
      <c r="L927" s="3">
        <f>IF('3b-d Exposures'!Q1138="",0,'3b-d Exposures'!Q1138)</f>
        <v/>
      </c>
      <c r="M927" s="3">
        <f>IF('3b-d Exposures'!S1138="",0,'3b-d Exposures'!S1138)</f>
        <v/>
      </c>
      <c r="N927" s="3">
        <f>IF('3b-d Exposures'!Z1138="",0,'3b-d Exposures'!Z1138)</f>
        <v/>
      </c>
      <c r="O927" s="3">
        <f>$D927</f>
        <v/>
      </c>
      <c r="P927" s="3">
        <f>E927*$D927</f>
        <v/>
      </c>
      <c r="Q927" s="3">
        <f>F927*$D927</f>
        <v/>
      </c>
      <c r="R927" s="3">
        <f>G927*$D927</f>
        <v/>
      </c>
      <c r="S927" s="3">
        <f>H927*$D927</f>
        <v/>
      </c>
      <c r="T927" s="3">
        <f>I927*$D927</f>
        <v/>
      </c>
      <c r="U927" s="3">
        <f>J927*$D927</f>
        <v/>
      </c>
      <c r="V927" s="3">
        <f>K927*$D927</f>
        <v/>
      </c>
      <c r="W927" s="3">
        <f>L927*$D927</f>
        <v/>
      </c>
      <c r="X927" s="3">
        <f>M927*$D927</f>
        <v/>
      </c>
      <c r="Y927" s="3">
        <f>N927*$D927</f>
        <v/>
      </c>
      <c r="Z927" s="3">
        <f>C927*$D927</f>
        <v/>
      </c>
      <c r="AA927" s="9">
        <f>$L978+$K978*E927+$J978*F927+$I978*G927+$H978*H927+$G978*I927+$F978*J927+$E978*K927+$D978*L927+$C978*M927+$B978*N927</f>
        <v/>
      </c>
      <c r="AB927" s="9">
        <f>C927-AA927</f>
        <v/>
      </c>
      <c r="AC927" s="4">
        <f>AB927^2</f>
        <v/>
      </c>
    </row>
    <row r="928">
      <c r="A928" t="inlineStr">
        <is>
          <t>BBG005PG80K4</t>
        </is>
      </c>
      <c r="B928" t="inlineStr">
        <is>
          <t>vvx</t>
        </is>
      </c>
      <c r="C928" s="9" t="n">
        <v>-0.01095435431389391</v>
      </c>
      <c r="D928" s="3">
        <f>EXP(0.25*'3b-d Exposures'!G1139)</f>
        <v/>
      </c>
      <c r="E928" s="3">
        <f>IF('3b-d Exposures'!C1139="",0,'3b-d Exposures'!C1139)</f>
        <v/>
      </c>
      <c r="F928" s="3">
        <f>IF('3b-d Exposures'!E1139="",0,'3b-d Exposures'!E1139)</f>
        <v/>
      </c>
      <c r="G928" s="3">
        <f>IF('3b-d Exposures'!G1139="",0,'3b-d Exposures'!G1139)</f>
        <v/>
      </c>
      <c r="H928" s="3">
        <f>IF('3b-d Exposures'!I1139="",0,'3b-d Exposures'!I1139)</f>
        <v/>
      </c>
      <c r="I928" s="3">
        <f>IF('3b-d Exposures'!K1139="",0,'3b-d Exposures'!K1139)</f>
        <v/>
      </c>
      <c r="J928" s="3">
        <f>IF('3b-d Exposures'!M1139="",0,'3b-d Exposures'!M1139)</f>
        <v/>
      </c>
      <c r="K928" s="3">
        <f>IF('3b-d Exposures'!O1139="",0,'3b-d Exposures'!O1139)</f>
        <v/>
      </c>
      <c r="L928" s="3">
        <f>IF('3b-d Exposures'!Q1139="",0,'3b-d Exposures'!Q1139)</f>
        <v/>
      </c>
      <c r="M928" s="3">
        <f>IF('3b-d Exposures'!S1139="",0,'3b-d Exposures'!S1139)</f>
        <v/>
      </c>
      <c r="N928" s="3">
        <f>IF('3b-d Exposures'!Z1139="",0,'3b-d Exposures'!Z1139)</f>
        <v/>
      </c>
      <c r="O928" s="3">
        <f>$D928</f>
        <v/>
      </c>
      <c r="P928" s="3">
        <f>E928*$D928</f>
        <v/>
      </c>
      <c r="Q928" s="3">
        <f>F928*$D928</f>
        <v/>
      </c>
      <c r="R928" s="3">
        <f>G928*$D928</f>
        <v/>
      </c>
      <c r="S928" s="3">
        <f>H928*$D928</f>
        <v/>
      </c>
      <c r="T928" s="3">
        <f>I928*$D928</f>
        <v/>
      </c>
      <c r="U928" s="3">
        <f>J928*$D928</f>
        <v/>
      </c>
      <c r="V928" s="3">
        <f>K928*$D928</f>
        <v/>
      </c>
      <c r="W928" s="3">
        <f>L928*$D928</f>
        <v/>
      </c>
      <c r="X928" s="3">
        <f>M928*$D928</f>
        <v/>
      </c>
      <c r="Y928" s="3">
        <f>N928*$D928</f>
        <v/>
      </c>
      <c r="Z928" s="3">
        <f>C928*$D928</f>
        <v/>
      </c>
      <c r="AA928" s="9">
        <f>$L978+$K978*E928+$J978*F928+$I978*G928+$H978*H928+$G978*I928+$F978*J928+$E978*K928+$D978*L928+$C978*M928+$B978*N928</f>
        <v/>
      </c>
      <c r="AB928" s="9">
        <f>C928-AA928</f>
        <v/>
      </c>
      <c r="AC928" s="4">
        <f>AB928^2</f>
        <v/>
      </c>
    </row>
    <row r="929">
      <c r="A929" t="inlineStr">
        <is>
          <t>BBG000BMXK89</t>
        </is>
      </c>
      <c r="B929" t="inlineStr">
        <is>
          <t>vyx</t>
        </is>
      </c>
      <c r="C929" s="9" t="n">
        <v>-0.0006891956391517073</v>
      </c>
      <c r="D929" s="3">
        <f>EXP(0.25*'3b-d Exposures'!G1140)</f>
        <v/>
      </c>
      <c r="E929" s="3">
        <f>IF('3b-d Exposures'!C1140="",0,'3b-d Exposures'!C1140)</f>
        <v/>
      </c>
      <c r="F929" s="3">
        <f>IF('3b-d Exposures'!E1140="",0,'3b-d Exposures'!E1140)</f>
        <v/>
      </c>
      <c r="G929" s="3">
        <f>IF('3b-d Exposures'!G1140="",0,'3b-d Exposures'!G1140)</f>
        <v/>
      </c>
      <c r="H929" s="3">
        <f>IF('3b-d Exposures'!I1140="",0,'3b-d Exposures'!I1140)</f>
        <v/>
      </c>
      <c r="I929" s="3">
        <f>IF('3b-d Exposures'!K1140="",0,'3b-d Exposures'!K1140)</f>
        <v/>
      </c>
      <c r="J929" s="3">
        <f>IF('3b-d Exposures'!M1140="",0,'3b-d Exposures'!M1140)</f>
        <v/>
      </c>
      <c r="K929" s="3">
        <f>IF('3b-d Exposures'!O1140="",0,'3b-d Exposures'!O1140)</f>
        <v/>
      </c>
      <c r="L929" s="3">
        <f>IF('3b-d Exposures'!Q1140="",0,'3b-d Exposures'!Q1140)</f>
        <v/>
      </c>
      <c r="M929" s="3">
        <f>IF('3b-d Exposures'!S1140="",0,'3b-d Exposures'!S1140)</f>
        <v/>
      </c>
      <c r="N929" s="3">
        <f>IF('3b-d Exposures'!Z1140="",0,'3b-d Exposures'!Z1140)</f>
        <v/>
      </c>
      <c r="O929" s="3">
        <f>$D929</f>
        <v/>
      </c>
      <c r="P929" s="3">
        <f>E929*$D929</f>
        <v/>
      </c>
      <c r="Q929" s="3">
        <f>F929*$D929</f>
        <v/>
      </c>
      <c r="R929" s="3">
        <f>G929*$D929</f>
        <v/>
      </c>
      <c r="S929" s="3">
        <f>H929*$D929</f>
        <v/>
      </c>
      <c r="T929" s="3">
        <f>I929*$D929</f>
        <v/>
      </c>
      <c r="U929" s="3">
        <f>J929*$D929</f>
        <v/>
      </c>
      <c r="V929" s="3">
        <f>K929*$D929</f>
        <v/>
      </c>
      <c r="W929" s="3">
        <f>L929*$D929</f>
        <v/>
      </c>
      <c r="X929" s="3">
        <f>M929*$D929</f>
        <v/>
      </c>
      <c r="Y929" s="3">
        <f>N929*$D929</f>
        <v/>
      </c>
      <c r="Z929" s="3">
        <f>C929*$D929</f>
        <v/>
      </c>
      <c r="AA929" s="9">
        <f>$L978+$K978*E929+$J978*F929+$I978*G929+$H978*H929+$G978*I929+$F978*J929+$E978*K929+$D978*L929+$C978*M929+$B978*N929</f>
        <v/>
      </c>
      <c r="AB929" s="9">
        <f>C929-AA929</f>
        <v/>
      </c>
      <c r="AC929" s="4">
        <f>AB929^2</f>
        <v/>
      </c>
    </row>
    <row r="930">
      <c r="A930" t="inlineStr">
        <is>
          <t>BBG000BDD940</t>
        </is>
      </c>
      <c r="B930" t="inlineStr">
        <is>
          <t>wab</t>
        </is>
      </c>
      <c r="C930" s="9" t="n">
        <v>-0.004186843023195275</v>
      </c>
      <c r="D930" s="3">
        <f>EXP(0.25*'3b-d Exposures'!G1143)</f>
        <v/>
      </c>
      <c r="E930" s="3">
        <f>IF('3b-d Exposures'!C1143="",0,'3b-d Exposures'!C1143)</f>
        <v/>
      </c>
      <c r="F930" s="3">
        <f>IF('3b-d Exposures'!E1143="",0,'3b-d Exposures'!E1143)</f>
        <v/>
      </c>
      <c r="G930" s="3">
        <f>IF('3b-d Exposures'!G1143="",0,'3b-d Exposures'!G1143)</f>
        <v/>
      </c>
      <c r="H930" s="3">
        <f>IF('3b-d Exposures'!I1143="",0,'3b-d Exposures'!I1143)</f>
        <v/>
      </c>
      <c r="I930" s="3">
        <f>IF('3b-d Exposures'!K1143="",0,'3b-d Exposures'!K1143)</f>
        <v/>
      </c>
      <c r="J930" s="3">
        <f>IF('3b-d Exposures'!M1143="",0,'3b-d Exposures'!M1143)</f>
        <v/>
      </c>
      <c r="K930" s="3">
        <f>IF('3b-d Exposures'!O1143="",0,'3b-d Exposures'!O1143)</f>
        <v/>
      </c>
      <c r="L930" s="3">
        <f>IF('3b-d Exposures'!Q1143="",0,'3b-d Exposures'!Q1143)</f>
        <v/>
      </c>
      <c r="M930" s="3">
        <f>IF('3b-d Exposures'!S1143="",0,'3b-d Exposures'!S1143)</f>
        <v/>
      </c>
      <c r="N930" s="3">
        <f>IF('3b-d Exposures'!Z1143="",0,'3b-d Exposures'!Z1143)</f>
        <v/>
      </c>
      <c r="O930" s="3">
        <f>$D930</f>
        <v/>
      </c>
      <c r="P930" s="3">
        <f>E930*$D930</f>
        <v/>
      </c>
      <c r="Q930" s="3">
        <f>F930*$D930</f>
        <v/>
      </c>
      <c r="R930" s="3">
        <f>G930*$D930</f>
        <v/>
      </c>
      <c r="S930" s="3">
        <f>H930*$D930</f>
        <v/>
      </c>
      <c r="T930" s="3">
        <f>I930*$D930</f>
        <v/>
      </c>
      <c r="U930" s="3">
        <f>J930*$D930</f>
        <v/>
      </c>
      <c r="V930" s="3">
        <f>K930*$D930</f>
        <v/>
      </c>
      <c r="W930" s="3">
        <f>L930*$D930</f>
        <v/>
      </c>
      <c r="X930" s="3">
        <f>M930*$D930</f>
        <v/>
      </c>
      <c r="Y930" s="3">
        <f>N930*$D930</f>
        <v/>
      </c>
      <c r="Z930" s="3">
        <f>C930*$D930</f>
        <v/>
      </c>
      <c r="AA930" s="9">
        <f>$L978+$K978*E930+$J978*F930+$I978*G930+$H978*H930+$G978*I930+$F978*J930+$E978*K930+$D978*L930+$C978*M930+$B978*N930</f>
        <v/>
      </c>
      <c r="AB930" s="9">
        <f>C930-AA930</f>
        <v/>
      </c>
      <c r="AC930" s="4">
        <f>AB930^2</f>
        <v/>
      </c>
    </row>
    <row r="931">
      <c r="A931" t="inlineStr">
        <is>
          <t>BBG000Q1KFH4</t>
        </is>
      </c>
      <c r="B931" t="inlineStr">
        <is>
          <t>wal</t>
        </is>
      </c>
      <c r="C931" s="9" t="n">
        <v>-0.004486714175783169</v>
      </c>
      <c r="D931" s="3">
        <f>EXP(0.25*'3b-d Exposures'!G1144)</f>
        <v/>
      </c>
      <c r="E931" s="3">
        <f>IF('3b-d Exposures'!C1144="",0,'3b-d Exposures'!C1144)</f>
        <v/>
      </c>
      <c r="F931" s="3">
        <f>IF('3b-d Exposures'!E1144="",0,'3b-d Exposures'!E1144)</f>
        <v/>
      </c>
      <c r="G931" s="3">
        <f>IF('3b-d Exposures'!G1144="",0,'3b-d Exposures'!G1144)</f>
        <v/>
      </c>
      <c r="H931" s="3">
        <f>IF('3b-d Exposures'!I1144="",0,'3b-d Exposures'!I1144)</f>
        <v/>
      </c>
      <c r="I931" s="3">
        <f>IF('3b-d Exposures'!K1144="",0,'3b-d Exposures'!K1144)</f>
        <v/>
      </c>
      <c r="J931" s="3">
        <f>IF('3b-d Exposures'!M1144="",0,'3b-d Exposures'!M1144)</f>
        <v/>
      </c>
      <c r="K931" s="3">
        <f>IF('3b-d Exposures'!O1144="",0,'3b-d Exposures'!O1144)</f>
        <v/>
      </c>
      <c r="L931" s="3">
        <f>IF('3b-d Exposures'!Q1144="",0,'3b-d Exposures'!Q1144)</f>
        <v/>
      </c>
      <c r="M931" s="3">
        <f>IF('3b-d Exposures'!S1144="",0,'3b-d Exposures'!S1144)</f>
        <v/>
      </c>
      <c r="N931" s="3">
        <f>IF('3b-d Exposures'!Z1144="",0,'3b-d Exposures'!Z1144)</f>
        <v/>
      </c>
      <c r="O931" s="3">
        <f>$D931</f>
        <v/>
      </c>
      <c r="P931" s="3">
        <f>E931*$D931</f>
        <v/>
      </c>
      <c r="Q931" s="3">
        <f>F931*$D931</f>
        <v/>
      </c>
      <c r="R931" s="3">
        <f>G931*$D931</f>
        <v/>
      </c>
      <c r="S931" s="3">
        <f>H931*$D931</f>
        <v/>
      </c>
      <c r="T931" s="3">
        <f>I931*$D931</f>
        <v/>
      </c>
      <c r="U931" s="3">
        <f>J931*$D931</f>
        <v/>
      </c>
      <c r="V931" s="3">
        <f>K931*$D931</f>
        <v/>
      </c>
      <c r="W931" s="3">
        <f>L931*$D931</f>
        <v/>
      </c>
      <c r="X931" s="3">
        <f>M931*$D931</f>
        <v/>
      </c>
      <c r="Y931" s="3">
        <f>N931*$D931</f>
        <v/>
      </c>
      <c r="Z931" s="3">
        <f>C931*$D931</f>
        <v/>
      </c>
      <c r="AA931" s="9">
        <f>$L978+$K978*E931+$J978*F931+$I978*G931+$H978*H931+$G978*I931+$F978*J931+$E978*K931+$D978*L931+$C978*M931+$B978*N931</f>
        <v/>
      </c>
      <c r="AB931" s="9">
        <f>C931-AA931</f>
        <v/>
      </c>
      <c r="AC931" s="4">
        <f>AB931^2</f>
        <v/>
      </c>
    </row>
    <row r="932">
      <c r="A932" t="inlineStr">
        <is>
          <t>BBG000BWLZX9</t>
        </is>
      </c>
      <c r="B932" t="inlineStr">
        <is>
          <t>wash</t>
        </is>
      </c>
      <c r="C932" s="9" t="n">
        <v>-0.006731402917048435</v>
      </c>
      <c r="D932" s="3">
        <f>EXP(0.25*'3b-d Exposures'!G1145)</f>
        <v/>
      </c>
      <c r="E932" s="3">
        <f>IF('3b-d Exposures'!C1145="",0,'3b-d Exposures'!C1145)</f>
        <v/>
      </c>
      <c r="F932" s="3">
        <f>IF('3b-d Exposures'!E1145="",0,'3b-d Exposures'!E1145)</f>
        <v/>
      </c>
      <c r="G932" s="3">
        <f>IF('3b-d Exposures'!G1145="",0,'3b-d Exposures'!G1145)</f>
        <v/>
      </c>
      <c r="H932" s="3">
        <f>IF('3b-d Exposures'!I1145="",0,'3b-d Exposures'!I1145)</f>
        <v/>
      </c>
      <c r="I932" s="3">
        <f>IF('3b-d Exposures'!K1145="",0,'3b-d Exposures'!K1145)</f>
        <v/>
      </c>
      <c r="J932" s="3">
        <f>IF('3b-d Exposures'!M1145="",0,'3b-d Exposures'!M1145)</f>
        <v/>
      </c>
      <c r="K932" s="3">
        <f>IF('3b-d Exposures'!O1145="",0,'3b-d Exposures'!O1145)</f>
        <v/>
      </c>
      <c r="L932" s="3">
        <f>IF('3b-d Exposures'!Q1145="",0,'3b-d Exposures'!Q1145)</f>
        <v/>
      </c>
      <c r="M932" s="3">
        <f>IF('3b-d Exposures'!S1145="",0,'3b-d Exposures'!S1145)</f>
        <v/>
      </c>
      <c r="N932" s="3">
        <f>IF('3b-d Exposures'!Z1145="",0,'3b-d Exposures'!Z1145)</f>
        <v/>
      </c>
      <c r="O932" s="3">
        <f>$D932</f>
        <v/>
      </c>
      <c r="P932" s="3">
        <f>E932*$D932</f>
        <v/>
      </c>
      <c r="Q932" s="3">
        <f>F932*$D932</f>
        <v/>
      </c>
      <c r="R932" s="3">
        <f>G932*$D932</f>
        <v/>
      </c>
      <c r="S932" s="3">
        <f>H932*$D932</f>
        <v/>
      </c>
      <c r="T932" s="3">
        <f>I932*$D932</f>
        <v/>
      </c>
      <c r="U932" s="3">
        <f>J932*$D932</f>
        <v/>
      </c>
      <c r="V932" s="3">
        <f>K932*$D932</f>
        <v/>
      </c>
      <c r="W932" s="3">
        <f>L932*$D932</f>
        <v/>
      </c>
      <c r="X932" s="3">
        <f>M932*$D932</f>
        <v/>
      </c>
      <c r="Y932" s="3">
        <f>N932*$D932</f>
        <v/>
      </c>
      <c r="Z932" s="3">
        <f>C932*$D932</f>
        <v/>
      </c>
      <c r="AA932" s="9">
        <f>$L978+$K978*E932+$J978*F932+$I978*G932+$H978*H932+$G978*I932+$F978*J932+$E978*K932+$D978*L932+$C978*M932+$B978*N932</f>
        <v/>
      </c>
      <c r="AB932" s="9">
        <f>C932-AA932</f>
        <v/>
      </c>
      <c r="AC932" s="4">
        <f>AB932^2</f>
        <v/>
      </c>
    </row>
    <row r="933">
      <c r="A933" t="inlineStr">
        <is>
          <t>wat</t>
        </is>
      </c>
      <c r="B933" t="inlineStr">
        <is>
          <t>wat</t>
        </is>
      </c>
      <c r="C933" s="9" t="n">
        <v>0.00618632999391977</v>
      </c>
      <c r="D933" s="3">
        <f>EXP(0.25*'3b-d Exposures'!G1146)</f>
        <v/>
      </c>
      <c r="E933" s="3">
        <f>IF('3b-d Exposures'!C1146="",0,'3b-d Exposures'!C1146)</f>
        <v/>
      </c>
      <c r="F933" s="3">
        <f>IF('3b-d Exposures'!E1146="",0,'3b-d Exposures'!E1146)</f>
        <v/>
      </c>
      <c r="G933" s="3">
        <f>IF('3b-d Exposures'!G1146="",0,'3b-d Exposures'!G1146)</f>
        <v/>
      </c>
      <c r="H933" s="3">
        <f>IF('3b-d Exposures'!I1146="",0,'3b-d Exposures'!I1146)</f>
        <v/>
      </c>
      <c r="I933" s="3">
        <f>IF('3b-d Exposures'!K1146="",0,'3b-d Exposures'!K1146)</f>
        <v/>
      </c>
      <c r="J933" s="3">
        <f>IF('3b-d Exposures'!M1146="",0,'3b-d Exposures'!M1146)</f>
        <v/>
      </c>
      <c r="K933" s="3">
        <f>IF('3b-d Exposures'!O1146="",0,'3b-d Exposures'!O1146)</f>
        <v/>
      </c>
      <c r="L933" s="3">
        <f>IF('3b-d Exposures'!Q1146="",0,'3b-d Exposures'!Q1146)</f>
        <v/>
      </c>
      <c r="M933" s="3">
        <f>IF('3b-d Exposures'!S1146="",0,'3b-d Exposures'!S1146)</f>
        <v/>
      </c>
      <c r="N933" s="3">
        <f>IF('3b-d Exposures'!Z1146="",0,'3b-d Exposures'!Z1146)</f>
        <v/>
      </c>
      <c r="O933" s="3">
        <f>$D933</f>
        <v/>
      </c>
      <c r="P933" s="3">
        <f>E933*$D933</f>
        <v/>
      </c>
      <c r="Q933" s="3">
        <f>F933*$D933</f>
        <v/>
      </c>
      <c r="R933" s="3">
        <f>G933*$D933</f>
        <v/>
      </c>
      <c r="S933" s="3">
        <f>H933*$D933</f>
        <v/>
      </c>
      <c r="T933" s="3">
        <f>I933*$D933</f>
        <v/>
      </c>
      <c r="U933" s="3">
        <f>J933*$D933</f>
        <v/>
      </c>
      <c r="V933" s="3">
        <f>K933*$D933</f>
        <v/>
      </c>
      <c r="W933" s="3">
        <f>L933*$D933</f>
        <v/>
      </c>
      <c r="X933" s="3">
        <f>M933*$D933</f>
        <v/>
      </c>
      <c r="Y933" s="3">
        <f>N933*$D933</f>
        <v/>
      </c>
      <c r="Z933" s="3">
        <f>C933*$D933</f>
        <v/>
      </c>
      <c r="AA933" s="9">
        <f>$L978+$K978*E933+$J978*F933+$I978*G933+$H978*H933+$G978*I933+$F978*J933+$E978*K933+$D978*L933+$C978*M933+$B978*N933</f>
        <v/>
      </c>
      <c r="AB933" s="9">
        <f>C933-AA933</f>
        <v/>
      </c>
      <c r="AC933" s="4">
        <f>AB933^2</f>
        <v/>
      </c>
    </row>
    <row r="934">
      <c r="A934" t="inlineStr">
        <is>
          <t>BBG01JRQSDB9</t>
        </is>
      </c>
      <c r="B934" t="inlineStr">
        <is>
          <t>way</t>
        </is>
      </c>
      <c r="C934" s="9" t="n">
        <v>0</v>
      </c>
      <c r="D934" s="3">
        <f>EXP(0.25*'3b-d Exposures'!G1147)</f>
        <v/>
      </c>
      <c r="E934" s="3">
        <f>IF('3b-d Exposures'!C1147="",0,'3b-d Exposures'!C1147)</f>
        <v/>
      </c>
      <c r="F934" s="3">
        <f>IF('3b-d Exposures'!E1147="",0,'3b-d Exposures'!E1147)</f>
        <v/>
      </c>
      <c r="G934" s="3">
        <f>IF('3b-d Exposures'!G1147="",0,'3b-d Exposures'!G1147)</f>
        <v/>
      </c>
      <c r="H934" s="3">
        <f>IF('3b-d Exposures'!I1147="",0,'3b-d Exposures'!I1147)</f>
        <v/>
      </c>
      <c r="I934" s="3">
        <f>IF('3b-d Exposures'!K1147="",0,'3b-d Exposures'!K1147)</f>
        <v/>
      </c>
      <c r="J934" s="3">
        <f>IF('3b-d Exposures'!M1147="",0,'3b-d Exposures'!M1147)</f>
        <v/>
      </c>
      <c r="K934" s="3">
        <f>IF('3b-d Exposures'!O1147="",0,'3b-d Exposures'!O1147)</f>
        <v/>
      </c>
      <c r="L934" s="3">
        <f>IF('3b-d Exposures'!Q1147="",0,'3b-d Exposures'!Q1147)</f>
        <v/>
      </c>
      <c r="M934" s="3">
        <f>IF('3b-d Exposures'!S1147="",0,'3b-d Exposures'!S1147)</f>
        <v/>
      </c>
      <c r="N934" s="3">
        <f>IF('3b-d Exposures'!Z1147="",0,'3b-d Exposures'!Z1147)</f>
        <v/>
      </c>
      <c r="O934" s="3">
        <f>$D934</f>
        <v/>
      </c>
      <c r="P934" s="3">
        <f>E934*$D934</f>
        <v/>
      </c>
      <c r="Q934" s="3">
        <f>F934*$D934</f>
        <v/>
      </c>
      <c r="R934" s="3">
        <f>G934*$D934</f>
        <v/>
      </c>
      <c r="S934" s="3">
        <f>H934*$D934</f>
        <v/>
      </c>
      <c r="T934" s="3">
        <f>I934*$D934</f>
        <v/>
      </c>
      <c r="U934" s="3">
        <f>J934*$D934</f>
        <v/>
      </c>
      <c r="V934" s="3">
        <f>K934*$D934</f>
        <v/>
      </c>
      <c r="W934" s="3">
        <f>L934*$D934</f>
        <v/>
      </c>
      <c r="X934" s="3">
        <f>M934*$D934</f>
        <v/>
      </c>
      <c r="Y934" s="3">
        <f>N934*$D934</f>
        <v/>
      </c>
      <c r="Z934" s="3">
        <f>C934*$D934</f>
        <v/>
      </c>
      <c r="AA934" s="9">
        <f>$L978+$K978*E934+$J978*F934+$I978*G934+$H978*H934+$G978*I934+$F978*J934+$E978*K934+$D978*L934+$C978*M934+$B978*N934</f>
        <v/>
      </c>
      <c r="AB934" s="9">
        <f>C934-AA934</f>
        <v/>
      </c>
      <c r="AC934" s="4">
        <f>AB934^2</f>
        <v/>
      </c>
    </row>
    <row r="935">
      <c r="A935" t="inlineStr">
        <is>
          <t>BBG011386VF4</t>
        </is>
      </c>
      <c r="B935" t="inlineStr">
        <is>
          <t>wbd</t>
        </is>
      </c>
      <c r="C935" s="9" t="n">
        <v>0.007633671839197387</v>
      </c>
      <c r="D935" s="3">
        <f>EXP(0.25*'3b-d Exposures'!G1148)</f>
        <v/>
      </c>
      <c r="E935" s="3">
        <f>IF('3b-d Exposures'!C1148="",0,'3b-d Exposures'!C1148)</f>
        <v/>
      </c>
      <c r="F935" s="3">
        <f>IF('3b-d Exposures'!E1148="",0,'3b-d Exposures'!E1148)</f>
        <v/>
      </c>
      <c r="G935" s="3">
        <f>IF('3b-d Exposures'!G1148="",0,'3b-d Exposures'!G1148)</f>
        <v/>
      </c>
      <c r="H935" s="3">
        <f>IF('3b-d Exposures'!I1148="",0,'3b-d Exposures'!I1148)</f>
        <v/>
      </c>
      <c r="I935" s="3">
        <f>IF('3b-d Exposures'!K1148="",0,'3b-d Exposures'!K1148)</f>
        <v/>
      </c>
      <c r="J935" s="3">
        <f>IF('3b-d Exposures'!M1148="",0,'3b-d Exposures'!M1148)</f>
        <v/>
      </c>
      <c r="K935" s="3">
        <f>IF('3b-d Exposures'!O1148="",0,'3b-d Exposures'!O1148)</f>
        <v/>
      </c>
      <c r="L935" s="3">
        <f>IF('3b-d Exposures'!Q1148="",0,'3b-d Exposures'!Q1148)</f>
        <v/>
      </c>
      <c r="M935" s="3">
        <f>IF('3b-d Exposures'!S1148="",0,'3b-d Exposures'!S1148)</f>
        <v/>
      </c>
      <c r="N935" s="3">
        <f>IF('3b-d Exposures'!Z1148="",0,'3b-d Exposures'!Z1148)</f>
        <v/>
      </c>
      <c r="O935" s="3">
        <f>$D935</f>
        <v/>
      </c>
      <c r="P935" s="3">
        <f>E935*$D935</f>
        <v/>
      </c>
      <c r="Q935" s="3">
        <f>F935*$D935</f>
        <v/>
      </c>
      <c r="R935" s="3">
        <f>G935*$D935</f>
        <v/>
      </c>
      <c r="S935" s="3">
        <f>H935*$D935</f>
        <v/>
      </c>
      <c r="T935" s="3">
        <f>I935*$D935</f>
        <v/>
      </c>
      <c r="U935" s="3">
        <f>J935*$D935</f>
        <v/>
      </c>
      <c r="V935" s="3">
        <f>K935*$D935</f>
        <v/>
      </c>
      <c r="W935" s="3">
        <f>L935*$D935</f>
        <v/>
      </c>
      <c r="X935" s="3">
        <f>M935*$D935</f>
        <v/>
      </c>
      <c r="Y935" s="3">
        <f>N935*$D935</f>
        <v/>
      </c>
      <c r="Z935" s="3">
        <f>C935*$D935</f>
        <v/>
      </c>
      <c r="AA935" s="9">
        <f>$L978+$K978*E935+$J978*F935+$I978*G935+$H978*H935+$G978*I935+$F978*J935+$E978*K935+$D978*L935+$C978*M935+$B978*N935</f>
        <v/>
      </c>
      <c r="AB935" s="9">
        <f>C935-AA935</f>
        <v/>
      </c>
      <c r="AC935" s="4">
        <f>AB935^2</f>
        <v/>
      </c>
    </row>
    <row r="936">
      <c r="A936" t="inlineStr">
        <is>
          <t>BBG000BWMX63</t>
        </is>
      </c>
      <c r="B936" t="inlineStr">
        <is>
          <t>wbs</t>
        </is>
      </c>
      <c r="C936" s="9" t="n">
        <v>-0.01359670408321345</v>
      </c>
      <c r="D936" s="3">
        <f>EXP(0.25*'3b-d Exposures'!G1149)</f>
        <v/>
      </c>
      <c r="E936" s="3">
        <f>IF('3b-d Exposures'!C1149="",0,'3b-d Exposures'!C1149)</f>
        <v/>
      </c>
      <c r="F936" s="3">
        <f>IF('3b-d Exposures'!E1149="",0,'3b-d Exposures'!E1149)</f>
        <v/>
      </c>
      <c r="G936" s="3">
        <f>IF('3b-d Exposures'!G1149="",0,'3b-d Exposures'!G1149)</f>
        <v/>
      </c>
      <c r="H936" s="3">
        <f>IF('3b-d Exposures'!I1149="",0,'3b-d Exposures'!I1149)</f>
        <v/>
      </c>
      <c r="I936" s="3">
        <f>IF('3b-d Exposures'!K1149="",0,'3b-d Exposures'!K1149)</f>
        <v/>
      </c>
      <c r="J936" s="3">
        <f>IF('3b-d Exposures'!M1149="",0,'3b-d Exposures'!M1149)</f>
        <v/>
      </c>
      <c r="K936" s="3">
        <f>IF('3b-d Exposures'!O1149="",0,'3b-d Exposures'!O1149)</f>
        <v/>
      </c>
      <c r="L936" s="3">
        <f>IF('3b-d Exposures'!Q1149="",0,'3b-d Exposures'!Q1149)</f>
        <v/>
      </c>
      <c r="M936" s="3">
        <f>IF('3b-d Exposures'!S1149="",0,'3b-d Exposures'!S1149)</f>
        <v/>
      </c>
      <c r="N936" s="3">
        <f>IF('3b-d Exposures'!Z1149="",0,'3b-d Exposures'!Z1149)</f>
        <v/>
      </c>
      <c r="O936" s="3">
        <f>$D936</f>
        <v/>
      </c>
      <c r="P936" s="3">
        <f>E936*$D936</f>
        <v/>
      </c>
      <c r="Q936" s="3">
        <f>F936*$D936</f>
        <v/>
      </c>
      <c r="R936" s="3">
        <f>G936*$D936</f>
        <v/>
      </c>
      <c r="S936" s="3">
        <f>H936*$D936</f>
        <v/>
      </c>
      <c r="T936" s="3">
        <f>I936*$D936</f>
        <v/>
      </c>
      <c r="U936" s="3">
        <f>J936*$D936</f>
        <v/>
      </c>
      <c r="V936" s="3">
        <f>K936*$D936</f>
        <v/>
      </c>
      <c r="W936" s="3">
        <f>L936*$D936</f>
        <v/>
      </c>
      <c r="X936" s="3">
        <f>M936*$D936</f>
        <v/>
      </c>
      <c r="Y936" s="3">
        <f>N936*$D936</f>
        <v/>
      </c>
      <c r="Z936" s="3">
        <f>C936*$D936</f>
        <v/>
      </c>
      <c r="AA936" s="9">
        <f>$L978+$K978*E936+$J978*F936+$I978*G936+$H978*H936+$G978*I936+$F978*J936+$E978*K936+$D978*L936+$C978*M936+$B978*N936</f>
        <v/>
      </c>
      <c r="AB936" s="9">
        <f>C936-AA936</f>
        <v/>
      </c>
      <c r="AC936" s="4">
        <f>AB936^2</f>
        <v/>
      </c>
    </row>
    <row r="937">
      <c r="A937" t="inlineStr">
        <is>
          <t>BBG000VC0T95</t>
        </is>
      </c>
      <c r="B937" t="inlineStr">
        <is>
          <t>wday</t>
        </is>
      </c>
      <c r="C937" s="9" t="n">
        <v>0.005880239963206524</v>
      </c>
      <c r="D937" s="3">
        <f>EXP(0.25*'3b-d Exposures'!G1151)</f>
        <v/>
      </c>
      <c r="E937" s="3">
        <f>IF('3b-d Exposures'!C1151="",0,'3b-d Exposures'!C1151)</f>
        <v/>
      </c>
      <c r="F937" s="3">
        <f>IF('3b-d Exposures'!E1151="",0,'3b-d Exposures'!E1151)</f>
        <v/>
      </c>
      <c r="G937" s="3">
        <f>IF('3b-d Exposures'!G1151="",0,'3b-d Exposures'!G1151)</f>
        <v/>
      </c>
      <c r="H937" s="3">
        <f>IF('3b-d Exposures'!I1151="",0,'3b-d Exposures'!I1151)</f>
        <v/>
      </c>
      <c r="I937" s="3">
        <f>IF('3b-d Exposures'!K1151="",0,'3b-d Exposures'!K1151)</f>
        <v/>
      </c>
      <c r="J937" s="3">
        <f>IF('3b-d Exposures'!M1151="",0,'3b-d Exposures'!M1151)</f>
        <v/>
      </c>
      <c r="K937" s="3">
        <f>IF('3b-d Exposures'!O1151="",0,'3b-d Exposures'!O1151)</f>
        <v/>
      </c>
      <c r="L937" s="3">
        <f>IF('3b-d Exposures'!Q1151="",0,'3b-d Exposures'!Q1151)</f>
        <v/>
      </c>
      <c r="M937" s="3">
        <f>IF('3b-d Exposures'!S1151="",0,'3b-d Exposures'!S1151)</f>
        <v/>
      </c>
      <c r="N937" s="3">
        <f>IF('3b-d Exposures'!Z1151="",0,'3b-d Exposures'!Z1151)</f>
        <v/>
      </c>
      <c r="O937" s="3">
        <f>$D937</f>
        <v/>
      </c>
      <c r="P937" s="3">
        <f>E937*$D937</f>
        <v/>
      </c>
      <c r="Q937" s="3">
        <f>F937*$D937</f>
        <v/>
      </c>
      <c r="R937" s="3">
        <f>G937*$D937</f>
        <v/>
      </c>
      <c r="S937" s="3">
        <f>H937*$D937</f>
        <v/>
      </c>
      <c r="T937" s="3">
        <f>I937*$D937</f>
        <v/>
      </c>
      <c r="U937" s="3">
        <f>J937*$D937</f>
        <v/>
      </c>
      <c r="V937" s="3">
        <f>K937*$D937</f>
        <v/>
      </c>
      <c r="W937" s="3">
        <f>L937*$D937</f>
        <v/>
      </c>
      <c r="X937" s="3">
        <f>M937*$D937</f>
        <v/>
      </c>
      <c r="Y937" s="3">
        <f>N937*$D937</f>
        <v/>
      </c>
      <c r="Z937" s="3">
        <f>C937*$D937</f>
        <v/>
      </c>
      <c r="AA937" s="9">
        <f>$L978+$K978*E937+$J978*F937+$I978*G937+$H978*H937+$G978*I937+$F978*J937+$E978*K937+$D978*L937+$C978*M937+$B978*N937</f>
        <v/>
      </c>
      <c r="AB937" s="9">
        <f>C937-AA937</f>
        <v/>
      </c>
      <c r="AC937" s="4">
        <f>AB937^2</f>
        <v/>
      </c>
    </row>
    <row r="938">
      <c r="A938" t="inlineStr">
        <is>
          <t>BBG000BWNFZ9</t>
        </is>
      </c>
      <c r="B938" t="inlineStr">
        <is>
          <t>wdc</t>
        </is>
      </c>
      <c r="C938" s="9" t="n">
        <v>0.006028302954262266</v>
      </c>
      <c r="D938" s="3">
        <f>EXP(0.25*'3b-d Exposures'!G1152)</f>
        <v/>
      </c>
      <c r="E938" s="3">
        <f>IF('3b-d Exposures'!C1152="",0,'3b-d Exposures'!C1152)</f>
        <v/>
      </c>
      <c r="F938" s="3">
        <f>IF('3b-d Exposures'!E1152="",0,'3b-d Exposures'!E1152)</f>
        <v/>
      </c>
      <c r="G938" s="3">
        <f>IF('3b-d Exposures'!G1152="",0,'3b-d Exposures'!G1152)</f>
        <v/>
      </c>
      <c r="H938" s="3">
        <f>IF('3b-d Exposures'!I1152="",0,'3b-d Exposures'!I1152)</f>
        <v/>
      </c>
      <c r="I938" s="3">
        <f>IF('3b-d Exposures'!K1152="",0,'3b-d Exposures'!K1152)</f>
        <v/>
      </c>
      <c r="J938" s="3">
        <f>IF('3b-d Exposures'!M1152="",0,'3b-d Exposures'!M1152)</f>
        <v/>
      </c>
      <c r="K938" s="3">
        <f>IF('3b-d Exposures'!O1152="",0,'3b-d Exposures'!O1152)</f>
        <v/>
      </c>
      <c r="L938" s="3">
        <f>IF('3b-d Exposures'!Q1152="",0,'3b-d Exposures'!Q1152)</f>
        <v/>
      </c>
      <c r="M938" s="3">
        <f>IF('3b-d Exposures'!S1152="",0,'3b-d Exposures'!S1152)</f>
        <v/>
      </c>
      <c r="N938" s="3">
        <f>IF('3b-d Exposures'!Z1152="",0,'3b-d Exposures'!Z1152)</f>
        <v/>
      </c>
      <c r="O938" s="3">
        <f>$D938</f>
        <v/>
      </c>
      <c r="P938" s="3">
        <f>E938*$D938</f>
        <v/>
      </c>
      <c r="Q938" s="3">
        <f>F938*$D938</f>
        <v/>
      </c>
      <c r="R938" s="3">
        <f>G938*$D938</f>
        <v/>
      </c>
      <c r="S938" s="3">
        <f>H938*$D938</f>
        <v/>
      </c>
      <c r="T938" s="3">
        <f>I938*$D938</f>
        <v/>
      </c>
      <c r="U938" s="3">
        <f>J938*$D938</f>
        <v/>
      </c>
      <c r="V938" s="3">
        <f>K938*$D938</f>
        <v/>
      </c>
      <c r="W938" s="3">
        <f>L938*$D938</f>
        <v/>
      </c>
      <c r="X938" s="3">
        <f>M938*$D938</f>
        <v/>
      </c>
      <c r="Y938" s="3">
        <f>N938*$D938</f>
        <v/>
      </c>
      <c r="Z938" s="3">
        <f>C938*$D938</f>
        <v/>
      </c>
      <c r="AA938" s="9">
        <f>$L978+$K978*E938+$J978*F938+$I978*G938+$H978*H938+$G978*I938+$F978*J938+$E978*K938+$D978*L938+$C978*M938+$B978*N938</f>
        <v/>
      </c>
      <c r="AB938" s="9">
        <f>C938-AA938</f>
        <v/>
      </c>
      <c r="AC938" s="4">
        <f>AB938^2</f>
        <v/>
      </c>
    </row>
    <row r="939">
      <c r="A939" t="inlineStr">
        <is>
          <t>BBG000BWP7D9</t>
        </is>
      </c>
      <c r="B939" t="inlineStr">
        <is>
          <t>wec</t>
        </is>
      </c>
      <c r="C939" s="9" t="n">
        <v>-0.01375553150486308</v>
      </c>
      <c r="D939" s="3">
        <f>EXP(0.25*'3b-d Exposures'!G1153)</f>
        <v/>
      </c>
      <c r="E939" s="3">
        <f>IF('3b-d Exposures'!C1153="",0,'3b-d Exposures'!C1153)</f>
        <v/>
      </c>
      <c r="F939" s="3">
        <f>IF('3b-d Exposures'!E1153="",0,'3b-d Exposures'!E1153)</f>
        <v/>
      </c>
      <c r="G939" s="3">
        <f>IF('3b-d Exposures'!G1153="",0,'3b-d Exposures'!G1153)</f>
        <v/>
      </c>
      <c r="H939" s="3">
        <f>IF('3b-d Exposures'!I1153="",0,'3b-d Exposures'!I1153)</f>
        <v/>
      </c>
      <c r="I939" s="3">
        <f>IF('3b-d Exposures'!K1153="",0,'3b-d Exposures'!K1153)</f>
        <v/>
      </c>
      <c r="J939" s="3">
        <f>IF('3b-d Exposures'!M1153="",0,'3b-d Exposures'!M1153)</f>
        <v/>
      </c>
      <c r="K939" s="3">
        <f>IF('3b-d Exposures'!O1153="",0,'3b-d Exposures'!O1153)</f>
        <v/>
      </c>
      <c r="L939" s="3">
        <f>IF('3b-d Exposures'!Q1153="",0,'3b-d Exposures'!Q1153)</f>
        <v/>
      </c>
      <c r="M939" s="3">
        <f>IF('3b-d Exposures'!S1153="",0,'3b-d Exposures'!S1153)</f>
        <v/>
      </c>
      <c r="N939" s="3">
        <f>IF('3b-d Exposures'!Z1153="",0,'3b-d Exposures'!Z1153)</f>
        <v/>
      </c>
      <c r="O939" s="3">
        <f>$D939</f>
        <v/>
      </c>
      <c r="P939" s="3">
        <f>E939*$D939</f>
        <v/>
      </c>
      <c r="Q939" s="3">
        <f>F939*$D939</f>
        <v/>
      </c>
      <c r="R939" s="3">
        <f>G939*$D939</f>
        <v/>
      </c>
      <c r="S939" s="3">
        <f>H939*$D939</f>
        <v/>
      </c>
      <c r="T939" s="3">
        <f>I939*$D939</f>
        <v/>
      </c>
      <c r="U939" s="3">
        <f>J939*$D939</f>
        <v/>
      </c>
      <c r="V939" s="3">
        <f>K939*$D939</f>
        <v/>
      </c>
      <c r="W939" s="3">
        <f>L939*$D939</f>
        <v/>
      </c>
      <c r="X939" s="3">
        <f>M939*$D939</f>
        <v/>
      </c>
      <c r="Y939" s="3">
        <f>N939*$D939</f>
        <v/>
      </c>
      <c r="Z939" s="3">
        <f>C939*$D939</f>
        <v/>
      </c>
      <c r="AA939" s="9">
        <f>$L978+$K978*E939+$J978*F939+$I978*G939+$H978*H939+$G978*I939+$F978*J939+$E978*K939+$D978*L939+$C978*M939+$B978*N939</f>
        <v/>
      </c>
      <c r="AB939" s="9">
        <f>C939-AA939</f>
        <v/>
      </c>
      <c r="AC939" s="4">
        <f>AB939^2</f>
        <v/>
      </c>
    </row>
    <row r="940">
      <c r="A940" t="inlineStr">
        <is>
          <t>BBG000BKY1G5</t>
        </is>
      </c>
      <c r="B940" t="inlineStr">
        <is>
          <t>well</t>
        </is>
      </c>
      <c r="C940" s="9" t="n">
        <v>-0.03003315229689973</v>
      </c>
      <c r="D940" s="3">
        <f>EXP(0.25*'3b-d Exposures'!G1154)</f>
        <v/>
      </c>
      <c r="E940" s="3">
        <f>IF('3b-d Exposures'!C1154="",0,'3b-d Exposures'!C1154)</f>
        <v/>
      </c>
      <c r="F940" s="3">
        <f>IF('3b-d Exposures'!E1154="",0,'3b-d Exposures'!E1154)</f>
        <v/>
      </c>
      <c r="G940" s="3">
        <f>IF('3b-d Exposures'!G1154="",0,'3b-d Exposures'!G1154)</f>
        <v/>
      </c>
      <c r="H940" s="3">
        <f>IF('3b-d Exposures'!I1154="",0,'3b-d Exposures'!I1154)</f>
        <v/>
      </c>
      <c r="I940" s="3">
        <f>IF('3b-d Exposures'!K1154="",0,'3b-d Exposures'!K1154)</f>
        <v/>
      </c>
      <c r="J940" s="3">
        <f>IF('3b-d Exposures'!M1154="",0,'3b-d Exposures'!M1154)</f>
        <v/>
      </c>
      <c r="K940" s="3">
        <f>IF('3b-d Exposures'!O1154="",0,'3b-d Exposures'!O1154)</f>
        <v/>
      </c>
      <c r="L940" s="3">
        <f>IF('3b-d Exposures'!Q1154="",0,'3b-d Exposures'!Q1154)</f>
        <v/>
      </c>
      <c r="M940" s="3">
        <f>IF('3b-d Exposures'!S1154="",0,'3b-d Exposures'!S1154)</f>
        <v/>
      </c>
      <c r="N940" s="3">
        <f>IF('3b-d Exposures'!Z1154="",0,'3b-d Exposures'!Z1154)</f>
        <v/>
      </c>
      <c r="O940" s="3">
        <f>$D940</f>
        <v/>
      </c>
      <c r="P940" s="3">
        <f>E940*$D940</f>
        <v/>
      </c>
      <c r="Q940" s="3">
        <f>F940*$D940</f>
        <v/>
      </c>
      <c r="R940" s="3">
        <f>G940*$D940</f>
        <v/>
      </c>
      <c r="S940" s="3">
        <f>H940*$D940</f>
        <v/>
      </c>
      <c r="T940" s="3">
        <f>I940*$D940</f>
        <v/>
      </c>
      <c r="U940" s="3">
        <f>J940*$D940</f>
        <v/>
      </c>
      <c r="V940" s="3">
        <f>K940*$D940</f>
        <v/>
      </c>
      <c r="W940" s="3">
        <f>L940*$D940</f>
        <v/>
      </c>
      <c r="X940" s="3">
        <f>M940*$D940</f>
        <v/>
      </c>
      <c r="Y940" s="3">
        <f>N940*$D940</f>
        <v/>
      </c>
      <c r="Z940" s="3">
        <f>C940*$D940</f>
        <v/>
      </c>
      <c r="AA940" s="9">
        <f>$L978+$K978*E940+$J978*F940+$I978*G940+$H978*H940+$G978*I940+$F978*J940+$E978*K940+$D978*L940+$C978*M940+$B978*N940</f>
        <v/>
      </c>
      <c r="AB940" s="9">
        <f>C940-AA940</f>
        <v/>
      </c>
      <c r="AC940" s="4">
        <f>AB940^2</f>
        <v/>
      </c>
    </row>
    <row r="941">
      <c r="A941" t="inlineStr">
        <is>
          <t>BBG000D52545</t>
        </is>
      </c>
      <c r="B941" t="inlineStr">
        <is>
          <t>wen</t>
        </is>
      </c>
      <c r="C941" s="9" t="n">
        <v>-0.002761127002341324</v>
      </c>
      <c r="D941" s="3">
        <f>EXP(0.25*'3b-d Exposures'!G1155)</f>
        <v/>
      </c>
      <c r="E941" s="3">
        <f>IF('3b-d Exposures'!C1155="",0,'3b-d Exposures'!C1155)</f>
        <v/>
      </c>
      <c r="F941" s="3">
        <f>IF('3b-d Exposures'!E1155="",0,'3b-d Exposures'!E1155)</f>
        <v/>
      </c>
      <c r="G941" s="3">
        <f>IF('3b-d Exposures'!G1155="",0,'3b-d Exposures'!G1155)</f>
        <v/>
      </c>
      <c r="H941" s="3">
        <f>IF('3b-d Exposures'!I1155="",0,'3b-d Exposures'!I1155)</f>
        <v/>
      </c>
      <c r="I941" s="3">
        <f>IF('3b-d Exposures'!K1155="",0,'3b-d Exposures'!K1155)</f>
        <v/>
      </c>
      <c r="J941" s="3">
        <f>IF('3b-d Exposures'!M1155="",0,'3b-d Exposures'!M1155)</f>
        <v/>
      </c>
      <c r="K941" s="3">
        <f>IF('3b-d Exposures'!O1155="",0,'3b-d Exposures'!O1155)</f>
        <v/>
      </c>
      <c r="L941" s="3">
        <f>IF('3b-d Exposures'!Q1155="",0,'3b-d Exposures'!Q1155)</f>
        <v/>
      </c>
      <c r="M941" s="3">
        <f>IF('3b-d Exposures'!S1155="",0,'3b-d Exposures'!S1155)</f>
        <v/>
      </c>
      <c r="N941" s="3">
        <f>IF('3b-d Exposures'!Z1155="",0,'3b-d Exposures'!Z1155)</f>
        <v/>
      </c>
      <c r="O941" s="3">
        <f>$D941</f>
        <v/>
      </c>
      <c r="P941" s="3">
        <f>E941*$D941</f>
        <v/>
      </c>
      <c r="Q941" s="3">
        <f>F941*$D941</f>
        <v/>
      </c>
      <c r="R941" s="3">
        <f>G941*$D941</f>
        <v/>
      </c>
      <c r="S941" s="3">
        <f>H941*$D941</f>
        <v/>
      </c>
      <c r="T941" s="3">
        <f>I941*$D941</f>
        <v/>
      </c>
      <c r="U941" s="3">
        <f>J941*$D941</f>
        <v/>
      </c>
      <c r="V941" s="3">
        <f>K941*$D941</f>
        <v/>
      </c>
      <c r="W941" s="3">
        <f>L941*$D941</f>
        <v/>
      </c>
      <c r="X941" s="3">
        <f>M941*$D941</f>
        <v/>
      </c>
      <c r="Y941" s="3">
        <f>N941*$D941</f>
        <v/>
      </c>
      <c r="Z941" s="3">
        <f>C941*$D941</f>
        <v/>
      </c>
      <c r="AA941" s="9">
        <f>$L978+$K978*E941+$J978*F941+$I978*G941+$H978*H941+$G978*I941+$F978*J941+$E978*K941+$D978*L941+$C978*M941+$B978*N941</f>
        <v/>
      </c>
      <c r="AB941" s="9">
        <f>C941-AA941</f>
        <v/>
      </c>
      <c r="AC941" s="4">
        <f>AB941^2</f>
        <v/>
      </c>
    </row>
    <row r="942">
      <c r="A942" t="inlineStr">
        <is>
          <t>BBG000BVZP59</t>
        </is>
      </c>
      <c r="B942" t="inlineStr">
        <is>
          <t>wex</t>
        </is>
      </c>
      <c r="C942" s="9" t="n">
        <v>0.003339285549637472</v>
      </c>
      <c r="D942" s="3">
        <f>EXP(0.25*'3b-d Exposures'!G1157)</f>
        <v/>
      </c>
      <c r="E942" s="3">
        <f>IF('3b-d Exposures'!C1157="",0,'3b-d Exposures'!C1157)</f>
        <v/>
      </c>
      <c r="F942" s="3">
        <f>IF('3b-d Exposures'!E1157="",0,'3b-d Exposures'!E1157)</f>
        <v/>
      </c>
      <c r="G942" s="3">
        <f>IF('3b-d Exposures'!G1157="",0,'3b-d Exposures'!G1157)</f>
        <v/>
      </c>
      <c r="H942" s="3">
        <f>IF('3b-d Exposures'!I1157="",0,'3b-d Exposures'!I1157)</f>
        <v/>
      </c>
      <c r="I942" s="3">
        <f>IF('3b-d Exposures'!K1157="",0,'3b-d Exposures'!K1157)</f>
        <v/>
      </c>
      <c r="J942" s="3">
        <f>IF('3b-d Exposures'!M1157="",0,'3b-d Exposures'!M1157)</f>
        <v/>
      </c>
      <c r="K942" s="3">
        <f>IF('3b-d Exposures'!O1157="",0,'3b-d Exposures'!O1157)</f>
        <v/>
      </c>
      <c r="L942" s="3">
        <f>IF('3b-d Exposures'!Q1157="",0,'3b-d Exposures'!Q1157)</f>
        <v/>
      </c>
      <c r="M942" s="3">
        <f>IF('3b-d Exposures'!S1157="",0,'3b-d Exposures'!S1157)</f>
        <v/>
      </c>
      <c r="N942" s="3">
        <f>IF('3b-d Exposures'!Z1157="",0,'3b-d Exposures'!Z1157)</f>
        <v/>
      </c>
      <c r="O942" s="3">
        <f>$D942</f>
        <v/>
      </c>
      <c r="P942" s="3">
        <f>E942*$D942</f>
        <v/>
      </c>
      <c r="Q942" s="3">
        <f>F942*$D942</f>
        <v/>
      </c>
      <c r="R942" s="3">
        <f>G942*$D942</f>
        <v/>
      </c>
      <c r="S942" s="3">
        <f>H942*$D942</f>
        <v/>
      </c>
      <c r="T942" s="3">
        <f>I942*$D942</f>
        <v/>
      </c>
      <c r="U942" s="3">
        <f>J942*$D942</f>
        <v/>
      </c>
      <c r="V942" s="3">
        <f>K942*$D942</f>
        <v/>
      </c>
      <c r="W942" s="3">
        <f>L942*$D942</f>
        <v/>
      </c>
      <c r="X942" s="3">
        <f>M942*$D942</f>
        <v/>
      </c>
      <c r="Y942" s="3">
        <f>N942*$D942</f>
        <v/>
      </c>
      <c r="Z942" s="3">
        <f>C942*$D942</f>
        <v/>
      </c>
      <c r="AA942" s="9">
        <f>$L978+$K978*E942+$J978*F942+$I978*G942+$H978*H942+$G978*I942+$F978*J942+$E978*K942+$D978*L942+$C978*M942+$B978*N942</f>
        <v/>
      </c>
      <c r="AB942" s="9">
        <f>C942-AA942</f>
        <v/>
      </c>
      <c r="AC942" s="4">
        <f>AB942^2</f>
        <v/>
      </c>
    </row>
    <row r="943">
      <c r="A943" t="inlineStr">
        <is>
          <t>BBG000BWQFY7</t>
        </is>
      </c>
      <c r="B943" t="inlineStr">
        <is>
          <t>wfc</t>
        </is>
      </c>
      <c r="C943" s="9" t="n">
        <v>-0.01168440995069175</v>
      </c>
      <c r="D943" s="3">
        <f>EXP(0.25*'3b-d Exposures'!G1158)</f>
        <v/>
      </c>
      <c r="E943" s="3">
        <f>IF('3b-d Exposures'!C1158="",0,'3b-d Exposures'!C1158)</f>
        <v/>
      </c>
      <c r="F943" s="3">
        <f>IF('3b-d Exposures'!E1158="",0,'3b-d Exposures'!E1158)</f>
        <v/>
      </c>
      <c r="G943" s="3">
        <f>IF('3b-d Exposures'!G1158="",0,'3b-d Exposures'!G1158)</f>
        <v/>
      </c>
      <c r="H943" s="3">
        <f>IF('3b-d Exposures'!I1158="",0,'3b-d Exposures'!I1158)</f>
        <v/>
      </c>
      <c r="I943" s="3">
        <f>IF('3b-d Exposures'!K1158="",0,'3b-d Exposures'!K1158)</f>
        <v/>
      </c>
      <c r="J943" s="3">
        <f>IF('3b-d Exposures'!M1158="",0,'3b-d Exposures'!M1158)</f>
        <v/>
      </c>
      <c r="K943" s="3">
        <f>IF('3b-d Exposures'!O1158="",0,'3b-d Exposures'!O1158)</f>
        <v/>
      </c>
      <c r="L943" s="3">
        <f>IF('3b-d Exposures'!Q1158="",0,'3b-d Exposures'!Q1158)</f>
        <v/>
      </c>
      <c r="M943" s="3">
        <f>IF('3b-d Exposures'!S1158="",0,'3b-d Exposures'!S1158)</f>
        <v/>
      </c>
      <c r="N943" s="3">
        <f>IF('3b-d Exposures'!Z1158="",0,'3b-d Exposures'!Z1158)</f>
        <v/>
      </c>
      <c r="O943" s="3">
        <f>$D943</f>
        <v/>
      </c>
      <c r="P943" s="3">
        <f>E943*$D943</f>
        <v/>
      </c>
      <c r="Q943" s="3">
        <f>F943*$D943</f>
        <v/>
      </c>
      <c r="R943" s="3">
        <f>G943*$D943</f>
        <v/>
      </c>
      <c r="S943" s="3">
        <f>H943*$D943</f>
        <v/>
      </c>
      <c r="T943" s="3">
        <f>I943*$D943</f>
        <v/>
      </c>
      <c r="U943" s="3">
        <f>J943*$D943</f>
        <v/>
      </c>
      <c r="V943" s="3">
        <f>K943*$D943</f>
        <v/>
      </c>
      <c r="W943" s="3">
        <f>L943*$D943</f>
        <v/>
      </c>
      <c r="X943" s="3">
        <f>M943*$D943</f>
        <v/>
      </c>
      <c r="Y943" s="3">
        <f>N943*$D943</f>
        <v/>
      </c>
      <c r="Z943" s="3">
        <f>C943*$D943</f>
        <v/>
      </c>
      <c r="AA943" s="9">
        <f>$L978+$K978*E943+$J978*F943+$I978*G943+$H978*H943+$G978*I943+$F978*J943+$E978*K943+$D978*L943+$C978*M943+$B978*N943</f>
        <v/>
      </c>
      <c r="AB943" s="9">
        <f>C943-AA943</f>
        <v/>
      </c>
      <c r="AC943" s="4">
        <f>AB943^2</f>
        <v/>
      </c>
    </row>
    <row r="944">
      <c r="A944" t="inlineStr">
        <is>
          <t>BBG000BWSV34</t>
        </is>
      </c>
      <c r="B944" t="inlineStr">
        <is>
          <t>whr</t>
        </is>
      </c>
      <c r="C944" s="9" t="n">
        <v>-0.006013297200368584</v>
      </c>
      <c r="D944" s="3">
        <f>EXP(0.25*'3b-d Exposures'!G1159)</f>
        <v/>
      </c>
      <c r="E944" s="3">
        <f>IF('3b-d Exposures'!C1159="",0,'3b-d Exposures'!C1159)</f>
        <v/>
      </c>
      <c r="F944" s="3">
        <f>IF('3b-d Exposures'!E1159="",0,'3b-d Exposures'!E1159)</f>
        <v/>
      </c>
      <c r="G944" s="3">
        <f>IF('3b-d Exposures'!G1159="",0,'3b-d Exposures'!G1159)</f>
        <v/>
      </c>
      <c r="H944" s="3">
        <f>IF('3b-d Exposures'!I1159="",0,'3b-d Exposures'!I1159)</f>
        <v/>
      </c>
      <c r="I944" s="3">
        <f>IF('3b-d Exposures'!K1159="",0,'3b-d Exposures'!K1159)</f>
        <v/>
      </c>
      <c r="J944" s="3">
        <f>IF('3b-d Exposures'!M1159="",0,'3b-d Exposures'!M1159)</f>
        <v/>
      </c>
      <c r="K944" s="3">
        <f>IF('3b-d Exposures'!O1159="",0,'3b-d Exposures'!O1159)</f>
        <v/>
      </c>
      <c r="L944" s="3">
        <f>IF('3b-d Exposures'!Q1159="",0,'3b-d Exposures'!Q1159)</f>
        <v/>
      </c>
      <c r="M944" s="3">
        <f>IF('3b-d Exposures'!S1159="",0,'3b-d Exposures'!S1159)</f>
        <v/>
      </c>
      <c r="N944" s="3">
        <f>IF('3b-d Exposures'!Z1159="",0,'3b-d Exposures'!Z1159)</f>
        <v/>
      </c>
      <c r="O944" s="3">
        <f>$D944</f>
        <v/>
      </c>
      <c r="P944" s="3">
        <f>E944*$D944</f>
        <v/>
      </c>
      <c r="Q944" s="3">
        <f>F944*$D944</f>
        <v/>
      </c>
      <c r="R944" s="3">
        <f>G944*$D944</f>
        <v/>
      </c>
      <c r="S944" s="3">
        <f>H944*$D944</f>
        <v/>
      </c>
      <c r="T944" s="3">
        <f>I944*$D944</f>
        <v/>
      </c>
      <c r="U944" s="3">
        <f>J944*$D944</f>
        <v/>
      </c>
      <c r="V944" s="3">
        <f>K944*$D944</f>
        <v/>
      </c>
      <c r="W944" s="3">
        <f>L944*$D944</f>
        <v/>
      </c>
      <c r="X944" s="3">
        <f>M944*$D944</f>
        <v/>
      </c>
      <c r="Y944" s="3">
        <f>N944*$D944</f>
        <v/>
      </c>
      <c r="Z944" s="3">
        <f>C944*$D944</f>
        <v/>
      </c>
      <c r="AA944" s="9">
        <f>$L978+$K978*E944+$J978*F944+$I978*G944+$H978*H944+$G978*I944+$F978*J944+$E978*K944+$D978*L944+$C978*M944+$B978*N944</f>
        <v/>
      </c>
      <c r="AB944" s="9">
        <f>C944-AA944</f>
        <v/>
      </c>
      <c r="AC944" s="4">
        <f>AB944^2</f>
        <v/>
      </c>
    </row>
    <row r="945">
      <c r="A945" t="inlineStr">
        <is>
          <t>BBG007BVZ8H9</t>
        </is>
      </c>
      <c r="B945" t="inlineStr">
        <is>
          <t>wk</t>
        </is>
      </c>
      <c r="C945" s="9" t="n">
        <v>0.00874034420690073</v>
      </c>
      <c r="D945" s="3">
        <f>EXP(0.25*'3b-d Exposures'!G1160)</f>
        <v/>
      </c>
      <c r="E945" s="3">
        <f>IF('3b-d Exposures'!C1160="",0,'3b-d Exposures'!C1160)</f>
        <v/>
      </c>
      <c r="F945" s="3">
        <f>IF('3b-d Exposures'!E1160="",0,'3b-d Exposures'!E1160)</f>
        <v/>
      </c>
      <c r="G945" s="3">
        <f>IF('3b-d Exposures'!G1160="",0,'3b-d Exposures'!G1160)</f>
        <v/>
      </c>
      <c r="H945" s="3">
        <f>IF('3b-d Exposures'!I1160="",0,'3b-d Exposures'!I1160)</f>
        <v/>
      </c>
      <c r="I945" s="3">
        <f>IF('3b-d Exposures'!K1160="",0,'3b-d Exposures'!K1160)</f>
        <v/>
      </c>
      <c r="J945" s="3">
        <f>IF('3b-d Exposures'!M1160="",0,'3b-d Exposures'!M1160)</f>
        <v/>
      </c>
      <c r="K945" s="3">
        <f>IF('3b-d Exposures'!O1160="",0,'3b-d Exposures'!O1160)</f>
        <v/>
      </c>
      <c r="L945" s="3">
        <f>IF('3b-d Exposures'!Q1160="",0,'3b-d Exposures'!Q1160)</f>
        <v/>
      </c>
      <c r="M945" s="3">
        <f>IF('3b-d Exposures'!S1160="",0,'3b-d Exposures'!S1160)</f>
        <v/>
      </c>
      <c r="N945" s="3">
        <f>IF('3b-d Exposures'!Z1160="",0,'3b-d Exposures'!Z1160)</f>
        <v/>
      </c>
      <c r="O945" s="3">
        <f>$D945</f>
        <v/>
      </c>
      <c r="P945" s="3">
        <f>E945*$D945</f>
        <v/>
      </c>
      <c r="Q945" s="3">
        <f>F945*$D945</f>
        <v/>
      </c>
      <c r="R945" s="3">
        <f>G945*$D945</f>
        <v/>
      </c>
      <c r="S945" s="3">
        <f>H945*$D945</f>
        <v/>
      </c>
      <c r="T945" s="3">
        <f>I945*$D945</f>
        <v/>
      </c>
      <c r="U945" s="3">
        <f>J945*$D945</f>
        <v/>
      </c>
      <c r="V945" s="3">
        <f>K945*$D945</f>
        <v/>
      </c>
      <c r="W945" s="3">
        <f>L945*$D945</f>
        <v/>
      </c>
      <c r="X945" s="3">
        <f>M945*$D945</f>
        <v/>
      </c>
      <c r="Y945" s="3">
        <f>N945*$D945</f>
        <v/>
      </c>
      <c r="Z945" s="3">
        <f>C945*$D945</f>
        <v/>
      </c>
      <c r="AA945" s="9">
        <f>$L978+$K978*E945+$J978*F945+$I978*G945+$H978*H945+$G978*I945+$F978*J945+$E978*K945+$D978*L945+$C978*M945+$B978*N945</f>
        <v/>
      </c>
      <c r="AB945" s="9">
        <f>C945-AA945</f>
        <v/>
      </c>
      <c r="AC945" s="4">
        <f>AB945^2</f>
        <v/>
      </c>
    </row>
    <row r="946">
      <c r="A946" t="inlineStr">
        <is>
          <t>BBG000PXZFW2</t>
        </is>
      </c>
      <c r="B946" t="inlineStr">
        <is>
          <t>wlk</t>
        </is>
      </c>
      <c r="C946" s="9" t="n">
        <v>0.002180730004119225</v>
      </c>
      <c r="D946" s="3">
        <f>EXP(0.25*'3b-d Exposures'!G1161)</f>
        <v/>
      </c>
      <c r="E946" s="3">
        <f>IF('3b-d Exposures'!C1161="",0,'3b-d Exposures'!C1161)</f>
        <v/>
      </c>
      <c r="F946" s="3">
        <f>IF('3b-d Exposures'!E1161="",0,'3b-d Exposures'!E1161)</f>
        <v/>
      </c>
      <c r="G946" s="3">
        <f>IF('3b-d Exposures'!G1161="",0,'3b-d Exposures'!G1161)</f>
        <v/>
      </c>
      <c r="H946" s="3">
        <f>IF('3b-d Exposures'!I1161="",0,'3b-d Exposures'!I1161)</f>
        <v/>
      </c>
      <c r="I946" s="3">
        <f>IF('3b-d Exposures'!K1161="",0,'3b-d Exposures'!K1161)</f>
        <v/>
      </c>
      <c r="J946" s="3">
        <f>IF('3b-d Exposures'!M1161="",0,'3b-d Exposures'!M1161)</f>
        <v/>
      </c>
      <c r="K946" s="3">
        <f>IF('3b-d Exposures'!O1161="",0,'3b-d Exposures'!O1161)</f>
        <v/>
      </c>
      <c r="L946" s="3">
        <f>IF('3b-d Exposures'!Q1161="",0,'3b-d Exposures'!Q1161)</f>
        <v/>
      </c>
      <c r="M946" s="3">
        <f>IF('3b-d Exposures'!S1161="",0,'3b-d Exposures'!S1161)</f>
        <v/>
      </c>
      <c r="N946" s="3">
        <f>IF('3b-d Exposures'!Z1161="",0,'3b-d Exposures'!Z1161)</f>
        <v/>
      </c>
      <c r="O946" s="3">
        <f>$D946</f>
        <v/>
      </c>
      <c r="P946" s="3">
        <f>E946*$D946</f>
        <v/>
      </c>
      <c r="Q946" s="3">
        <f>F946*$D946</f>
        <v/>
      </c>
      <c r="R946" s="3">
        <f>G946*$D946</f>
        <v/>
      </c>
      <c r="S946" s="3">
        <f>H946*$D946</f>
        <v/>
      </c>
      <c r="T946" s="3">
        <f>I946*$D946</f>
        <v/>
      </c>
      <c r="U946" s="3">
        <f>J946*$D946</f>
        <v/>
      </c>
      <c r="V946" s="3">
        <f>K946*$D946</f>
        <v/>
      </c>
      <c r="W946" s="3">
        <f>L946*$D946</f>
        <v/>
      </c>
      <c r="X946" s="3">
        <f>M946*$D946</f>
        <v/>
      </c>
      <c r="Y946" s="3">
        <f>N946*$D946</f>
        <v/>
      </c>
      <c r="Z946" s="3">
        <f>C946*$D946</f>
        <v/>
      </c>
      <c r="AA946" s="9">
        <f>$L978+$K978*E946+$J978*F946+$I978*G946+$H978*H946+$G978*I946+$F978*J946+$E978*K946+$D978*L946+$C978*M946+$B978*N946</f>
        <v/>
      </c>
      <c r="AB946" s="9">
        <f>C946-AA946</f>
        <v/>
      </c>
      <c r="AC946" s="4">
        <f>AB946^2</f>
        <v/>
      </c>
    </row>
    <row r="947">
      <c r="A947" t="inlineStr">
        <is>
          <t>wm</t>
        </is>
      </c>
      <c r="B947" t="inlineStr">
        <is>
          <t>wm</t>
        </is>
      </c>
      <c r="C947" s="9" t="n">
        <v>-0.01358355685752444</v>
      </c>
      <c r="D947" s="3">
        <f>EXP(0.25*'3b-d Exposures'!G1163)</f>
        <v/>
      </c>
      <c r="E947" s="3">
        <f>IF('3b-d Exposures'!C1163="",0,'3b-d Exposures'!C1163)</f>
        <v/>
      </c>
      <c r="F947" s="3">
        <f>IF('3b-d Exposures'!E1163="",0,'3b-d Exposures'!E1163)</f>
        <v/>
      </c>
      <c r="G947" s="3">
        <f>IF('3b-d Exposures'!G1163="",0,'3b-d Exposures'!G1163)</f>
        <v/>
      </c>
      <c r="H947" s="3">
        <f>IF('3b-d Exposures'!I1163="",0,'3b-d Exposures'!I1163)</f>
        <v/>
      </c>
      <c r="I947" s="3">
        <f>IF('3b-d Exposures'!K1163="",0,'3b-d Exposures'!K1163)</f>
        <v/>
      </c>
      <c r="J947" s="3">
        <f>IF('3b-d Exposures'!M1163="",0,'3b-d Exposures'!M1163)</f>
        <v/>
      </c>
      <c r="K947" s="3">
        <f>IF('3b-d Exposures'!O1163="",0,'3b-d Exposures'!O1163)</f>
        <v/>
      </c>
      <c r="L947" s="3">
        <f>IF('3b-d Exposures'!Q1163="",0,'3b-d Exposures'!Q1163)</f>
        <v/>
      </c>
      <c r="M947" s="3">
        <f>IF('3b-d Exposures'!S1163="",0,'3b-d Exposures'!S1163)</f>
        <v/>
      </c>
      <c r="N947" s="3">
        <f>IF('3b-d Exposures'!Z1163="",0,'3b-d Exposures'!Z1163)</f>
        <v/>
      </c>
      <c r="O947" s="3">
        <f>$D947</f>
        <v/>
      </c>
      <c r="P947" s="3">
        <f>E947*$D947</f>
        <v/>
      </c>
      <c r="Q947" s="3">
        <f>F947*$D947</f>
        <v/>
      </c>
      <c r="R947" s="3">
        <f>G947*$D947</f>
        <v/>
      </c>
      <c r="S947" s="3">
        <f>H947*$D947</f>
        <v/>
      </c>
      <c r="T947" s="3">
        <f>I947*$D947</f>
        <v/>
      </c>
      <c r="U947" s="3">
        <f>J947*$D947</f>
        <v/>
      </c>
      <c r="V947" s="3">
        <f>K947*$D947</f>
        <v/>
      </c>
      <c r="W947" s="3">
        <f>L947*$D947</f>
        <v/>
      </c>
      <c r="X947" s="3">
        <f>M947*$D947</f>
        <v/>
      </c>
      <c r="Y947" s="3">
        <f>N947*$D947</f>
        <v/>
      </c>
      <c r="Z947" s="3">
        <f>C947*$D947</f>
        <v/>
      </c>
      <c r="AA947" s="9">
        <f>$L978+$K978*E947+$J978*F947+$I978*G947+$H978*H947+$G978*I947+$F978*J947+$E978*K947+$D978*L947+$C978*M947+$B978*N947</f>
        <v/>
      </c>
      <c r="AB947" s="9">
        <f>C947-AA947</f>
        <v/>
      </c>
      <c r="AC947" s="4">
        <f>AB947^2</f>
        <v/>
      </c>
    </row>
    <row r="948">
      <c r="A948" t="inlineStr">
        <is>
          <t>BBG000BWVCP8</t>
        </is>
      </c>
      <c r="B948" t="inlineStr">
        <is>
          <t>wmb</t>
        </is>
      </c>
      <c r="C948" s="9" t="n">
        <v>-0.03537238796956155</v>
      </c>
      <c r="D948" s="3">
        <f>EXP(0.25*'3b-d Exposures'!G1164)</f>
        <v/>
      </c>
      <c r="E948" s="3">
        <f>IF('3b-d Exposures'!C1164="",0,'3b-d Exposures'!C1164)</f>
        <v/>
      </c>
      <c r="F948" s="3">
        <f>IF('3b-d Exposures'!E1164="",0,'3b-d Exposures'!E1164)</f>
        <v/>
      </c>
      <c r="G948" s="3">
        <f>IF('3b-d Exposures'!G1164="",0,'3b-d Exposures'!G1164)</f>
        <v/>
      </c>
      <c r="H948" s="3">
        <f>IF('3b-d Exposures'!I1164="",0,'3b-d Exposures'!I1164)</f>
        <v/>
      </c>
      <c r="I948" s="3">
        <f>IF('3b-d Exposures'!K1164="",0,'3b-d Exposures'!K1164)</f>
        <v/>
      </c>
      <c r="J948" s="3">
        <f>IF('3b-d Exposures'!M1164="",0,'3b-d Exposures'!M1164)</f>
        <v/>
      </c>
      <c r="K948" s="3">
        <f>IF('3b-d Exposures'!O1164="",0,'3b-d Exposures'!O1164)</f>
        <v/>
      </c>
      <c r="L948" s="3">
        <f>IF('3b-d Exposures'!Q1164="",0,'3b-d Exposures'!Q1164)</f>
        <v/>
      </c>
      <c r="M948" s="3">
        <f>IF('3b-d Exposures'!S1164="",0,'3b-d Exposures'!S1164)</f>
        <v/>
      </c>
      <c r="N948" s="3">
        <f>IF('3b-d Exposures'!Z1164="",0,'3b-d Exposures'!Z1164)</f>
        <v/>
      </c>
      <c r="O948" s="3">
        <f>$D948</f>
        <v/>
      </c>
      <c r="P948" s="3">
        <f>E948*$D948</f>
        <v/>
      </c>
      <c r="Q948" s="3">
        <f>F948*$D948</f>
        <v/>
      </c>
      <c r="R948" s="3">
        <f>G948*$D948</f>
        <v/>
      </c>
      <c r="S948" s="3">
        <f>H948*$D948</f>
        <v/>
      </c>
      <c r="T948" s="3">
        <f>I948*$D948</f>
        <v/>
      </c>
      <c r="U948" s="3">
        <f>J948*$D948</f>
        <v/>
      </c>
      <c r="V948" s="3">
        <f>K948*$D948</f>
        <v/>
      </c>
      <c r="W948" s="3">
        <f>L948*$D948</f>
        <v/>
      </c>
      <c r="X948" s="3">
        <f>M948*$D948</f>
        <v/>
      </c>
      <c r="Y948" s="3">
        <f>N948*$D948</f>
        <v/>
      </c>
      <c r="Z948" s="3">
        <f>C948*$D948</f>
        <v/>
      </c>
      <c r="AA948" s="9">
        <f>$L978+$K978*E948+$J978*F948+$I978*G948+$H978*H948+$G978*I948+$F978*J948+$E978*K948+$D978*L948+$C978*M948+$B978*N948</f>
        <v/>
      </c>
      <c r="AB948" s="9">
        <f>C948-AA948</f>
        <v/>
      </c>
      <c r="AC948" s="4">
        <f>AB948^2</f>
        <v/>
      </c>
    </row>
    <row r="949">
      <c r="A949" t="inlineStr">
        <is>
          <t>BBG000BWXBC2</t>
        </is>
      </c>
      <c r="B949" t="inlineStr">
        <is>
          <t>wmt</t>
        </is>
      </c>
      <c r="C949" s="9" t="n">
        <v>0.001513572425550613</v>
      </c>
      <c r="D949" s="3">
        <f>EXP(0.25*'3b-d Exposures'!G1166)</f>
        <v/>
      </c>
      <c r="E949" s="3">
        <f>IF('3b-d Exposures'!C1166="",0,'3b-d Exposures'!C1166)</f>
        <v/>
      </c>
      <c r="F949" s="3">
        <f>IF('3b-d Exposures'!E1166="",0,'3b-d Exposures'!E1166)</f>
        <v/>
      </c>
      <c r="G949" s="3">
        <f>IF('3b-d Exposures'!G1166="",0,'3b-d Exposures'!G1166)</f>
        <v/>
      </c>
      <c r="H949" s="3">
        <f>IF('3b-d Exposures'!I1166="",0,'3b-d Exposures'!I1166)</f>
        <v/>
      </c>
      <c r="I949" s="3">
        <f>IF('3b-d Exposures'!K1166="",0,'3b-d Exposures'!K1166)</f>
        <v/>
      </c>
      <c r="J949" s="3">
        <f>IF('3b-d Exposures'!M1166="",0,'3b-d Exposures'!M1166)</f>
        <v/>
      </c>
      <c r="K949" s="3">
        <f>IF('3b-d Exposures'!O1166="",0,'3b-d Exposures'!O1166)</f>
        <v/>
      </c>
      <c r="L949" s="3">
        <f>IF('3b-d Exposures'!Q1166="",0,'3b-d Exposures'!Q1166)</f>
        <v/>
      </c>
      <c r="M949" s="3">
        <f>IF('3b-d Exposures'!S1166="",0,'3b-d Exposures'!S1166)</f>
        <v/>
      </c>
      <c r="N949" s="3">
        <f>IF('3b-d Exposures'!Z1166="",0,'3b-d Exposures'!Z1166)</f>
        <v/>
      </c>
      <c r="O949" s="3">
        <f>$D949</f>
        <v/>
      </c>
      <c r="P949" s="3">
        <f>E949*$D949</f>
        <v/>
      </c>
      <c r="Q949" s="3">
        <f>F949*$D949</f>
        <v/>
      </c>
      <c r="R949" s="3">
        <f>G949*$D949</f>
        <v/>
      </c>
      <c r="S949" s="3">
        <f>H949*$D949</f>
        <v/>
      </c>
      <c r="T949" s="3">
        <f>I949*$D949</f>
        <v/>
      </c>
      <c r="U949" s="3">
        <f>J949*$D949</f>
        <v/>
      </c>
      <c r="V949" s="3">
        <f>K949*$D949</f>
        <v/>
      </c>
      <c r="W949" s="3">
        <f>L949*$D949</f>
        <v/>
      </c>
      <c r="X949" s="3">
        <f>M949*$D949</f>
        <v/>
      </c>
      <c r="Y949" s="3">
        <f>N949*$D949</f>
        <v/>
      </c>
      <c r="Z949" s="3">
        <f>C949*$D949</f>
        <v/>
      </c>
      <c r="AA949" s="9">
        <f>$L978+$K978*E949+$J978*F949+$I978*G949+$H978*H949+$G978*I949+$F978*J949+$E978*K949+$D978*L949+$C978*M949+$B978*N949</f>
        <v/>
      </c>
      <c r="AB949" s="9">
        <f>C949-AA949</f>
        <v/>
      </c>
      <c r="AC949" s="4">
        <f>AB949^2</f>
        <v/>
      </c>
    </row>
    <row r="950">
      <c r="A950" t="inlineStr">
        <is>
          <t>wrb</t>
        </is>
      </c>
      <c r="B950" t="inlineStr">
        <is>
          <t>wrb</t>
        </is>
      </c>
      <c r="C950" s="9" t="n">
        <v>-0.013942704181793</v>
      </c>
      <c r="D950" s="3">
        <f>EXP(0.25*'3b-d Exposures'!G1168)</f>
        <v/>
      </c>
      <c r="E950" s="3">
        <f>IF('3b-d Exposures'!C1168="",0,'3b-d Exposures'!C1168)</f>
        <v/>
      </c>
      <c r="F950" s="3">
        <f>IF('3b-d Exposures'!E1168="",0,'3b-d Exposures'!E1168)</f>
        <v/>
      </c>
      <c r="G950" s="3">
        <f>IF('3b-d Exposures'!G1168="",0,'3b-d Exposures'!G1168)</f>
        <v/>
      </c>
      <c r="H950" s="3">
        <f>IF('3b-d Exposures'!I1168="",0,'3b-d Exposures'!I1168)</f>
        <v/>
      </c>
      <c r="I950" s="3">
        <f>IF('3b-d Exposures'!K1168="",0,'3b-d Exposures'!K1168)</f>
        <v/>
      </c>
      <c r="J950" s="3">
        <f>IF('3b-d Exposures'!M1168="",0,'3b-d Exposures'!M1168)</f>
        <v/>
      </c>
      <c r="K950" s="3">
        <f>IF('3b-d Exposures'!O1168="",0,'3b-d Exposures'!O1168)</f>
        <v/>
      </c>
      <c r="L950" s="3">
        <f>IF('3b-d Exposures'!Q1168="",0,'3b-d Exposures'!Q1168)</f>
        <v/>
      </c>
      <c r="M950" s="3">
        <f>IF('3b-d Exposures'!S1168="",0,'3b-d Exposures'!S1168)</f>
        <v/>
      </c>
      <c r="N950" s="3">
        <f>IF('3b-d Exposures'!Z1168="",0,'3b-d Exposures'!Z1168)</f>
        <v/>
      </c>
      <c r="O950" s="3">
        <f>$D950</f>
        <v/>
      </c>
      <c r="P950" s="3">
        <f>E950*$D950</f>
        <v/>
      </c>
      <c r="Q950" s="3">
        <f>F950*$D950</f>
        <v/>
      </c>
      <c r="R950" s="3">
        <f>G950*$D950</f>
        <v/>
      </c>
      <c r="S950" s="3">
        <f>H950*$D950</f>
        <v/>
      </c>
      <c r="T950" s="3">
        <f>I950*$D950</f>
        <v/>
      </c>
      <c r="U950" s="3">
        <f>J950*$D950</f>
        <v/>
      </c>
      <c r="V950" s="3">
        <f>K950*$D950</f>
        <v/>
      </c>
      <c r="W950" s="3">
        <f>L950*$D950</f>
        <v/>
      </c>
      <c r="X950" s="3">
        <f>M950*$D950</f>
        <v/>
      </c>
      <c r="Y950" s="3">
        <f>N950*$D950</f>
        <v/>
      </c>
      <c r="Z950" s="3">
        <f>C950*$D950</f>
        <v/>
      </c>
      <c r="AA950" s="9">
        <f>$L978+$K978*E950+$J978*F950+$I978*G950+$H978*H950+$G978*I950+$F978*J950+$E978*K950+$D978*L950+$C978*M950+$B978*N950</f>
        <v/>
      </c>
      <c r="AB950" s="9">
        <f>C950-AA950</f>
        <v/>
      </c>
      <c r="AC950" s="4">
        <f>AB950^2</f>
        <v/>
      </c>
    </row>
    <row r="951">
      <c r="A951" t="inlineStr">
        <is>
          <t>BBG005DWN8K8</t>
        </is>
      </c>
      <c r="B951" t="inlineStr">
        <is>
          <t>wrby</t>
        </is>
      </c>
      <c r="C951" s="9" t="n">
        <v>-0.0230701169761468</v>
      </c>
      <c r="D951" s="3">
        <f>EXP(0.25*'3b-d Exposures'!G1169)</f>
        <v/>
      </c>
      <c r="E951" s="3">
        <f>IF('3b-d Exposures'!C1169="",0,'3b-d Exposures'!C1169)</f>
        <v/>
      </c>
      <c r="F951" s="3">
        <f>IF('3b-d Exposures'!E1169="",0,'3b-d Exposures'!E1169)</f>
        <v/>
      </c>
      <c r="G951" s="3">
        <f>IF('3b-d Exposures'!G1169="",0,'3b-d Exposures'!G1169)</f>
        <v/>
      </c>
      <c r="H951" s="3">
        <f>IF('3b-d Exposures'!I1169="",0,'3b-d Exposures'!I1169)</f>
        <v/>
      </c>
      <c r="I951" s="3">
        <f>IF('3b-d Exposures'!K1169="",0,'3b-d Exposures'!K1169)</f>
        <v/>
      </c>
      <c r="J951" s="3">
        <f>IF('3b-d Exposures'!M1169="",0,'3b-d Exposures'!M1169)</f>
        <v/>
      </c>
      <c r="K951" s="3">
        <f>IF('3b-d Exposures'!O1169="",0,'3b-d Exposures'!O1169)</f>
        <v/>
      </c>
      <c r="L951" s="3">
        <f>IF('3b-d Exposures'!Q1169="",0,'3b-d Exposures'!Q1169)</f>
        <v/>
      </c>
      <c r="M951" s="3">
        <f>IF('3b-d Exposures'!S1169="",0,'3b-d Exposures'!S1169)</f>
        <v/>
      </c>
      <c r="N951" s="3">
        <f>IF('3b-d Exposures'!Z1169="",0,'3b-d Exposures'!Z1169)</f>
        <v/>
      </c>
      <c r="O951" s="3">
        <f>$D951</f>
        <v/>
      </c>
      <c r="P951" s="3">
        <f>E951*$D951</f>
        <v/>
      </c>
      <c r="Q951" s="3">
        <f>F951*$D951</f>
        <v/>
      </c>
      <c r="R951" s="3">
        <f>G951*$D951</f>
        <v/>
      </c>
      <c r="S951" s="3">
        <f>H951*$D951</f>
        <v/>
      </c>
      <c r="T951" s="3">
        <f>I951*$D951</f>
        <v/>
      </c>
      <c r="U951" s="3">
        <f>J951*$D951</f>
        <v/>
      </c>
      <c r="V951" s="3">
        <f>K951*$D951</f>
        <v/>
      </c>
      <c r="W951" s="3">
        <f>L951*$D951</f>
        <v/>
      </c>
      <c r="X951" s="3">
        <f>M951*$D951</f>
        <v/>
      </c>
      <c r="Y951" s="3">
        <f>N951*$D951</f>
        <v/>
      </c>
      <c r="Z951" s="3">
        <f>C951*$D951</f>
        <v/>
      </c>
      <c r="AA951" s="9">
        <f>$L978+$K978*E951+$J978*F951+$I978*G951+$H978*H951+$G978*I951+$F978*J951+$E978*K951+$D978*L951+$C978*M951+$B978*N951</f>
        <v/>
      </c>
      <c r="AB951" s="9">
        <f>C951-AA951</f>
        <v/>
      </c>
      <c r="AC951" s="4">
        <f>AB951^2</f>
        <v/>
      </c>
    </row>
    <row r="952">
      <c r="A952" t="inlineStr">
        <is>
          <t>BBG00B0FS947</t>
        </is>
      </c>
      <c r="B952" t="inlineStr">
        <is>
          <t>wsc</t>
        </is>
      </c>
      <c r="C952" s="9" t="n">
        <v>-0.0007844398320031587</v>
      </c>
      <c r="D952" s="3">
        <f>EXP(0.25*'3b-d Exposures'!G1170)</f>
        <v/>
      </c>
      <c r="E952" s="3">
        <f>IF('3b-d Exposures'!C1170="",0,'3b-d Exposures'!C1170)</f>
        <v/>
      </c>
      <c r="F952" s="3">
        <f>IF('3b-d Exposures'!E1170="",0,'3b-d Exposures'!E1170)</f>
        <v/>
      </c>
      <c r="G952" s="3">
        <f>IF('3b-d Exposures'!G1170="",0,'3b-d Exposures'!G1170)</f>
        <v/>
      </c>
      <c r="H952" s="3">
        <f>IF('3b-d Exposures'!I1170="",0,'3b-d Exposures'!I1170)</f>
        <v/>
      </c>
      <c r="I952" s="3">
        <f>IF('3b-d Exposures'!K1170="",0,'3b-d Exposures'!K1170)</f>
        <v/>
      </c>
      <c r="J952" s="3">
        <f>IF('3b-d Exposures'!M1170="",0,'3b-d Exposures'!M1170)</f>
        <v/>
      </c>
      <c r="K952" s="3">
        <f>IF('3b-d Exposures'!O1170="",0,'3b-d Exposures'!O1170)</f>
        <v/>
      </c>
      <c r="L952" s="3">
        <f>IF('3b-d Exposures'!Q1170="",0,'3b-d Exposures'!Q1170)</f>
        <v/>
      </c>
      <c r="M952" s="3">
        <f>IF('3b-d Exposures'!S1170="",0,'3b-d Exposures'!S1170)</f>
        <v/>
      </c>
      <c r="N952" s="3">
        <f>IF('3b-d Exposures'!Z1170="",0,'3b-d Exposures'!Z1170)</f>
        <v/>
      </c>
      <c r="O952" s="3">
        <f>$D952</f>
        <v/>
      </c>
      <c r="P952" s="3">
        <f>E952*$D952</f>
        <v/>
      </c>
      <c r="Q952" s="3">
        <f>F952*$D952</f>
        <v/>
      </c>
      <c r="R952" s="3">
        <f>G952*$D952</f>
        <v/>
      </c>
      <c r="S952" s="3">
        <f>H952*$D952</f>
        <v/>
      </c>
      <c r="T952" s="3">
        <f>I952*$D952</f>
        <v/>
      </c>
      <c r="U952" s="3">
        <f>J952*$D952</f>
        <v/>
      </c>
      <c r="V952" s="3">
        <f>K952*$D952</f>
        <v/>
      </c>
      <c r="W952" s="3">
        <f>L952*$D952</f>
        <v/>
      </c>
      <c r="X952" s="3">
        <f>M952*$D952</f>
        <v/>
      </c>
      <c r="Y952" s="3">
        <f>N952*$D952</f>
        <v/>
      </c>
      <c r="Z952" s="3">
        <f>C952*$D952</f>
        <v/>
      </c>
      <c r="AA952" s="9">
        <f>$L978+$K978*E952+$J978*F952+$I978*G952+$H978*H952+$G978*I952+$F978*J952+$E978*K952+$D978*L952+$C978*M952+$B978*N952</f>
        <v/>
      </c>
      <c r="AB952" s="9">
        <f>C952-AA952</f>
        <v/>
      </c>
      <c r="AC952" s="4">
        <f>AB952^2</f>
        <v/>
      </c>
    </row>
    <row r="953">
      <c r="A953" t="inlineStr">
        <is>
          <t>wsm</t>
        </is>
      </c>
      <c r="B953" t="inlineStr">
        <is>
          <t>wsm</t>
        </is>
      </c>
      <c r="C953" s="9" t="n">
        <v>0.03115914274786746</v>
      </c>
      <c r="D953" s="3">
        <f>EXP(0.25*'3b-d Exposures'!G1171)</f>
        <v/>
      </c>
      <c r="E953" s="3">
        <f>IF('3b-d Exposures'!C1171="",0,'3b-d Exposures'!C1171)</f>
        <v/>
      </c>
      <c r="F953" s="3">
        <f>IF('3b-d Exposures'!E1171="",0,'3b-d Exposures'!E1171)</f>
        <v/>
      </c>
      <c r="G953" s="3">
        <f>IF('3b-d Exposures'!G1171="",0,'3b-d Exposures'!G1171)</f>
        <v/>
      </c>
      <c r="H953" s="3">
        <f>IF('3b-d Exposures'!I1171="",0,'3b-d Exposures'!I1171)</f>
        <v/>
      </c>
      <c r="I953" s="3">
        <f>IF('3b-d Exposures'!K1171="",0,'3b-d Exposures'!K1171)</f>
        <v/>
      </c>
      <c r="J953" s="3">
        <f>IF('3b-d Exposures'!M1171="",0,'3b-d Exposures'!M1171)</f>
        <v/>
      </c>
      <c r="K953" s="3">
        <f>IF('3b-d Exposures'!O1171="",0,'3b-d Exposures'!O1171)</f>
        <v/>
      </c>
      <c r="L953" s="3">
        <f>IF('3b-d Exposures'!Q1171="",0,'3b-d Exposures'!Q1171)</f>
        <v/>
      </c>
      <c r="M953" s="3">
        <f>IF('3b-d Exposures'!S1171="",0,'3b-d Exposures'!S1171)</f>
        <v/>
      </c>
      <c r="N953" s="3">
        <f>IF('3b-d Exposures'!Z1171="",0,'3b-d Exposures'!Z1171)</f>
        <v/>
      </c>
      <c r="O953" s="3">
        <f>$D953</f>
        <v/>
      </c>
      <c r="P953" s="3">
        <f>E953*$D953</f>
        <v/>
      </c>
      <c r="Q953" s="3">
        <f>F953*$D953</f>
        <v/>
      </c>
      <c r="R953" s="3">
        <f>G953*$D953</f>
        <v/>
      </c>
      <c r="S953" s="3">
        <f>H953*$D953</f>
        <v/>
      </c>
      <c r="T953" s="3">
        <f>I953*$D953</f>
        <v/>
      </c>
      <c r="U953" s="3">
        <f>J953*$D953</f>
        <v/>
      </c>
      <c r="V953" s="3">
        <f>K953*$D953</f>
        <v/>
      </c>
      <c r="W953" s="3">
        <f>L953*$D953</f>
        <v/>
      </c>
      <c r="X953" s="3">
        <f>M953*$D953</f>
        <v/>
      </c>
      <c r="Y953" s="3">
        <f>N953*$D953</f>
        <v/>
      </c>
      <c r="Z953" s="3">
        <f>C953*$D953</f>
        <v/>
      </c>
      <c r="AA953" s="9">
        <f>$L978+$K978*E953+$J978*F953+$I978*G953+$H978*H953+$G978*I953+$F978*J953+$E978*K953+$D978*L953+$C978*M953+$B978*N953</f>
        <v/>
      </c>
      <c r="AB953" s="9">
        <f>C953-AA953</f>
        <v/>
      </c>
      <c r="AC953" s="4">
        <f>AB953^2</f>
        <v/>
      </c>
    </row>
    <row r="954">
      <c r="A954" t="inlineStr">
        <is>
          <t>wst</t>
        </is>
      </c>
      <c r="B954" t="inlineStr">
        <is>
          <t>wst</t>
        </is>
      </c>
      <c r="C954" s="9" t="n">
        <v>-0.009303563311831242</v>
      </c>
      <c r="D954" s="3">
        <f>EXP(0.25*'3b-d Exposures'!G1172)</f>
        <v/>
      </c>
      <c r="E954" s="3">
        <f>IF('3b-d Exposures'!C1172="",0,'3b-d Exposures'!C1172)</f>
        <v/>
      </c>
      <c r="F954" s="3">
        <f>IF('3b-d Exposures'!E1172="",0,'3b-d Exposures'!E1172)</f>
        <v/>
      </c>
      <c r="G954" s="3">
        <f>IF('3b-d Exposures'!G1172="",0,'3b-d Exposures'!G1172)</f>
        <v/>
      </c>
      <c r="H954" s="3">
        <f>IF('3b-d Exposures'!I1172="",0,'3b-d Exposures'!I1172)</f>
        <v/>
      </c>
      <c r="I954" s="3">
        <f>IF('3b-d Exposures'!K1172="",0,'3b-d Exposures'!K1172)</f>
        <v/>
      </c>
      <c r="J954" s="3">
        <f>IF('3b-d Exposures'!M1172="",0,'3b-d Exposures'!M1172)</f>
        <v/>
      </c>
      <c r="K954" s="3">
        <f>IF('3b-d Exposures'!O1172="",0,'3b-d Exposures'!O1172)</f>
        <v/>
      </c>
      <c r="L954" s="3">
        <f>IF('3b-d Exposures'!Q1172="",0,'3b-d Exposures'!Q1172)</f>
        <v/>
      </c>
      <c r="M954" s="3">
        <f>IF('3b-d Exposures'!S1172="",0,'3b-d Exposures'!S1172)</f>
        <v/>
      </c>
      <c r="N954" s="3">
        <f>IF('3b-d Exposures'!Z1172="",0,'3b-d Exposures'!Z1172)</f>
        <v/>
      </c>
      <c r="O954" s="3">
        <f>$D954</f>
        <v/>
      </c>
      <c r="P954" s="3">
        <f>E954*$D954</f>
        <v/>
      </c>
      <c r="Q954" s="3">
        <f>F954*$D954</f>
        <v/>
      </c>
      <c r="R954" s="3">
        <f>G954*$D954</f>
        <v/>
      </c>
      <c r="S954" s="3">
        <f>H954*$D954</f>
        <v/>
      </c>
      <c r="T954" s="3">
        <f>I954*$D954</f>
        <v/>
      </c>
      <c r="U954" s="3">
        <f>J954*$D954</f>
        <v/>
      </c>
      <c r="V954" s="3">
        <f>K954*$D954</f>
        <v/>
      </c>
      <c r="W954" s="3">
        <f>L954*$D954</f>
        <v/>
      </c>
      <c r="X954" s="3">
        <f>M954*$D954</f>
        <v/>
      </c>
      <c r="Y954" s="3">
        <f>N954*$D954</f>
        <v/>
      </c>
      <c r="Z954" s="3">
        <f>C954*$D954</f>
        <v/>
      </c>
      <c r="AA954" s="9">
        <f>$L978+$K978*E954+$J978*F954+$I978*G954+$H978*H954+$G978*I954+$F978*J954+$E978*K954+$D978*L954+$C978*M954+$B978*N954</f>
        <v/>
      </c>
      <c r="AB954" s="9">
        <f>C954-AA954</f>
        <v/>
      </c>
      <c r="AC954" s="4">
        <f>AB954^2</f>
        <v/>
      </c>
    </row>
    <row r="955">
      <c r="A955" t="inlineStr">
        <is>
          <t>BBG000HD3DW5</t>
        </is>
      </c>
      <c r="B955" t="inlineStr">
        <is>
          <t>wtfc</t>
        </is>
      </c>
      <c r="C955" s="9" t="n">
        <v>-0.005217095667729321</v>
      </c>
      <c r="D955" s="3">
        <f>EXP(0.25*'3b-d Exposures'!G1173)</f>
        <v/>
      </c>
      <c r="E955" s="3">
        <f>IF('3b-d Exposures'!C1173="",0,'3b-d Exposures'!C1173)</f>
        <v/>
      </c>
      <c r="F955" s="3">
        <f>IF('3b-d Exposures'!E1173="",0,'3b-d Exposures'!E1173)</f>
        <v/>
      </c>
      <c r="G955" s="3">
        <f>IF('3b-d Exposures'!G1173="",0,'3b-d Exposures'!G1173)</f>
        <v/>
      </c>
      <c r="H955" s="3">
        <f>IF('3b-d Exposures'!I1173="",0,'3b-d Exposures'!I1173)</f>
        <v/>
      </c>
      <c r="I955" s="3">
        <f>IF('3b-d Exposures'!K1173="",0,'3b-d Exposures'!K1173)</f>
        <v/>
      </c>
      <c r="J955" s="3">
        <f>IF('3b-d Exposures'!M1173="",0,'3b-d Exposures'!M1173)</f>
        <v/>
      </c>
      <c r="K955" s="3">
        <f>IF('3b-d Exposures'!O1173="",0,'3b-d Exposures'!O1173)</f>
        <v/>
      </c>
      <c r="L955" s="3">
        <f>IF('3b-d Exposures'!Q1173="",0,'3b-d Exposures'!Q1173)</f>
        <v/>
      </c>
      <c r="M955" s="3">
        <f>IF('3b-d Exposures'!S1173="",0,'3b-d Exposures'!S1173)</f>
        <v/>
      </c>
      <c r="N955" s="3">
        <f>IF('3b-d Exposures'!Z1173="",0,'3b-d Exposures'!Z1173)</f>
        <v/>
      </c>
      <c r="O955" s="3">
        <f>$D955</f>
        <v/>
      </c>
      <c r="P955" s="3">
        <f>E955*$D955</f>
        <v/>
      </c>
      <c r="Q955" s="3">
        <f>F955*$D955</f>
        <v/>
      </c>
      <c r="R955" s="3">
        <f>G955*$D955</f>
        <v/>
      </c>
      <c r="S955" s="3">
        <f>H955*$D955</f>
        <v/>
      </c>
      <c r="T955" s="3">
        <f>I955*$D955</f>
        <v/>
      </c>
      <c r="U955" s="3">
        <f>J955*$D955</f>
        <v/>
      </c>
      <c r="V955" s="3">
        <f>K955*$D955</f>
        <v/>
      </c>
      <c r="W955" s="3">
        <f>L955*$D955</f>
        <v/>
      </c>
      <c r="X955" s="3">
        <f>M955*$D955</f>
        <v/>
      </c>
      <c r="Y955" s="3">
        <f>N955*$D955</f>
        <v/>
      </c>
      <c r="Z955" s="3">
        <f>C955*$D955</f>
        <v/>
      </c>
      <c r="AA955" s="9">
        <f>$L978+$K978*E955+$J978*F955+$I978*G955+$H978*H955+$G978*I955+$F978*J955+$E978*K955+$D978*L955+$C978*M955+$B978*N955</f>
        <v/>
      </c>
      <c r="AB955" s="9">
        <f>C955-AA955</f>
        <v/>
      </c>
      <c r="AC955" s="4">
        <f>AB955^2</f>
        <v/>
      </c>
    </row>
    <row r="956">
      <c r="A956" t="inlineStr">
        <is>
          <t>wtw</t>
        </is>
      </c>
      <c r="B956" t="inlineStr">
        <is>
          <t>wtw</t>
        </is>
      </c>
      <c r="C956" s="9" t="n">
        <v>-0.00465849799794904</v>
      </c>
      <c r="D956" s="3">
        <f>EXP(0.25*'3b-d Exposures'!G1174)</f>
        <v/>
      </c>
      <c r="E956" s="3">
        <f>IF('3b-d Exposures'!C1174="",0,'3b-d Exposures'!C1174)</f>
        <v/>
      </c>
      <c r="F956" s="3">
        <f>IF('3b-d Exposures'!E1174="",0,'3b-d Exposures'!E1174)</f>
        <v/>
      </c>
      <c r="G956" s="3">
        <f>IF('3b-d Exposures'!G1174="",0,'3b-d Exposures'!G1174)</f>
        <v/>
      </c>
      <c r="H956" s="3">
        <f>IF('3b-d Exposures'!I1174="",0,'3b-d Exposures'!I1174)</f>
        <v/>
      </c>
      <c r="I956" s="3">
        <f>IF('3b-d Exposures'!K1174="",0,'3b-d Exposures'!K1174)</f>
        <v/>
      </c>
      <c r="J956" s="3">
        <f>IF('3b-d Exposures'!M1174="",0,'3b-d Exposures'!M1174)</f>
        <v/>
      </c>
      <c r="K956" s="3">
        <f>IF('3b-d Exposures'!O1174="",0,'3b-d Exposures'!O1174)</f>
        <v/>
      </c>
      <c r="L956" s="3">
        <f>IF('3b-d Exposures'!Q1174="",0,'3b-d Exposures'!Q1174)</f>
        <v/>
      </c>
      <c r="M956" s="3">
        <f>IF('3b-d Exposures'!S1174="",0,'3b-d Exposures'!S1174)</f>
        <v/>
      </c>
      <c r="N956" s="3">
        <f>IF('3b-d Exposures'!Z1174="",0,'3b-d Exposures'!Z1174)</f>
        <v/>
      </c>
      <c r="O956" s="3">
        <f>$D956</f>
        <v/>
      </c>
      <c r="P956" s="3">
        <f>E956*$D956</f>
        <v/>
      </c>
      <c r="Q956" s="3">
        <f>F956*$D956</f>
        <v/>
      </c>
      <c r="R956" s="3">
        <f>G956*$D956</f>
        <v/>
      </c>
      <c r="S956" s="3">
        <f>H956*$D956</f>
        <v/>
      </c>
      <c r="T956" s="3">
        <f>I956*$D956</f>
        <v/>
      </c>
      <c r="U956" s="3">
        <f>J956*$D956</f>
        <v/>
      </c>
      <c r="V956" s="3">
        <f>K956*$D956</f>
        <v/>
      </c>
      <c r="W956" s="3">
        <f>L956*$D956</f>
        <v/>
      </c>
      <c r="X956" s="3">
        <f>M956*$D956</f>
        <v/>
      </c>
      <c r="Y956" s="3">
        <f>N956*$D956</f>
        <v/>
      </c>
      <c r="Z956" s="3">
        <f>C956*$D956</f>
        <v/>
      </c>
      <c r="AA956" s="9">
        <f>$L978+$K978*E956+$J978*F956+$I978*G956+$H978*H956+$G978*I956+$F978*J956+$E978*K956+$D978*L956+$C978*M956+$B978*N956</f>
        <v/>
      </c>
      <c r="AB956" s="9">
        <f>C956-AA956</f>
        <v/>
      </c>
      <c r="AC956" s="4">
        <f>AB956^2</f>
        <v/>
      </c>
    </row>
    <row r="957">
      <c r="A957" t="inlineStr">
        <is>
          <t>BBG0122MC900</t>
        </is>
      </c>
      <c r="B957" t="inlineStr">
        <is>
          <t>wulf</t>
        </is>
      </c>
      <c r="C957" s="9" t="n">
        <v>-0.07224330855129801</v>
      </c>
      <c r="D957" s="3">
        <f>EXP(0.25*'3b-d Exposures'!G1175)</f>
        <v/>
      </c>
      <c r="E957" s="3">
        <f>IF('3b-d Exposures'!C1175="",0,'3b-d Exposures'!C1175)</f>
        <v/>
      </c>
      <c r="F957" s="3">
        <f>IF('3b-d Exposures'!E1175="",0,'3b-d Exposures'!E1175)</f>
        <v/>
      </c>
      <c r="G957" s="3">
        <f>IF('3b-d Exposures'!G1175="",0,'3b-d Exposures'!G1175)</f>
        <v/>
      </c>
      <c r="H957" s="3">
        <f>IF('3b-d Exposures'!I1175="",0,'3b-d Exposures'!I1175)</f>
        <v/>
      </c>
      <c r="I957" s="3">
        <f>IF('3b-d Exposures'!K1175="",0,'3b-d Exposures'!K1175)</f>
        <v/>
      </c>
      <c r="J957" s="3">
        <f>IF('3b-d Exposures'!M1175="",0,'3b-d Exposures'!M1175)</f>
        <v/>
      </c>
      <c r="K957" s="3">
        <f>IF('3b-d Exposures'!O1175="",0,'3b-d Exposures'!O1175)</f>
        <v/>
      </c>
      <c r="L957" s="3">
        <f>IF('3b-d Exposures'!Q1175="",0,'3b-d Exposures'!Q1175)</f>
        <v/>
      </c>
      <c r="M957" s="3">
        <f>IF('3b-d Exposures'!S1175="",0,'3b-d Exposures'!S1175)</f>
        <v/>
      </c>
      <c r="N957" s="3">
        <f>IF('3b-d Exposures'!Z1175="",0,'3b-d Exposures'!Z1175)</f>
        <v/>
      </c>
      <c r="O957" s="3">
        <f>$D957</f>
        <v/>
      </c>
      <c r="P957" s="3">
        <f>E957*$D957</f>
        <v/>
      </c>
      <c r="Q957" s="3">
        <f>F957*$D957</f>
        <v/>
      </c>
      <c r="R957" s="3">
        <f>G957*$D957</f>
        <v/>
      </c>
      <c r="S957" s="3">
        <f>H957*$D957</f>
        <v/>
      </c>
      <c r="T957" s="3">
        <f>I957*$D957</f>
        <v/>
      </c>
      <c r="U957" s="3">
        <f>J957*$D957</f>
        <v/>
      </c>
      <c r="V957" s="3">
        <f>K957*$D957</f>
        <v/>
      </c>
      <c r="W957" s="3">
        <f>L957*$D957</f>
        <v/>
      </c>
      <c r="X957" s="3">
        <f>M957*$D957</f>
        <v/>
      </c>
      <c r="Y957" s="3">
        <f>N957*$D957</f>
        <v/>
      </c>
      <c r="Z957" s="3">
        <f>C957*$D957</f>
        <v/>
      </c>
      <c r="AA957" s="9">
        <f>$L978+$K978*E957+$J978*F957+$I978*G957+$H978*H957+$G978*I957+$F978*J957+$E978*K957+$D978*L957+$C978*M957+$B978*N957</f>
        <v/>
      </c>
      <c r="AB957" s="9">
        <f>C957-AA957</f>
        <v/>
      </c>
      <c r="AC957" s="4">
        <f>AB957^2</f>
        <v/>
      </c>
    </row>
    <row r="958">
      <c r="A958" t="inlineStr">
        <is>
          <t>BBG000BD53V2</t>
        </is>
      </c>
      <c r="B958" t="inlineStr">
        <is>
          <t>wwd</t>
        </is>
      </c>
      <c r="C958" s="9" t="n">
        <v>-0.01092507685055799</v>
      </c>
      <c r="D958" s="3">
        <f>EXP(0.25*'3b-d Exposures'!G1176)</f>
        <v/>
      </c>
      <c r="E958" s="3">
        <f>IF('3b-d Exposures'!C1176="",0,'3b-d Exposures'!C1176)</f>
        <v/>
      </c>
      <c r="F958" s="3">
        <f>IF('3b-d Exposures'!E1176="",0,'3b-d Exposures'!E1176)</f>
        <v/>
      </c>
      <c r="G958" s="3">
        <f>IF('3b-d Exposures'!G1176="",0,'3b-d Exposures'!G1176)</f>
        <v/>
      </c>
      <c r="H958" s="3">
        <f>IF('3b-d Exposures'!I1176="",0,'3b-d Exposures'!I1176)</f>
        <v/>
      </c>
      <c r="I958" s="3">
        <f>IF('3b-d Exposures'!K1176="",0,'3b-d Exposures'!K1176)</f>
        <v/>
      </c>
      <c r="J958" s="3">
        <f>IF('3b-d Exposures'!M1176="",0,'3b-d Exposures'!M1176)</f>
        <v/>
      </c>
      <c r="K958" s="3">
        <f>IF('3b-d Exposures'!O1176="",0,'3b-d Exposures'!O1176)</f>
        <v/>
      </c>
      <c r="L958" s="3">
        <f>IF('3b-d Exposures'!Q1176="",0,'3b-d Exposures'!Q1176)</f>
        <v/>
      </c>
      <c r="M958" s="3">
        <f>IF('3b-d Exposures'!S1176="",0,'3b-d Exposures'!S1176)</f>
        <v/>
      </c>
      <c r="N958" s="3">
        <f>IF('3b-d Exposures'!Z1176="",0,'3b-d Exposures'!Z1176)</f>
        <v/>
      </c>
      <c r="O958" s="3">
        <f>$D958</f>
        <v/>
      </c>
      <c r="P958" s="3">
        <f>E958*$D958</f>
        <v/>
      </c>
      <c r="Q958" s="3">
        <f>F958*$D958</f>
        <v/>
      </c>
      <c r="R958" s="3">
        <f>G958*$D958</f>
        <v/>
      </c>
      <c r="S958" s="3">
        <f>H958*$D958</f>
        <v/>
      </c>
      <c r="T958" s="3">
        <f>I958*$D958</f>
        <v/>
      </c>
      <c r="U958" s="3">
        <f>J958*$D958</f>
        <v/>
      </c>
      <c r="V958" s="3">
        <f>K958*$D958</f>
        <v/>
      </c>
      <c r="W958" s="3">
        <f>L958*$D958</f>
        <v/>
      </c>
      <c r="X958" s="3">
        <f>M958*$D958</f>
        <v/>
      </c>
      <c r="Y958" s="3">
        <f>N958*$D958</f>
        <v/>
      </c>
      <c r="Z958" s="3">
        <f>C958*$D958</f>
        <v/>
      </c>
      <c r="AA958" s="9">
        <f>$L978+$K978*E958+$J978*F958+$I978*G958+$H978*H958+$G978*I958+$F978*J958+$E978*K958+$D978*L958+$C978*M958+$B978*N958</f>
        <v/>
      </c>
      <c r="AB958" s="9">
        <f>C958-AA958</f>
        <v/>
      </c>
      <c r="AC958" s="4">
        <f>AB958^2</f>
        <v/>
      </c>
    </row>
    <row r="959">
      <c r="A959" t="inlineStr">
        <is>
          <t>wy</t>
        </is>
      </c>
      <c r="B959" t="inlineStr">
        <is>
          <t>wy</t>
        </is>
      </c>
      <c r="C959" s="9" t="n">
        <v>-0.00898936539119799</v>
      </c>
      <c r="D959" s="3">
        <f>EXP(0.25*'3b-d Exposures'!G1177)</f>
        <v/>
      </c>
      <c r="E959" s="3">
        <f>IF('3b-d Exposures'!C1177="",0,'3b-d Exposures'!C1177)</f>
        <v/>
      </c>
      <c r="F959" s="3">
        <f>IF('3b-d Exposures'!E1177="",0,'3b-d Exposures'!E1177)</f>
        <v/>
      </c>
      <c r="G959" s="3">
        <f>IF('3b-d Exposures'!G1177="",0,'3b-d Exposures'!G1177)</f>
        <v/>
      </c>
      <c r="H959" s="3">
        <f>IF('3b-d Exposures'!I1177="",0,'3b-d Exposures'!I1177)</f>
        <v/>
      </c>
      <c r="I959" s="3">
        <f>IF('3b-d Exposures'!K1177="",0,'3b-d Exposures'!K1177)</f>
        <v/>
      </c>
      <c r="J959" s="3">
        <f>IF('3b-d Exposures'!M1177="",0,'3b-d Exposures'!M1177)</f>
        <v/>
      </c>
      <c r="K959" s="3">
        <f>IF('3b-d Exposures'!O1177="",0,'3b-d Exposures'!O1177)</f>
        <v/>
      </c>
      <c r="L959" s="3">
        <f>IF('3b-d Exposures'!Q1177="",0,'3b-d Exposures'!Q1177)</f>
        <v/>
      </c>
      <c r="M959" s="3">
        <f>IF('3b-d Exposures'!S1177="",0,'3b-d Exposures'!S1177)</f>
        <v/>
      </c>
      <c r="N959" s="3">
        <f>IF('3b-d Exposures'!Z1177="",0,'3b-d Exposures'!Z1177)</f>
        <v/>
      </c>
      <c r="O959" s="3">
        <f>$D959</f>
        <v/>
      </c>
      <c r="P959" s="3">
        <f>E959*$D959</f>
        <v/>
      </c>
      <c r="Q959" s="3">
        <f>F959*$D959</f>
        <v/>
      </c>
      <c r="R959" s="3">
        <f>G959*$D959</f>
        <v/>
      </c>
      <c r="S959" s="3">
        <f>H959*$D959</f>
        <v/>
      </c>
      <c r="T959" s="3">
        <f>I959*$D959</f>
        <v/>
      </c>
      <c r="U959" s="3">
        <f>J959*$D959</f>
        <v/>
      </c>
      <c r="V959" s="3">
        <f>K959*$D959</f>
        <v/>
      </c>
      <c r="W959" s="3">
        <f>L959*$D959</f>
        <v/>
      </c>
      <c r="X959" s="3">
        <f>M959*$D959</f>
        <v/>
      </c>
      <c r="Y959" s="3">
        <f>N959*$D959</f>
        <v/>
      </c>
      <c r="Z959" s="3">
        <f>C959*$D959</f>
        <v/>
      </c>
      <c r="AA959" s="9">
        <f>$L978+$K978*E959+$J978*F959+$I978*G959+$H978*H959+$G978*I959+$F978*J959+$E978*K959+$D978*L959+$C978*M959+$B978*N959</f>
        <v/>
      </c>
      <c r="AB959" s="9">
        <f>C959-AA959</f>
        <v/>
      </c>
      <c r="AC959" s="4">
        <f>AB959^2</f>
        <v/>
      </c>
    </row>
    <row r="960">
      <c r="A960" t="inlineStr">
        <is>
          <t>BBG000LD9JQ8</t>
        </is>
      </c>
      <c r="B960" t="inlineStr">
        <is>
          <t>wynn</t>
        </is>
      </c>
      <c r="C960" s="9" t="n">
        <v>0.0188600943119539</v>
      </c>
      <c r="D960" s="3">
        <f>EXP(0.25*'3b-d Exposures'!G1178)</f>
        <v/>
      </c>
      <c r="E960" s="3">
        <f>IF('3b-d Exposures'!C1178="",0,'3b-d Exposures'!C1178)</f>
        <v/>
      </c>
      <c r="F960" s="3">
        <f>IF('3b-d Exposures'!E1178="",0,'3b-d Exposures'!E1178)</f>
        <v/>
      </c>
      <c r="G960" s="3">
        <f>IF('3b-d Exposures'!G1178="",0,'3b-d Exposures'!G1178)</f>
        <v/>
      </c>
      <c r="H960" s="3">
        <f>IF('3b-d Exposures'!I1178="",0,'3b-d Exposures'!I1178)</f>
        <v/>
      </c>
      <c r="I960" s="3">
        <f>IF('3b-d Exposures'!K1178="",0,'3b-d Exposures'!K1178)</f>
        <v/>
      </c>
      <c r="J960" s="3">
        <f>IF('3b-d Exposures'!M1178="",0,'3b-d Exposures'!M1178)</f>
        <v/>
      </c>
      <c r="K960" s="3">
        <f>IF('3b-d Exposures'!O1178="",0,'3b-d Exposures'!O1178)</f>
        <v/>
      </c>
      <c r="L960" s="3">
        <f>IF('3b-d Exposures'!Q1178="",0,'3b-d Exposures'!Q1178)</f>
        <v/>
      </c>
      <c r="M960" s="3">
        <f>IF('3b-d Exposures'!S1178="",0,'3b-d Exposures'!S1178)</f>
        <v/>
      </c>
      <c r="N960" s="3">
        <f>IF('3b-d Exposures'!Z1178="",0,'3b-d Exposures'!Z1178)</f>
        <v/>
      </c>
      <c r="O960" s="3">
        <f>$D960</f>
        <v/>
      </c>
      <c r="P960" s="3">
        <f>E960*$D960</f>
        <v/>
      </c>
      <c r="Q960" s="3">
        <f>F960*$D960</f>
        <v/>
      </c>
      <c r="R960" s="3">
        <f>G960*$D960</f>
        <v/>
      </c>
      <c r="S960" s="3">
        <f>H960*$D960</f>
        <v/>
      </c>
      <c r="T960" s="3">
        <f>I960*$D960</f>
        <v/>
      </c>
      <c r="U960" s="3">
        <f>J960*$D960</f>
        <v/>
      </c>
      <c r="V960" s="3">
        <f>K960*$D960</f>
        <v/>
      </c>
      <c r="W960" s="3">
        <f>L960*$D960</f>
        <v/>
      </c>
      <c r="X960" s="3">
        <f>M960*$D960</f>
        <v/>
      </c>
      <c r="Y960" s="3">
        <f>N960*$D960</f>
        <v/>
      </c>
      <c r="Z960" s="3">
        <f>C960*$D960</f>
        <v/>
      </c>
      <c r="AA960" s="9">
        <f>$L978+$K978*E960+$J978*F960+$I978*G960+$H978*H960+$G978*I960+$F978*J960+$E978*K960+$D978*L960+$C978*M960+$B978*N960</f>
        <v/>
      </c>
      <c r="AB960" s="9">
        <f>C960-AA960</f>
        <v/>
      </c>
      <c r="AC960" s="4">
        <f>AB960^2</f>
        <v/>
      </c>
    </row>
    <row r="961">
      <c r="A961" t="inlineStr">
        <is>
          <t>BBG000BCTQ65</t>
        </is>
      </c>
      <c r="B961" t="inlineStr">
        <is>
          <t>xel</t>
        </is>
      </c>
      <c r="C961" s="9" t="n">
        <v>-0.01874301971774517</v>
      </c>
      <c r="D961" s="3">
        <f>EXP(0.25*'3b-d Exposures'!G1179)</f>
        <v/>
      </c>
      <c r="E961" s="3">
        <f>IF('3b-d Exposures'!C1179="",0,'3b-d Exposures'!C1179)</f>
        <v/>
      </c>
      <c r="F961" s="3">
        <f>IF('3b-d Exposures'!E1179="",0,'3b-d Exposures'!E1179)</f>
        <v/>
      </c>
      <c r="G961" s="3">
        <f>IF('3b-d Exposures'!G1179="",0,'3b-d Exposures'!G1179)</f>
        <v/>
      </c>
      <c r="H961" s="3">
        <f>IF('3b-d Exposures'!I1179="",0,'3b-d Exposures'!I1179)</f>
        <v/>
      </c>
      <c r="I961" s="3">
        <f>IF('3b-d Exposures'!K1179="",0,'3b-d Exposures'!K1179)</f>
        <v/>
      </c>
      <c r="J961" s="3">
        <f>IF('3b-d Exposures'!M1179="",0,'3b-d Exposures'!M1179)</f>
        <v/>
      </c>
      <c r="K961" s="3">
        <f>IF('3b-d Exposures'!O1179="",0,'3b-d Exposures'!O1179)</f>
        <v/>
      </c>
      <c r="L961" s="3">
        <f>IF('3b-d Exposures'!Q1179="",0,'3b-d Exposures'!Q1179)</f>
        <v/>
      </c>
      <c r="M961" s="3">
        <f>IF('3b-d Exposures'!S1179="",0,'3b-d Exposures'!S1179)</f>
        <v/>
      </c>
      <c r="N961" s="3">
        <f>IF('3b-d Exposures'!Z1179="",0,'3b-d Exposures'!Z1179)</f>
        <v/>
      </c>
      <c r="O961" s="3">
        <f>$D961</f>
        <v/>
      </c>
      <c r="P961" s="3">
        <f>E961*$D961</f>
        <v/>
      </c>
      <c r="Q961" s="3">
        <f>F961*$D961</f>
        <v/>
      </c>
      <c r="R961" s="3">
        <f>G961*$D961</f>
        <v/>
      </c>
      <c r="S961" s="3">
        <f>H961*$D961</f>
        <v/>
      </c>
      <c r="T961" s="3">
        <f>I961*$D961</f>
        <v/>
      </c>
      <c r="U961" s="3">
        <f>J961*$D961</f>
        <v/>
      </c>
      <c r="V961" s="3">
        <f>K961*$D961</f>
        <v/>
      </c>
      <c r="W961" s="3">
        <f>L961*$D961</f>
        <v/>
      </c>
      <c r="X961" s="3">
        <f>M961*$D961</f>
        <v/>
      </c>
      <c r="Y961" s="3">
        <f>N961*$D961</f>
        <v/>
      </c>
      <c r="Z961" s="3">
        <f>C961*$D961</f>
        <v/>
      </c>
      <c r="AA961" s="9">
        <f>$L978+$K978*E961+$J978*F961+$I978*G961+$H978*H961+$G978*I961+$F978*J961+$E978*K961+$D978*L961+$C978*M961+$B978*N961</f>
        <v/>
      </c>
      <c r="AB961" s="9">
        <f>C961-AA961</f>
        <v/>
      </c>
      <c r="AC961" s="4">
        <f>AB961^2</f>
        <v/>
      </c>
    </row>
    <row r="962">
      <c r="A962" t="inlineStr">
        <is>
          <t>BBG00BDCCV93</t>
        </is>
      </c>
      <c r="B962" t="inlineStr">
        <is>
          <t>xmtr</t>
        </is>
      </c>
      <c r="C962" s="9" t="n">
        <v>0.01256042855329853</v>
      </c>
      <c r="D962" s="3">
        <f>EXP(0.25*'3b-d Exposures'!G1181)</f>
        <v/>
      </c>
      <c r="E962" s="3">
        <f>IF('3b-d Exposures'!C1181="",0,'3b-d Exposures'!C1181)</f>
        <v/>
      </c>
      <c r="F962" s="3">
        <f>IF('3b-d Exposures'!E1181="",0,'3b-d Exposures'!E1181)</f>
        <v/>
      </c>
      <c r="G962" s="3">
        <f>IF('3b-d Exposures'!G1181="",0,'3b-d Exposures'!G1181)</f>
        <v/>
      </c>
      <c r="H962" s="3">
        <f>IF('3b-d Exposures'!I1181="",0,'3b-d Exposures'!I1181)</f>
        <v/>
      </c>
      <c r="I962" s="3">
        <f>IF('3b-d Exposures'!K1181="",0,'3b-d Exposures'!K1181)</f>
        <v/>
      </c>
      <c r="J962" s="3">
        <f>IF('3b-d Exposures'!M1181="",0,'3b-d Exposures'!M1181)</f>
        <v/>
      </c>
      <c r="K962" s="3">
        <f>IF('3b-d Exposures'!O1181="",0,'3b-d Exposures'!O1181)</f>
        <v/>
      </c>
      <c r="L962" s="3">
        <f>IF('3b-d Exposures'!Q1181="",0,'3b-d Exposures'!Q1181)</f>
        <v/>
      </c>
      <c r="M962" s="3">
        <f>IF('3b-d Exposures'!S1181="",0,'3b-d Exposures'!S1181)</f>
        <v/>
      </c>
      <c r="N962" s="3">
        <f>IF('3b-d Exposures'!Z1181="",0,'3b-d Exposures'!Z1181)</f>
        <v/>
      </c>
      <c r="O962" s="3">
        <f>$D962</f>
        <v/>
      </c>
      <c r="P962" s="3">
        <f>E962*$D962</f>
        <v/>
      </c>
      <c r="Q962" s="3">
        <f>F962*$D962</f>
        <v/>
      </c>
      <c r="R962" s="3">
        <f>G962*$D962</f>
        <v/>
      </c>
      <c r="S962" s="3">
        <f>H962*$D962</f>
        <v/>
      </c>
      <c r="T962" s="3">
        <f>I962*$D962</f>
        <v/>
      </c>
      <c r="U962" s="3">
        <f>J962*$D962</f>
        <v/>
      </c>
      <c r="V962" s="3">
        <f>K962*$D962</f>
        <v/>
      </c>
      <c r="W962" s="3">
        <f>L962*$D962</f>
        <v/>
      </c>
      <c r="X962" s="3">
        <f>M962*$D962</f>
        <v/>
      </c>
      <c r="Y962" s="3">
        <f>N962*$D962</f>
        <v/>
      </c>
      <c r="Z962" s="3">
        <f>C962*$D962</f>
        <v/>
      </c>
      <c r="AA962" s="9">
        <f>$L978+$K978*E962+$J978*F962+$I978*G962+$H978*H962+$G978*I962+$F978*J962+$E978*K962+$D978*L962+$C978*M962+$B978*N962</f>
        <v/>
      </c>
      <c r="AB962" s="9">
        <f>C962-AA962</f>
        <v/>
      </c>
      <c r="AC962" s="4">
        <f>AB962^2</f>
        <v/>
      </c>
    </row>
    <row r="963">
      <c r="A963" t="inlineStr">
        <is>
          <t>xom</t>
        </is>
      </c>
      <c r="B963" t="inlineStr">
        <is>
          <t>xom</t>
        </is>
      </c>
      <c r="C963" s="9" t="n">
        <v>-0.000932568938950884</v>
      </c>
      <c r="D963" s="3">
        <f>EXP(0.25*'3b-d Exposures'!G1182)</f>
        <v/>
      </c>
      <c r="E963" s="3">
        <f>IF('3b-d Exposures'!C1182="",0,'3b-d Exposures'!C1182)</f>
        <v/>
      </c>
      <c r="F963" s="3">
        <f>IF('3b-d Exposures'!E1182="",0,'3b-d Exposures'!E1182)</f>
        <v/>
      </c>
      <c r="G963" s="3">
        <f>IF('3b-d Exposures'!G1182="",0,'3b-d Exposures'!G1182)</f>
        <v/>
      </c>
      <c r="H963" s="3">
        <f>IF('3b-d Exposures'!I1182="",0,'3b-d Exposures'!I1182)</f>
        <v/>
      </c>
      <c r="I963" s="3">
        <f>IF('3b-d Exposures'!K1182="",0,'3b-d Exposures'!K1182)</f>
        <v/>
      </c>
      <c r="J963" s="3">
        <f>IF('3b-d Exposures'!M1182="",0,'3b-d Exposures'!M1182)</f>
        <v/>
      </c>
      <c r="K963" s="3">
        <f>IF('3b-d Exposures'!O1182="",0,'3b-d Exposures'!O1182)</f>
        <v/>
      </c>
      <c r="L963" s="3">
        <f>IF('3b-d Exposures'!Q1182="",0,'3b-d Exposures'!Q1182)</f>
        <v/>
      </c>
      <c r="M963" s="3">
        <f>IF('3b-d Exposures'!S1182="",0,'3b-d Exposures'!S1182)</f>
        <v/>
      </c>
      <c r="N963" s="3">
        <f>IF('3b-d Exposures'!Z1182="",0,'3b-d Exposures'!Z1182)</f>
        <v/>
      </c>
      <c r="O963" s="3">
        <f>$D963</f>
        <v/>
      </c>
      <c r="P963" s="3">
        <f>E963*$D963</f>
        <v/>
      </c>
      <c r="Q963" s="3">
        <f>F963*$D963</f>
        <v/>
      </c>
      <c r="R963" s="3">
        <f>G963*$D963</f>
        <v/>
      </c>
      <c r="S963" s="3">
        <f>H963*$D963</f>
        <v/>
      </c>
      <c r="T963" s="3">
        <f>I963*$D963</f>
        <v/>
      </c>
      <c r="U963" s="3">
        <f>J963*$D963</f>
        <v/>
      </c>
      <c r="V963" s="3">
        <f>K963*$D963</f>
        <v/>
      </c>
      <c r="W963" s="3">
        <f>L963*$D963</f>
        <v/>
      </c>
      <c r="X963" s="3">
        <f>M963*$D963</f>
        <v/>
      </c>
      <c r="Y963" s="3">
        <f>N963*$D963</f>
        <v/>
      </c>
      <c r="Z963" s="3">
        <f>C963*$D963</f>
        <v/>
      </c>
      <c r="AA963" s="9">
        <f>$L978+$K978*E963+$J978*F963+$I978*G963+$H978*H963+$G978*I963+$F978*J963+$E978*K963+$D978*L963+$C978*M963+$B978*N963</f>
        <v/>
      </c>
      <c r="AB963" s="9">
        <f>C963-AA963</f>
        <v/>
      </c>
      <c r="AC963" s="4">
        <f>AB963^2</f>
        <v/>
      </c>
    </row>
    <row r="964">
      <c r="A964" t="inlineStr">
        <is>
          <t>BBG000L5CJF3</t>
        </is>
      </c>
      <c r="B964" t="inlineStr">
        <is>
          <t>xpo</t>
        </is>
      </c>
      <c r="C964" s="9" t="n">
        <v>0.01390981606356689</v>
      </c>
      <c r="D964" s="3">
        <f>EXP(0.25*'3b-d Exposures'!G1183)</f>
        <v/>
      </c>
      <c r="E964" s="3">
        <f>IF('3b-d Exposures'!C1183="",0,'3b-d Exposures'!C1183)</f>
        <v/>
      </c>
      <c r="F964" s="3">
        <f>IF('3b-d Exposures'!E1183="",0,'3b-d Exposures'!E1183)</f>
        <v/>
      </c>
      <c r="G964" s="3">
        <f>IF('3b-d Exposures'!G1183="",0,'3b-d Exposures'!G1183)</f>
        <v/>
      </c>
      <c r="H964" s="3">
        <f>IF('3b-d Exposures'!I1183="",0,'3b-d Exposures'!I1183)</f>
        <v/>
      </c>
      <c r="I964" s="3">
        <f>IF('3b-d Exposures'!K1183="",0,'3b-d Exposures'!K1183)</f>
        <v/>
      </c>
      <c r="J964" s="3">
        <f>IF('3b-d Exposures'!M1183="",0,'3b-d Exposures'!M1183)</f>
        <v/>
      </c>
      <c r="K964" s="3">
        <f>IF('3b-d Exposures'!O1183="",0,'3b-d Exposures'!O1183)</f>
        <v/>
      </c>
      <c r="L964" s="3">
        <f>IF('3b-d Exposures'!Q1183="",0,'3b-d Exposures'!Q1183)</f>
        <v/>
      </c>
      <c r="M964" s="3">
        <f>IF('3b-d Exposures'!S1183="",0,'3b-d Exposures'!S1183)</f>
        <v/>
      </c>
      <c r="N964" s="3">
        <f>IF('3b-d Exposures'!Z1183="",0,'3b-d Exposures'!Z1183)</f>
        <v/>
      </c>
      <c r="O964" s="3">
        <f>$D964</f>
        <v/>
      </c>
      <c r="P964" s="3">
        <f>E964*$D964</f>
        <v/>
      </c>
      <c r="Q964" s="3">
        <f>F964*$D964</f>
        <v/>
      </c>
      <c r="R964" s="3">
        <f>G964*$D964</f>
        <v/>
      </c>
      <c r="S964" s="3">
        <f>H964*$D964</f>
        <v/>
      </c>
      <c r="T964" s="3">
        <f>I964*$D964</f>
        <v/>
      </c>
      <c r="U964" s="3">
        <f>J964*$D964</f>
        <v/>
      </c>
      <c r="V964" s="3">
        <f>K964*$D964</f>
        <v/>
      </c>
      <c r="W964" s="3">
        <f>L964*$D964</f>
        <v/>
      </c>
      <c r="X964" s="3">
        <f>M964*$D964</f>
        <v/>
      </c>
      <c r="Y964" s="3">
        <f>N964*$D964</f>
        <v/>
      </c>
      <c r="Z964" s="3">
        <f>C964*$D964</f>
        <v/>
      </c>
      <c r="AA964" s="9">
        <f>$L978+$K978*E964+$J978*F964+$I978*G964+$H978*H964+$G978*I964+$F978*J964+$E978*K964+$D978*L964+$C978*M964+$B978*N964</f>
        <v/>
      </c>
      <c r="AB964" s="9">
        <f>C964-AA964</f>
        <v/>
      </c>
      <c r="AC964" s="4">
        <f>AB964^2</f>
        <v/>
      </c>
    </row>
    <row r="965">
      <c r="A965" t="inlineStr">
        <is>
          <t>BBG001D8R5D0</t>
        </is>
      </c>
      <c r="B965" t="inlineStr">
        <is>
          <t>xyl</t>
        </is>
      </c>
      <c r="C965" s="9" t="n">
        <v>0.002051317166877675</v>
      </c>
      <c r="D965" s="3">
        <f>EXP(0.25*'3b-d Exposures'!G1184)</f>
        <v/>
      </c>
      <c r="E965" s="3">
        <f>IF('3b-d Exposures'!C1184="",0,'3b-d Exposures'!C1184)</f>
        <v/>
      </c>
      <c r="F965" s="3">
        <f>IF('3b-d Exposures'!E1184="",0,'3b-d Exposures'!E1184)</f>
        <v/>
      </c>
      <c r="G965" s="3">
        <f>IF('3b-d Exposures'!G1184="",0,'3b-d Exposures'!G1184)</f>
        <v/>
      </c>
      <c r="H965" s="3">
        <f>IF('3b-d Exposures'!I1184="",0,'3b-d Exposures'!I1184)</f>
        <v/>
      </c>
      <c r="I965" s="3">
        <f>IF('3b-d Exposures'!K1184="",0,'3b-d Exposures'!K1184)</f>
        <v/>
      </c>
      <c r="J965" s="3">
        <f>IF('3b-d Exposures'!M1184="",0,'3b-d Exposures'!M1184)</f>
        <v/>
      </c>
      <c r="K965" s="3">
        <f>IF('3b-d Exposures'!O1184="",0,'3b-d Exposures'!O1184)</f>
        <v/>
      </c>
      <c r="L965" s="3">
        <f>IF('3b-d Exposures'!Q1184="",0,'3b-d Exposures'!Q1184)</f>
        <v/>
      </c>
      <c r="M965" s="3">
        <f>IF('3b-d Exposures'!S1184="",0,'3b-d Exposures'!S1184)</f>
        <v/>
      </c>
      <c r="N965" s="3">
        <f>IF('3b-d Exposures'!Z1184="",0,'3b-d Exposures'!Z1184)</f>
        <v/>
      </c>
      <c r="O965" s="3">
        <f>$D965</f>
        <v/>
      </c>
      <c r="P965" s="3">
        <f>E965*$D965</f>
        <v/>
      </c>
      <c r="Q965" s="3">
        <f>F965*$D965</f>
        <v/>
      </c>
      <c r="R965" s="3">
        <f>G965*$D965</f>
        <v/>
      </c>
      <c r="S965" s="3">
        <f>H965*$D965</f>
        <v/>
      </c>
      <c r="T965" s="3">
        <f>I965*$D965</f>
        <v/>
      </c>
      <c r="U965" s="3">
        <f>J965*$D965</f>
        <v/>
      </c>
      <c r="V965" s="3">
        <f>K965*$D965</f>
        <v/>
      </c>
      <c r="W965" s="3">
        <f>L965*$D965</f>
        <v/>
      </c>
      <c r="X965" s="3">
        <f>M965*$D965</f>
        <v/>
      </c>
      <c r="Y965" s="3">
        <f>N965*$D965</f>
        <v/>
      </c>
      <c r="Z965" s="3">
        <f>C965*$D965</f>
        <v/>
      </c>
      <c r="AA965" s="9">
        <f>$L978+$K978*E965+$J978*F965+$I978*G965+$H978*H965+$G978*I965+$F978*J965+$E978*K965+$D978*L965+$C978*M965+$B978*N965</f>
        <v/>
      </c>
      <c r="AB965" s="9">
        <f>C965-AA965</f>
        <v/>
      </c>
      <c r="AC965" s="4">
        <f>AB965^2</f>
        <v/>
      </c>
    </row>
    <row r="966">
      <c r="A966" t="inlineStr">
        <is>
          <t>BBG000Q2HM09</t>
        </is>
      </c>
      <c r="B966" t="inlineStr">
        <is>
          <t>yelp</t>
        </is>
      </c>
      <c r="C966" s="9" t="n">
        <v>0.00863417074352868</v>
      </c>
      <c r="D966" s="3">
        <f>EXP(0.25*'3b-d Exposures'!G1186)</f>
        <v/>
      </c>
      <c r="E966" s="3">
        <f>IF('3b-d Exposures'!C1186="",0,'3b-d Exposures'!C1186)</f>
        <v/>
      </c>
      <c r="F966" s="3">
        <f>IF('3b-d Exposures'!E1186="",0,'3b-d Exposures'!E1186)</f>
        <v/>
      </c>
      <c r="G966" s="3">
        <f>IF('3b-d Exposures'!G1186="",0,'3b-d Exposures'!G1186)</f>
        <v/>
      </c>
      <c r="H966" s="3">
        <f>IF('3b-d Exposures'!I1186="",0,'3b-d Exposures'!I1186)</f>
        <v/>
      </c>
      <c r="I966" s="3">
        <f>IF('3b-d Exposures'!K1186="",0,'3b-d Exposures'!K1186)</f>
        <v/>
      </c>
      <c r="J966" s="3">
        <f>IF('3b-d Exposures'!M1186="",0,'3b-d Exposures'!M1186)</f>
        <v/>
      </c>
      <c r="K966" s="3">
        <f>IF('3b-d Exposures'!O1186="",0,'3b-d Exposures'!O1186)</f>
        <v/>
      </c>
      <c r="L966" s="3">
        <f>IF('3b-d Exposures'!Q1186="",0,'3b-d Exposures'!Q1186)</f>
        <v/>
      </c>
      <c r="M966" s="3">
        <f>IF('3b-d Exposures'!S1186="",0,'3b-d Exposures'!S1186)</f>
        <v/>
      </c>
      <c r="N966" s="3">
        <f>IF('3b-d Exposures'!Z1186="",0,'3b-d Exposures'!Z1186)</f>
        <v/>
      </c>
      <c r="O966" s="3">
        <f>$D966</f>
        <v/>
      </c>
      <c r="P966" s="3">
        <f>E966*$D966</f>
        <v/>
      </c>
      <c r="Q966" s="3">
        <f>F966*$D966</f>
        <v/>
      </c>
      <c r="R966" s="3">
        <f>G966*$D966</f>
        <v/>
      </c>
      <c r="S966" s="3">
        <f>H966*$D966</f>
        <v/>
      </c>
      <c r="T966" s="3">
        <f>I966*$D966</f>
        <v/>
      </c>
      <c r="U966" s="3">
        <f>J966*$D966</f>
        <v/>
      </c>
      <c r="V966" s="3">
        <f>K966*$D966</f>
        <v/>
      </c>
      <c r="W966" s="3">
        <f>L966*$D966</f>
        <v/>
      </c>
      <c r="X966" s="3">
        <f>M966*$D966</f>
        <v/>
      </c>
      <c r="Y966" s="3">
        <f>N966*$D966</f>
        <v/>
      </c>
      <c r="Z966" s="3">
        <f>C966*$D966</f>
        <v/>
      </c>
      <c r="AA966" s="9">
        <f>$L978+$K978*E966+$J978*F966+$I978*G966+$H978*H966+$G978*I966+$F978*J966+$E978*K966+$D978*L966+$C978*M966+$B978*N966</f>
        <v/>
      </c>
      <c r="AB966" s="9">
        <f>C966-AA966</f>
        <v/>
      </c>
      <c r="AC966" s="4">
        <f>AB966^2</f>
        <v/>
      </c>
    </row>
    <row r="967">
      <c r="A967" t="inlineStr">
        <is>
          <t>BBG000BH3GZ2</t>
        </is>
      </c>
      <c r="B967" t="inlineStr">
        <is>
          <t>yum</t>
        </is>
      </c>
      <c r="C967" s="9" t="n">
        <v>0.005496333109197948</v>
      </c>
      <c r="D967" s="3">
        <f>EXP(0.25*'3b-d Exposures'!G1188)</f>
        <v/>
      </c>
      <c r="E967" s="3">
        <f>IF('3b-d Exposures'!C1188="",0,'3b-d Exposures'!C1188)</f>
        <v/>
      </c>
      <c r="F967" s="3">
        <f>IF('3b-d Exposures'!E1188="",0,'3b-d Exposures'!E1188)</f>
        <v/>
      </c>
      <c r="G967" s="3">
        <f>IF('3b-d Exposures'!G1188="",0,'3b-d Exposures'!G1188)</f>
        <v/>
      </c>
      <c r="H967" s="3">
        <f>IF('3b-d Exposures'!I1188="",0,'3b-d Exposures'!I1188)</f>
        <v/>
      </c>
      <c r="I967" s="3">
        <f>IF('3b-d Exposures'!K1188="",0,'3b-d Exposures'!K1188)</f>
        <v/>
      </c>
      <c r="J967" s="3">
        <f>IF('3b-d Exposures'!M1188="",0,'3b-d Exposures'!M1188)</f>
        <v/>
      </c>
      <c r="K967" s="3">
        <f>IF('3b-d Exposures'!O1188="",0,'3b-d Exposures'!O1188)</f>
        <v/>
      </c>
      <c r="L967" s="3">
        <f>IF('3b-d Exposures'!Q1188="",0,'3b-d Exposures'!Q1188)</f>
        <v/>
      </c>
      <c r="M967" s="3">
        <f>IF('3b-d Exposures'!S1188="",0,'3b-d Exposures'!S1188)</f>
        <v/>
      </c>
      <c r="N967" s="3">
        <f>IF('3b-d Exposures'!Z1188="",0,'3b-d Exposures'!Z1188)</f>
        <v/>
      </c>
      <c r="O967" s="3">
        <f>$D967</f>
        <v/>
      </c>
      <c r="P967" s="3">
        <f>E967*$D967</f>
        <v/>
      </c>
      <c r="Q967" s="3">
        <f>F967*$D967</f>
        <v/>
      </c>
      <c r="R967" s="3">
        <f>G967*$D967</f>
        <v/>
      </c>
      <c r="S967" s="3">
        <f>H967*$D967</f>
        <v/>
      </c>
      <c r="T967" s="3">
        <f>I967*$D967</f>
        <v/>
      </c>
      <c r="U967" s="3">
        <f>J967*$D967</f>
        <v/>
      </c>
      <c r="V967" s="3">
        <f>K967*$D967</f>
        <v/>
      </c>
      <c r="W967" s="3">
        <f>L967*$D967</f>
        <v/>
      </c>
      <c r="X967" s="3">
        <f>M967*$D967</f>
        <v/>
      </c>
      <c r="Y967" s="3">
        <f>N967*$D967</f>
        <v/>
      </c>
      <c r="Z967" s="3">
        <f>C967*$D967</f>
        <v/>
      </c>
      <c r="AA967" s="9">
        <f>$L978+$K978*E967+$J978*F967+$I978*G967+$H978*H967+$G978*I967+$F978*J967+$E978*K967+$D978*L967+$C978*M967+$B978*N967</f>
        <v/>
      </c>
      <c r="AB967" s="9">
        <f>C967-AA967</f>
        <v/>
      </c>
      <c r="AC967" s="4">
        <f>AB967^2</f>
        <v/>
      </c>
    </row>
    <row r="968">
      <c r="A968" t="inlineStr">
        <is>
          <t>BBG000BKPL53</t>
        </is>
      </c>
      <c r="B968" t="inlineStr">
        <is>
          <t>zbh</t>
        </is>
      </c>
      <c r="C968" s="9" t="n">
        <v>-0.01427294369689935</v>
      </c>
      <c r="D968" s="3">
        <f>EXP(0.25*'3b-d Exposures'!G1190)</f>
        <v/>
      </c>
      <c r="E968" s="3">
        <f>IF('3b-d Exposures'!C1190="",0,'3b-d Exposures'!C1190)</f>
        <v/>
      </c>
      <c r="F968" s="3">
        <f>IF('3b-d Exposures'!E1190="",0,'3b-d Exposures'!E1190)</f>
        <v/>
      </c>
      <c r="G968" s="3">
        <f>IF('3b-d Exposures'!G1190="",0,'3b-d Exposures'!G1190)</f>
        <v/>
      </c>
      <c r="H968" s="3">
        <f>IF('3b-d Exposures'!I1190="",0,'3b-d Exposures'!I1190)</f>
        <v/>
      </c>
      <c r="I968" s="3">
        <f>IF('3b-d Exposures'!K1190="",0,'3b-d Exposures'!K1190)</f>
        <v/>
      </c>
      <c r="J968" s="3">
        <f>IF('3b-d Exposures'!M1190="",0,'3b-d Exposures'!M1190)</f>
        <v/>
      </c>
      <c r="K968" s="3">
        <f>IF('3b-d Exposures'!O1190="",0,'3b-d Exposures'!O1190)</f>
        <v/>
      </c>
      <c r="L968" s="3">
        <f>IF('3b-d Exposures'!Q1190="",0,'3b-d Exposures'!Q1190)</f>
        <v/>
      </c>
      <c r="M968" s="3">
        <f>IF('3b-d Exposures'!S1190="",0,'3b-d Exposures'!S1190)</f>
        <v/>
      </c>
      <c r="N968" s="3">
        <f>IF('3b-d Exposures'!Z1190="",0,'3b-d Exposures'!Z1190)</f>
        <v/>
      </c>
      <c r="O968" s="3">
        <f>$D968</f>
        <v/>
      </c>
      <c r="P968" s="3">
        <f>E968*$D968</f>
        <v/>
      </c>
      <c r="Q968" s="3">
        <f>F968*$D968</f>
        <v/>
      </c>
      <c r="R968" s="3">
        <f>G968*$D968</f>
        <v/>
      </c>
      <c r="S968" s="3">
        <f>H968*$D968</f>
        <v/>
      </c>
      <c r="T968" s="3">
        <f>I968*$D968</f>
        <v/>
      </c>
      <c r="U968" s="3">
        <f>J968*$D968</f>
        <v/>
      </c>
      <c r="V968" s="3">
        <f>K968*$D968</f>
        <v/>
      </c>
      <c r="W968" s="3">
        <f>L968*$D968</f>
        <v/>
      </c>
      <c r="X968" s="3">
        <f>M968*$D968</f>
        <v/>
      </c>
      <c r="Y968" s="3">
        <f>N968*$D968</f>
        <v/>
      </c>
      <c r="Z968" s="3">
        <f>C968*$D968</f>
        <v/>
      </c>
      <c r="AA968" s="9">
        <f>$L978+$K978*E968+$J978*F968+$I978*G968+$H978*H968+$G978*I968+$F978*J968+$E978*K968+$D978*L968+$C978*M968+$B978*N968</f>
        <v/>
      </c>
      <c r="AB968" s="9">
        <f>C968-AA968</f>
        <v/>
      </c>
      <c r="AC968" s="4">
        <f>AB968^2</f>
        <v/>
      </c>
    </row>
    <row r="969">
      <c r="A969" t="inlineStr">
        <is>
          <t>BBG000CC7LQ7</t>
        </is>
      </c>
      <c r="B969" t="inlineStr">
        <is>
          <t>zbra</t>
        </is>
      </c>
      <c r="C969" s="9" t="n">
        <v>0.007469308464181479</v>
      </c>
      <c r="D969" s="3">
        <f>EXP(0.25*'3b-d Exposures'!G1192)</f>
        <v/>
      </c>
      <c r="E969" s="3">
        <f>IF('3b-d Exposures'!C1192="",0,'3b-d Exposures'!C1192)</f>
        <v/>
      </c>
      <c r="F969" s="3">
        <f>IF('3b-d Exposures'!E1192="",0,'3b-d Exposures'!E1192)</f>
        <v/>
      </c>
      <c r="G969" s="3">
        <f>IF('3b-d Exposures'!G1192="",0,'3b-d Exposures'!G1192)</f>
        <v/>
      </c>
      <c r="H969" s="3">
        <f>IF('3b-d Exposures'!I1192="",0,'3b-d Exposures'!I1192)</f>
        <v/>
      </c>
      <c r="I969" s="3">
        <f>IF('3b-d Exposures'!K1192="",0,'3b-d Exposures'!K1192)</f>
        <v/>
      </c>
      <c r="J969" s="3">
        <f>IF('3b-d Exposures'!M1192="",0,'3b-d Exposures'!M1192)</f>
        <v/>
      </c>
      <c r="K969" s="3">
        <f>IF('3b-d Exposures'!O1192="",0,'3b-d Exposures'!O1192)</f>
        <v/>
      </c>
      <c r="L969" s="3">
        <f>IF('3b-d Exposures'!Q1192="",0,'3b-d Exposures'!Q1192)</f>
        <v/>
      </c>
      <c r="M969" s="3">
        <f>IF('3b-d Exposures'!S1192="",0,'3b-d Exposures'!S1192)</f>
        <v/>
      </c>
      <c r="N969" s="3">
        <f>IF('3b-d Exposures'!Z1192="",0,'3b-d Exposures'!Z1192)</f>
        <v/>
      </c>
      <c r="O969" s="3">
        <f>$D969</f>
        <v/>
      </c>
      <c r="P969" s="3">
        <f>E969*$D969</f>
        <v/>
      </c>
      <c r="Q969" s="3">
        <f>F969*$D969</f>
        <v/>
      </c>
      <c r="R969" s="3">
        <f>G969*$D969</f>
        <v/>
      </c>
      <c r="S969" s="3">
        <f>H969*$D969</f>
        <v/>
      </c>
      <c r="T969" s="3">
        <f>I969*$D969</f>
        <v/>
      </c>
      <c r="U969" s="3">
        <f>J969*$D969</f>
        <v/>
      </c>
      <c r="V969" s="3">
        <f>K969*$D969</f>
        <v/>
      </c>
      <c r="W969" s="3">
        <f>L969*$D969</f>
        <v/>
      </c>
      <c r="X969" s="3">
        <f>M969*$D969</f>
        <v/>
      </c>
      <c r="Y969" s="3">
        <f>N969*$D969</f>
        <v/>
      </c>
      <c r="Z969" s="3">
        <f>C969*$D969</f>
        <v/>
      </c>
      <c r="AA969" s="9">
        <f>$L978+$K978*E969+$J978*F969+$I978*G969+$H978*H969+$G978*I969+$F978*J969+$E978*K969+$D978*L969+$C978*M969+$B978*N969</f>
        <v/>
      </c>
      <c r="AB969" s="9">
        <f>C969-AA969</f>
        <v/>
      </c>
      <c r="AC969" s="4">
        <f>AB969^2</f>
        <v/>
      </c>
    </row>
    <row r="970">
      <c r="A970" t="inlineStr">
        <is>
          <t>BBG000BX9WL1</t>
        </is>
      </c>
      <c r="B970" t="inlineStr">
        <is>
          <t>zion</t>
        </is>
      </c>
      <c r="C970" s="9" t="n">
        <v>-0.009914184405232285</v>
      </c>
      <c r="D970" s="3">
        <f>EXP(0.25*'3b-d Exposures'!G1193)</f>
        <v/>
      </c>
      <c r="E970" s="3">
        <f>IF('3b-d Exposures'!C1193="",0,'3b-d Exposures'!C1193)</f>
        <v/>
      </c>
      <c r="F970" s="3">
        <f>IF('3b-d Exposures'!E1193="",0,'3b-d Exposures'!E1193)</f>
        <v/>
      </c>
      <c r="G970" s="3">
        <f>IF('3b-d Exposures'!G1193="",0,'3b-d Exposures'!G1193)</f>
        <v/>
      </c>
      <c r="H970" s="3">
        <f>IF('3b-d Exposures'!I1193="",0,'3b-d Exposures'!I1193)</f>
        <v/>
      </c>
      <c r="I970" s="3">
        <f>IF('3b-d Exposures'!K1193="",0,'3b-d Exposures'!K1193)</f>
        <v/>
      </c>
      <c r="J970" s="3">
        <f>IF('3b-d Exposures'!M1193="",0,'3b-d Exposures'!M1193)</f>
        <v/>
      </c>
      <c r="K970" s="3">
        <f>IF('3b-d Exposures'!O1193="",0,'3b-d Exposures'!O1193)</f>
        <v/>
      </c>
      <c r="L970" s="3">
        <f>IF('3b-d Exposures'!Q1193="",0,'3b-d Exposures'!Q1193)</f>
        <v/>
      </c>
      <c r="M970" s="3">
        <f>IF('3b-d Exposures'!S1193="",0,'3b-d Exposures'!S1193)</f>
        <v/>
      </c>
      <c r="N970" s="3">
        <f>IF('3b-d Exposures'!Z1193="",0,'3b-d Exposures'!Z1193)</f>
        <v/>
      </c>
      <c r="O970" s="3">
        <f>$D970</f>
        <v/>
      </c>
      <c r="P970" s="3">
        <f>E970*$D970</f>
        <v/>
      </c>
      <c r="Q970" s="3">
        <f>F970*$D970</f>
        <v/>
      </c>
      <c r="R970" s="3">
        <f>G970*$D970</f>
        <v/>
      </c>
      <c r="S970" s="3">
        <f>H970*$D970</f>
        <v/>
      </c>
      <c r="T970" s="3">
        <f>I970*$D970</f>
        <v/>
      </c>
      <c r="U970" s="3">
        <f>J970*$D970</f>
        <v/>
      </c>
      <c r="V970" s="3">
        <f>K970*$D970</f>
        <v/>
      </c>
      <c r="W970" s="3">
        <f>L970*$D970</f>
        <v/>
      </c>
      <c r="X970" s="3">
        <f>M970*$D970</f>
        <v/>
      </c>
      <c r="Y970" s="3">
        <f>N970*$D970</f>
        <v/>
      </c>
      <c r="Z970" s="3">
        <f>C970*$D970</f>
        <v/>
      </c>
      <c r="AA970" s="9">
        <f>$L978+$K978*E970+$J978*F970+$I978*G970+$H978*H970+$G978*I970+$F978*J970+$E978*K970+$D978*L970+$C978*M970+$B978*N970</f>
        <v/>
      </c>
      <c r="AB970" s="9">
        <f>C970-AA970</f>
        <v/>
      </c>
      <c r="AC970" s="4">
        <f>AB970^2</f>
        <v/>
      </c>
    </row>
    <row r="971">
      <c r="A971" t="inlineStr">
        <is>
          <t>BBG00HFX3N90</t>
        </is>
      </c>
      <c r="B971" t="inlineStr">
        <is>
          <t>zlab</t>
        </is>
      </c>
      <c r="C971" s="9" t="n">
        <v>0.01213172883333935</v>
      </c>
      <c r="D971" s="3">
        <f>EXP(0.25*'3b-d Exposures'!G1194)</f>
        <v/>
      </c>
      <c r="E971" s="3">
        <f>IF('3b-d Exposures'!C1194="",0,'3b-d Exposures'!C1194)</f>
        <v/>
      </c>
      <c r="F971" s="3">
        <f>IF('3b-d Exposures'!E1194="",0,'3b-d Exposures'!E1194)</f>
        <v/>
      </c>
      <c r="G971" s="3">
        <f>IF('3b-d Exposures'!G1194="",0,'3b-d Exposures'!G1194)</f>
        <v/>
      </c>
      <c r="H971" s="3">
        <f>IF('3b-d Exposures'!I1194="",0,'3b-d Exposures'!I1194)</f>
        <v/>
      </c>
      <c r="I971" s="3">
        <f>IF('3b-d Exposures'!K1194="",0,'3b-d Exposures'!K1194)</f>
        <v/>
      </c>
      <c r="J971" s="3">
        <f>IF('3b-d Exposures'!M1194="",0,'3b-d Exposures'!M1194)</f>
        <v/>
      </c>
      <c r="K971" s="3">
        <f>IF('3b-d Exposures'!O1194="",0,'3b-d Exposures'!O1194)</f>
        <v/>
      </c>
      <c r="L971" s="3">
        <f>IF('3b-d Exposures'!Q1194="",0,'3b-d Exposures'!Q1194)</f>
        <v/>
      </c>
      <c r="M971" s="3">
        <f>IF('3b-d Exposures'!S1194="",0,'3b-d Exposures'!S1194)</f>
        <v/>
      </c>
      <c r="N971" s="3">
        <f>IF('3b-d Exposures'!Z1194="",0,'3b-d Exposures'!Z1194)</f>
        <v/>
      </c>
      <c r="O971" s="3">
        <f>$D971</f>
        <v/>
      </c>
      <c r="P971" s="3">
        <f>E971*$D971</f>
        <v/>
      </c>
      <c r="Q971" s="3">
        <f>F971*$D971</f>
        <v/>
      </c>
      <c r="R971" s="3">
        <f>G971*$D971</f>
        <v/>
      </c>
      <c r="S971" s="3">
        <f>H971*$D971</f>
        <v/>
      </c>
      <c r="T971" s="3">
        <f>I971*$D971</f>
        <v/>
      </c>
      <c r="U971" s="3">
        <f>J971*$D971</f>
        <v/>
      </c>
      <c r="V971" s="3">
        <f>K971*$D971</f>
        <v/>
      </c>
      <c r="W971" s="3">
        <f>L971*$D971</f>
        <v/>
      </c>
      <c r="X971" s="3">
        <f>M971*$D971</f>
        <v/>
      </c>
      <c r="Y971" s="3">
        <f>N971*$D971</f>
        <v/>
      </c>
      <c r="Z971" s="3">
        <f>C971*$D971</f>
        <v/>
      </c>
      <c r="AA971" s="9">
        <f>$L978+$K978*E971+$J978*F971+$I978*G971+$H978*H971+$G978*I971+$F978*J971+$E978*K971+$D978*L971+$C978*M971+$B978*N971</f>
        <v/>
      </c>
      <c r="AB971" s="9">
        <f>C971-AA971</f>
        <v/>
      </c>
      <c r="AC971" s="4">
        <f>AB971^2</f>
        <v/>
      </c>
    </row>
    <row r="972">
      <c r="A972" t="inlineStr">
        <is>
          <t>BBG0042V6JM8</t>
        </is>
      </c>
      <c r="B972" t="inlineStr">
        <is>
          <t>zm</t>
        </is>
      </c>
      <c r="C972" s="9" t="n">
        <v>0.005079189219312497</v>
      </c>
      <c r="D972" s="3">
        <f>EXP(0.25*'3b-d Exposures'!G1195)</f>
        <v/>
      </c>
      <c r="E972" s="3">
        <f>IF('3b-d Exposures'!C1195="",0,'3b-d Exposures'!C1195)</f>
        <v/>
      </c>
      <c r="F972" s="3">
        <f>IF('3b-d Exposures'!E1195="",0,'3b-d Exposures'!E1195)</f>
        <v/>
      </c>
      <c r="G972" s="3">
        <f>IF('3b-d Exposures'!G1195="",0,'3b-d Exposures'!G1195)</f>
        <v/>
      </c>
      <c r="H972" s="3">
        <f>IF('3b-d Exposures'!I1195="",0,'3b-d Exposures'!I1195)</f>
        <v/>
      </c>
      <c r="I972" s="3">
        <f>IF('3b-d Exposures'!K1195="",0,'3b-d Exposures'!K1195)</f>
        <v/>
      </c>
      <c r="J972" s="3">
        <f>IF('3b-d Exposures'!M1195="",0,'3b-d Exposures'!M1195)</f>
        <v/>
      </c>
      <c r="K972" s="3">
        <f>IF('3b-d Exposures'!O1195="",0,'3b-d Exposures'!O1195)</f>
        <v/>
      </c>
      <c r="L972" s="3">
        <f>IF('3b-d Exposures'!Q1195="",0,'3b-d Exposures'!Q1195)</f>
        <v/>
      </c>
      <c r="M972" s="3">
        <f>IF('3b-d Exposures'!S1195="",0,'3b-d Exposures'!S1195)</f>
        <v/>
      </c>
      <c r="N972" s="3">
        <f>IF('3b-d Exposures'!Z1195="",0,'3b-d Exposures'!Z1195)</f>
        <v/>
      </c>
      <c r="O972" s="3">
        <f>$D972</f>
        <v/>
      </c>
      <c r="P972" s="3">
        <f>E972*$D972</f>
        <v/>
      </c>
      <c r="Q972" s="3">
        <f>F972*$D972</f>
        <v/>
      </c>
      <c r="R972" s="3">
        <f>G972*$D972</f>
        <v/>
      </c>
      <c r="S972" s="3">
        <f>H972*$D972</f>
        <v/>
      </c>
      <c r="T972" s="3">
        <f>I972*$D972</f>
        <v/>
      </c>
      <c r="U972" s="3">
        <f>J972*$D972</f>
        <v/>
      </c>
      <c r="V972" s="3">
        <f>K972*$D972</f>
        <v/>
      </c>
      <c r="W972" s="3">
        <f>L972*$D972</f>
        <v/>
      </c>
      <c r="X972" s="3">
        <f>M972*$D972</f>
        <v/>
      </c>
      <c r="Y972" s="3">
        <f>N972*$D972</f>
        <v/>
      </c>
      <c r="Z972" s="3">
        <f>C972*$D972</f>
        <v/>
      </c>
      <c r="AA972" s="9">
        <f>$L978+$K978*E972+$J978*F972+$I978*G972+$H978*H972+$G978*I972+$F978*J972+$E978*K972+$D978*L972+$C978*M972+$B978*N972</f>
        <v/>
      </c>
      <c r="AB972" s="9">
        <f>C972-AA972</f>
        <v/>
      </c>
      <c r="AC972" s="4">
        <f>AB972^2</f>
        <v/>
      </c>
    </row>
    <row r="973">
      <c r="A973" t="inlineStr">
        <is>
          <t>BBG003338H34</t>
        </is>
      </c>
      <c r="B973" t="inlineStr">
        <is>
          <t>zs</t>
        </is>
      </c>
      <c r="C973" s="9" t="n">
        <v>0.009293761571131709</v>
      </c>
      <c r="D973" s="3">
        <f>EXP(0.25*'3b-d Exposures'!G1196)</f>
        <v/>
      </c>
      <c r="E973" s="3">
        <f>IF('3b-d Exposures'!C1196="",0,'3b-d Exposures'!C1196)</f>
        <v/>
      </c>
      <c r="F973" s="3">
        <f>IF('3b-d Exposures'!E1196="",0,'3b-d Exposures'!E1196)</f>
        <v/>
      </c>
      <c r="G973" s="3">
        <f>IF('3b-d Exposures'!G1196="",0,'3b-d Exposures'!G1196)</f>
        <v/>
      </c>
      <c r="H973" s="3">
        <f>IF('3b-d Exposures'!I1196="",0,'3b-d Exposures'!I1196)</f>
        <v/>
      </c>
      <c r="I973" s="3">
        <f>IF('3b-d Exposures'!K1196="",0,'3b-d Exposures'!K1196)</f>
        <v/>
      </c>
      <c r="J973" s="3">
        <f>IF('3b-d Exposures'!M1196="",0,'3b-d Exposures'!M1196)</f>
        <v/>
      </c>
      <c r="K973" s="3">
        <f>IF('3b-d Exposures'!O1196="",0,'3b-d Exposures'!O1196)</f>
        <v/>
      </c>
      <c r="L973" s="3">
        <f>IF('3b-d Exposures'!Q1196="",0,'3b-d Exposures'!Q1196)</f>
        <v/>
      </c>
      <c r="M973" s="3">
        <f>IF('3b-d Exposures'!S1196="",0,'3b-d Exposures'!S1196)</f>
        <v/>
      </c>
      <c r="N973" s="3">
        <f>IF('3b-d Exposures'!Z1196="",0,'3b-d Exposures'!Z1196)</f>
        <v/>
      </c>
      <c r="O973" s="3">
        <f>$D973</f>
        <v/>
      </c>
      <c r="P973" s="3">
        <f>E973*$D973</f>
        <v/>
      </c>
      <c r="Q973" s="3">
        <f>F973*$D973</f>
        <v/>
      </c>
      <c r="R973" s="3">
        <f>G973*$D973</f>
        <v/>
      </c>
      <c r="S973" s="3">
        <f>H973*$D973</f>
        <v/>
      </c>
      <c r="T973" s="3">
        <f>I973*$D973</f>
        <v/>
      </c>
      <c r="U973" s="3">
        <f>J973*$D973</f>
        <v/>
      </c>
      <c r="V973" s="3">
        <f>K973*$D973</f>
        <v/>
      </c>
      <c r="W973" s="3">
        <f>L973*$D973</f>
        <v/>
      </c>
      <c r="X973" s="3">
        <f>M973*$D973</f>
        <v/>
      </c>
      <c r="Y973" s="3">
        <f>N973*$D973</f>
        <v/>
      </c>
      <c r="Z973" s="3">
        <f>C973*$D973</f>
        <v/>
      </c>
      <c r="AA973" s="9">
        <f>$L978+$K978*E973+$J978*F973+$I978*G973+$H978*H973+$G978*I973+$F978*J973+$E978*K973+$D978*L973+$C978*M973+$B978*N973</f>
        <v/>
      </c>
      <c r="AB973" s="9">
        <f>C973-AA973</f>
        <v/>
      </c>
      <c r="AC973" s="4">
        <f>AB973^2</f>
        <v/>
      </c>
    </row>
    <row r="974">
      <c r="A974" t="inlineStr">
        <is>
          <t>BBG0039320N9</t>
        </is>
      </c>
      <c r="B974" t="inlineStr">
        <is>
          <t>zts</t>
        </is>
      </c>
      <c r="C974" s="9" t="n">
        <v>0.008901544544474671</v>
      </c>
      <c r="D974" s="3">
        <f>EXP(0.25*'3b-d Exposures'!G1197)</f>
        <v/>
      </c>
      <c r="E974" s="3">
        <f>IF('3b-d Exposures'!C1197="",0,'3b-d Exposures'!C1197)</f>
        <v/>
      </c>
      <c r="F974" s="3">
        <f>IF('3b-d Exposures'!E1197="",0,'3b-d Exposures'!E1197)</f>
        <v/>
      </c>
      <c r="G974" s="3">
        <f>IF('3b-d Exposures'!G1197="",0,'3b-d Exposures'!G1197)</f>
        <v/>
      </c>
      <c r="H974" s="3">
        <f>IF('3b-d Exposures'!I1197="",0,'3b-d Exposures'!I1197)</f>
        <v/>
      </c>
      <c r="I974" s="3">
        <f>IF('3b-d Exposures'!K1197="",0,'3b-d Exposures'!K1197)</f>
        <v/>
      </c>
      <c r="J974" s="3">
        <f>IF('3b-d Exposures'!M1197="",0,'3b-d Exposures'!M1197)</f>
        <v/>
      </c>
      <c r="K974" s="3">
        <f>IF('3b-d Exposures'!O1197="",0,'3b-d Exposures'!O1197)</f>
        <v/>
      </c>
      <c r="L974" s="3">
        <f>IF('3b-d Exposures'!Q1197="",0,'3b-d Exposures'!Q1197)</f>
        <v/>
      </c>
      <c r="M974" s="3">
        <f>IF('3b-d Exposures'!S1197="",0,'3b-d Exposures'!S1197)</f>
        <v/>
      </c>
      <c r="N974" s="3">
        <f>IF('3b-d Exposures'!Z1197="",0,'3b-d Exposures'!Z1197)</f>
        <v/>
      </c>
      <c r="O974" s="3">
        <f>$D974</f>
        <v/>
      </c>
      <c r="P974" s="3">
        <f>E974*$D974</f>
        <v/>
      </c>
      <c r="Q974" s="3">
        <f>F974*$D974</f>
        <v/>
      </c>
      <c r="R974" s="3">
        <f>G974*$D974</f>
        <v/>
      </c>
      <c r="S974" s="3">
        <f>H974*$D974</f>
        <v/>
      </c>
      <c r="T974" s="3">
        <f>I974*$D974</f>
        <v/>
      </c>
      <c r="U974" s="3">
        <f>J974*$D974</f>
        <v/>
      </c>
      <c r="V974" s="3">
        <f>K974*$D974</f>
        <v/>
      </c>
      <c r="W974" s="3">
        <f>L974*$D974</f>
        <v/>
      </c>
      <c r="X974" s="3">
        <f>M974*$D974</f>
        <v/>
      </c>
      <c r="Y974" s="3">
        <f>N974*$D974</f>
        <v/>
      </c>
      <c r="Z974" s="3">
        <f>C974*$D974</f>
        <v/>
      </c>
      <c r="AA974" s="9">
        <f>$L978+$K978*E974+$J978*F974+$I978*G974+$H978*H974+$G978*I974+$F978*J974+$E978*K974+$D978*L974+$C978*M974+$B978*N974</f>
        <v/>
      </c>
      <c r="AB974" s="9">
        <f>C974-AA974</f>
        <v/>
      </c>
      <c r="AC974" s="4">
        <f>AB974^2</f>
        <v/>
      </c>
    </row>
    <row r="975">
      <c r="A975" t="inlineStr">
        <is>
          <t>BBG000H8R0N8</t>
        </is>
      </c>
      <c r="B975" t="inlineStr">
        <is>
          <t>zws</t>
        </is>
      </c>
      <c r="C975" s="9" t="n">
        <v>0.01155205676908611</v>
      </c>
      <c r="D975" s="3">
        <f>EXP(0.25*'3b-d Exposures'!G1198)</f>
        <v/>
      </c>
      <c r="E975" s="3">
        <f>IF('3b-d Exposures'!C1198="",0,'3b-d Exposures'!C1198)</f>
        <v/>
      </c>
      <c r="F975" s="3">
        <f>IF('3b-d Exposures'!E1198="",0,'3b-d Exposures'!E1198)</f>
        <v/>
      </c>
      <c r="G975" s="3">
        <f>IF('3b-d Exposures'!G1198="",0,'3b-d Exposures'!G1198)</f>
        <v/>
      </c>
      <c r="H975" s="3">
        <f>IF('3b-d Exposures'!I1198="",0,'3b-d Exposures'!I1198)</f>
        <v/>
      </c>
      <c r="I975" s="3">
        <f>IF('3b-d Exposures'!K1198="",0,'3b-d Exposures'!K1198)</f>
        <v/>
      </c>
      <c r="J975" s="3">
        <f>IF('3b-d Exposures'!M1198="",0,'3b-d Exposures'!M1198)</f>
        <v/>
      </c>
      <c r="K975" s="3">
        <f>IF('3b-d Exposures'!O1198="",0,'3b-d Exposures'!O1198)</f>
        <v/>
      </c>
      <c r="L975" s="3">
        <f>IF('3b-d Exposures'!Q1198="",0,'3b-d Exposures'!Q1198)</f>
        <v/>
      </c>
      <c r="M975" s="3">
        <f>IF('3b-d Exposures'!S1198="",0,'3b-d Exposures'!S1198)</f>
        <v/>
      </c>
      <c r="N975" s="3">
        <f>IF('3b-d Exposures'!Z1198="",0,'3b-d Exposures'!Z1198)</f>
        <v/>
      </c>
      <c r="O975" s="3">
        <f>$D975</f>
        <v/>
      </c>
      <c r="P975" s="3">
        <f>E975*$D975</f>
        <v/>
      </c>
      <c r="Q975" s="3">
        <f>F975*$D975</f>
        <v/>
      </c>
      <c r="R975" s="3">
        <f>G975*$D975</f>
        <v/>
      </c>
      <c r="S975" s="3">
        <f>H975*$D975</f>
        <v/>
      </c>
      <c r="T975" s="3">
        <f>I975*$D975</f>
        <v/>
      </c>
      <c r="U975" s="3">
        <f>J975*$D975</f>
        <v/>
      </c>
      <c r="V975" s="3">
        <f>K975*$D975</f>
        <v/>
      </c>
      <c r="W975" s="3">
        <f>L975*$D975</f>
        <v/>
      </c>
      <c r="X975" s="3">
        <f>M975*$D975</f>
        <v/>
      </c>
      <c r="Y975" s="3">
        <f>N975*$D975</f>
        <v/>
      </c>
      <c r="Z975" s="3">
        <f>C975*$D975</f>
        <v/>
      </c>
      <c r="AA975" s="9">
        <f>$L978+$K978*E975+$J978*F975+$I978*G975+$H978*H975+$G978*I975+$F978*J975+$E978*K975+$D978*L975+$C978*M975+$B978*N975</f>
        <v/>
      </c>
      <c r="AB975" s="9">
        <f>C975-AA975</f>
        <v/>
      </c>
      <c r="AC975" s="4">
        <f>AB975^2</f>
        <v/>
      </c>
    </row>
    <row r="977">
      <c r="A977" s="1" t="inlineStr">
        <is>
          <t>LINEST coefficients (reverse column order →)</t>
        </is>
      </c>
    </row>
    <row r="978">
      <c r="A978" t="inlineStr">
        <is>
          <t>betas:</t>
        </is>
      </c>
      <c r="B978" s="3">
        <f t="array" ref="B978:L978">LINEST(Z7:Z975,O7:Y975,FALSE)</f>
        <v/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>
      <c r="A979" s="1" t="inlineStr">
        <is>
          <t>Factor return (this day) — formula vs frame (ref)</t>
        </is>
      </c>
    </row>
    <row r="980">
      <c r="A980" s="1" t="inlineStr">
        <is>
          <t>Factor</t>
        </is>
      </c>
      <c r="B980" s="1" t="inlineStr">
        <is>
          <t>from LINEST</t>
        </is>
      </c>
      <c r="C980" s="1" t="inlineStr">
        <is>
          <t>frame (ref)</t>
        </is>
      </c>
    </row>
    <row r="981">
      <c r="A981" t="inlineStr">
        <is>
          <t>Market</t>
        </is>
      </c>
      <c r="B981" s="9">
        <f>L978</f>
        <v/>
      </c>
      <c r="C981" s="9" t="n">
        <v>-0.0001388439497390746</v>
      </c>
    </row>
    <row r="982">
      <c r="A982" t="inlineStr">
        <is>
          <t>Beta</t>
        </is>
      </c>
      <c r="B982" s="9">
        <f>K978</f>
        <v/>
      </c>
      <c r="C982" s="9" t="n">
        <v>0.00563196142738496</v>
      </c>
    </row>
    <row r="983">
      <c r="A983" t="inlineStr">
        <is>
          <t>Momentum</t>
        </is>
      </c>
      <c r="B983" s="9">
        <f>J978</f>
        <v/>
      </c>
      <c r="C983" s="9" t="n">
        <v>-0.006727565806469152</v>
      </c>
    </row>
    <row r="984">
      <c r="A984" t="inlineStr">
        <is>
          <t>Size</t>
        </is>
      </c>
      <c r="B984" s="9">
        <f>I978</f>
        <v/>
      </c>
      <c r="C984" s="9" t="n">
        <v>0.0009745786584639633</v>
      </c>
    </row>
    <row r="985">
      <c r="A985" t="inlineStr">
        <is>
          <t>Value</t>
        </is>
      </c>
      <c r="B985" s="9">
        <f>H978</f>
        <v/>
      </c>
      <c r="C985" s="9" t="n">
        <v>0.0003082488625622949</v>
      </c>
    </row>
    <row r="986">
      <c r="A986" t="inlineStr">
        <is>
          <t>Growth</t>
        </is>
      </c>
      <c r="B986" s="9">
        <f>G978</f>
        <v/>
      </c>
      <c r="C986" s="9" t="n">
        <v>0.001033605905687482</v>
      </c>
    </row>
    <row r="987">
      <c r="A987" t="inlineStr">
        <is>
          <t>Leverage</t>
        </is>
      </c>
      <c r="B987" s="9">
        <f>F978</f>
        <v/>
      </c>
      <c r="C987" s="9" t="n">
        <v>-0.001022904122873874</v>
      </c>
    </row>
    <row r="988">
      <c r="A988" t="inlineStr">
        <is>
          <t>Liquidity</t>
        </is>
      </c>
      <c r="B988" s="9">
        <f>E978</f>
        <v/>
      </c>
      <c r="C988" s="9" t="n">
        <v>-0.0002954155358105624</v>
      </c>
    </row>
    <row r="989">
      <c r="A989" t="inlineStr">
        <is>
          <t>ResidVol</t>
        </is>
      </c>
      <c r="B989" s="9">
        <f>D978</f>
        <v/>
      </c>
      <c r="C989" s="9" t="n">
        <v>0.001078031988075248</v>
      </c>
    </row>
    <row r="990">
      <c r="A990" t="inlineStr">
        <is>
          <t>EarnYield</t>
        </is>
      </c>
      <c r="B990" s="9">
        <f>C978</f>
        <v/>
      </c>
      <c r="C990" s="9" t="n">
        <v>0.0007453501563781463</v>
      </c>
    </row>
    <row r="991">
      <c r="A991" t="inlineStr">
        <is>
          <t>NonLinSize</t>
        </is>
      </c>
      <c r="B991" s="9">
        <f>B978</f>
        <v/>
      </c>
      <c r="C991" s="9" t="n">
        <v>0.0003393777072720437</v>
      </c>
    </row>
    <row r="994">
      <c r="A994" s="1" t="inlineStr">
        <is>
          <t>Worked name — specific (idiosyncratic) risk</t>
        </is>
      </c>
    </row>
    <row r="995">
      <c r="A995" t="inlineStr">
        <is>
          <t>baba residual u (day d)</t>
        </is>
      </c>
      <c r="B995" s="9">
        <f>AB109</f>
        <v/>
      </c>
    </row>
    <row r="996">
      <c r="A996" t="inlineStr">
        <is>
          <t>u²  (one day's contribution to SpecificVar)</t>
        </is>
      </c>
      <c r="B996" s="4">
        <f>AC109</f>
        <v/>
      </c>
    </row>
    <row r="997">
      <c r="A997" t="inlineStr">
        <is>
          <t>SpecificVar in frame (EWMA of u² across the month, ref)</t>
        </is>
      </c>
      <c r="B997" s="4" t="n">
        <v>0.000363160070179008</v>
      </c>
    </row>
    <row r="998">
      <c r="A998" t="inlineStr">
        <is>
          <t>(u² is one day's input to that EWMA, not the smoothed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2026-06-22T12:45:59Z</dcterms:created>
  <dcterms:modified xsi:type="dcterms:W3CDTF">2026-06-22T12:46:00Z</dcterms:modified>
</cp:coreProperties>
</file>